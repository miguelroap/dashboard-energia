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ikt4u.sharepoint.com/sites/VGP-ES/VGPES/07_Energy Management/05_Analysis/MRAs/MRA Portfolio evolution/"/>
    </mc:Choice>
  </mc:AlternateContent>
  <xr:revisionPtr revIDLastSave="70" documentId="13_ncr:1_{7528890C-2686-4DBC-A05D-90DAA8BC6B4F}" xr6:coauthVersionLast="47" xr6:coauthVersionMax="47" xr10:uidLastSave="{9C9710D1-FC59-4BA2-81B1-83CD02DD4C95}"/>
  <bookViews>
    <workbookView xWindow="-120" yWindow="-120" windowWidth="29040" windowHeight="15720" activeTab="2" xr2:uid="{00000000-000D-0000-FFFF-FFFF00000000}"/>
  </bookViews>
  <sheets>
    <sheet name="RESUMEN" sheetId="3" r:id="rId1"/>
    <sheet name="Sheet1" sheetId="4" r:id="rId2"/>
    <sheet name="export_unidades-de-programacion" sheetId="1" r:id="rId3"/>
    <sheet name="Aux" sheetId="2" r:id="rId4"/>
  </sheets>
  <definedNames>
    <definedName name="_xlnm._FilterDatabase" localSheetId="2" hidden="1">'export_unidades-de-programacion'!$A$2:$M$3522</definedName>
    <definedName name="_xlnm._FilterDatabase" localSheetId="0" hidden="1">RESUMEN!$AD$24:$AM$39</definedName>
  </definedNames>
  <calcPr calcId="191029"/>
  <pivotCaches>
    <pivotCache cacheId="8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0" i="3" l="1"/>
  <c r="AM9" i="3"/>
  <c r="AM3" i="3"/>
  <c r="AM2" i="3"/>
  <c r="AM11" i="3"/>
  <c r="AE10" i="3"/>
  <c r="AL16" i="3"/>
  <c r="AK16" i="3"/>
  <c r="AJ16" i="3"/>
  <c r="AL15" i="3"/>
  <c r="AK15" i="3"/>
  <c r="AD13" i="3"/>
  <c r="AD12" i="3"/>
  <c r="AD11" i="3"/>
  <c r="AD10" i="3"/>
  <c r="AD9" i="3"/>
  <c r="AD5" i="3"/>
  <c r="AD4" i="3"/>
  <c r="AD3" i="3"/>
  <c r="AD2" i="3"/>
  <c r="AM16" i="3"/>
  <c r="AI16" i="3"/>
  <c r="AH16" i="3"/>
  <c r="AG16" i="3"/>
  <c r="AF16" i="3"/>
  <c r="AE16" i="3"/>
  <c r="AM15" i="3"/>
  <c r="AJ15" i="3"/>
  <c r="AI15" i="3"/>
  <c r="AH15" i="3"/>
  <c r="AG15" i="3"/>
  <c r="AF15" i="3"/>
  <c r="AE15" i="3"/>
  <c r="AM14" i="3"/>
  <c r="AL14" i="3"/>
  <c r="AK14" i="3"/>
  <c r="AJ14" i="3"/>
  <c r="AI14" i="3"/>
  <c r="AH14" i="3"/>
  <c r="AG14" i="3"/>
  <c r="AF14" i="3"/>
  <c r="AE14" i="3"/>
  <c r="AM13" i="3"/>
  <c r="AL13" i="3"/>
  <c r="AK13" i="3"/>
  <c r="AJ13" i="3"/>
  <c r="AI13" i="3"/>
  <c r="AH13" i="3"/>
  <c r="AG13" i="3"/>
  <c r="AF13" i="3"/>
  <c r="AE13" i="3"/>
  <c r="AM12" i="3"/>
  <c r="AL12" i="3"/>
  <c r="AK12" i="3"/>
  <c r="AJ12" i="3"/>
  <c r="AI12" i="3"/>
  <c r="AH12" i="3"/>
  <c r="AG12" i="3"/>
  <c r="AF12" i="3"/>
  <c r="AE12" i="3"/>
  <c r="AL11" i="3"/>
  <c r="AK11" i="3"/>
  <c r="AJ11" i="3"/>
  <c r="AI11" i="3"/>
  <c r="AH11" i="3"/>
  <c r="AG11" i="3"/>
  <c r="AF11" i="3"/>
  <c r="AE11" i="3"/>
  <c r="AL10" i="3"/>
  <c r="AK10" i="3"/>
  <c r="AJ10" i="3"/>
  <c r="AI10" i="3"/>
  <c r="AH10" i="3"/>
  <c r="AG10" i="3"/>
  <c r="AF10" i="3"/>
  <c r="AL9" i="3"/>
  <c r="AK9" i="3"/>
  <c r="AJ9" i="3"/>
  <c r="AI9" i="3"/>
  <c r="AH9" i="3"/>
  <c r="AG9" i="3"/>
  <c r="AF9" i="3"/>
  <c r="AE9" i="3"/>
  <c r="AM8" i="3"/>
  <c r="AL8" i="3"/>
  <c r="AK8" i="3"/>
  <c r="AJ8" i="3"/>
  <c r="AI8" i="3"/>
  <c r="AH8" i="3"/>
  <c r="AG8" i="3"/>
  <c r="AF8" i="3"/>
  <c r="AE8" i="3"/>
  <c r="AM7" i="3"/>
  <c r="AL7" i="3"/>
  <c r="AK7" i="3"/>
  <c r="AJ7" i="3"/>
  <c r="AI7" i="3"/>
  <c r="AH7" i="3"/>
  <c r="AG7" i="3"/>
  <c r="AF7" i="3"/>
  <c r="AE7" i="3"/>
  <c r="AM6" i="3"/>
  <c r="AL6" i="3"/>
  <c r="AK6" i="3"/>
  <c r="AJ6" i="3"/>
  <c r="AI6" i="3"/>
  <c r="AH6" i="3"/>
  <c r="AG6" i="3"/>
  <c r="AF6" i="3"/>
  <c r="AE6" i="3"/>
  <c r="AM5" i="3"/>
  <c r="AL5" i="3"/>
  <c r="AK5" i="3"/>
  <c r="AJ5" i="3"/>
  <c r="AI5" i="3"/>
  <c r="AH5" i="3"/>
  <c r="AG5" i="3"/>
  <c r="AF5" i="3"/>
  <c r="AE5" i="3"/>
  <c r="AM4" i="3"/>
  <c r="AL4" i="3"/>
  <c r="AK4" i="3"/>
  <c r="AJ4" i="3"/>
  <c r="AI4" i="3"/>
  <c r="AH4" i="3"/>
  <c r="AG4" i="3"/>
  <c r="AF4" i="3"/>
  <c r="AE4" i="3"/>
  <c r="AL3" i="3"/>
  <c r="AK3" i="3"/>
  <c r="AJ3" i="3"/>
  <c r="AI3" i="3"/>
  <c r="AH3" i="3"/>
  <c r="AG3" i="3"/>
  <c r="AF3" i="3"/>
  <c r="AE3" i="3"/>
  <c r="AL2" i="3"/>
  <c r="AK2" i="3"/>
  <c r="AJ2" i="3"/>
  <c r="AI2" i="3"/>
  <c r="AH2" i="3"/>
  <c r="AG2" i="3"/>
  <c r="AF2" i="3"/>
  <c r="AE2" i="3"/>
  <c r="AD16" i="3"/>
  <c r="AD15" i="3"/>
  <c r="AD14" i="3"/>
  <c r="AD8" i="3"/>
  <c r="AD7" i="3"/>
  <c r="AD6" i="3"/>
  <c r="B23" i="4" l="1"/>
  <c r="E6" i="3"/>
  <c r="N16" i="3"/>
  <c r="L16" i="3"/>
  <c r="V16" i="3" s="1"/>
  <c r="K16" i="3"/>
  <c r="Y16" i="3" s="1"/>
  <c r="J16" i="3"/>
  <c r="W16" i="3" s="1"/>
  <c r="I16" i="3"/>
  <c r="X16" i="3" s="1"/>
  <c r="H16" i="3"/>
  <c r="G16" i="3"/>
  <c r="U16" i="3" s="1"/>
  <c r="F16" i="3"/>
  <c r="E16" i="3"/>
  <c r="D16" i="3"/>
  <c r="C16" i="3"/>
  <c r="B16" i="3"/>
  <c r="M16" i="3"/>
  <c r="R16" i="3"/>
  <c r="B24" i="4"/>
  <c r="S16" i="3" l="1"/>
  <c r="T16" i="3"/>
  <c r="Z16" i="3"/>
  <c r="R21" i="3"/>
  <c r="N21" i="3"/>
  <c r="L21" i="3"/>
  <c r="V21" i="3" s="1"/>
  <c r="K21" i="3"/>
  <c r="Y21" i="3" s="1"/>
  <c r="J21" i="3"/>
  <c r="W21" i="3" s="1"/>
  <c r="I21" i="3"/>
  <c r="X21" i="3" s="1"/>
  <c r="H21" i="3"/>
  <c r="G21" i="3"/>
  <c r="U21" i="3" s="1"/>
  <c r="F21" i="3"/>
  <c r="E21" i="3"/>
  <c r="D21" i="3"/>
  <c r="C21" i="3"/>
  <c r="B21" i="3"/>
  <c r="M21" i="3"/>
  <c r="R20" i="3"/>
  <c r="N20" i="3"/>
  <c r="L20" i="3"/>
  <c r="V20" i="3" s="1"/>
  <c r="K20" i="3"/>
  <c r="Y20" i="3" s="1"/>
  <c r="J20" i="3"/>
  <c r="W20" i="3" s="1"/>
  <c r="I20" i="3"/>
  <c r="X20" i="3" s="1"/>
  <c r="H20" i="3"/>
  <c r="G20" i="3"/>
  <c r="U20" i="3" s="1"/>
  <c r="F20" i="3"/>
  <c r="E20" i="3"/>
  <c r="D20" i="3"/>
  <c r="C20" i="3"/>
  <c r="B20" i="3"/>
  <c r="M20" i="3"/>
  <c r="R19" i="3"/>
  <c r="N19" i="3"/>
  <c r="L19" i="3"/>
  <c r="V19" i="3" s="1"/>
  <c r="K19" i="3"/>
  <c r="Y19" i="3" s="1"/>
  <c r="J19" i="3"/>
  <c r="W19" i="3" s="1"/>
  <c r="I19" i="3"/>
  <c r="X19" i="3" s="1"/>
  <c r="H19" i="3"/>
  <c r="G19" i="3"/>
  <c r="U19" i="3" s="1"/>
  <c r="F19" i="3"/>
  <c r="E19" i="3"/>
  <c r="D19" i="3"/>
  <c r="C19" i="3"/>
  <c r="B19" i="3"/>
  <c r="M19" i="3"/>
  <c r="R18" i="3"/>
  <c r="N18" i="3"/>
  <c r="L18" i="3"/>
  <c r="V18" i="3" s="1"/>
  <c r="K18" i="3"/>
  <c r="Y18" i="3" s="1"/>
  <c r="J18" i="3"/>
  <c r="W18" i="3" s="1"/>
  <c r="I18" i="3"/>
  <c r="X18" i="3" s="1"/>
  <c r="H18" i="3"/>
  <c r="G18" i="3"/>
  <c r="U18" i="3" s="1"/>
  <c r="F18" i="3"/>
  <c r="E18" i="3"/>
  <c r="D18" i="3"/>
  <c r="C18" i="3"/>
  <c r="B18" i="3"/>
  <c r="M18" i="3"/>
  <c r="R15" i="3"/>
  <c r="N15" i="3"/>
  <c r="L15" i="3"/>
  <c r="V15" i="3" s="1"/>
  <c r="K15" i="3"/>
  <c r="Y15" i="3" s="1"/>
  <c r="J15" i="3"/>
  <c r="W15" i="3" s="1"/>
  <c r="I15" i="3"/>
  <c r="X15" i="3" s="1"/>
  <c r="H15" i="3"/>
  <c r="G15" i="3"/>
  <c r="U15" i="3" s="1"/>
  <c r="F15" i="3"/>
  <c r="E15" i="3"/>
  <c r="D15" i="3"/>
  <c r="C15" i="3"/>
  <c r="B15" i="3"/>
  <c r="M15" i="3"/>
  <c r="R14" i="3"/>
  <c r="N14" i="3"/>
  <c r="L14" i="3"/>
  <c r="V14" i="3" s="1"/>
  <c r="K14" i="3"/>
  <c r="Y14" i="3" s="1"/>
  <c r="J14" i="3"/>
  <c r="W14" i="3" s="1"/>
  <c r="I14" i="3"/>
  <c r="X14" i="3" s="1"/>
  <c r="H14" i="3"/>
  <c r="G14" i="3"/>
  <c r="U14" i="3" s="1"/>
  <c r="F14" i="3"/>
  <c r="E14" i="3"/>
  <c r="D14" i="3"/>
  <c r="C14" i="3"/>
  <c r="B14" i="3"/>
  <c r="M14" i="3"/>
  <c r="R13" i="3"/>
  <c r="N13" i="3"/>
  <c r="L13" i="3"/>
  <c r="V13" i="3" s="1"/>
  <c r="K13" i="3"/>
  <c r="Y13" i="3" s="1"/>
  <c r="J13" i="3"/>
  <c r="W13" i="3" s="1"/>
  <c r="I13" i="3"/>
  <c r="X13" i="3" s="1"/>
  <c r="H13" i="3"/>
  <c r="G13" i="3"/>
  <c r="U13" i="3" s="1"/>
  <c r="F13" i="3"/>
  <c r="E13" i="3"/>
  <c r="D13" i="3"/>
  <c r="C13" i="3"/>
  <c r="B13" i="3"/>
  <c r="M13" i="3"/>
  <c r="R12" i="3"/>
  <c r="N12" i="3"/>
  <c r="L12" i="3"/>
  <c r="V12" i="3" s="1"/>
  <c r="K12" i="3"/>
  <c r="Y12" i="3" s="1"/>
  <c r="J12" i="3"/>
  <c r="W12" i="3" s="1"/>
  <c r="I12" i="3"/>
  <c r="X12" i="3" s="1"/>
  <c r="H12" i="3"/>
  <c r="G12" i="3"/>
  <c r="U12" i="3" s="1"/>
  <c r="F12" i="3"/>
  <c r="E12" i="3"/>
  <c r="D12" i="3"/>
  <c r="C12" i="3"/>
  <c r="B12" i="3"/>
  <c r="M12" i="3"/>
  <c r="R11" i="3"/>
  <c r="N11" i="3"/>
  <c r="L11" i="3"/>
  <c r="V11" i="3" s="1"/>
  <c r="K11" i="3"/>
  <c r="Y11" i="3" s="1"/>
  <c r="J11" i="3"/>
  <c r="W11" i="3" s="1"/>
  <c r="I11" i="3"/>
  <c r="X11" i="3" s="1"/>
  <c r="H11" i="3"/>
  <c r="G11" i="3"/>
  <c r="U11" i="3" s="1"/>
  <c r="F11" i="3"/>
  <c r="E11" i="3"/>
  <c r="D11" i="3"/>
  <c r="C11" i="3"/>
  <c r="B11" i="3"/>
  <c r="M11" i="3"/>
  <c r="R10" i="3"/>
  <c r="N10" i="3"/>
  <c r="L10" i="3"/>
  <c r="V10" i="3" s="1"/>
  <c r="K10" i="3"/>
  <c r="Y10" i="3" s="1"/>
  <c r="J10" i="3"/>
  <c r="W10" i="3" s="1"/>
  <c r="I10" i="3"/>
  <c r="X10" i="3" s="1"/>
  <c r="H10" i="3"/>
  <c r="G10" i="3"/>
  <c r="U10" i="3" s="1"/>
  <c r="F10" i="3"/>
  <c r="E10" i="3"/>
  <c r="D10" i="3"/>
  <c r="C10" i="3"/>
  <c r="B10" i="3"/>
  <c r="M10" i="3"/>
  <c r="R9" i="3"/>
  <c r="N9" i="3"/>
  <c r="L9" i="3"/>
  <c r="V9" i="3" s="1"/>
  <c r="K9" i="3"/>
  <c r="Y9" i="3" s="1"/>
  <c r="J9" i="3"/>
  <c r="W9" i="3" s="1"/>
  <c r="I9" i="3"/>
  <c r="X9" i="3" s="1"/>
  <c r="H9" i="3"/>
  <c r="G9" i="3"/>
  <c r="U9" i="3" s="1"/>
  <c r="F9" i="3"/>
  <c r="E9" i="3"/>
  <c r="D9" i="3"/>
  <c r="C9" i="3"/>
  <c r="B9" i="3"/>
  <c r="M9" i="3"/>
  <c r="R8" i="3"/>
  <c r="N8" i="3"/>
  <c r="L8" i="3"/>
  <c r="V8" i="3" s="1"/>
  <c r="K8" i="3"/>
  <c r="Y8" i="3" s="1"/>
  <c r="J8" i="3"/>
  <c r="W8" i="3" s="1"/>
  <c r="I8" i="3"/>
  <c r="X8" i="3" s="1"/>
  <c r="H8" i="3"/>
  <c r="G8" i="3"/>
  <c r="U8" i="3" s="1"/>
  <c r="F8" i="3"/>
  <c r="E8" i="3"/>
  <c r="D8" i="3"/>
  <c r="C8" i="3"/>
  <c r="B8" i="3"/>
  <c r="M8" i="3"/>
  <c r="R7" i="3"/>
  <c r="N7" i="3"/>
  <c r="L7" i="3"/>
  <c r="V7" i="3" s="1"/>
  <c r="K7" i="3"/>
  <c r="Y7" i="3" s="1"/>
  <c r="J7" i="3"/>
  <c r="W7" i="3" s="1"/>
  <c r="I7" i="3"/>
  <c r="X7" i="3" s="1"/>
  <c r="H7" i="3"/>
  <c r="G7" i="3"/>
  <c r="U7" i="3" s="1"/>
  <c r="F7" i="3"/>
  <c r="E7" i="3"/>
  <c r="D7" i="3"/>
  <c r="C7" i="3"/>
  <c r="B7" i="3"/>
  <c r="M7" i="3"/>
  <c r="R6" i="3"/>
  <c r="N6" i="3"/>
  <c r="L6" i="3"/>
  <c r="V6" i="3" s="1"/>
  <c r="K6" i="3"/>
  <c r="Y6" i="3" s="1"/>
  <c r="J6" i="3"/>
  <c r="W6" i="3" s="1"/>
  <c r="I6" i="3"/>
  <c r="X6" i="3" s="1"/>
  <c r="H6" i="3"/>
  <c r="G6" i="3"/>
  <c r="U6" i="3" s="1"/>
  <c r="F6" i="3"/>
  <c r="D6" i="3"/>
  <c r="C6" i="3"/>
  <c r="B6" i="3"/>
  <c r="M6" i="3"/>
  <c r="R5" i="3"/>
  <c r="N5" i="3"/>
  <c r="L5" i="3"/>
  <c r="V5" i="3" s="1"/>
  <c r="K5" i="3"/>
  <c r="Y5" i="3" s="1"/>
  <c r="J5" i="3"/>
  <c r="W5" i="3" s="1"/>
  <c r="I5" i="3"/>
  <c r="X5" i="3" s="1"/>
  <c r="H5" i="3"/>
  <c r="G5" i="3"/>
  <c r="U5" i="3" s="1"/>
  <c r="F5" i="3"/>
  <c r="E5" i="3"/>
  <c r="D5" i="3"/>
  <c r="C5" i="3"/>
  <c r="B5" i="3"/>
  <c r="M5" i="3"/>
  <c r="R4" i="3"/>
  <c r="N4" i="3"/>
  <c r="L4" i="3"/>
  <c r="V4" i="3" s="1"/>
  <c r="K4" i="3"/>
  <c r="Y4" i="3" s="1"/>
  <c r="J4" i="3"/>
  <c r="W4" i="3" s="1"/>
  <c r="I4" i="3"/>
  <c r="X4" i="3" s="1"/>
  <c r="H4" i="3"/>
  <c r="G4" i="3"/>
  <c r="U4" i="3" s="1"/>
  <c r="F4" i="3"/>
  <c r="E4" i="3"/>
  <c r="D4" i="3"/>
  <c r="C4" i="3"/>
  <c r="B4" i="3"/>
  <c r="M4" i="3"/>
  <c r="R3" i="3"/>
  <c r="N3" i="3"/>
  <c r="L3" i="3"/>
  <c r="V3" i="3" s="1"/>
  <c r="K3" i="3"/>
  <c r="Y3" i="3" s="1"/>
  <c r="J3" i="3"/>
  <c r="W3" i="3" s="1"/>
  <c r="I3" i="3"/>
  <c r="X3" i="3" s="1"/>
  <c r="H3" i="3"/>
  <c r="G3" i="3"/>
  <c r="U3" i="3" s="1"/>
  <c r="F3" i="3"/>
  <c r="E3" i="3"/>
  <c r="D3" i="3"/>
  <c r="C3" i="3"/>
  <c r="B3" i="3"/>
  <c r="M3" i="3"/>
  <c r="R2" i="3"/>
  <c r="N2" i="3"/>
  <c r="L2" i="3"/>
  <c r="V2" i="3" s="1"/>
  <c r="K2" i="3"/>
  <c r="Y2" i="3" s="1"/>
  <c r="J2" i="3"/>
  <c r="W2" i="3" s="1"/>
  <c r="I2" i="3"/>
  <c r="X2" i="3" s="1"/>
  <c r="H2" i="3"/>
  <c r="G2" i="3"/>
  <c r="U2" i="3" s="1"/>
  <c r="F2" i="3"/>
  <c r="E2" i="3"/>
  <c r="D2" i="3"/>
  <c r="C2" i="3"/>
  <c r="B2" i="3"/>
  <c r="M2" i="3"/>
  <c r="AA16" i="3" l="1"/>
  <c r="S5" i="3"/>
  <c r="Z11" i="3"/>
  <c r="T20" i="3"/>
  <c r="T5" i="3"/>
  <c r="S15" i="3"/>
  <c r="S11" i="3"/>
  <c r="S2" i="3"/>
  <c r="S9" i="3"/>
  <c r="Z13" i="3"/>
  <c r="Z4" i="3"/>
  <c r="T11" i="3"/>
  <c r="Z15" i="3"/>
  <c r="T2" i="3"/>
  <c r="T9" i="3"/>
  <c r="T7" i="3"/>
  <c r="S3" i="3"/>
  <c r="S18" i="3"/>
  <c r="S12" i="3"/>
  <c r="T18" i="3"/>
  <c r="Z7" i="3"/>
  <c r="S10" i="3"/>
  <c r="T12" i="3"/>
  <c r="Z5" i="3"/>
  <c r="T10" i="3"/>
  <c r="S21" i="3"/>
  <c r="Z14" i="3"/>
  <c r="S19" i="3"/>
  <c r="T21" i="3"/>
  <c r="T19" i="3"/>
  <c r="T4" i="3"/>
  <c r="T13" i="3"/>
  <c r="T15" i="3"/>
  <c r="S4" i="3"/>
  <c r="Z9" i="3"/>
  <c r="S13" i="3"/>
  <c r="S20" i="3"/>
  <c r="Z2" i="3"/>
  <c r="S6" i="3"/>
  <c r="Z18" i="3"/>
  <c r="T6" i="3"/>
  <c r="S8" i="3"/>
  <c r="T8" i="3"/>
  <c r="Z20" i="3"/>
  <c r="Z6" i="3"/>
  <c r="T3" i="3"/>
  <c r="Z8" i="3"/>
  <c r="S7" i="3"/>
  <c r="Z10" i="3"/>
  <c r="S14" i="3"/>
  <c r="Z12" i="3"/>
  <c r="T14" i="3"/>
  <c r="Z19" i="3"/>
  <c r="Z3" i="3"/>
  <c r="Z21" i="3"/>
  <c r="AA11" i="3" l="1"/>
  <c r="AA19" i="3"/>
  <c r="AA9" i="3"/>
  <c r="AA15" i="3"/>
  <c r="AA2" i="3"/>
  <c r="AA14" i="3"/>
  <c r="AA4" i="3"/>
  <c r="AA10" i="3"/>
  <c r="AA7" i="3"/>
  <c r="AA21" i="3"/>
  <c r="AA6" i="3"/>
  <c r="AA20" i="3"/>
  <c r="AA13" i="3"/>
  <c r="AA3" i="3"/>
  <c r="AA12" i="3"/>
  <c r="AA18" i="3"/>
  <c r="AA5" i="3"/>
  <c r="AA8" i="3"/>
</calcChain>
</file>

<file path=xl/sharedStrings.xml><?xml version="1.0" encoding="utf-8"?>
<sst xmlns="http://schemas.openxmlformats.org/spreadsheetml/2006/main" count="42506" uniqueCount="12145">
  <si>
    <t>Sujeto del Mercado</t>
  </si>
  <si>
    <t>Tipo de UP</t>
  </si>
  <si>
    <t>Venta</t>
  </si>
  <si>
    <t>SZR</t>
  </si>
  <si>
    <t>AME</t>
  </si>
  <si>
    <t>A2GAME2</t>
  </si>
  <si>
    <t>18W000000000R205</t>
  </si>
  <si>
    <t>ABA1</t>
  </si>
  <si>
    <t>ABARAN</t>
  </si>
  <si>
    <t>18WABA1-123456-K</t>
  </si>
  <si>
    <t>BARER</t>
  </si>
  <si>
    <t>ABA2</t>
  </si>
  <si>
    <t>ABARAN 2</t>
  </si>
  <si>
    <t>18WABA2-123456-A</t>
  </si>
  <si>
    <t>ABASC01</t>
  </si>
  <si>
    <t>UPC ABAST</t>
  </si>
  <si>
    <t>UP COMPRA ABASTE</t>
  </si>
  <si>
    <t>18W000000000G8RE</t>
  </si>
  <si>
    <t>Comercializadores mercado libre</t>
  </si>
  <si>
    <t>Compra</t>
  </si>
  <si>
    <t>ABAST</t>
  </si>
  <si>
    <t>Comercializadores</t>
  </si>
  <si>
    <t>ABO1</t>
  </si>
  <si>
    <t>18WABO1-12345-0X</t>
  </si>
  <si>
    <t>Hulla antracita</t>
  </si>
  <si>
    <t>ABOGE</t>
  </si>
  <si>
    <t>ABOUC01</t>
  </si>
  <si>
    <t>ABOUTWHI</t>
  </si>
  <si>
    <t>ABOUT WHITE, S.L.</t>
  </si>
  <si>
    <t>18WABOUC01-123-F</t>
  </si>
  <si>
    <t>ABOUT</t>
  </si>
  <si>
    <t>ACAPC01</t>
  </si>
  <si>
    <t>ACAPERSA</t>
  </si>
  <si>
    <t>ACAPERSA 1997</t>
  </si>
  <si>
    <t>18W000000000MBVA</t>
  </si>
  <si>
    <t>Consumos directos en mercado</t>
  </si>
  <si>
    <t>ACAPE</t>
  </si>
  <si>
    <t>Consum. directos a mercado</t>
  </si>
  <si>
    <t>ACBFRAE</t>
  </si>
  <si>
    <t>ACBFRA EXP</t>
  </si>
  <si>
    <t>18WACBFRAE-12--2</t>
  </si>
  <si>
    <t>Unidad instrumental internacional</t>
  </si>
  <si>
    <t>REE</t>
  </si>
  <si>
    <t>ACBFRAI</t>
  </si>
  <si>
    <t>ACBFRA IMP</t>
  </si>
  <si>
    <t>18WACBFRAI-12--B</t>
  </si>
  <si>
    <t>ACBPORE</t>
  </si>
  <si>
    <t>ACBPOR EXP</t>
  </si>
  <si>
    <t>18WACBPORE-123-3</t>
  </si>
  <si>
    <t>ACBPORI</t>
  </si>
  <si>
    <t>ACBPOR IMP</t>
  </si>
  <si>
    <t>18WACBPORI-123-C</t>
  </si>
  <si>
    <t>ACE3</t>
  </si>
  <si>
    <t>ACECA 3 IB</t>
  </si>
  <si>
    <t>C. C. ACECA 3</t>
  </si>
  <si>
    <t>18WACE3-12345-00</t>
  </si>
  <si>
    <t>Ciclo Combinado</t>
  </si>
  <si>
    <t>IBGT</t>
  </si>
  <si>
    <t>ACE4</t>
  </si>
  <si>
    <t>ACECA 4 UF</t>
  </si>
  <si>
    <t>C. C. ACECA 4</t>
  </si>
  <si>
    <t>18WACE4-12345-0R</t>
  </si>
  <si>
    <t>GNCC</t>
  </si>
  <si>
    <t>ACENC01</t>
  </si>
  <si>
    <t>ACENORCA</t>
  </si>
  <si>
    <t>18WACENORCA-SCLW</t>
  </si>
  <si>
    <t>ACENO</t>
  </si>
  <si>
    <t>ACHEC01</t>
  </si>
  <si>
    <t>CHERA</t>
  </si>
  <si>
    <t>ELECTRICA DE CHERA</t>
  </si>
  <si>
    <t>18WACHEC01-123-I</t>
  </si>
  <si>
    <t>ACHER</t>
  </si>
  <si>
    <t>ACNHC01</t>
  </si>
  <si>
    <t>UP COMPRA</t>
  </si>
  <si>
    <t>18W000000000NQNE</t>
  </si>
  <si>
    <t>ACENH</t>
  </si>
  <si>
    <t>ACSOC01</t>
  </si>
  <si>
    <t>ACSOL</t>
  </si>
  <si>
    <t>ACSOL ENERGIA GLOBAL</t>
  </si>
  <si>
    <t>18W0000000001YAU</t>
  </si>
  <si>
    <t>ACTIC01</t>
  </si>
  <si>
    <t>ACTIC01UN1</t>
  </si>
  <si>
    <t>ACTIVA UPROG COMER 1</t>
  </si>
  <si>
    <t>18W000000000GE8Y</t>
  </si>
  <si>
    <t>ACTIV</t>
  </si>
  <si>
    <t>ADEIC01</t>
  </si>
  <si>
    <t>ADEINNOVA</t>
  </si>
  <si>
    <t>ADEINNOVA ENERGIA S.L</t>
  </si>
  <si>
    <t>18WADEIC01-12--B</t>
  </si>
  <si>
    <t>ADEIN</t>
  </si>
  <si>
    <t>ADELC01</t>
  </si>
  <si>
    <t>ADELFAS</t>
  </si>
  <si>
    <t>ADELFAS ENERGIA SL</t>
  </si>
  <si>
    <t>18WADELC01-123-6</t>
  </si>
  <si>
    <t>ADELF</t>
  </si>
  <si>
    <t>ADSEC01</t>
  </si>
  <si>
    <t>18WADSEC01-123-X</t>
  </si>
  <si>
    <t>ADSSM</t>
  </si>
  <si>
    <t>ADSNC01</t>
  </si>
  <si>
    <t>ADS</t>
  </si>
  <si>
    <t>ADS SOLUTIONS</t>
  </si>
  <si>
    <t>18W000000000JBUO</t>
  </si>
  <si>
    <t>ADSEN</t>
  </si>
  <si>
    <t>ADURC01</t>
  </si>
  <si>
    <t>ADURIZ E</t>
  </si>
  <si>
    <t>ADURIZ ENERGIA SL (COMERCIALIZADORA)</t>
  </si>
  <si>
    <t>18WADURC01-123-T</t>
  </si>
  <si>
    <t>ADUR</t>
  </si>
  <si>
    <t>ADXC01</t>
  </si>
  <si>
    <t>ADX RENOVABLES</t>
  </si>
  <si>
    <t>18W000000000P85M</t>
  </si>
  <si>
    <t>ADXRA</t>
  </si>
  <si>
    <t>AE10COG</t>
  </si>
  <si>
    <t>ALTA EFICIENCIA 10 COG</t>
  </si>
  <si>
    <t>18W000000000ODT0</t>
  </si>
  <si>
    <t>COGEN</t>
  </si>
  <si>
    <t>AE11COG</t>
  </si>
  <si>
    <t>ALTA EFICIENCIA 11 COG</t>
  </si>
  <si>
    <t>18W000000000OSAU</t>
  </si>
  <si>
    <t>HISPE</t>
  </si>
  <si>
    <t>AE12COG</t>
  </si>
  <si>
    <t>ALTA EFICIENCIA 12COG</t>
  </si>
  <si>
    <t>18W000000000OSIE</t>
  </si>
  <si>
    <t>AEDEC01</t>
  </si>
  <si>
    <t>AED</t>
  </si>
  <si>
    <t>AED ENERGIA</t>
  </si>
  <si>
    <t>18W000000000OO1N</t>
  </si>
  <si>
    <t>AEDEN</t>
  </si>
  <si>
    <t>AENEC01</t>
  </si>
  <si>
    <t>AVAENERC</t>
  </si>
  <si>
    <t>AVALIA ENERGIA UP</t>
  </si>
  <si>
    <t>18WAENEC01-123-2</t>
  </si>
  <si>
    <t>AENER</t>
  </si>
  <si>
    <t>AFIBGEC</t>
  </si>
  <si>
    <t>ALMACENAMIENTO COMPRA</t>
  </si>
  <si>
    <t>18W000000000NL3W</t>
  </si>
  <si>
    <t>Almacenamiento</t>
  </si>
  <si>
    <t>IBGES</t>
  </si>
  <si>
    <t>Unidades de almacenamiento</t>
  </si>
  <si>
    <t>AFIBGEV</t>
  </si>
  <si>
    <t>ALMACENAMIENTO VENTA</t>
  </si>
  <si>
    <t>18W000000000NL2Y</t>
  </si>
  <si>
    <t>AFIBHFC</t>
  </si>
  <si>
    <t>18W000000000Q0SX</t>
  </si>
  <si>
    <t>Consumo bombeo</t>
  </si>
  <si>
    <t>AGENC01</t>
  </si>
  <si>
    <t>18WAGENC01-123-O</t>
  </si>
  <si>
    <t>ABESL</t>
  </si>
  <si>
    <t>AGMAC01</t>
  </si>
  <si>
    <t>AGMARQUES</t>
  </si>
  <si>
    <t>AGUAS DE MARQUESADO</t>
  </si>
  <si>
    <t>18WAGMAC01-123-T</t>
  </si>
  <si>
    <t>AGMA</t>
  </si>
  <si>
    <t>AGRIC01</t>
  </si>
  <si>
    <t>AGRIENERG</t>
  </si>
  <si>
    <t>AGRI ENERGIA S.A.</t>
  </si>
  <si>
    <t>18WAGRIC01-12-2B</t>
  </si>
  <si>
    <t>AGREN</t>
  </si>
  <si>
    <t>Solar fotovoltaica</t>
  </si>
  <si>
    <t>EFG</t>
  </si>
  <si>
    <t>AGUB</t>
  </si>
  <si>
    <t>AGUAYO B</t>
  </si>
  <si>
    <t>C.H.B. AGUAYO BOMBEO</t>
  </si>
  <si>
    <t>18WAGUB-12345-0T</t>
  </si>
  <si>
    <t>REPSB</t>
  </si>
  <si>
    <t>AGUG</t>
  </si>
  <si>
    <t>AGUAYO G</t>
  </si>
  <si>
    <t>C.H. AGUAYO GENERACION</t>
  </si>
  <si>
    <t>18WAGUG-12345-0G</t>
  </si>
  <si>
    <t>AHOEC01</t>
  </si>
  <si>
    <t>18W000000000KSX0</t>
  </si>
  <si>
    <t>AHOE</t>
  </si>
  <si>
    <t>AHORC01</t>
  </si>
  <si>
    <t>AHORA PEN</t>
  </si>
  <si>
    <t>PENINSULA</t>
  </si>
  <si>
    <t>18W000000000NN6K</t>
  </si>
  <si>
    <t>ALENE</t>
  </si>
  <si>
    <t>AIREC01</t>
  </si>
  <si>
    <t>AIREL</t>
  </si>
  <si>
    <t>COMERCIALIZADORES</t>
  </si>
  <si>
    <t>18W000000000943S</t>
  </si>
  <si>
    <t>AIREV01</t>
  </si>
  <si>
    <t>18W000000000GYXZ</t>
  </si>
  <si>
    <t>AIREV02</t>
  </si>
  <si>
    <t>18W000000000N4HI</t>
  </si>
  <si>
    <t>ALAHC01</t>
  </si>
  <si>
    <t>UP_HALAHUR</t>
  </si>
  <si>
    <t>UP_HALAHURIN</t>
  </si>
  <si>
    <t>18W000000000OYX3</t>
  </si>
  <si>
    <t>ALAHU</t>
  </si>
  <si>
    <t>ALBCC01</t>
  </si>
  <si>
    <t>ALBCOUP</t>
  </si>
  <si>
    <t>ALBCO_UNIDAD DE PROGRAMACION</t>
  </si>
  <si>
    <t>18W0000000003Q6H</t>
  </si>
  <si>
    <t>ALBCO</t>
  </si>
  <si>
    <t>ALCAC01</t>
  </si>
  <si>
    <t>ALCANZIA</t>
  </si>
  <si>
    <t>ALCANZIA ENERGIA</t>
  </si>
  <si>
    <t>18WALCAC01-123-5</t>
  </si>
  <si>
    <t>ALCAN</t>
  </si>
  <si>
    <t>ALDDC01</t>
  </si>
  <si>
    <t>COMPRA ALDERAAN</t>
  </si>
  <si>
    <t>18W000000000OLLT</t>
  </si>
  <si>
    <t>ALDEC</t>
  </si>
  <si>
    <t>ALDEC01</t>
  </si>
  <si>
    <t>COMPRA COMERCIALIZADORA</t>
  </si>
  <si>
    <t>18WALDEC01-123-S</t>
  </si>
  <si>
    <t>ALDEF</t>
  </si>
  <si>
    <t>ALDEHU</t>
  </si>
  <si>
    <t>ALDEHUELAS</t>
  </si>
  <si>
    <t>18W000000000JILL</t>
  </si>
  <si>
    <t>ALDRC01</t>
  </si>
  <si>
    <t>ALDRO ENER</t>
  </si>
  <si>
    <t>ALDRO ENERGIA Y SOLUCIONES SL</t>
  </si>
  <si>
    <t>18WALDRC01-123-9</t>
  </si>
  <si>
    <t>ALDRO</t>
  </si>
  <si>
    <t>ALDRV01</t>
  </si>
  <si>
    <t>ALDRO REPRESENTACION</t>
  </si>
  <si>
    <t>18W000000000DL6T</t>
  </si>
  <si>
    <t>ALG3</t>
  </si>
  <si>
    <t>BAHIA DE ALGECIRAS (SAN ROQUE- CADIZ)</t>
  </si>
  <si>
    <t>18WALG3-12345--K</t>
  </si>
  <si>
    <t>ALGICA1</t>
  </si>
  <si>
    <t>18WALGICA1-123-N</t>
  </si>
  <si>
    <t>COALG</t>
  </si>
  <si>
    <t>ALHAM</t>
  </si>
  <si>
    <t>FALHAM</t>
  </si>
  <si>
    <t>18WALHAM-12345-B</t>
  </si>
  <si>
    <t>GNRA</t>
  </si>
  <si>
    <t>ALIOC01</t>
  </si>
  <si>
    <t>COMPRA ALIO</t>
  </si>
  <si>
    <t>18W000000000PSVL</t>
  </si>
  <si>
    <t>ALIOE</t>
  </si>
  <si>
    <t>ALMAC01</t>
  </si>
  <si>
    <t>ALUM MAEST</t>
  </si>
  <si>
    <t>ALUMINIOS DEL MAESTRE</t>
  </si>
  <si>
    <t>18WALUMINOMAESTW</t>
  </si>
  <si>
    <t>ALMAE</t>
  </si>
  <si>
    <t>ALPXC01</t>
  </si>
  <si>
    <t>ALPEX IBERICA DE ENERGIASL</t>
  </si>
  <si>
    <t>18W000000000A8R1</t>
  </si>
  <si>
    <t>ALPEX</t>
  </si>
  <si>
    <t>ALQSC01</t>
  </si>
  <si>
    <t>18W000000000KBSO</t>
  </si>
  <si>
    <t>ALSEG</t>
  </si>
  <si>
    <t>ALSEC01</t>
  </si>
  <si>
    <t>ALSET COMERCIALIZADORA</t>
  </si>
  <si>
    <t>18W000000000HQQW</t>
  </si>
  <si>
    <t>ALSEC</t>
  </si>
  <si>
    <t>ALUEC01</t>
  </si>
  <si>
    <t>ALUZPENIN</t>
  </si>
  <si>
    <t>ALUZ PENINSULAR</t>
  </si>
  <si>
    <t>18W000000000KV0K</t>
  </si>
  <si>
    <t>ALUZE</t>
  </si>
  <si>
    <t>ALUZC01</t>
  </si>
  <si>
    <t>AHORRELUZ</t>
  </si>
  <si>
    <t>18W00000000041U3</t>
  </si>
  <si>
    <t>ALUZ</t>
  </si>
  <si>
    <t>ALZ1</t>
  </si>
  <si>
    <t>ALMARAZ 1</t>
  </si>
  <si>
    <t>C.N. ALMARAZ 1</t>
  </si>
  <si>
    <t>18WALZ1-12345-0E</t>
  </si>
  <si>
    <t>Nuclear</t>
  </si>
  <si>
    <t>IGNU</t>
  </si>
  <si>
    <t>ALZ2</t>
  </si>
  <si>
    <t>ALMARAZ 2</t>
  </si>
  <si>
    <t>C.N. ALMARAZ 2</t>
  </si>
  <si>
    <t>18WALZ2-12345-04</t>
  </si>
  <si>
    <t>AMBIETA</t>
  </si>
  <si>
    <t>AMOREBIETA</t>
  </si>
  <si>
    <t>18WAMBIETA-12-0S</t>
  </si>
  <si>
    <t>BIZE</t>
  </si>
  <si>
    <t>AMBIETX</t>
  </si>
  <si>
    <t>AMOREBIETA - CONSUMOS AUXILIARES</t>
  </si>
  <si>
    <t>18WAMBIETX-123-5</t>
  </si>
  <si>
    <t>Consumo de Servicios Auxiliares</t>
  </si>
  <si>
    <t>Servicios auxiliares</t>
  </si>
  <si>
    <t>AMEC01</t>
  </si>
  <si>
    <t>AGENTE DEL MERCADO ELECTRICO (COMPRA)</t>
  </si>
  <si>
    <t>18WAMEC01-1234-4</t>
  </si>
  <si>
    <t>AMPEC01</t>
  </si>
  <si>
    <t>AMPER</t>
  </si>
  <si>
    <t>UP_AMPERIOS</t>
  </si>
  <si>
    <t>18W000000000LBI3</t>
  </si>
  <si>
    <t>ANIMC01</t>
  </si>
  <si>
    <t>18W00000000084I2</t>
  </si>
  <si>
    <t>ANIMA</t>
  </si>
  <si>
    <t>ANTEC01</t>
  </si>
  <si>
    <t>ANTEA</t>
  </si>
  <si>
    <t>ANTEA ENERGIA COMERCIALIZADORA</t>
  </si>
  <si>
    <t>18W0000000003IEP</t>
  </si>
  <si>
    <t>ANTUC01</t>
  </si>
  <si>
    <t>ENERGY</t>
  </si>
  <si>
    <t>COMERCIALIZADOR ENERGIA</t>
  </si>
  <si>
    <t>18W000000000H6MQ</t>
  </si>
  <si>
    <t>ANTUK</t>
  </si>
  <si>
    <t>APOANDE</t>
  </si>
  <si>
    <t>APOAND EXP</t>
  </si>
  <si>
    <t>INTERCAMBIO DE APOYO ES A AN</t>
  </si>
  <si>
    <t>18WAPOANDE-123-C</t>
  </si>
  <si>
    <t>APOANDI</t>
  </si>
  <si>
    <t>APOAND IMP</t>
  </si>
  <si>
    <t>INTERCAMBIO DE APOYO AN A ES</t>
  </si>
  <si>
    <t>18WAPOANDI-123-L</t>
  </si>
  <si>
    <t>APOFRAE</t>
  </si>
  <si>
    <t>APOFRA EXP</t>
  </si>
  <si>
    <t>INTERCAMBIO DE APOYO ES A FR</t>
  </si>
  <si>
    <t>18WAPOFRAE-123-O</t>
  </si>
  <si>
    <t>APOFRAI</t>
  </si>
  <si>
    <t>APOFRA IMP</t>
  </si>
  <si>
    <t>INTERCAMBIO DE APOYO FR A ES</t>
  </si>
  <si>
    <t>18WAPOFRAI-123-X</t>
  </si>
  <si>
    <t>APOLC01</t>
  </si>
  <si>
    <t>APOLB</t>
  </si>
  <si>
    <t>APOLO BUSINESS SL</t>
  </si>
  <si>
    <t>18W000000000QWW3</t>
  </si>
  <si>
    <t>APOMARE</t>
  </si>
  <si>
    <t>APOMAR EXP</t>
  </si>
  <si>
    <t>INTERCAMBIO DE APOYO ES A MA</t>
  </si>
  <si>
    <t>18WAPOMARE-123-8</t>
  </si>
  <si>
    <t>APOMARI</t>
  </si>
  <si>
    <t>APOMAR IMP</t>
  </si>
  <si>
    <t>INTERCAMBIO DE APOYO MA A ES</t>
  </si>
  <si>
    <t>18WAPOMARI-123-H</t>
  </si>
  <si>
    <t>APOPORE</t>
  </si>
  <si>
    <t>APOPOR EXP</t>
  </si>
  <si>
    <t>INTERCAMBIO DE APOYO ES A PT</t>
  </si>
  <si>
    <t>18WAPOPORE-123-0</t>
  </si>
  <si>
    <t>APOPORI</t>
  </si>
  <si>
    <t>APOPOR IMP</t>
  </si>
  <si>
    <t>INTERCAMBIO DE APOYO PT A ES</t>
  </si>
  <si>
    <t>18WAPOPORI-123-9</t>
  </si>
  <si>
    <t>APRC01</t>
  </si>
  <si>
    <t>APRESTOS</t>
  </si>
  <si>
    <t>APRESTOS DE LANERIA</t>
  </si>
  <si>
    <t>18W000000000QSI6</t>
  </si>
  <si>
    <t>APRES</t>
  </si>
  <si>
    <t>APRIC01</t>
  </si>
  <si>
    <t>APRIM</t>
  </si>
  <si>
    <t>AUSARTA PRIMA COMPRA</t>
  </si>
  <si>
    <t>18W0000000004A7M</t>
  </si>
  <si>
    <t>ARACC01</t>
  </si>
  <si>
    <t>ARACA1</t>
  </si>
  <si>
    <t>ALTA ARACAN ENERGIA</t>
  </si>
  <si>
    <t>18WARACC01-123-9</t>
  </si>
  <si>
    <t>ARACA</t>
  </si>
  <si>
    <t>ARAIC01</t>
  </si>
  <si>
    <t>ARAIA</t>
  </si>
  <si>
    <t>SAN PEDRO DE ARAIA UNIDAD COMPRA</t>
  </si>
  <si>
    <t>18W000000000PPXQ</t>
  </si>
  <si>
    <t>CHPED</t>
  </si>
  <si>
    <t>ARASC01</t>
  </si>
  <si>
    <t>ARASOL</t>
  </si>
  <si>
    <t>18WARASC01-123-Y</t>
  </si>
  <si>
    <t>ARAS</t>
  </si>
  <si>
    <t>ARCH</t>
  </si>
  <si>
    <t>ARCHENA</t>
  </si>
  <si>
    <t>18WARCH-123456-G</t>
  </si>
  <si>
    <t>ARCOS1</t>
  </si>
  <si>
    <t>18WARCOS1-123-0E</t>
  </si>
  <si>
    <t>ARCOS2</t>
  </si>
  <si>
    <t>18WARCOS2-123-06</t>
  </si>
  <si>
    <t>ARCOS3</t>
  </si>
  <si>
    <t>18WARCOS3-123-0Z</t>
  </si>
  <si>
    <t>ARGC01</t>
  </si>
  <si>
    <t>ARGIMODE FABRICA</t>
  </si>
  <si>
    <t>18W000000000O11I</t>
  </si>
  <si>
    <t>ARGIM</t>
  </si>
  <si>
    <t>ARGUC01</t>
  </si>
  <si>
    <t>ARGUS UPR</t>
  </si>
  <si>
    <t>COLABORA ENERGIA-ARGUS UPR</t>
  </si>
  <si>
    <t>18W000000000DKM0</t>
  </si>
  <si>
    <t>ARGUS</t>
  </si>
  <si>
    <t>ARRU1</t>
  </si>
  <si>
    <t>ARRUBAL1</t>
  </si>
  <si>
    <t>UP ARRU1</t>
  </si>
  <si>
    <t>18WARRU1-1234-0J</t>
  </si>
  <si>
    <t>ARRUB</t>
  </si>
  <si>
    <t>ARRU1X</t>
  </si>
  <si>
    <t>18WARRU1X-1234-M</t>
  </si>
  <si>
    <t>ARRU2</t>
  </si>
  <si>
    <t>ARRUBAL2</t>
  </si>
  <si>
    <t>UP DE ARRUBAL2</t>
  </si>
  <si>
    <t>18WARRU2-1234-0A</t>
  </si>
  <si>
    <t>ARRU2X</t>
  </si>
  <si>
    <t>18WARRU2X-1234-D</t>
  </si>
  <si>
    <t>ASC1</t>
  </si>
  <si>
    <t>ASCO 1</t>
  </si>
  <si>
    <t>C.N. ASCO 1</t>
  </si>
  <si>
    <t>18WASC1-12345-0Z</t>
  </si>
  <si>
    <t>ENDG</t>
  </si>
  <si>
    <t>ASC2</t>
  </si>
  <si>
    <t>ASCO 2</t>
  </si>
  <si>
    <t>C.N. ASCO 2</t>
  </si>
  <si>
    <t>18WASC2-12345-0P</t>
  </si>
  <si>
    <t>ASIEC01</t>
  </si>
  <si>
    <t>COMPRA ENE</t>
  </si>
  <si>
    <t>ADQUISICIN DE ENERGA</t>
  </si>
  <si>
    <t>18W0000000008NER</t>
  </si>
  <si>
    <t>ASIE</t>
  </si>
  <si>
    <t>ASSEC01</t>
  </si>
  <si>
    <t>ASSENN ENERGY SL</t>
  </si>
  <si>
    <t>18W000000000R17V</t>
  </si>
  <si>
    <t>ASSEN</t>
  </si>
  <si>
    <t>ASTC01</t>
  </si>
  <si>
    <t>ASTURAGUA SICA</t>
  </si>
  <si>
    <t>18WASTURAGUAAST0</t>
  </si>
  <si>
    <t>AST</t>
  </si>
  <si>
    <t>ASTCP3</t>
  </si>
  <si>
    <t>18WASTCP3-1234-7</t>
  </si>
  <si>
    <t>Comercializador internacional</t>
  </si>
  <si>
    <t>ASTRC01</t>
  </si>
  <si>
    <t>ASTRA</t>
  </si>
  <si>
    <t>ASTRALCAD ENERGIA</t>
  </si>
  <si>
    <t>18W000000000M11Q</t>
  </si>
  <si>
    <t>ASTVP3</t>
  </si>
  <si>
    <t>ASTVP3F</t>
  </si>
  <si>
    <t>18WASTVP3-1234-2</t>
  </si>
  <si>
    <t>ATEEC01</t>
  </si>
  <si>
    <t>ATENCO PENINSULA</t>
  </si>
  <si>
    <t>18W000000000JNN2</t>
  </si>
  <si>
    <t>ATENC</t>
  </si>
  <si>
    <t>ATLSC01</t>
  </si>
  <si>
    <t>ATLAS COMP</t>
  </si>
  <si>
    <t>ATLAS ENERGIA COMERCIAL COMPRA</t>
  </si>
  <si>
    <t>18WATLSC01-123-0</t>
  </si>
  <si>
    <t>ATLAS</t>
  </si>
  <si>
    <t>ATOMCEC</t>
  </si>
  <si>
    <t>18W000000000M2C1</t>
  </si>
  <si>
    <t>DETIC</t>
  </si>
  <si>
    <t>ATOMICO</t>
  </si>
  <si>
    <t>18W000000000M2B3</t>
  </si>
  <si>
    <t>AUDAC01</t>
  </si>
  <si>
    <t>AUDAX ENERGIA</t>
  </si>
  <si>
    <t>18WAUDAC01-123-Y</t>
  </si>
  <si>
    <t>ADXRE</t>
  </si>
  <si>
    <t>AUNGNR</t>
  </si>
  <si>
    <t>UP A11 NO ALTA EIFCIENCIA</t>
  </si>
  <si>
    <t>18WAUNGNR-1234-K</t>
  </si>
  <si>
    <t>AVILC01</t>
  </si>
  <si>
    <t>AVIL_ALUMB</t>
  </si>
  <si>
    <t>AYUNTAMIENTO DE AVILES - ALUMBRADO PUBLICO</t>
  </si>
  <si>
    <t>18WAVILC01-123-5</t>
  </si>
  <si>
    <t>AVIL</t>
  </si>
  <si>
    <t>AXPOR01</t>
  </si>
  <si>
    <t>SRAD AXPO</t>
  </si>
  <si>
    <t>18W000000000QK2P</t>
  </si>
  <si>
    <t>EGLE</t>
  </si>
  <si>
    <t>AYLUC01</t>
  </si>
  <si>
    <t>AYLUZ</t>
  </si>
  <si>
    <t>AYLUZ COMERCIALIZADORA</t>
  </si>
  <si>
    <t>18WAYLUC01-123-V</t>
  </si>
  <si>
    <t>AYPGNR</t>
  </si>
  <si>
    <t>A12 NO ALTA EFICIENCIA</t>
  </si>
  <si>
    <t>18WAYPGNR-1234-O</t>
  </si>
  <si>
    <t>AZULIB</t>
  </si>
  <si>
    <t>18WAZULIB-123-1H</t>
  </si>
  <si>
    <t>BACAC01</t>
  </si>
  <si>
    <t>BACAICOA</t>
  </si>
  <si>
    <t>BACAICOA INDUSTRIAS PLASTICAS</t>
  </si>
  <si>
    <t>18W000000000COF6</t>
  </si>
  <si>
    <t>BACA</t>
  </si>
  <si>
    <t>BAHIAB</t>
  </si>
  <si>
    <t>BAHA DE BIZKAIA ELECTRICIDAD SL</t>
  </si>
  <si>
    <t>18WBAHIAB-123-0X</t>
  </si>
  <si>
    <t>BBEL</t>
  </si>
  <si>
    <t>BAHIABX</t>
  </si>
  <si>
    <t>18WBAHIABX-12--3</t>
  </si>
  <si>
    <t>BAKC01</t>
  </si>
  <si>
    <t>BASKONIA</t>
  </si>
  <si>
    <t>BASKONIA KIROL</t>
  </si>
  <si>
    <t>18W000000000Q8S9</t>
  </si>
  <si>
    <t>BASKO</t>
  </si>
  <si>
    <t>BALEC01</t>
  </si>
  <si>
    <t>18W000000000FN3L</t>
  </si>
  <si>
    <t>ELECB</t>
  </si>
  <si>
    <t>BALFRAE</t>
  </si>
  <si>
    <t>BALFRA EXP</t>
  </si>
  <si>
    <t>INTERCAMBIO TRANSFRONTERIZO DE BALANCE ES A FR</t>
  </si>
  <si>
    <t>18WBALFRAE-123-2</t>
  </si>
  <si>
    <t>BALFRAI</t>
  </si>
  <si>
    <t>BALFRA IMP</t>
  </si>
  <si>
    <t>INTERCAMBIO TRANSFRONTERIZO DE BALANCE FR A ES</t>
  </si>
  <si>
    <t>18WBALFRAI-123-B</t>
  </si>
  <si>
    <t>BALKC01</t>
  </si>
  <si>
    <t>18W000000000I8GS</t>
  </si>
  <si>
    <t>BALEI</t>
  </si>
  <si>
    <t>BALPORE</t>
  </si>
  <si>
    <t>BALPOR EXP</t>
  </si>
  <si>
    <t>INTERCAMBIO TRANSFRONTERIZO DE BALANCE ES A PT</t>
  </si>
  <si>
    <t>18WBALPORE-123-F</t>
  </si>
  <si>
    <t>BALPORI</t>
  </si>
  <si>
    <t>BALPOR IMP</t>
  </si>
  <si>
    <t>INTERCAMBIO TRANSFRONTERIZO DE BALANCE PT A ES</t>
  </si>
  <si>
    <t>18WBALPORI-123-O</t>
  </si>
  <si>
    <t>BANARES</t>
  </si>
  <si>
    <t>18W000000000ODWV</t>
  </si>
  <si>
    <t>LMER</t>
  </si>
  <si>
    <t>BEBE</t>
  </si>
  <si>
    <t>18W000000000OEAZ</t>
  </si>
  <si>
    <t>BECOC01</t>
  </si>
  <si>
    <t>18WBECOC01-12-2G</t>
  </si>
  <si>
    <t>BECO</t>
  </si>
  <si>
    <t>BECVH01</t>
  </si>
  <si>
    <t>BECVHI01</t>
  </si>
  <si>
    <t>BEC VENDA HIDRAULICA</t>
  </si>
  <si>
    <t>18W000000000BKZJ</t>
  </si>
  <si>
    <t>BECVH02</t>
  </si>
  <si>
    <t>18W000000000CJYK</t>
  </si>
  <si>
    <t>BECVS01</t>
  </si>
  <si>
    <t>BECO VENDA SOLAR 01</t>
  </si>
  <si>
    <t>18W000000000PKTC</t>
  </si>
  <si>
    <t>BELIN1</t>
  </si>
  <si>
    <t>BELINCH1</t>
  </si>
  <si>
    <t>BELINCHON FV EW</t>
  </si>
  <si>
    <t>18W000000000PKJW</t>
  </si>
  <si>
    <t>IGNIS</t>
  </si>
  <si>
    <t>ELEIA</t>
  </si>
  <si>
    <t>BENOC01</t>
  </si>
  <si>
    <t>BEROIL UP</t>
  </si>
  <si>
    <t>18W000000000IF6R</t>
  </si>
  <si>
    <t>BENOI</t>
  </si>
  <si>
    <t>BERC01</t>
  </si>
  <si>
    <t>BERNA</t>
  </si>
  <si>
    <t>FABRICA BERNA</t>
  </si>
  <si>
    <t>18WBERC01-1234-I</t>
  </si>
  <si>
    <t>MELUL</t>
  </si>
  <si>
    <t>BEREBRO</t>
  </si>
  <si>
    <t>BARBO CUENCA EBRO</t>
  </si>
  <si>
    <t>18WBEREBRO-123-L</t>
  </si>
  <si>
    <t>BERJUCA</t>
  </si>
  <si>
    <t>BARBO CUENCA JUCAR</t>
  </si>
  <si>
    <t>18WBERJUCA-123-I</t>
  </si>
  <si>
    <t>BERR1</t>
  </si>
  <si>
    <t>BERROCALILLO 1</t>
  </si>
  <si>
    <t>18WBERR1-12345-S</t>
  </si>
  <si>
    <t>HIDRJ</t>
  </si>
  <si>
    <t>BERR2</t>
  </si>
  <si>
    <t>BERROCALILLO 2</t>
  </si>
  <si>
    <t>18WBERR2-12345-J</t>
  </si>
  <si>
    <t>BES3</t>
  </si>
  <si>
    <t>BESOS 3</t>
  </si>
  <si>
    <t>C.T. BESOS 3 (CICLO COMBINADO) ENDESA</t>
  </si>
  <si>
    <t>18WBES3-12345-0V</t>
  </si>
  <si>
    <t>BES4</t>
  </si>
  <si>
    <t>BESOS 4</t>
  </si>
  <si>
    <t>C.T. BESOS 4 (CICLO COMBINADO) GAS NATURAL</t>
  </si>
  <si>
    <t>18WBES4-12345-0L</t>
  </si>
  <si>
    <t>BES5</t>
  </si>
  <si>
    <t>BESOS 5</t>
  </si>
  <si>
    <t>C.T. BESOS 5 CICLO COMBINADO (ENDESA)</t>
  </si>
  <si>
    <t>18WBES5-123456-T</t>
  </si>
  <si>
    <t>BEYOC01</t>
  </si>
  <si>
    <t>UP BEYOC01</t>
  </si>
  <si>
    <t>18W000000000DBQJ</t>
  </si>
  <si>
    <t>BEYON</t>
  </si>
  <si>
    <t>Biomasa</t>
  </si>
  <si>
    <t>BIROC01</t>
  </si>
  <si>
    <t>BIROUGAS</t>
  </si>
  <si>
    <t>BIROUGAS SL</t>
  </si>
  <si>
    <t>18W000000000GZKL</t>
  </si>
  <si>
    <t>BIROU</t>
  </si>
  <si>
    <t>BIRSPRA</t>
  </si>
  <si>
    <t>18W000000000IO28</t>
  </si>
  <si>
    <t>RSPRA</t>
  </si>
  <si>
    <t>BLAGAR</t>
  </si>
  <si>
    <t>BLAGARES</t>
  </si>
  <si>
    <t>UP BIOGAS EDAR LAGARES</t>
  </si>
  <si>
    <t>18W000000000L16K</t>
  </si>
  <si>
    <t>BLANC</t>
  </si>
  <si>
    <t>18WBLANC-12345-Z</t>
  </si>
  <si>
    <t>BNPRC01</t>
  </si>
  <si>
    <t>18W000000000GHNW</t>
  </si>
  <si>
    <t>BNPRU</t>
  </si>
  <si>
    <t>BNPRV01</t>
  </si>
  <si>
    <t>BONPREU V</t>
  </si>
  <si>
    <t>18W000000000Q3H9</t>
  </si>
  <si>
    <t>BOAEC01</t>
  </si>
  <si>
    <t>UP BOAEN</t>
  </si>
  <si>
    <t>UP BOAENERGTICA</t>
  </si>
  <si>
    <t>18W000000000PYRB</t>
  </si>
  <si>
    <t>BOAEN</t>
  </si>
  <si>
    <t>BOLI</t>
  </si>
  <si>
    <t>BOLINCHES</t>
  </si>
  <si>
    <t>18WBOLI-123456-4</t>
  </si>
  <si>
    <t>BPC01</t>
  </si>
  <si>
    <t>BPGAS_COM</t>
  </si>
  <si>
    <t>BP GAS EUROPE COMERCIALIZADORA</t>
  </si>
  <si>
    <t>18WBPC01-1234-2A</t>
  </si>
  <si>
    <t>BP</t>
  </si>
  <si>
    <t>BREIC01</t>
  </si>
  <si>
    <t>UP IBERICA</t>
  </si>
  <si>
    <t>IBERICA IMPULSA SL</t>
  </si>
  <si>
    <t>18W000000000KNBM</t>
  </si>
  <si>
    <t>IBERB</t>
  </si>
  <si>
    <t>BRENB</t>
  </si>
  <si>
    <t>18W000000000M2V0</t>
  </si>
  <si>
    <t>BRR1</t>
  </si>
  <si>
    <t>BARRIOS</t>
  </si>
  <si>
    <t>C.T. LOS BARRIOS</t>
  </si>
  <si>
    <t>18WBRR1-12345-0H</t>
  </si>
  <si>
    <t>Hulla sub-bituminosa</t>
  </si>
  <si>
    <t>VIEPR</t>
  </si>
  <si>
    <t>BRR1X</t>
  </si>
  <si>
    <t>AUX BRR1</t>
  </si>
  <si>
    <t>CONSUMOS AUX CT LOS BARRIOS</t>
  </si>
  <si>
    <t>18W000000000BKEO</t>
  </si>
  <si>
    <t>BRUC</t>
  </si>
  <si>
    <t>PSBRUC</t>
  </si>
  <si>
    <t>PS HUELVA 2021 BRUC</t>
  </si>
  <si>
    <t>18W000000000P3XI</t>
  </si>
  <si>
    <t>BSGEC01</t>
  </si>
  <si>
    <t>BSGEA</t>
  </si>
  <si>
    <t>18W0000000008G7P</t>
  </si>
  <si>
    <t>BTN</t>
  </si>
  <si>
    <t>18WBTN-1234567-O</t>
  </si>
  <si>
    <t>VIEG</t>
  </si>
  <si>
    <t>BYDETIC</t>
  </si>
  <si>
    <t>DETIC BIOGS</t>
  </si>
  <si>
    <t>18W000000000582Y</t>
  </si>
  <si>
    <t>BYENC01</t>
  </si>
  <si>
    <t>BY ENERGYC PENINSULA</t>
  </si>
  <si>
    <t>18W000000000HQM3</t>
  </si>
  <si>
    <t>BYENE</t>
  </si>
  <si>
    <t>CADLC01</t>
  </si>
  <si>
    <t>UC CANDELA</t>
  </si>
  <si>
    <t>UNIDAD COMPRA CANDELA</t>
  </si>
  <si>
    <t>18W000000000F256</t>
  </si>
  <si>
    <t>CANDL</t>
  </si>
  <si>
    <t>CALEC01</t>
  </si>
  <si>
    <t>CALEN</t>
  </si>
  <si>
    <t>CALE NUEVO</t>
  </si>
  <si>
    <t>18W000000000EY7L</t>
  </si>
  <si>
    <t>CALEA</t>
  </si>
  <si>
    <t>CAMCC01</t>
  </si>
  <si>
    <t>CAMPO_UP</t>
  </si>
  <si>
    <t>CAMPO COMPRAS</t>
  </si>
  <si>
    <t>18W00000000053M9</t>
  </si>
  <si>
    <t>CAMCO</t>
  </si>
  <si>
    <t>CAMG20X</t>
  </si>
  <si>
    <t>18W0000000004EMH</t>
  </si>
  <si>
    <t>CAMGI10</t>
  </si>
  <si>
    <t>CAMPGIB1</t>
  </si>
  <si>
    <t>C.C. CAMPO GIBRALTAR 1</t>
  </si>
  <si>
    <t>18WCAMGI10-12-07</t>
  </si>
  <si>
    <t>CAMGI20</t>
  </si>
  <si>
    <t>CAMPGIB2</t>
  </si>
  <si>
    <t>C.C. CAMPO GIBRALTAR 2</t>
  </si>
  <si>
    <t>18WCAMGI20--1-0D</t>
  </si>
  <si>
    <t>SEDAE</t>
  </si>
  <si>
    <t>CANTL</t>
  </si>
  <si>
    <t>18W000000000FER0</t>
  </si>
  <si>
    <t>CANXC01</t>
  </si>
  <si>
    <t>CANALIZACI</t>
  </si>
  <si>
    <t>MOLECOR CANALIZACIONES</t>
  </si>
  <si>
    <t>18W000000000POA1</t>
  </si>
  <si>
    <t>MOLEC</t>
  </si>
  <si>
    <t>CASAC01</t>
  </si>
  <si>
    <t>CASAT</t>
  </si>
  <si>
    <t>18W0000000001MN3</t>
  </si>
  <si>
    <t>CASMON</t>
  </si>
  <si>
    <t>18W000000000R0ST</t>
  </si>
  <si>
    <t>CATGC01</t>
  </si>
  <si>
    <t>CATGAS</t>
  </si>
  <si>
    <t>CATGAS ENERGIA SA</t>
  </si>
  <si>
    <t>18WCATGC01-123-C</t>
  </si>
  <si>
    <t>CATGA</t>
  </si>
  <si>
    <t>CATRC01</t>
  </si>
  <si>
    <t>18WCATRC01-123-D</t>
  </si>
  <si>
    <t>CATRA</t>
  </si>
  <si>
    <t>CCASC01</t>
  </si>
  <si>
    <t>CCASC01 UP</t>
  </si>
  <si>
    <t>18W000000000MANT</t>
  </si>
  <si>
    <t>COMER</t>
  </si>
  <si>
    <t>CCATC01</t>
  </si>
  <si>
    <t>18WCCATC01-123-U</t>
  </si>
  <si>
    <t>CCATR</t>
  </si>
  <si>
    <t>CD02R01</t>
  </si>
  <si>
    <t>18W000000000ORWQ</t>
  </si>
  <si>
    <t>CD04R01</t>
  </si>
  <si>
    <t>18W000000000QOSZ</t>
  </si>
  <si>
    <t>CEBAC01</t>
  </si>
  <si>
    <t>CEBA</t>
  </si>
  <si>
    <t>COOPERATIVA ELECTRICA ALBATERENSE, COOP.V.</t>
  </si>
  <si>
    <t>18WCEBAC01-123-0</t>
  </si>
  <si>
    <t>CEA</t>
  </si>
  <si>
    <t>CECAC01</t>
  </si>
  <si>
    <t>CASTELLAR</t>
  </si>
  <si>
    <t>COOPERTIVA ELECTRICA DE CASTELLAR, S.C.V.</t>
  </si>
  <si>
    <t>18WCECAC01-123-Q</t>
  </si>
  <si>
    <t>CECA</t>
  </si>
  <si>
    <t>CEDC01</t>
  </si>
  <si>
    <t>CEDSL</t>
  </si>
  <si>
    <t>COMERCIALIZADORA DE ENERGA DIRECTA</t>
  </si>
  <si>
    <t>18WCEDC01-1234-B</t>
  </si>
  <si>
    <t>CEEEC01</t>
  </si>
  <si>
    <t>18WCEEEC01-123-1</t>
  </si>
  <si>
    <t>CEEE</t>
  </si>
  <si>
    <t>CEESC01</t>
  </si>
  <si>
    <t>CENTRICA ENERGIAS ESPECIALES COMPRA</t>
  </si>
  <si>
    <t>18WCEESC01-123-9</t>
  </si>
  <si>
    <t>CENES</t>
  </si>
  <si>
    <t>CEGC01</t>
  </si>
  <si>
    <t>CEG CO</t>
  </si>
  <si>
    <t>CENTRICA GENERACION COMERCIALIZADORA</t>
  </si>
  <si>
    <t>18WCEGC01-123-2O</t>
  </si>
  <si>
    <t>CEG</t>
  </si>
  <si>
    <t>CELC01</t>
  </si>
  <si>
    <t>CELLTECH S.L.U</t>
  </si>
  <si>
    <t>18WCELC01-1234-Y</t>
  </si>
  <si>
    <t>CELL</t>
  </si>
  <si>
    <t>CELSC01</t>
  </si>
  <si>
    <t>PORTAFOLIO GRUPO CELSA</t>
  </si>
  <si>
    <t>18W00000000050U2</t>
  </si>
  <si>
    <t>CELSA</t>
  </si>
  <si>
    <t>CELSC02</t>
  </si>
  <si>
    <t>CFERIMSA</t>
  </si>
  <si>
    <t>FERIMETSABADELL</t>
  </si>
  <si>
    <t>18W00000000079IS</t>
  </si>
  <si>
    <t>SERVICIO RESPUESTA ACTIVA DE LA DEMANDA</t>
  </si>
  <si>
    <t>CENG01</t>
  </si>
  <si>
    <t>CENTELLES GEN SOLAR 01</t>
  </si>
  <si>
    <t>18W000000000Q1AT</t>
  </si>
  <si>
    <t>CENTS</t>
  </si>
  <si>
    <t>CENTC01</t>
  </si>
  <si>
    <t>CENT CO</t>
  </si>
  <si>
    <t>CENTRICA ENERGIA COMERCIALIZADORA</t>
  </si>
  <si>
    <t>18WCENTC01-12-2H</t>
  </si>
  <si>
    <t>CENTE</t>
  </si>
  <si>
    <t>CENTCP3</t>
  </si>
  <si>
    <t>18WCENTCP3-12-4L</t>
  </si>
  <si>
    <t>CENTVP3</t>
  </si>
  <si>
    <t>18WCENTVP3-12-30</t>
  </si>
  <si>
    <t>CEPEC01</t>
  </si>
  <si>
    <t>CEPEN</t>
  </si>
  <si>
    <t>COMERCIALIZADORA ELECTRICA PENINSULAR</t>
  </si>
  <si>
    <t>18W00000000079GW</t>
  </si>
  <si>
    <t>CERVUP</t>
  </si>
  <si>
    <t>CERVANTINA</t>
  </si>
  <si>
    <t>18W000000000QG5V</t>
  </si>
  <si>
    <t>ZRMTT</t>
  </si>
  <si>
    <t>CESOC01</t>
  </si>
  <si>
    <t>UNIDAD DE COMPRA DE COMERCIALIZADORA CESOS</t>
  </si>
  <si>
    <t>18W000000000GOBZ</t>
  </si>
  <si>
    <t>CESOS</t>
  </si>
  <si>
    <t>CETAC01</t>
  </si>
  <si>
    <t>CETAL</t>
  </si>
  <si>
    <t>COMERCIALIZADORA ELECTRICA TALAYUELAS</t>
  </si>
  <si>
    <t>18WCETAC01-123-O</t>
  </si>
  <si>
    <t>CGGRABI</t>
  </si>
  <si>
    <t>18W000000000OIEF</t>
  </si>
  <si>
    <t>CGINDU</t>
  </si>
  <si>
    <t>18W000000000OIVI</t>
  </si>
  <si>
    <t>CGLAM</t>
  </si>
  <si>
    <t>18W000000000PXPI</t>
  </si>
  <si>
    <t>CGLAV</t>
  </si>
  <si>
    <t>18W000000000OJH6</t>
  </si>
  <si>
    <t>CGTOP</t>
  </si>
  <si>
    <t>18W000000000OKG5</t>
  </si>
  <si>
    <t>CGYEL</t>
  </si>
  <si>
    <t>18W000000000OJG8</t>
  </si>
  <si>
    <t>CHANC01</t>
  </si>
  <si>
    <t>CHANDUY</t>
  </si>
  <si>
    <t>RECICLAJES ECOLGICOS CHANDUY SL</t>
  </si>
  <si>
    <t>18W000000000J5V3</t>
  </si>
  <si>
    <t>CHAND</t>
  </si>
  <si>
    <t>CHBAO</t>
  </si>
  <si>
    <t>BARROSA</t>
  </si>
  <si>
    <t>CH BARROSA</t>
  </si>
  <si>
    <t>18W000000000F0KJ</t>
  </si>
  <si>
    <t>CHCC01</t>
  </si>
  <si>
    <t>CIDE HCENERGÃA, S.A.</t>
  </si>
  <si>
    <t>18WCHCC01-1234-N</t>
  </si>
  <si>
    <t>CHC</t>
  </si>
  <si>
    <t>CHCOC01</t>
  </si>
  <si>
    <t>UNID. COMPRA CHC COR</t>
  </si>
  <si>
    <t>18WCHCOC01-123-Z</t>
  </si>
  <si>
    <t>CHCOR</t>
  </si>
  <si>
    <t>CHERC01</t>
  </si>
  <si>
    <t>SOT CHERA</t>
  </si>
  <si>
    <t>ELECTRICA SOT DE CHERA</t>
  </si>
  <si>
    <t>18WCHERC01-123-K</t>
  </si>
  <si>
    <t>CHIPB</t>
  </si>
  <si>
    <t>18WCHIPB-12345-8</t>
  </si>
  <si>
    <t>CHIPG</t>
  </si>
  <si>
    <t>18WCHIPG-12345-0</t>
  </si>
  <si>
    <t>CHISC01</t>
  </si>
  <si>
    <t>CHISTA_COM</t>
  </si>
  <si>
    <t>UP_LACHISTABINA_COMPRAS</t>
  </si>
  <si>
    <t>18W000000000CW60</t>
  </si>
  <si>
    <t>COMCH</t>
  </si>
  <si>
    <t>CHURC</t>
  </si>
  <si>
    <t>URDICETO 2</t>
  </si>
  <si>
    <t>CHURDICETO 2</t>
  </si>
  <si>
    <t>18W000000000F0GR</t>
  </si>
  <si>
    <t>CHURC01</t>
  </si>
  <si>
    <t>18W000000000N5XK</t>
  </si>
  <si>
    <t>CHURR</t>
  </si>
  <si>
    <t>CHURD</t>
  </si>
  <si>
    <t>URDICETO</t>
  </si>
  <si>
    <t>URDICETO 1</t>
  </si>
  <si>
    <t>18W000000000F0FT</t>
  </si>
  <si>
    <t>CHVADOM</t>
  </si>
  <si>
    <t>CHVADO</t>
  </si>
  <si>
    <t>CH VADO</t>
  </si>
  <si>
    <t>18W000000000P2XL</t>
  </si>
  <si>
    <t>STIN</t>
  </si>
  <si>
    <t>CHVN</t>
  </si>
  <si>
    <t>18WCHVN-123456-Q</t>
  </si>
  <si>
    <t>WMARK</t>
  </si>
  <si>
    <t>CILCOR</t>
  </si>
  <si>
    <t>REPSOL PETROLEO, S.A.</t>
  </si>
  <si>
    <t>18WCILCOR-123-0J</t>
  </si>
  <si>
    <t>REPP</t>
  </si>
  <si>
    <t>CIMAC01</t>
  </si>
  <si>
    <t>CIMA</t>
  </si>
  <si>
    <t>CIMA ENERGIA</t>
  </si>
  <si>
    <t>18W000000000GE61</t>
  </si>
  <si>
    <t>CJON3X</t>
  </si>
  <si>
    <t>CCAA CTJ3</t>
  </si>
  <si>
    <t>CCAA CASTEJON 3</t>
  </si>
  <si>
    <t>18W000000000KS5J</t>
  </si>
  <si>
    <t>NATGA</t>
  </si>
  <si>
    <t>CLEAC01</t>
  </si>
  <si>
    <t>CLEARVIEW</t>
  </si>
  <si>
    <t>CLEARVIEW ENERGY</t>
  </si>
  <si>
    <t>18W000000000M0AB</t>
  </si>
  <si>
    <t>CLEAR</t>
  </si>
  <si>
    <t>CLIDC01</t>
  </si>
  <si>
    <t>CLIDOMUP01</t>
  </si>
  <si>
    <t>CLIDOM UNIDAD PROGRAMACION 01</t>
  </si>
  <si>
    <t>18WCLIDC01-123-V</t>
  </si>
  <si>
    <t>CLIDM</t>
  </si>
  <si>
    <t>CLIFV10</t>
  </si>
  <si>
    <t>FV T10</t>
  </si>
  <si>
    <t>FV MAYOR 1MW</t>
  </si>
  <si>
    <t>18W000000000BR8F</t>
  </si>
  <si>
    <t>CLIFV21</t>
  </si>
  <si>
    <t>18W000000000NR2G</t>
  </si>
  <si>
    <t>CLIFV30</t>
  </si>
  <si>
    <t>18W000000000OL1W</t>
  </si>
  <si>
    <t>CLIFV31</t>
  </si>
  <si>
    <t>18W000000000OL3S</t>
  </si>
  <si>
    <t>CLIFV32</t>
  </si>
  <si>
    <t>18W000000000OL5O</t>
  </si>
  <si>
    <t>CLIFV35</t>
  </si>
  <si>
    <t>18W000000000P1ZK</t>
  </si>
  <si>
    <t>CLIFV45</t>
  </si>
  <si>
    <t>18W000000000Q8W1</t>
  </si>
  <si>
    <t>CLIFV53</t>
  </si>
  <si>
    <t>18W000000000R82K</t>
  </si>
  <si>
    <t>CLIFV54</t>
  </si>
  <si>
    <t>18W000000000R83I</t>
  </si>
  <si>
    <t>CLIPCX1</t>
  </si>
  <si>
    <t>18W000000000OCPB</t>
  </si>
  <si>
    <t>Porfolio</t>
  </si>
  <si>
    <t>Unidades porfolio</t>
  </si>
  <si>
    <t>CLIPVX1</t>
  </si>
  <si>
    <t>18W000000000OCQ9</t>
  </si>
  <si>
    <t>CLIWI11</t>
  </si>
  <si>
    <t>EOL 1014</t>
  </si>
  <si>
    <t>EOLICA 1014</t>
  </si>
  <si>
    <t>18W000000000JWHO</t>
  </si>
  <si>
    <t>CMILLAS</t>
  </si>
  <si>
    <t>CERAMICA MILLAS E HIJOS</t>
  </si>
  <si>
    <t>18WCMILLAS-123-X</t>
  </si>
  <si>
    <t>CNTLC01</t>
  </si>
  <si>
    <t>CNTL UP</t>
  </si>
  <si>
    <t>18WCNTLC01-123-S</t>
  </si>
  <si>
    <t>COALC01</t>
  </si>
  <si>
    <t>COMERCIALIZADORA SUMINISTRO ESPECIALES ALGINETENSES, S.L.</t>
  </si>
  <si>
    <t>18WCOALC01-123-3</t>
  </si>
  <si>
    <t>CODOC01</t>
  </si>
  <si>
    <t>18W0000000005KY8</t>
  </si>
  <si>
    <t>CODOR</t>
  </si>
  <si>
    <t>COELC01</t>
  </si>
  <si>
    <t>GUADASSAUR</t>
  </si>
  <si>
    <t>ELECTRICA DE GUADASSUAR, S.C.V.</t>
  </si>
  <si>
    <t>18WCOELC01-123-X</t>
  </si>
  <si>
    <t>COELD</t>
  </si>
  <si>
    <t>COF1</t>
  </si>
  <si>
    <t>COFRENTES</t>
  </si>
  <si>
    <t>C.N. COFRENTES</t>
  </si>
  <si>
    <t>18WCOF1-12345-0O</t>
  </si>
  <si>
    <t>COG75RQ</t>
  </si>
  <si>
    <t>REPSOL QUIMICA, S.A.</t>
  </si>
  <si>
    <t>18WCOG75RQ-12-0I</t>
  </si>
  <si>
    <t>COGAIAD</t>
  </si>
  <si>
    <t>18W000000000OHXH</t>
  </si>
  <si>
    <t>COGAJ</t>
  </si>
  <si>
    <t>18W000000000NLH4</t>
  </si>
  <si>
    <t>COGAJ5</t>
  </si>
  <si>
    <t>18W000000000NNRF</t>
  </si>
  <si>
    <t>COGAMYL</t>
  </si>
  <si>
    <t>18W000000000OFP2</t>
  </si>
  <si>
    <t>COGATOM</t>
  </si>
  <si>
    <t>18W000000000OFYL</t>
  </si>
  <si>
    <t>COGAYME</t>
  </si>
  <si>
    <t>18W000000000OHGE</t>
  </si>
  <si>
    <t>COGAZEB</t>
  </si>
  <si>
    <t>18W000000000OIPU</t>
  </si>
  <si>
    <t>COGBARR</t>
  </si>
  <si>
    <t>18W000000000OI14</t>
  </si>
  <si>
    <t>COGBECO</t>
  </si>
  <si>
    <t>18W000000000OFUT</t>
  </si>
  <si>
    <t>COGBERN</t>
  </si>
  <si>
    <t>18W000000000OHHC</t>
  </si>
  <si>
    <t>COGBOOR</t>
  </si>
  <si>
    <t>18W000000000P3RU</t>
  </si>
  <si>
    <t>COGBORJ</t>
  </si>
  <si>
    <t>18W000000000OHTP</t>
  </si>
  <si>
    <t>COGBRIK</t>
  </si>
  <si>
    <t>18W000000000OHWJ</t>
  </si>
  <si>
    <t>COGCDAM</t>
  </si>
  <si>
    <t>18W000000000OFSX</t>
  </si>
  <si>
    <t>COGCHOV</t>
  </si>
  <si>
    <t>18W000000000OG1A</t>
  </si>
  <si>
    <t>COGCIPR</t>
  </si>
  <si>
    <t>18W000000000R7QC</t>
  </si>
  <si>
    <t>COGCLIM</t>
  </si>
  <si>
    <t>18W000000000OI22</t>
  </si>
  <si>
    <t>COGCORE</t>
  </si>
  <si>
    <t>18W000000000R7NI</t>
  </si>
  <si>
    <t>COGDAMM</t>
  </si>
  <si>
    <t>18W000000000OIUK</t>
  </si>
  <si>
    <t>COGDERC</t>
  </si>
  <si>
    <t>18W000000000OHOZ</t>
  </si>
  <si>
    <t>COGEC01</t>
  </si>
  <si>
    <t>ENERGY BY COGEN, S.L.U</t>
  </si>
  <si>
    <t>18WCOGEC01-123-7</t>
  </si>
  <si>
    <t>COGESPU</t>
  </si>
  <si>
    <t>18W000000000OI4Z</t>
  </si>
  <si>
    <t>COGESTA</t>
  </si>
  <si>
    <t>18W000000000OG9V</t>
  </si>
  <si>
    <t>COGFBAC</t>
  </si>
  <si>
    <t>18W000000000OFZJ</t>
  </si>
  <si>
    <t>COGFOMP</t>
  </si>
  <si>
    <t>18W000000000OG52</t>
  </si>
  <si>
    <t>COGFORE</t>
  </si>
  <si>
    <t>18W000000000OG0C</t>
  </si>
  <si>
    <t>COGFRIM</t>
  </si>
  <si>
    <t>18W000000000QJHZ</t>
  </si>
  <si>
    <t>COGFUST</t>
  </si>
  <si>
    <t>18W000000000OHIA</t>
  </si>
  <si>
    <t>COGFUTG</t>
  </si>
  <si>
    <t>COGFUTGR</t>
  </si>
  <si>
    <t>FUTURA GREEN COGENERACION</t>
  </si>
  <si>
    <t>18W0000000004GCV</t>
  </si>
  <si>
    <t>FUTGR</t>
  </si>
  <si>
    <t>COGGAIK</t>
  </si>
  <si>
    <t>18W000000000OIWG</t>
  </si>
  <si>
    <t>COGGESB</t>
  </si>
  <si>
    <t>18W000000000OHYF</t>
  </si>
  <si>
    <t>COGHIJO</t>
  </si>
  <si>
    <t>18W000000000OIZA</t>
  </si>
  <si>
    <t>COGINC2</t>
  </si>
  <si>
    <t>18W000000000OIK3</t>
  </si>
  <si>
    <t>COGINCU</t>
  </si>
  <si>
    <t>18W000000000OHSR</t>
  </si>
  <si>
    <t>COGJUMS</t>
  </si>
  <si>
    <t>18W000000000OI5X</t>
  </si>
  <si>
    <t>COGLINA</t>
  </si>
  <si>
    <t>18W000000000OFN6</t>
  </si>
  <si>
    <t>COGLOSR</t>
  </si>
  <si>
    <t>18W000000000OHJ8</t>
  </si>
  <si>
    <t>COGMARQ</t>
  </si>
  <si>
    <t>18W000000000OFLA</t>
  </si>
  <si>
    <t>COGMENG</t>
  </si>
  <si>
    <t>18W000000000OHPX</t>
  </si>
  <si>
    <t>COGMIGA</t>
  </si>
  <si>
    <t>18W000000000OG36</t>
  </si>
  <si>
    <t>COGMIMS</t>
  </si>
  <si>
    <t>18W000000000OHK6</t>
  </si>
  <si>
    <t>COGMOLT</t>
  </si>
  <si>
    <t>18W000000000OFXN</t>
  </si>
  <si>
    <t>COGMORA</t>
  </si>
  <si>
    <t>18W000000000OG28</t>
  </si>
  <si>
    <t>COGNOVA</t>
  </si>
  <si>
    <t>18W000000000R7PE</t>
  </si>
  <si>
    <t>COGNULE</t>
  </si>
  <si>
    <t>18W000000000OFVR</t>
  </si>
  <si>
    <t>COGOBLA</t>
  </si>
  <si>
    <t>18W000000000OHN0</t>
  </si>
  <si>
    <t>COGORUJ</t>
  </si>
  <si>
    <t>18W000000000OFQ0</t>
  </si>
  <si>
    <t>COGPACH</t>
  </si>
  <si>
    <t>18W000000000OHL4</t>
  </si>
  <si>
    <t>COGRENS</t>
  </si>
  <si>
    <t>18W000000000R7OG</t>
  </si>
  <si>
    <t>COGSEFR</t>
  </si>
  <si>
    <t>18W000000000OI30</t>
  </si>
  <si>
    <t>COGSMON</t>
  </si>
  <si>
    <t>18W000000000OFO4</t>
  </si>
  <si>
    <t>COGSORI</t>
  </si>
  <si>
    <t>18W000000000OG44</t>
  </si>
  <si>
    <t>COGTABL</t>
  </si>
  <si>
    <t>18W000000000OFTV</t>
  </si>
  <si>
    <t>COGTAN2</t>
  </si>
  <si>
    <t>18W000000000OG60</t>
  </si>
  <si>
    <t>COGTANG</t>
  </si>
  <si>
    <t>18W000000000OFWP</t>
  </si>
  <si>
    <t>COGTECN</t>
  </si>
  <si>
    <t>18W000000000OHZD</t>
  </si>
  <si>
    <t>COGTRIV</t>
  </si>
  <si>
    <t>18W000000000OGYI</t>
  </si>
  <si>
    <t>COGTROV</t>
  </si>
  <si>
    <t>18W000000000OJ11</t>
  </si>
  <si>
    <t>COGUCHE</t>
  </si>
  <si>
    <t>18W000000000OFM8</t>
  </si>
  <si>
    <t>COGUNIO</t>
  </si>
  <si>
    <t>18W000000000OHUN</t>
  </si>
  <si>
    <t>COGUREN</t>
  </si>
  <si>
    <t>18W000000000OG8X</t>
  </si>
  <si>
    <t>COGUTZ2</t>
  </si>
  <si>
    <t>18W000000000OHFG</t>
  </si>
  <si>
    <t>COGUTZU</t>
  </si>
  <si>
    <t>18W000000000OHRT</t>
  </si>
  <si>
    <t>COGVECO</t>
  </si>
  <si>
    <t>18W000000000OIXE</t>
  </si>
  <si>
    <t>COL4</t>
  </si>
  <si>
    <t>COLON 4</t>
  </si>
  <si>
    <t>C.T. CRISTOBAL COLON 4</t>
  </si>
  <si>
    <t>18WCOL4-12345-02</t>
  </si>
  <si>
    <t>CONEC01</t>
  </si>
  <si>
    <t>COMPRA</t>
  </si>
  <si>
    <t>18WCONEC01-123-4</t>
  </si>
  <si>
    <t>CONEC</t>
  </si>
  <si>
    <t>CONEFV0</t>
  </si>
  <si>
    <t>C2FV</t>
  </si>
  <si>
    <t>EXCEDENTES FV</t>
  </si>
  <si>
    <t>18W000000000MUM8</t>
  </si>
  <si>
    <t>CONSC01</t>
  </si>
  <si>
    <t>CMGREENENE</t>
  </si>
  <si>
    <t>CONSULTING AND MANAGEMENT GREEN ENERGY</t>
  </si>
  <si>
    <t>18W000000000M79T</t>
  </si>
  <si>
    <t>CONSB</t>
  </si>
  <si>
    <t>CONTC01</t>
  </si>
  <si>
    <t>CONTALLUM</t>
  </si>
  <si>
    <t>18W000000000JBVM</t>
  </si>
  <si>
    <t>CONTA</t>
  </si>
  <si>
    <t>COPIC01</t>
  </si>
  <si>
    <t>URANO V</t>
  </si>
  <si>
    <t>URANOSCOPIDAE ENERGIA V SL</t>
  </si>
  <si>
    <t>18W000000000M26D</t>
  </si>
  <si>
    <t>URANA</t>
  </si>
  <si>
    <t>CORPC01</t>
  </si>
  <si>
    <t>CORPOLUX</t>
  </si>
  <si>
    <t>CORPOLUX, S.L.</t>
  </si>
  <si>
    <t>18WCORPC01-123-Z</t>
  </si>
  <si>
    <t>CORPO</t>
  </si>
  <si>
    <t>CRCEC01</t>
  </si>
  <si>
    <t>CRCES</t>
  </si>
  <si>
    <t>18W000000000HJY0</t>
  </si>
  <si>
    <t>CREEC01</t>
  </si>
  <si>
    <t>CREAE</t>
  </si>
  <si>
    <t>CREAENERGIA ECO SLU</t>
  </si>
  <si>
    <t>18W000000000MXXE</t>
  </si>
  <si>
    <t>CREOC01</t>
  </si>
  <si>
    <t>CRECE PEN</t>
  </si>
  <si>
    <t>CRECE SOLUCIONES P</t>
  </si>
  <si>
    <t>18W000000000L3ZU</t>
  </si>
  <si>
    <t>CRESO</t>
  </si>
  <si>
    <t>CSMP</t>
  </si>
  <si>
    <t>CSAMPEDRO</t>
  </si>
  <si>
    <t>18WCSMP-123456-A</t>
  </si>
  <si>
    <t>CTGN1</t>
  </si>
  <si>
    <t>ESC CART 1</t>
  </si>
  <si>
    <t>CARTAGENA GRUPO 1</t>
  </si>
  <si>
    <t>18WCTGN1-1234-0C</t>
  </si>
  <si>
    <t>CTGN2</t>
  </si>
  <si>
    <t>ESC CART 2</t>
  </si>
  <si>
    <t>CARTAGENA GRUPO 2</t>
  </si>
  <si>
    <t>18WCTGN2-1234-03</t>
  </si>
  <si>
    <t>CTGN3</t>
  </si>
  <si>
    <t>ESC CART 3</t>
  </si>
  <si>
    <t>CARTAGENA GRUPO 3</t>
  </si>
  <si>
    <t>18WCTGN3-1234-0V</t>
  </si>
  <si>
    <t>CTJON1</t>
  </si>
  <si>
    <t>CASTEJO1 H</t>
  </si>
  <si>
    <t>18WCTJON1-123-06</t>
  </si>
  <si>
    <t>CTJON1X</t>
  </si>
  <si>
    <t>CCAA CTJ1</t>
  </si>
  <si>
    <t>CCAA CASTEJON 1</t>
  </si>
  <si>
    <t>18W000000000KOQQ</t>
  </si>
  <si>
    <t>CTJON2</t>
  </si>
  <si>
    <t>CASTEJO2 I</t>
  </si>
  <si>
    <t>18WCTJON2-123-0Z</t>
  </si>
  <si>
    <t>CTJON3</t>
  </si>
  <si>
    <t>CASTEJO3 H</t>
  </si>
  <si>
    <t>18WCTJON3--1234S</t>
  </si>
  <si>
    <t>CTN3</t>
  </si>
  <si>
    <t>CASTELLO 3</t>
  </si>
  <si>
    <t>C.T. CASTELLON 3 (CICLO COMBINADO)</t>
  </si>
  <si>
    <t>18WCTN3-12345-04</t>
  </si>
  <si>
    <t>CTN4</t>
  </si>
  <si>
    <t>CASTELLO 4</t>
  </si>
  <si>
    <t>18WCTN4-123456-C</t>
  </si>
  <si>
    <t>CTNU</t>
  </si>
  <si>
    <t>CASTELNOU</t>
  </si>
  <si>
    <t>CICLO COMBINADO CASTELNOU</t>
  </si>
  <si>
    <t>18WCTNU-12345-0U</t>
  </si>
  <si>
    <t>CTNUX</t>
  </si>
  <si>
    <t>18WCTNUX-1234--N</t>
  </si>
  <si>
    <t>CTUDEL</t>
  </si>
  <si>
    <t>TUDELANA</t>
  </si>
  <si>
    <t>CERAMICA TUDELANA</t>
  </si>
  <si>
    <t>18WCTUDEL-123-1P</t>
  </si>
  <si>
    <t>CUNCC01</t>
  </si>
  <si>
    <t>CUNTIENSE COMERCIALIZADORA</t>
  </si>
  <si>
    <t>18WCUNCC01-123-Q</t>
  </si>
  <si>
    <t>CUNC</t>
  </si>
  <si>
    <t>CUPAC01</t>
  </si>
  <si>
    <t>CUPA</t>
  </si>
  <si>
    <t>CUPIRE PADESA SL</t>
  </si>
  <si>
    <t>18WCUPAC01-123-O</t>
  </si>
  <si>
    <t>CUPBC01</t>
  </si>
  <si>
    <t>CUPA BT</t>
  </si>
  <si>
    <t>CUPIRE PADESA BT</t>
  </si>
  <si>
    <t>18WCUPBC01-123-E</t>
  </si>
  <si>
    <t>CYDAC01</t>
  </si>
  <si>
    <t>CYADE</t>
  </si>
  <si>
    <t>COMERCIAL Y ASESORA DE ELECTRICIDAD, S.L..</t>
  </si>
  <si>
    <t>18WCYDAC01-123-Y</t>
  </si>
  <si>
    <t>CYDAE</t>
  </si>
  <si>
    <t>CYEC01</t>
  </si>
  <si>
    <t>CYE ENERGIA COMERC COMPRA 1</t>
  </si>
  <si>
    <t>18WCYEC01-1234-J</t>
  </si>
  <si>
    <t>CYE</t>
  </si>
  <si>
    <t>SECOB</t>
  </si>
  <si>
    <t>CZFVC01</t>
  </si>
  <si>
    <t>CZFV</t>
  </si>
  <si>
    <t>CONSORCIO ZONA FRANCA DE VIGO</t>
  </si>
  <si>
    <t>18WCZFVC01-123-C</t>
  </si>
  <si>
    <t>DAIMC01</t>
  </si>
  <si>
    <t>DAIMUZ1</t>
  </si>
  <si>
    <t>DAIMUZ ENERGIA UP1</t>
  </si>
  <si>
    <t>18WSLDAIMUZ2014Z</t>
  </si>
  <si>
    <t>DAIMU</t>
  </si>
  <si>
    <t>DANNZN</t>
  </si>
  <si>
    <t>18W000000000JIKN</t>
  </si>
  <si>
    <t>DANSZN</t>
  </si>
  <si>
    <t>18W000000000JIJP</t>
  </si>
  <si>
    <t>DARUC01</t>
  </si>
  <si>
    <t>DARUZ</t>
  </si>
  <si>
    <t>PIENSOS DARUZ</t>
  </si>
  <si>
    <t>18WPIENSOSDARUZ8</t>
  </si>
  <si>
    <t>DEBAC01</t>
  </si>
  <si>
    <t>18W000000000MLOV</t>
  </si>
  <si>
    <t>DEBAR</t>
  </si>
  <si>
    <t>DEESA</t>
  </si>
  <si>
    <t>LAS DEHESA</t>
  </si>
  <si>
    <t>VERTEDEROS DE RESIDUOS-DEHESAS</t>
  </si>
  <si>
    <t>18W000000000FS28</t>
  </si>
  <si>
    <t>DEPOC01</t>
  </si>
  <si>
    <t>DEPOR</t>
  </si>
  <si>
    <t>DEPORTIVO ALAVES</t>
  </si>
  <si>
    <t>18W000000000O13E</t>
  </si>
  <si>
    <t>DEPOA</t>
  </si>
  <si>
    <t>DETCD01</t>
  </si>
  <si>
    <t>18W000000000906Y</t>
  </si>
  <si>
    <t>DETCD02</t>
  </si>
  <si>
    <t>18W000000000C761</t>
  </si>
  <si>
    <t>DETCD16</t>
  </si>
  <si>
    <t>18W000000000NFMC</t>
  </si>
  <si>
    <t>DETIC01</t>
  </si>
  <si>
    <t>DETISA</t>
  </si>
  <si>
    <t>18WDETIC01-12-2B</t>
  </si>
  <si>
    <t>DETIR01</t>
  </si>
  <si>
    <t>18W000000000ORVS</t>
  </si>
  <si>
    <t>DETSSAA</t>
  </si>
  <si>
    <t>18W000000000NPXY</t>
  </si>
  <si>
    <t>DIELC01</t>
  </si>
  <si>
    <t>DIEL_PEN</t>
  </si>
  <si>
    <t>DIELE PENINSULA</t>
  </si>
  <si>
    <t>18W0000000004RQ7</t>
  </si>
  <si>
    <t>DIELE</t>
  </si>
  <si>
    <t>DILUC01</t>
  </si>
  <si>
    <t>DILUZ</t>
  </si>
  <si>
    <t>DILUZ COMPRA</t>
  </si>
  <si>
    <t>18W000000000N5FJ</t>
  </si>
  <si>
    <t>DIPBC01</t>
  </si>
  <si>
    <t>DIPU BDJZ</t>
  </si>
  <si>
    <t>DIPUTACION DE BADAJOZ</t>
  </si>
  <si>
    <t>18W000000000J1BI</t>
  </si>
  <si>
    <t>DIPBA</t>
  </si>
  <si>
    <t>DIVIC01</t>
  </si>
  <si>
    <t>UP DIVICONSULTING</t>
  </si>
  <si>
    <t>18W000000000BGJQ</t>
  </si>
  <si>
    <t>DIVIC</t>
  </si>
  <si>
    <t>DLSTC01</t>
  </si>
  <si>
    <t>GOENERGIA</t>
  </si>
  <si>
    <t>18W000000000F14B</t>
  </si>
  <si>
    <t>DLSTE</t>
  </si>
  <si>
    <t>DOLVC01</t>
  </si>
  <si>
    <t>DOL NUEVO</t>
  </si>
  <si>
    <t>18W000000000K0Z6</t>
  </si>
  <si>
    <t>DOLNO</t>
  </si>
  <si>
    <t>DPDETIC</t>
  </si>
  <si>
    <t>18WDPDETIC-123-B</t>
  </si>
  <si>
    <t>DPKEC01</t>
  </si>
  <si>
    <t>DEEPKI PEN</t>
  </si>
  <si>
    <t>DEEPKI PENINSULA</t>
  </si>
  <si>
    <t>18W000000000KXO3</t>
  </si>
  <si>
    <t>DEEPK</t>
  </si>
  <si>
    <t>DREAC01</t>
  </si>
  <si>
    <t>DREUA</t>
  </si>
  <si>
    <t>18WDREAC01-123-K</t>
  </si>
  <si>
    <t>DREDC01</t>
  </si>
  <si>
    <t>DREUA CD</t>
  </si>
  <si>
    <t>18W000000000DWUM</t>
  </si>
  <si>
    <t>DRKFC01</t>
  </si>
  <si>
    <t>UP DRK</t>
  </si>
  <si>
    <t>DRK ENERGY</t>
  </si>
  <si>
    <t>18WDRKFC01-123-F</t>
  </si>
  <si>
    <t>DRK</t>
  </si>
  <si>
    <t>DSMAC01</t>
  </si>
  <si>
    <t>3DSMART</t>
  </si>
  <si>
    <t>3DSMART COMPRA</t>
  </si>
  <si>
    <t>18W000000000M77X</t>
  </si>
  <si>
    <t>DSMAR</t>
  </si>
  <si>
    <t>DUEB</t>
  </si>
  <si>
    <t>DUERO B</t>
  </si>
  <si>
    <t>UGH.B. DUERO BOMBEO</t>
  </si>
  <si>
    <t>18WDUEB-12345-0Z</t>
  </si>
  <si>
    <t>IBEG</t>
  </si>
  <si>
    <t>DUER</t>
  </si>
  <si>
    <t>DUERO G</t>
  </si>
  <si>
    <t>UGH. DUERO GENERACION</t>
  </si>
  <si>
    <t>18WDUER-12345-0N</t>
  </si>
  <si>
    <t>DUFEC01</t>
  </si>
  <si>
    <t>18W000000000BEUA</t>
  </si>
  <si>
    <t>DUFER</t>
  </si>
  <si>
    <t>DUFECP3</t>
  </si>
  <si>
    <t>DUFENERGY</t>
  </si>
  <si>
    <t>DUFENERGY TRADING SA</t>
  </si>
  <si>
    <t>18WDUFECP3-123-F</t>
  </si>
  <si>
    <t>DUFEVP3</t>
  </si>
  <si>
    <t>18WDUFEVP3-123-T</t>
  </si>
  <si>
    <t>DXDC01</t>
  </si>
  <si>
    <t>DXD COMER</t>
  </si>
  <si>
    <t>DXD COMERCIALIZADORA UNIDAD</t>
  </si>
  <si>
    <t>18W0000000004U8Y</t>
  </si>
  <si>
    <t>DXD</t>
  </si>
  <si>
    <t>DYNFC01</t>
  </si>
  <si>
    <t>DYNEFF</t>
  </si>
  <si>
    <t>18W000000000M1A8</t>
  </si>
  <si>
    <t>DYNEF</t>
  </si>
  <si>
    <t>E1CEG</t>
  </si>
  <si>
    <t>18W0000000003SIO</t>
  </si>
  <si>
    <t>E1VENTU</t>
  </si>
  <si>
    <t>18W000000000Q7QG</t>
  </si>
  <si>
    <t>EABARA</t>
  </si>
  <si>
    <t>PARQUE EOLICO DE ABARA</t>
  </si>
  <si>
    <t>18WEABARA-1234-J</t>
  </si>
  <si>
    <t>EGED</t>
  </si>
  <si>
    <t>EABILI</t>
  </si>
  <si>
    <t>EOL ABLITAS</t>
  </si>
  <si>
    <t>18W000000000IGUD</t>
  </si>
  <si>
    <t>EACCIT</t>
  </si>
  <si>
    <t>18W000000000NXEB</t>
  </si>
  <si>
    <t>EACROA1</t>
  </si>
  <si>
    <t>UP EOLICA DA CROA1</t>
  </si>
  <si>
    <t>18W000000000N0HU</t>
  </si>
  <si>
    <t>NEXU</t>
  </si>
  <si>
    <t>EACROA2</t>
  </si>
  <si>
    <t>UP EOLICA DA CROA2</t>
  </si>
  <si>
    <t>18W000000000N0IS</t>
  </si>
  <si>
    <t>EADRAG</t>
  </si>
  <si>
    <t>18WEADRAG-123-1H</t>
  </si>
  <si>
    <t>EAGUILA</t>
  </si>
  <si>
    <t>PEAGUILA</t>
  </si>
  <si>
    <t>18W000000000MEPD</t>
  </si>
  <si>
    <t>EAGUILI</t>
  </si>
  <si>
    <t>PEAGUILAII</t>
  </si>
  <si>
    <t>18W000000000MES7</t>
  </si>
  <si>
    <t>EALBC01</t>
  </si>
  <si>
    <t>ELECTRICA DE ALBATERENSE, S.L</t>
  </si>
  <si>
    <t>18WEALBC01-123-D</t>
  </si>
  <si>
    <t>EALB</t>
  </si>
  <si>
    <t>EALENTI</t>
  </si>
  <si>
    <t>PE ALENTIS</t>
  </si>
  <si>
    <t>PARQUE EOLICO ALENTISQUE</t>
  </si>
  <si>
    <t>18W000000000P1DR</t>
  </si>
  <si>
    <t>EBLCO</t>
  </si>
  <si>
    <t>EALIJA2</t>
  </si>
  <si>
    <t>18W000000000GAFW</t>
  </si>
  <si>
    <t>EALMC01</t>
  </si>
  <si>
    <t>ALMENAR_UP</t>
  </si>
  <si>
    <t>ALMENAR UNIDAD PROGRAMACION</t>
  </si>
  <si>
    <t>18W0000000004Z0Z</t>
  </si>
  <si>
    <t>ELALM</t>
  </si>
  <si>
    <t>EALMERI</t>
  </si>
  <si>
    <t>UP EOLICA ALMERIQ</t>
  </si>
  <si>
    <t>18W000000000N358</t>
  </si>
  <si>
    <t>EALTAN</t>
  </si>
  <si>
    <t>18WEALTAN-1234-R</t>
  </si>
  <si>
    <t>EALTIPL</t>
  </si>
  <si>
    <t>PE ALTIPLA</t>
  </si>
  <si>
    <t>18WEALTIPL-123-V</t>
  </si>
  <si>
    <t>PEALT</t>
  </si>
  <si>
    <t>EAM0C01</t>
  </si>
  <si>
    <t>18WEAM0C01-123-1</t>
  </si>
  <si>
    <t>EAM01</t>
  </si>
  <si>
    <t>EAMC01</t>
  </si>
  <si>
    <t>ANT MAD</t>
  </si>
  <si>
    <t>ELECTRICA ANTONIO MADRID</t>
  </si>
  <si>
    <t>18WEAMC01-1234-8</t>
  </si>
  <si>
    <t>AMADR</t>
  </si>
  <si>
    <t>EANTONI</t>
  </si>
  <si>
    <t>PE SANTONI</t>
  </si>
  <si>
    <t>PARQUE EOLICO SANT ANTONI</t>
  </si>
  <si>
    <t>18W000000000OVRO</t>
  </si>
  <si>
    <t>EARNO</t>
  </si>
  <si>
    <t>18WEARNO-12345-I</t>
  </si>
  <si>
    <t>EARTIG</t>
  </si>
  <si>
    <t>18W000000000QS8Q</t>
  </si>
  <si>
    <t>EASCOI</t>
  </si>
  <si>
    <t>UP EOLICA ASCOY</t>
  </si>
  <si>
    <t>18W000000000MGP7</t>
  </si>
  <si>
    <t>EAUSIN</t>
  </si>
  <si>
    <t>EOL AUSINES 1MW</t>
  </si>
  <si>
    <t>18W0000000001FE5</t>
  </si>
  <si>
    <t>EBARBER</t>
  </si>
  <si>
    <t>PE BARBERS</t>
  </si>
  <si>
    <t>PARQUE EOLICO BARBERS</t>
  </si>
  <si>
    <t>18W000000000OV4X</t>
  </si>
  <si>
    <t>EBECERR</t>
  </si>
  <si>
    <t>PARQUE EOLICO BECERRIL, S.L.</t>
  </si>
  <si>
    <t>18WEBECERR-123-M</t>
  </si>
  <si>
    <t>PEBEC</t>
  </si>
  <si>
    <t>EBHIBHV</t>
  </si>
  <si>
    <t>HIBRIDACION EOLICA Y BATERIA</t>
  </si>
  <si>
    <t>18W000000000QIQK</t>
  </si>
  <si>
    <t>EBIACA1</t>
  </si>
  <si>
    <t>ELECT. NTRA. SRA. GRACIA UP</t>
  </si>
  <si>
    <t>18WEBIACA1-123-1</t>
  </si>
  <si>
    <t>EBIAR</t>
  </si>
  <si>
    <t>EBLCO01</t>
  </si>
  <si>
    <t>ELECTR-COM</t>
  </si>
  <si>
    <t>ELECTRABEL S.A. COMERCIALIZADORA (NACIONAL)</t>
  </si>
  <si>
    <t>18WEBLCO01-12-20</t>
  </si>
  <si>
    <t>EBOREA</t>
  </si>
  <si>
    <t>18W000000000N3TY</t>
  </si>
  <si>
    <t>EBRA</t>
  </si>
  <si>
    <t>EBRO ALTO</t>
  </si>
  <si>
    <t>UGH. EBRO ALTO (IBERDROLA)</t>
  </si>
  <si>
    <t>18WEBRA-12345-06</t>
  </si>
  <si>
    <t>EBRACC1</t>
  </si>
  <si>
    <t>18WEBRACC1-123-Y</t>
  </si>
  <si>
    <t>EBRACC2</t>
  </si>
  <si>
    <t>18WEBRACC2-123-R</t>
  </si>
  <si>
    <t>EBREC01</t>
  </si>
  <si>
    <t>18W000000000I8EW</t>
  </si>
  <si>
    <t>EBROE</t>
  </si>
  <si>
    <t>EBRERZ</t>
  </si>
  <si>
    <t>EBRO ERZ</t>
  </si>
  <si>
    <t>UGH. EBRO ERZ</t>
  </si>
  <si>
    <t>18WEBRERZ-123-0B</t>
  </si>
  <si>
    <t>EBRFEN</t>
  </si>
  <si>
    <t>ENH-FEC-GR</t>
  </si>
  <si>
    <t>UGH. EBRO ENHER-FECSA-GARONA</t>
  </si>
  <si>
    <t>18WEBRFEN-123-0T</t>
  </si>
  <si>
    <t>EBROF</t>
  </si>
  <si>
    <t>18W000000000GYB5</t>
  </si>
  <si>
    <t>EBRUJUL</t>
  </si>
  <si>
    <t>18WEBRUJUL-12-1D</t>
  </si>
  <si>
    <t>HC G</t>
  </si>
  <si>
    <t>EBRULL</t>
  </si>
  <si>
    <t>18WEBRULL-1234-4</t>
  </si>
  <si>
    <t>EBSISG</t>
  </si>
  <si>
    <t>PARQUE EOLICO DE LA BOBIA-SAN ISIDRO</t>
  </si>
  <si>
    <t>18WEBSISG-123-1R</t>
  </si>
  <si>
    <t>EBURGE</t>
  </si>
  <si>
    <t>BURGALESA DE GENERACION EOLICA</t>
  </si>
  <si>
    <t>18WEBURGE-123--6</t>
  </si>
  <si>
    <t>BURGE</t>
  </si>
  <si>
    <t>ECACOND</t>
  </si>
  <si>
    <t>PE CCONDE</t>
  </si>
  <si>
    <t>PARQUE EOLICO CABEZA DEL CONDE</t>
  </si>
  <si>
    <t>18W000000000OV5V</t>
  </si>
  <si>
    <t>ECALZAD</t>
  </si>
  <si>
    <t>PE CALZADA</t>
  </si>
  <si>
    <t>PARQUE EOLICO LA CALZADA</t>
  </si>
  <si>
    <t>18W000000000OVJ3</t>
  </si>
  <si>
    <t>ECARCLN</t>
  </si>
  <si>
    <t>UP EOLICA CARCELEN</t>
  </si>
  <si>
    <t>18W000000000MGR3</t>
  </si>
  <si>
    <t>ECARRA2</t>
  </si>
  <si>
    <t>EOLICA EL CARRASCAL 2</t>
  </si>
  <si>
    <t>18W000000000IQYC</t>
  </si>
  <si>
    <t>ECARRAI</t>
  </si>
  <si>
    <t>EOLICA EL CARRASCAL</t>
  </si>
  <si>
    <t>18W000000000IR3Y</t>
  </si>
  <si>
    <t>ECARRER</t>
  </si>
  <si>
    <t>18W000000000Q7KS</t>
  </si>
  <si>
    <t>ECARRG</t>
  </si>
  <si>
    <t>18WECARRG-123-1L</t>
  </si>
  <si>
    <t>ECASAR</t>
  </si>
  <si>
    <t>LDV CASARES</t>
  </si>
  <si>
    <t>18W0000000002B5V</t>
  </si>
  <si>
    <t>ECASTI</t>
  </si>
  <si>
    <t>18WECASTI-1234-3</t>
  </si>
  <si>
    <t>ECATC01</t>
  </si>
  <si>
    <t>DISTRIBUIDORA ELÃ‰CTRICA DE CATOIRA, S.A</t>
  </si>
  <si>
    <t>18WECATC01-123-4</t>
  </si>
  <si>
    <t>ELCAT</t>
  </si>
  <si>
    <t>ECATER</t>
  </si>
  <si>
    <t>18WECATER-1234-J</t>
  </si>
  <si>
    <t>ECAZC01</t>
  </si>
  <si>
    <t>ECADZ-COMP</t>
  </si>
  <si>
    <t>ELECTRICA DE CADIZ (NACIONAL) COMPRA</t>
  </si>
  <si>
    <t>18WECAZC01-12-2O</t>
  </si>
  <si>
    <t>ECADZ</t>
  </si>
  <si>
    <t>ECEC01</t>
  </si>
  <si>
    <t>ECE</t>
  </si>
  <si>
    <t>ELECTRA DEL CARDENER ENERGIA, S.A.</t>
  </si>
  <si>
    <t>18WECEC01-123-27</t>
  </si>
  <si>
    <t>ECEGRG</t>
  </si>
  <si>
    <t>ECEREG</t>
  </si>
  <si>
    <t>18WECEGRG-123-1D</t>
  </si>
  <si>
    <t>ECENDER</t>
  </si>
  <si>
    <t>CENER</t>
  </si>
  <si>
    <t>18WECENDER-123-D</t>
  </si>
  <si>
    <t>ECERAD2</t>
  </si>
  <si>
    <t>EOLICA LA CERRADILLA 2</t>
  </si>
  <si>
    <t>18W000000000IR03</t>
  </si>
  <si>
    <t>ECERADI</t>
  </si>
  <si>
    <t>EOLICA LA CERRADILLA</t>
  </si>
  <si>
    <t>18W000000000IQZA</t>
  </si>
  <si>
    <t>ECHO</t>
  </si>
  <si>
    <t>CHORRO DEL DUQUE</t>
  </si>
  <si>
    <t>18WECHO-123456-J</t>
  </si>
  <si>
    <t>ECIERZO</t>
  </si>
  <si>
    <t>18WECIERZO-123-8</t>
  </si>
  <si>
    <t>ECIRZOS</t>
  </si>
  <si>
    <t>ELOSCRZOS</t>
  </si>
  <si>
    <t>UP EOLICA CIERZO</t>
  </si>
  <si>
    <t>18W000000000GDTW</t>
  </si>
  <si>
    <t>ECMOREN</t>
  </si>
  <si>
    <t>PE CMORENO</t>
  </si>
  <si>
    <t>PARQUE EOLICO CERRO MORENO</t>
  </si>
  <si>
    <t>18W000000000OV8P</t>
  </si>
  <si>
    <t>ECMTA</t>
  </si>
  <si>
    <t>COMETAS</t>
  </si>
  <si>
    <t>18W000000000MYG8</t>
  </si>
  <si>
    <t>ECNDC01</t>
  </si>
  <si>
    <t>ECND</t>
  </si>
  <si>
    <t>ECO NUEVOS DESARROLLOS</t>
  </si>
  <si>
    <t>18WECNDC01-123-L</t>
  </si>
  <si>
    <t>ECOND</t>
  </si>
  <si>
    <t>ECOFC01</t>
  </si>
  <si>
    <t>ECOFUTURA</t>
  </si>
  <si>
    <t>UNIDAD ECOFUTURA</t>
  </si>
  <si>
    <t>18W00000000027Q1</t>
  </si>
  <si>
    <t>ECOFU</t>
  </si>
  <si>
    <t>ECOFREN</t>
  </si>
  <si>
    <t>18W000000000HJE3</t>
  </si>
  <si>
    <t>ECOL</t>
  </si>
  <si>
    <t>PECMORO</t>
  </si>
  <si>
    <t>PARC ELIC DE COLL DEL MORO SLU</t>
  </si>
  <si>
    <t>18W000000000P3DL</t>
  </si>
  <si>
    <t>ECOLC01</t>
  </si>
  <si>
    <t>UPECOLE01</t>
  </si>
  <si>
    <t>COMERCIALIZACION PENINSULAR</t>
  </si>
  <si>
    <t>18WENECOLECTIVAK</t>
  </si>
  <si>
    <t>ECOLE</t>
  </si>
  <si>
    <t>ECOLIVA</t>
  </si>
  <si>
    <t>PE COLIVA</t>
  </si>
  <si>
    <t>PARQUE EOLICO CERRO OLIVA</t>
  </si>
  <si>
    <t>18W000000000OV9N</t>
  </si>
  <si>
    <t>ECOMES</t>
  </si>
  <si>
    <t>18WECOMES-123-1C</t>
  </si>
  <si>
    <t>ECONC01</t>
  </si>
  <si>
    <t>ECONACTIVA</t>
  </si>
  <si>
    <t>ECONACTIVA SCOOP DE C-LM</t>
  </si>
  <si>
    <t>18WECONC01-123-L</t>
  </si>
  <si>
    <t>ECON</t>
  </si>
  <si>
    <t>ECONJUR</t>
  </si>
  <si>
    <t>EOLICA EL CONJURO</t>
  </si>
  <si>
    <t>18W000000000IQWG</t>
  </si>
  <si>
    <t>ECOR</t>
  </si>
  <si>
    <t>PEVCORB</t>
  </si>
  <si>
    <t>BON VENT DE CORBERA SLU</t>
  </si>
  <si>
    <t>18W000000000P3BP</t>
  </si>
  <si>
    <t>ECORTG</t>
  </si>
  <si>
    <t>CORTIJO</t>
  </si>
  <si>
    <t>18W000000000MEGV</t>
  </si>
  <si>
    <t>ECOSJAR</t>
  </si>
  <si>
    <t>PECOSCOJAR</t>
  </si>
  <si>
    <t>18W000000000MER9</t>
  </si>
  <si>
    <t>ECOVC01</t>
  </si>
  <si>
    <t>18W000000000O3FL</t>
  </si>
  <si>
    <t>ECOVE</t>
  </si>
  <si>
    <t>ECSCCA1</t>
  </si>
  <si>
    <t>ELECTRICA DE CALLOSA DE SEGURA, CV</t>
  </si>
  <si>
    <t>18WECSCCA1-123-7</t>
  </si>
  <si>
    <t>CALLO</t>
  </si>
  <si>
    <t>ECT2</t>
  </si>
  <si>
    <t>18WECT2-123456-X</t>
  </si>
  <si>
    <t>CYDDP</t>
  </si>
  <si>
    <t>ECT2X</t>
  </si>
  <si>
    <t>C.C. ESCATRON - CONSUMOS AUXILIARES</t>
  </si>
  <si>
    <t>18WECT2X-12345-R</t>
  </si>
  <si>
    <t>ECT3</t>
  </si>
  <si>
    <t>ESCAT3</t>
  </si>
  <si>
    <t>18WECT3-123456-N</t>
  </si>
  <si>
    <t>ECURRAG</t>
  </si>
  <si>
    <t>PE CURRAS</t>
  </si>
  <si>
    <t>18WECURRAG-12-1A</t>
  </si>
  <si>
    <t>ECYLEO</t>
  </si>
  <si>
    <t>18WECYLEO-1234-7</t>
  </si>
  <si>
    <t>ECYRREX</t>
  </si>
  <si>
    <t>ECYR COMPRAS REGIMEN ESPECIAL</t>
  </si>
  <si>
    <t>18WECYRREX-123-T</t>
  </si>
  <si>
    <t>ECYR</t>
  </si>
  <si>
    <t>EDALOBA</t>
  </si>
  <si>
    <t>EOLICA SERRA DA LOBA</t>
  </si>
  <si>
    <t>18W000000000IQSO</t>
  </si>
  <si>
    <t>EDEHCO</t>
  </si>
  <si>
    <t>DEHESA</t>
  </si>
  <si>
    <t>18W000000000MEIR</t>
  </si>
  <si>
    <t>EDEPON</t>
  </si>
  <si>
    <t>18WEDEPON-1234-J</t>
  </si>
  <si>
    <t>EDERR</t>
  </si>
  <si>
    <t>DERRAMADOR</t>
  </si>
  <si>
    <t>PE DERRAMADOR</t>
  </si>
  <si>
    <t>18W000000000NZTC</t>
  </si>
  <si>
    <t>EDEVAG</t>
  </si>
  <si>
    <t>PARQUE EOLICO DE DEVA</t>
  </si>
  <si>
    <t>18WEDEVAG-123-14</t>
  </si>
  <si>
    <t>EDFAC01</t>
  </si>
  <si>
    <t>CASABLANCA</t>
  </si>
  <si>
    <t>EDFA CASABLANCA</t>
  </si>
  <si>
    <t>18WEDFAC01-123-G</t>
  </si>
  <si>
    <t>EDFAC</t>
  </si>
  <si>
    <t>EDFSC01</t>
  </si>
  <si>
    <t>SERRALLO</t>
  </si>
  <si>
    <t>18WEDFSC01-123-L</t>
  </si>
  <si>
    <t>EDFAS</t>
  </si>
  <si>
    <t>EDFTC01</t>
  </si>
  <si>
    <t>INTRA</t>
  </si>
  <si>
    <t>INTRADAY TRADIING</t>
  </si>
  <si>
    <t>18W000000000F7QN</t>
  </si>
  <si>
    <t>EDFT</t>
  </si>
  <si>
    <t>EDFTCP3</t>
  </si>
  <si>
    <t>18WEDFTCP3-12-4L</t>
  </si>
  <si>
    <t>EDFTVP3</t>
  </si>
  <si>
    <t>18WEDFTVP3-12-30</t>
  </si>
  <si>
    <t>EDPCC01</t>
  </si>
  <si>
    <t>UNIDAD DE COMPRA DE COMERCIALIZADORA</t>
  </si>
  <si>
    <t>18W000000000IMBX</t>
  </si>
  <si>
    <t>EDPCL</t>
  </si>
  <si>
    <t>EDPCOX</t>
  </si>
  <si>
    <t>SSAA EDPC</t>
  </si>
  <si>
    <t>SSAA EDP COMERCIALIZADORA</t>
  </si>
  <si>
    <t>18W0000000006JY7</t>
  </si>
  <si>
    <t>EDPCR01</t>
  </si>
  <si>
    <t>UP COMPRA SRAD</t>
  </si>
  <si>
    <t>18W000000000OQES</t>
  </si>
  <si>
    <t>EE21C01</t>
  </si>
  <si>
    <t>ENDESA ENERGIA XXI S.L. CUR. COMPRA</t>
  </si>
  <si>
    <t>18WEE21C01-123-F</t>
  </si>
  <si>
    <t>EEXXI</t>
  </si>
  <si>
    <t>Comercializador de referencia</t>
  </si>
  <si>
    <t>EE21CEB</t>
  </si>
  <si>
    <t>ENLACE PB</t>
  </si>
  <si>
    <t>ENLACE PENINSULA - BALEARES</t>
  </si>
  <si>
    <t>18WEE21CEB-123-I</t>
  </si>
  <si>
    <t>Enlace Baleares</t>
  </si>
  <si>
    <t>EEBAJOZ</t>
  </si>
  <si>
    <t>18WEEBAJOZ-12--B</t>
  </si>
  <si>
    <t>EEBAN</t>
  </si>
  <si>
    <t>EOL LA BANDERA</t>
  </si>
  <si>
    <t>18W0000000002B20</t>
  </si>
  <si>
    <t>EEBLC10</t>
  </si>
  <si>
    <t>PARQUE ELICO MONFORTE I</t>
  </si>
  <si>
    <t>18W000000000H3OV</t>
  </si>
  <si>
    <t>EEBLC11</t>
  </si>
  <si>
    <t>PARQUE ELICO LA ESTANCIA</t>
  </si>
  <si>
    <t>18W000000000H3PT</t>
  </si>
  <si>
    <t>EEBLC12</t>
  </si>
  <si>
    <t>PARQUE ELICO EL SASO</t>
  </si>
  <si>
    <t>18W000000000H3TL</t>
  </si>
  <si>
    <t>EEBLC13</t>
  </si>
  <si>
    <t>18W000000000HIX5</t>
  </si>
  <si>
    <t>EEBLC14</t>
  </si>
  <si>
    <t>PARQUE ELICO SIERRA DE LUNA</t>
  </si>
  <si>
    <t>18W000000000HIY3</t>
  </si>
  <si>
    <t>EEBLC15</t>
  </si>
  <si>
    <t>PARQUE ELICO MONLORA IV</t>
  </si>
  <si>
    <t>18W000000000I0BP</t>
  </si>
  <si>
    <t>EEBLC16</t>
  </si>
  <si>
    <t>PARQUE ELICO MONFORTE II</t>
  </si>
  <si>
    <t>18W000000000I0CN</t>
  </si>
  <si>
    <t>EEBLC17</t>
  </si>
  <si>
    <t>LA ESCALARETA II</t>
  </si>
  <si>
    <t>18W000000000IUV6</t>
  </si>
  <si>
    <t>EEBLC19</t>
  </si>
  <si>
    <t>PE BARRAX NORTE-SUR</t>
  </si>
  <si>
    <t>18W000000000L0F5</t>
  </si>
  <si>
    <t>EEBLC20</t>
  </si>
  <si>
    <t>PE CHINCHILLA</t>
  </si>
  <si>
    <t>18W000000000L8QX</t>
  </si>
  <si>
    <t>EEBLCO1</t>
  </si>
  <si>
    <t>MAJAS II Y IV</t>
  </si>
  <si>
    <t>18W000000000GKSD</t>
  </si>
  <si>
    <t>EEBLCO2</t>
  </si>
  <si>
    <t>MAJAS III Y IV</t>
  </si>
  <si>
    <t>18W000000000GKTB</t>
  </si>
  <si>
    <t>EEBLCO3</t>
  </si>
  <si>
    <t>MONLORA II</t>
  </si>
  <si>
    <t>18W000000000GTCI</t>
  </si>
  <si>
    <t>EEBLCO4</t>
  </si>
  <si>
    <t>MONLORA III</t>
  </si>
  <si>
    <t>18W000000000GTDG</t>
  </si>
  <si>
    <t>EEBLCO5</t>
  </si>
  <si>
    <t>MONLORA V</t>
  </si>
  <si>
    <t>18W000000000GTEE</t>
  </si>
  <si>
    <t>EEBLCO6</t>
  </si>
  <si>
    <t>MONLORA I</t>
  </si>
  <si>
    <t>18W000000000GTFC</t>
  </si>
  <si>
    <t>EEBLCO7</t>
  </si>
  <si>
    <t>LA SARDA</t>
  </si>
  <si>
    <t>18W000000000GTGA</t>
  </si>
  <si>
    <t>EEBLCO8</t>
  </si>
  <si>
    <t>18W000000000H3MZ</t>
  </si>
  <si>
    <t>EEBLCO9</t>
  </si>
  <si>
    <t>PARQUE ELICO LA RINCONADA</t>
  </si>
  <si>
    <t>18W000000000H3NX</t>
  </si>
  <si>
    <t>EECAB</t>
  </si>
  <si>
    <t>EOL CABANILLAS</t>
  </si>
  <si>
    <t>18W0000000002B4X</t>
  </si>
  <si>
    <t>EECAP</t>
  </si>
  <si>
    <t>EOL CAPARROSO</t>
  </si>
  <si>
    <t>18W0000000002B3Z</t>
  </si>
  <si>
    <t>EECARAM</t>
  </si>
  <si>
    <t>PE CARAMON</t>
  </si>
  <si>
    <t>PARQUE EOLICO CARAMONTE</t>
  </si>
  <si>
    <t>18W000000000OV6T</t>
  </si>
  <si>
    <t>EEEC01</t>
  </si>
  <si>
    <t>3E</t>
  </si>
  <si>
    <t>ENERGIA ELECTRICA EFICIENTE SL</t>
  </si>
  <si>
    <t>18WEEEFI1-1234-4</t>
  </si>
  <si>
    <t>EEEFI</t>
  </si>
  <si>
    <t>EEGPEM</t>
  </si>
  <si>
    <t>EOLICA MERCADOS DE AJUSTE EGPE</t>
  </si>
  <si>
    <t>18WEEGPEM-1234-9</t>
  </si>
  <si>
    <t>EEHORN</t>
  </si>
  <si>
    <t>18WEEHORN-1234-V</t>
  </si>
  <si>
    <t>EEHU2</t>
  </si>
  <si>
    <t>ENCE ENERGIA HUELVA DOS</t>
  </si>
  <si>
    <t>18W000000000FFHH</t>
  </si>
  <si>
    <t>ENCHU</t>
  </si>
  <si>
    <t>EEJEREZ</t>
  </si>
  <si>
    <t>PE JEREZ</t>
  </si>
  <si>
    <t>PARQUE EOLICO JEREZ</t>
  </si>
  <si>
    <t>18W000000000OVI5</t>
  </si>
  <si>
    <t>EELEZU</t>
  </si>
  <si>
    <t>EOL ELECDEY LEZUZA</t>
  </si>
  <si>
    <t>18WEELEZU-1234-X</t>
  </si>
  <si>
    <t>EELPINO</t>
  </si>
  <si>
    <t>PE EL PINO</t>
  </si>
  <si>
    <t>PARQUE EOLICO EL PINO</t>
  </si>
  <si>
    <t>18W000000000OVED</t>
  </si>
  <si>
    <t>EENC01</t>
  </si>
  <si>
    <t>ELECT ENER</t>
  </si>
  <si>
    <t>ELECTRA ENERGIA S.A.U. COMERCIALIZADORA</t>
  </si>
  <si>
    <t>18WEENC01-123-2W</t>
  </si>
  <si>
    <t>EEN</t>
  </si>
  <si>
    <t>EENEC01</t>
  </si>
  <si>
    <t>CONS ENER</t>
  </si>
  <si>
    <t>CONSUMO ENCE ENERGIA SL</t>
  </si>
  <si>
    <t>18W000000000JY63</t>
  </si>
  <si>
    <t>EENER</t>
  </si>
  <si>
    <t>EENECO</t>
  </si>
  <si>
    <t>18W000000000G4BL</t>
  </si>
  <si>
    <t>EENGAS</t>
  </si>
  <si>
    <t>18WEENGAS-1234-A</t>
  </si>
  <si>
    <t>EENRES</t>
  </si>
  <si>
    <t>18WEENRES-1234-C</t>
  </si>
  <si>
    <t>EENRO</t>
  </si>
  <si>
    <t>MORELLA1</t>
  </si>
  <si>
    <t>MORELLA 1 RO</t>
  </si>
  <si>
    <t>18WEENRO-12345-B</t>
  </si>
  <si>
    <t>Fuel</t>
  </si>
  <si>
    <t>EENRO2</t>
  </si>
  <si>
    <t>MORELLA2</t>
  </si>
  <si>
    <t>MORELLA2 RO</t>
  </si>
  <si>
    <t>18WEENRO2-1234-J</t>
  </si>
  <si>
    <t>EEOBRO</t>
  </si>
  <si>
    <t>EOL DEL EBRO</t>
  </si>
  <si>
    <t>18W0000000002B8P</t>
  </si>
  <si>
    <t>EEOBRO2</t>
  </si>
  <si>
    <t>PE ROBRES II</t>
  </si>
  <si>
    <t>18W000000000QAZQ</t>
  </si>
  <si>
    <t>EEOLEX</t>
  </si>
  <si>
    <t>EOLEXTREM DESARROLLOS</t>
  </si>
  <si>
    <t>18W000000000P1GL</t>
  </si>
  <si>
    <t>EEOMAR</t>
  </si>
  <si>
    <t>18WEEOMAR-1234-L</t>
  </si>
  <si>
    <t>EEPARAM</t>
  </si>
  <si>
    <t>PE PARAMO</t>
  </si>
  <si>
    <t>PARQUE EOLICO EL PARAMO</t>
  </si>
  <si>
    <t>18W000000000OVDF</t>
  </si>
  <si>
    <t>EEPESLO</t>
  </si>
  <si>
    <t>18WEEPESLO-123-A</t>
  </si>
  <si>
    <t>EEPLLG</t>
  </si>
  <si>
    <t>18WEEPLLG-123-1K</t>
  </si>
  <si>
    <t>EERUYA</t>
  </si>
  <si>
    <t>18WEERUYA-1234-D</t>
  </si>
  <si>
    <t>EESBGG</t>
  </si>
  <si>
    <t>18WEESBGG-123-1L</t>
  </si>
  <si>
    <t>EESQUI</t>
  </si>
  <si>
    <t>18WEESQUI-1234-E</t>
  </si>
  <si>
    <t>EESTELO</t>
  </si>
  <si>
    <t>ESTELO</t>
  </si>
  <si>
    <t>18W000000000P6PP</t>
  </si>
  <si>
    <t>EETAHUN</t>
  </si>
  <si>
    <t>PE TAHUNA</t>
  </si>
  <si>
    <t>PARQUE ELICO TAHUNA</t>
  </si>
  <si>
    <t>18W000000000NXQO</t>
  </si>
  <si>
    <t>EEVOLD</t>
  </si>
  <si>
    <t>EVOLUCION 2000</t>
  </si>
  <si>
    <t>18W0000000007B4D</t>
  </si>
  <si>
    <t>EEWING</t>
  </si>
  <si>
    <t>18WEEWING-123-1T</t>
  </si>
  <si>
    <t>EEZORRE</t>
  </si>
  <si>
    <t>PE ZORRERA</t>
  </si>
  <si>
    <t>PARQUE ELICO ZORRERAS</t>
  </si>
  <si>
    <t>18W000000000NXRM</t>
  </si>
  <si>
    <t>EFACINA</t>
  </si>
  <si>
    <t>UP EOLICA FACINA</t>
  </si>
  <si>
    <t>18W000000000N3BX</t>
  </si>
  <si>
    <t>EFALA</t>
  </si>
  <si>
    <t>FALAMO</t>
  </si>
  <si>
    <t>PE FUENTE ALAMO</t>
  </si>
  <si>
    <t>18W000000000NZSE</t>
  </si>
  <si>
    <t>EFEGED</t>
  </si>
  <si>
    <t>18WEFEGED-1234-X</t>
  </si>
  <si>
    <t>EFEGEL1</t>
  </si>
  <si>
    <t>18W00000000010Z8</t>
  </si>
  <si>
    <t>EFEGEL2</t>
  </si>
  <si>
    <t>18W0000000001101</t>
  </si>
  <si>
    <t>EFERSA</t>
  </si>
  <si>
    <t>18WEFERSA-123--L</t>
  </si>
  <si>
    <t>GNCO</t>
  </si>
  <si>
    <t>EFGAVE</t>
  </si>
  <si>
    <t>18WEFGAVE-1234-L</t>
  </si>
  <si>
    <t>EFGC01</t>
  </si>
  <si>
    <t>EFG NAC</t>
  </si>
  <si>
    <t>ENERGY FACTORY GROUP COMERCIALIZADORA (NACIONAL)</t>
  </si>
  <si>
    <t>18WEFGC01-123-2N</t>
  </si>
  <si>
    <t>EFGNRA</t>
  </si>
  <si>
    <t>EOLICA MAYOR 1MW</t>
  </si>
  <si>
    <t>18WEFGNRA-1234-X</t>
  </si>
  <si>
    <t>EFGNRA2</t>
  </si>
  <si>
    <t>18W000000000QBLE</t>
  </si>
  <si>
    <t>EFGVDO</t>
  </si>
  <si>
    <t>18WEFGVDO-1234-4</t>
  </si>
  <si>
    <t>EFIDC01</t>
  </si>
  <si>
    <t>EFIDU</t>
  </si>
  <si>
    <t>EFIDUERO</t>
  </si>
  <si>
    <t>18W0000000005JSN</t>
  </si>
  <si>
    <t>EFIDC02</t>
  </si>
  <si>
    <t>UPVENTAFV</t>
  </si>
  <si>
    <t>UP VENTA FV</t>
  </si>
  <si>
    <t>18W000000000P1TW</t>
  </si>
  <si>
    <t>EFNEXU</t>
  </si>
  <si>
    <t>UP EOLICA MAYOR 1MW</t>
  </si>
  <si>
    <t>18WEFNEXU-1234-H</t>
  </si>
  <si>
    <t>EFONTA</t>
  </si>
  <si>
    <t>18W0000000006EWQ</t>
  </si>
  <si>
    <t>EFPART</t>
  </si>
  <si>
    <t>PARTICIPADAS FUERA DE ZONA</t>
  </si>
  <si>
    <t>18W000000000POUZ</t>
  </si>
  <si>
    <t>EFRON</t>
  </si>
  <si>
    <t>FRONTONES</t>
  </si>
  <si>
    <t>PE FRONTONES</t>
  </si>
  <si>
    <t>18W000000000NZRG</t>
  </si>
  <si>
    <t>EFWMARK</t>
  </si>
  <si>
    <t>18WEFWMARK-123-K</t>
  </si>
  <si>
    <t>EGALC01</t>
  </si>
  <si>
    <t>EGAMA</t>
  </si>
  <si>
    <t>ENERXIA GALEGA MAIS</t>
  </si>
  <si>
    <t>18WEGALC01-12--B</t>
  </si>
  <si>
    <t>EGALE</t>
  </si>
  <si>
    <t>EGALLE</t>
  </si>
  <si>
    <t>GALLEGO</t>
  </si>
  <si>
    <t>18W000000000QIF5</t>
  </si>
  <si>
    <t>EGASNE0</t>
  </si>
  <si>
    <t>18W000000000EZ9E</t>
  </si>
  <si>
    <t>EGASNE1</t>
  </si>
  <si>
    <t>18W0000000001EAG</t>
  </si>
  <si>
    <t>EGASNE2</t>
  </si>
  <si>
    <t>18W000000000F0OB</t>
  </si>
  <si>
    <t>EGASUR</t>
  </si>
  <si>
    <t>18W000000000A1Y8</t>
  </si>
  <si>
    <t>EGAZC01</t>
  </si>
  <si>
    <t>EGAZE</t>
  </si>
  <si>
    <t>ENERGAZE</t>
  </si>
  <si>
    <t>18W000000000M1JR</t>
  </si>
  <si>
    <t>EGCMC01</t>
  </si>
  <si>
    <t>18WENGCOMERCIALQ</t>
  </si>
  <si>
    <t>EGEAMG</t>
  </si>
  <si>
    <t>GEOLICA MAGALLON</t>
  </si>
  <si>
    <t>18WEGEAMG-123-1X</t>
  </si>
  <si>
    <t>EGECAM</t>
  </si>
  <si>
    <t>18W000000000NXAJ</t>
  </si>
  <si>
    <t>EGEDC01</t>
  </si>
  <si>
    <t>18WEGEDC01-12-24</t>
  </si>
  <si>
    <t>EGEDCP3</t>
  </si>
  <si>
    <t>UP DERECHO</t>
  </si>
  <si>
    <t>UP COMPRA CON DERECHOS</t>
  </si>
  <si>
    <t>18WEGEDCP3-123-6</t>
  </si>
  <si>
    <t>EGEDCX</t>
  </si>
  <si>
    <t>UP SER AUX</t>
  </si>
  <si>
    <t>UP SERVICIOS AUXILIARES</t>
  </si>
  <si>
    <t>18W000000000OBT6</t>
  </si>
  <si>
    <t>EGEDR01</t>
  </si>
  <si>
    <t>UP RAD3</t>
  </si>
  <si>
    <t>UP SERVICIO DE REPUESTA ACTIVA DE LA DEMANDA</t>
  </si>
  <si>
    <t>18W000000000OS0D</t>
  </si>
  <si>
    <t>EGEDVP3</t>
  </si>
  <si>
    <t>VTA DERECH</t>
  </si>
  <si>
    <t>UP VENTA CON DERECHOS EN FRANCIA</t>
  </si>
  <si>
    <t>18WEGEDVP3-123-K</t>
  </si>
  <si>
    <t>EGENC01</t>
  </si>
  <si>
    <t>ELE GUIXES ENERGIA</t>
  </si>
  <si>
    <t>18WEGENC01-123-9</t>
  </si>
  <si>
    <t>EGEN</t>
  </si>
  <si>
    <t>EGFEN</t>
  </si>
  <si>
    <t>EOL 1 MW</t>
  </si>
  <si>
    <t>EOLICA MAYOR 1 MW GEST</t>
  </si>
  <si>
    <t>18W000000000PX3P</t>
  </si>
  <si>
    <t>FEN</t>
  </si>
  <si>
    <t>EGLCCX1</t>
  </si>
  <si>
    <t>18W000000000PUXB</t>
  </si>
  <si>
    <t>EGLCVX1</t>
  </si>
  <si>
    <t>18W000000000PUZ7</t>
  </si>
  <si>
    <t>EGLEC01</t>
  </si>
  <si>
    <t>EGLE CO</t>
  </si>
  <si>
    <t>18WEGLEC01-12-2S</t>
  </si>
  <si>
    <t>EGLECP3</t>
  </si>
  <si>
    <t>18WEGLECP3-12-4W</t>
  </si>
  <si>
    <t>EGLEVP3</t>
  </si>
  <si>
    <t>18WEGLEVP3-12-3B</t>
  </si>
  <si>
    <t>EGLEX</t>
  </si>
  <si>
    <t>EGLE (COMPRA SERVICIOS AUXILIARES)</t>
  </si>
  <si>
    <t>18WEGLEX-12345-L</t>
  </si>
  <si>
    <t>EGLPCX1</t>
  </si>
  <si>
    <t>PORFOLIO COMPRA GENERAC</t>
  </si>
  <si>
    <t>18W000000000ABZD</t>
  </si>
  <si>
    <t>EGLPVX1</t>
  </si>
  <si>
    <t>PORFOLIO VENTA GENER</t>
  </si>
  <si>
    <t>18W000000000AC06</t>
  </si>
  <si>
    <t>EGMALP</t>
  </si>
  <si>
    <t>18W000000000C8AR</t>
  </si>
  <si>
    <t>EGRAIA</t>
  </si>
  <si>
    <t>18WEGRAIA-1234-0</t>
  </si>
  <si>
    <t>EGREEN</t>
  </si>
  <si>
    <t>EOLICAGEST</t>
  </si>
  <si>
    <t>EOLICA GESTIONABLE</t>
  </si>
  <si>
    <t>18WEGREEN-1234-3</t>
  </si>
  <si>
    <t>EGREEN1</t>
  </si>
  <si>
    <t>EOLICAGES1</t>
  </si>
  <si>
    <t>EOLICAGEST1</t>
  </si>
  <si>
    <t>18W000000000MU2B</t>
  </si>
  <si>
    <t>EGVENTO</t>
  </si>
  <si>
    <t>18WEGVENTO-123-C</t>
  </si>
  <si>
    <t>EHERRER</t>
  </si>
  <si>
    <t>HERRERA</t>
  </si>
  <si>
    <t>18W000000000NHGI</t>
  </si>
  <si>
    <t>EHIBGES</t>
  </si>
  <si>
    <t>18WEHIBGES-123-W</t>
  </si>
  <si>
    <t>EHILC01</t>
  </si>
  <si>
    <t>HELIA UP</t>
  </si>
  <si>
    <t>18W0000000009VU4</t>
  </si>
  <si>
    <t>HELIC</t>
  </si>
  <si>
    <t>EHINOJ</t>
  </si>
  <si>
    <t>18WEHINOJ-1234-G</t>
  </si>
  <si>
    <t>EINTC01</t>
  </si>
  <si>
    <t>EI15 PEN</t>
  </si>
  <si>
    <t>INTERSOL PENINSULA</t>
  </si>
  <si>
    <t>18W000000000L31O</t>
  </si>
  <si>
    <t>INSOL</t>
  </si>
  <si>
    <t>EINVER</t>
  </si>
  <si>
    <t>18W000000000FFDP</t>
  </si>
  <si>
    <t>EIRIXO</t>
  </si>
  <si>
    <t>18WEIRIXO-1234-J</t>
  </si>
  <si>
    <t>EJANCOL</t>
  </si>
  <si>
    <t>UP EOLICA JANCOLI</t>
  </si>
  <si>
    <t>18W000000000N366</t>
  </si>
  <si>
    <t>EJANDAP</t>
  </si>
  <si>
    <t>UP EOLICA JANDAPE</t>
  </si>
  <si>
    <t>18W000000000N374</t>
  </si>
  <si>
    <t>EJANDSU</t>
  </si>
  <si>
    <t>UP EOLICA JANDSUY</t>
  </si>
  <si>
    <t>18W000000000N382</t>
  </si>
  <si>
    <t>EKHIC01</t>
  </si>
  <si>
    <t>EKHINEO</t>
  </si>
  <si>
    <t>EKHINEO ENERGA</t>
  </si>
  <si>
    <t>18W000000000QB1H</t>
  </si>
  <si>
    <t>EKHIN</t>
  </si>
  <si>
    <t>ELALC01</t>
  </si>
  <si>
    <t>ALGIMIA</t>
  </si>
  <si>
    <t>ELCTRICA DE ALGIMIA</t>
  </si>
  <si>
    <t>18WELALC01-123-D</t>
  </si>
  <si>
    <t>ELALG</t>
  </si>
  <si>
    <t>ELASMAJ</t>
  </si>
  <si>
    <t>DESARROLLO ELICO LAS MAJAS VI SL</t>
  </si>
  <si>
    <t>18W000000000Q6QJ</t>
  </si>
  <si>
    <t>ELAVC01</t>
  </si>
  <si>
    <t>ELECTRA AVELLANA COMERCIAL, S.L</t>
  </si>
  <si>
    <t>18WELAVC01-123-O</t>
  </si>
  <si>
    <t>ELAVE</t>
  </si>
  <si>
    <t>ELBEC01</t>
  </si>
  <si>
    <t>ELBEN_UP</t>
  </si>
  <si>
    <t>ELECTRICA BENASQUE SL</t>
  </si>
  <si>
    <t>18W0000000002V58</t>
  </si>
  <si>
    <t>ELBEN</t>
  </si>
  <si>
    <t>ELBOGA</t>
  </si>
  <si>
    <t>18WELBOGA-1234-V</t>
  </si>
  <si>
    <t>ELCAC01</t>
  </si>
  <si>
    <t>ELECTRA CALDENSE ENERGÃA, S.A.</t>
  </si>
  <si>
    <t>18WELCAC01-12-2X</t>
  </si>
  <si>
    <t>ECAL</t>
  </si>
  <si>
    <t>ELCNC01</t>
  </si>
  <si>
    <t>18WELCNC01-123-8</t>
  </si>
  <si>
    <t>ELECN</t>
  </si>
  <si>
    <t>ELEAUX</t>
  </si>
  <si>
    <t>ELEAUX1</t>
  </si>
  <si>
    <t>ELEAUX SERVICIOS AUXILIARES</t>
  </si>
  <si>
    <t>18W000000000P7NQ</t>
  </si>
  <si>
    <t>ELEIC01</t>
  </si>
  <si>
    <t>ELEIA COMPRA</t>
  </si>
  <si>
    <t>18W000000000DF2I</t>
  </si>
  <si>
    <t>ELEKC01</t>
  </si>
  <si>
    <t>18W0000000000LYP</t>
  </si>
  <si>
    <t>ELEK</t>
  </si>
  <si>
    <t>ELEPCX1</t>
  </si>
  <si>
    <t>18W000000000OJJ2</t>
  </si>
  <si>
    <t>ELEPVX1</t>
  </si>
  <si>
    <t>18W000000000OJI4</t>
  </si>
  <si>
    <t>ELESC01</t>
  </si>
  <si>
    <t>ELESU_UP</t>
  </si>
  <si>
    <t>ELESU_COMPRAS</t>
  </si>
  <si>
    <t>18W0000000004NIZ</t>
  </si>
  <si>
    <t>ELESU</t>
  </si>
  <si>
    <t>ELESROT</t>
  </si>
  <si>
    <t>PE LROTES</t>
  </si>
  <si>
    <t>PARQUE EOLICO LES ROTES</t>
  </si>
  <si>
    <t>18W000000000OVMY</t>
  </si>
  <si>
    <t>ELGUIJ1</t>
  </si>
  <si>
    <t>PE GUIJO I</t>
  </si>
  <si>
    <t>PARQUE EOLICO GUIJO I</t>
  </si>
  <si>
    <t>18W000000000OVFB</t>
  </si>
  <si>
    <t>ELITC01</t>
  </si>
  <si>
    <t>ELIE_BIO</t>
  </si>
  <si>
    <t>ELITE BIOENERGIA SL</t>
  </si>
  <si>
    <t>18W000000000MDT8</t>
  </si>
  <si>
    <t>ELITE</t>
  </si>
  <si>
    <t>ELMOC01</t>
  </si>
  <si>
    <t>ELMON_UP</t>
  </si>
  <si>
    <t>ELMON_COMPRAS</t>
  </si>
  <si>
    <t>18W0000000007APB</t>
  </si>
  <si>
    <t>ELMON</t>
  </si>
  <si>
    <t>ELODOS</t>
  </si>
  <si>
    <t>18WELODOS-1234-4</t>
  </si>
  <si>
    <t>ELOMILA</t>
  </si>
  <si>
    <t>18W000000000Q7LQ</t>
  </si>
  <si>
    <t>ELPOC01</t>
  </si>
  <si>
    <t>ELPOP</t>
  </si>
  <si>
    <t>ELECTRICA POPULAR, S. COOP. MAD.</t>
  </si>
  <si>
    <t>18WELPOC01-123-3</t>
  </si>
  <si>
    <t>ELPOLEO</t>
  </si>
  <si>
    <t>POLEO</t>
  </si>
  <si>
    <t>ELPOLEOO</t>
  </si>
  <si>
    <t>18W000000000QQ35</t>
  </si>
  <si>
    <t>GESTE</t>
  </si>
  <si>
    <t>ELTEC01</t>
  </si>
  <si>
    <t>ELTED</t>
  </si>
  <si>
    <t>ELECTED ENERGY</t>
  </si>
  <si>
    <t>18W000000000IXIN</t>
  </si>
  <si>
    <t>ELUZC01</t>
  </si>
  <si>
    <t>E-LUZ</t>
  </si>
  <si>
    <t>E-LUZ ENERGY</t>
  </si>
  <si>
    <t>18W000000000K9HF</t>
  </si>
  <si>
    <t>ELUZE</t>
  </si>
  <si>
    <t>ELV2C01</t>
  </si>
  <si>
    <t>ELEVA2</t>
  </si>
  <si>
    <t>ELEVA 2 COMERCIALIZADORA, S.L.</t>
  </si>
  <si>
    <t>18WELV2C01-123-9</t>
  </si>
  <si>
    <t>ELVA2</t>
  </si>
  <si>
    <t>ELVAC01</t>
  </si>
  <si>
    <t>ELEVA UNO</t>
  </si>
  <si>
    <t>ELEVA UNO COMERCIALIZADORA, S.L.</t>
  </si>
  <si>
    <t>18WELVAC01-123-3</t>
  </si>
  <si>
    <t>ELVA1</t>
  </si>
  <si>
    <t>EMAJOGA</t>
  </si>
  <si>
    <t>PE MAJOGAZ</t>
  </si>
  <si>
    <t>PARQUE EOLICO MAJOGAZAS</t>
  </si>
  <si>
    <t>18W000000000OVOU</t>
  </si>
  <si>
    <t>EMAMUT</t>
  </si>
  <si>
    <t>UP ENERGA ELICA MAMUT</t>
  </si>
  <si>
    <t>18W000000000GDBV</t>
  </si>
  <si>
    <t>EMANZAN</t>
  </si>
  <si>
    <t>18W000000000Q7MO</t>
  </si>
  <si>
    <t>EMARME</t>
  </si>
  <si>
    <t>18WEMARME-1234-P</t>
  </si>
  <si>
    <t>EMDAUG</t>
  </si>
  <si>
    <t>18WEMDAUG-1234-0</t>
  </si>
  <si>
    <t>EMEDI</t>
  </si>
  <si>
    <t>18WEMEDI-1234-10</t>
  </si>
  <si>
    <t>MEDI</t>
  </si>
  <si>
    <t>EMEDI1</t>
  </si>
  <si>
    <t>18W0000000000YR0</t>
  </si>
  <si>
    <t>EMELC01</t>
  </si>
  <si>
    <t>MELIANA</t>
  </si>
  <si>
    <t>ELECTRICA DE MELIANA</t>
  </si>
  <si>
    <t>18WEMELC01-123-V</t>
  </si>
  <si>
    <t>EMELI</t>
  </si>
  <si>
    <t>EMESC01</t>
  </si>
  <si>
    <t>EMESA</t>
  </si>
  <si>
    <t>EMILIO ESTEBAN S.A.</t>
  </si>
  <si>
    <t>18WEMESC01-123-Z</t>
  </si>
  <si>
    <t>EMES</t>
  </si>
  <si>
    <t>EMFEN</t>
  </si>
  <si>
    <t>EOL 1MW</t>
  </si>
  <si>
    <t>EOLICA MAYOR 1 MW</t>
  </si>
  <si>
    <t>18W0000000001YUR</t>
  </si>
  <si>
    <t>EMGALLN</t>
  </si>
  <si>
    <t>PE MAGALLON</t>
  </si>
  <si>
    <t>18W000000000P1AX</t>
  </si>
  <si>
    <t>EMIAC01</t>
  </si>
  <si>
    <t>ENERMIA</t>
  </si>
  <si>
    <t>ENERMIA COMPRA</t>
  </si>
  <si>
    <t>18W000000000PRID</t>
  </si>
  <si>
    <t>ENEDH</t>
  </si>
  <si>
    <t>EMINON</t>
  </si>
  <si>
    <t>UP EOLICA MINON</t>
  </si>
  <si>
    <t>18W000000000GEN4</t>
  </si>
  <si>
    <t>EMIRASI</t>
  </si>
  <si>
    <t>EOLICA DE MIRASIERRA</t>
  </si>
  <si>
    <t>18WEMIRASI-123-9</t>
  </si>
  <si>
    <t>MIRAS</t>
  </si>
  <si>
    <t>EMOARG</t>
  </si>
  <si>
    <t>18WEMOARG-123-1S</t>
  </si>
  <si>
    <t>EMONCLU</t>
  </si>
  <si>
    <t>PE MONCLUE</t>
  </si>
  <si>
    <t>PARQUE EOLICO MONCLUES</t>
  </si>
  <si>
    <t>18W000000000OVPS</t>
  </si>
  <si>
    <t>EMONJAS</t>
  </si>
  <si>
    <t>UP EOLICA LAS MONJAS</t>
  </si>
  <si>
    <t>18W000000000N390</t>
  </si>
  <si>
    <t>EMONTOU</t>
  </si>
  <si>
    <t>18WEMONTOU-12-1R</t>
  </si>
  <si>
    <t>EMORAL1</t>
  </si>
  <si>
    <t>PE MORAL1</t>
  </si>
  <si>
    <t>PARQUE EOLICO EL MORALEJO I</t>
  </si>
  <si>
    <t>18W000000000OVAL</t>
  </si>
  <si>
    <t>EMORELL</t>
  </si>
  <si>
    <t>REPSOL QUIMICA EL MORELL</t>
  </si>
  <si>
    <t>18WEMORELL-12-0Q</t>
  </si>
  <si>
    <t>EMORPC2</t>
  </si>
  <si>
    <t>UPCG2GC</t>
  </si>
  <si>
    <t>UPCG2GRUPOC</t>
  </si>
  <si>
    <t>18W000000000OIH9</t>
  </si>
  <si>
    <t>EMORPER</t>
  </si>
  <si>
    <t>REPSOL QUIMICA EL MORELL-PERAFORT</t>
  </si>
  <si>
    <t>18WEMORPER-12-0F</t>
  </si>
  <si>
    <t>EMORRA</t>
  </si>
  <si>
    <t>18WEMORRA-1234-6</t>
  </si>
  <si>
    <t>EMOSTAZ</t>
  </si>
  <si>
    <t>UP EOLICA MOSTAZA</t>
  </si>
  <si>
    <t>18W000000000N3AZ</t>
  </si>
  <si>
    <t>EMTORR</t>
  </si>
  <si>
    <t>18WEMTORR-1234-U</t>
  </si>
  <si>
    <t>EMTOURD</t>
  </si>
  <si>
    <t>EMTOURDO</t>
  </si>
  <si>
    <t>UP EOLICA TOURADO</t>
  </si>
  <si>
    <t>18W000000000N0GW</t>
  </si>
  <si>
    <t>EMUELA</t>
  </si>
  <si>
    <t>EOLICA LA MUELA NORTE</t>
  </si>
  <si>
    <t>18W000000000IQPU</t>
  </si>
  <si>
    <t>ENABAR</t>
  </si>
  <si>
    <t>ENAGAS BARCELONA</t>
  </si>
  <si>
    <t>18WENABAR-1234-T</t>
  </si>
  <si>
    <t>ENARC01</t>
  </si>
  <si>
    <t>18WENARC01-123-3</t>
  </si>
  <si>
    <t>ENARA</t>
  </si>
  <si>
    <t>ENAVA</t>
  </si>
  <si>
    <t>ELANAVA</t>
  </si>
  <si>
    <t>UP EOLICA NAVA</t>
  </si>
  <si>
    <t>18W000000000FJ6R</t>
  </si>
  <si>
    <t>ENCECP3</t>
  </si>
  <si>
    <t>COMPRAINTE</t>
  </si>
  <si>
    <t>COMPRA INTER ENCE</t>
  </si>
  <si>
    <t>18W000000000OZ2P</t>
  </si>
  <si>
    <t>ENCEVP3</t>
  </si>
  <si>
    <t>VENTAINTER</t>
  </si>
  <si>
    <t>VENTA INTERENCE</t>
  </si>
  <si>
    <t>18W000000000OZ1R</t>
  </si>
  <si>
    <t>ENCIC01</t>
  </si>
  <si>
    <t>ENCIENDE</t>
  </si>
  <si>
    <t>ENCIENDETENERGIA SL</t>
  </si>
  <si>
    <t>18W000000000P54X</t>
  </si>
  <si>
    <t>ENCIE</t>
  </si>
  <si>
    <t>ENDE01</t>
  </si>
  <si>
    <t>END-EN-NAC</t>
  </si>
  <si>
    <t>ENDESA ENERGIA (NACIONAL)</t>
  </si>
  <si>
    <t>18WENDE01-123-2E</t>
  </si>
  <si>
    <t>ENDCO</t>
  </si>
  <si>
    <t>ENDEC01</t>
  </si>
  <si>
    <t>18W00000000056ZB</t>
  </si>
  <si>
    <t>ENDEE</t>
  </si>
  <si>
    <t>ENDEC04</t>
  </si>
  <si>
    <t>ENDEC AND</t>
  </si>
  <si>
    <t>ENDCO EXPORTACION ANDORRA</t>
  </si>
  <si>
    <t>18WENDEC04-12-47</t>
  </si>
  <si>
    <t>ENDER01</t>
  </si>
  <si>
    <t>ENDCO BALA</t>
  </si>
  <si>
    <t>ENDCO BALANCE</t>
  </si>
  <si>
    <t>18W000000000OS29</t>
  </si>
  <si>
    <t>ENDGCP3</t>
  </si>
  <si>
    <t>18WENDGCP3-12-4G</t>
  </si>
  <si>
    <t>ENDGVP3</t>
  </si>
  <si>
    <t>IMPORTACION FRA CON DERECHOS</t>
  </si>
  <si>
    <t>18WENDGVP3-12-3W</t>
  </si>
  <si>
    <t>ENDIC01</t>
  </si>
  <si>
    <t>ENDI ENERG</t>
  </si>
  <si>
    <t>ENDI ENERGY TRADING</t>
  </si>
  <si>
    <t>18W000000000G54W</t>
  </si>
  <si>
    <t>ENDI</t>
  </si>
  <si>
    <t>ENDKC01</t>
  </si>
  <si>
    <t>18W000000000PV2X</t>
  </si>
  <si>
    <t>ENEDK</t>
  </si>
  <si>
    <t>ENDPC01</t>
  </si>
  <si>
    <t>18W0000000005712</t>
  </si>
  <si>
    <t>ENDEP</t>
  </si>
  <si>
    <t>ENDPRB</t>
  </si>
  <si>
    <t>C. BOMBEO MIXTO ENDESA</t>
  </si>
  <si>
    <t>18WENDPRB-123-0T</t>
  </si>
  <si>
    <t>ENDRE01</t>
  </si>
  <si>
    <t>REPREFVAC</t>
  </si>
  <si>
    <t>REPRESENTACION AUTOCONSUMO EE PENINSULA</t>
  </si>
  <si>
    <t>18W000000000Q3K3</t>
  </si>
  <si>
    <t>ENEDC01</t>
  </si>
  <si>
    <t>ENERGIAREA EUROPE SL</t>
  </si>
  <si>
    <t>18W000000000ORSY</t>
  </si>
  <si>
    <t>ENEDB</t>
  </si>
  <si>
    <t>ENEGRED</t>
  </si>
  <si>
    <t>PE NEGREDO</t>
  </si>
  <si>
    <t>PARQUE EOLICO EL NEGREDO</t>
  </si>
  <si>
    <t>18W000000000OVCH</t>
  </si>
  <si>
    <t>ENEIC01</t>
  </si>
  <si>
    <t>ENERFIA</t>
  </si>
  <si>
    <t>ENERFIA COMPRA</t>
  </si>
  <si>
    <t>18W000000000I0SS</t>
  </si>
  <si>
    <t>ENEFI</t>
  </si>
  <si>
    <t>ENEPC01</t>
  </si>
  <si>
    <t>ENERGY PLUS IBERIA SL</t>
  </si>
  <si>
    <t>18W000000000Q1SU</t>
  </si>
  <si>
    <t>ENEPL</t>
  </si>
  <si>
    <t>ENESC01</t>
  </si>
  <si>
    <t>UP COMER</t>
  </si>
  <si>
    <t>UP ESOLARTECH COMER</t>
  </si>
  <si>
    <t>18W000000000Q55R</t>
  </si>
  <si>
    <t>ENEST</t>
  </si>
  <si>
    <t>ENETC01</t>
  </si>
  <si>
    <t>18W000000000QWRD</t>
  </si>
  <si>
    <t>ENETI</t>
  </si>
  <si>
    <t>ENEXC01</t>
  </si>
  <si>
    <t>18W000000000Q0ZJ</t>
  </si>
  <si>
    <t>ENEXS</t>
  </si>
  <si>
    <t>ENEYC01</t>
  </si>
  <si>
    <t>ECO2</t>
  </si>
  <si>
    <t>ECO2 PENINSULA</t>
  </si>
  <si>
    <t>18W000000000K010</t>
  </si>
  <si>
    <t>ENERY</t>
  </si>
  <si>
    <t>ENFDC01</t>
  </si>
  <si>
    <t>18W000000000H1ST</t>
  </si>
  <si>
    <t>ENUFR</t>
  </si>
  <si>
    <t>ENGLC01</t>
  </si>
  <si>
    <t>ENGEL COMERCIALIZADORA</t>
  </si>
  <si>
    <t>18W000000000QHCE</t>
  </si>
  <si>
    <t>ENGEL</t>
  </si>
  <si>
    <t>ENMEC01</t>
  </si>
  <si>
    <t>EDM</t>
  </si>
  <si>
    <t>ENERGIAS DEL MEDITERRANEO</t>
  </si>
  <si>
    <t>18W0000000001JA1</t>
  </si>
  <si>
    <t>ENMED</t>
  </si>
  <si>
    <t>ENORVE</t>
  </si>
  <si>
    <t>UP NORVENTO SLU</t>
  </si>
  <si>
    <t>18W000000000R1SQ</t>
  </si>
  <si>
    <t>ENOUTA</t>
  </si>
  <si>
    <t>UP PENOUTA</t>
  </si>
  <si>
    <t>18WENOUTA-1234-K</t>
  </si>
  <si>
    <t>ENPEC01</t>
  </si>
  <si>
    <t>ENERPLUS</t>
  </si>
  <si>
    <t>ENERPLUS ENERGIA, S.A.</t>
  </si>
  <si>
    <t>18WEPLUSENERGIA0</t>
  </si>
  <si>
    <t>ENPEN</t>
  </si>
  <si>
    <t>ENPHC01</t>
  </si>
  <si>
    <t>ENTECOP</t>
  </si>
  <si>
    <t>ENTECO PHARMA</t>
  </si>
  <si>
    <t>18W000000000P2DO</t>
  </si>
  <si>
    <t>ENPHA</t>
  </si>
  <si>
    <t>ENRNC01</t>
  </si>
  <si>
    <t>18W000000000MBRI</t>
  </si>
  <si>
    <t>ENRNV</t>
  </si>
  <si>
    <t>ENRPC01</t>
  </si>
  <si>
    <t>ENERPLUS SOCIEDAD COOPERATIVA</t>
  </si>
  <si>
    <t>18WENRPC01-123-L</t>
  </si>
  <si>
    <t>ENERP</t>
  </si>
  <si>
    <t>ENSAC01</t>
  </si>
  <si>
    <t>ENERGYSAVE</t>
  </si>
  <si>
    <t>ENERGYSAVE PROJECTS S.L.</t>
  </si>
  <si>
    <t>18WENSAC01-123-C</t>
  </si>
  <si>
    <t>ENSAV</t>
  </si>
  <si>
    <t>ENTXC01</t>
  </si>
  <si>
    <t>UEN</t>
  </si>
  <si>
    <t>UEN FAB</t>
  </si>
  <si>
    <t>18W0000000003F2L</t>
  </si>
  <si>
    <t>ENTEX</t>
  </si>
  <si>
    <t>ENUFC01</t>
  </si>
  <si>
    <t>ENUFRI</t>
  </si>
  <si>
    <t>ENERGIA NUFRI SLU</t>
  </si>
  <si>
    <t>18W0000000003KM3</t>
  </si>
  <si>
    <t>ENUFRV1</t>
  </si>
  <si>
    <t>18W000000000GXRD</t>
  </si>
  <si>
    <t>ENUFRV4</t>
  </si>
  <si>
    <t>18W000000000GXSB</t>
  </si>
  <si>
    <t>ENUFRV5</t>
  </si>
  <si>
    <t>18W000000000GYJQ</t>
  </si>
  <si>
    <t>ENUFRV6</t>
  </si>
  <si>
    <t>18W000000000GYLM</t>
  </si>
  <si>
    <t>ENUFRV7</t>
  </si>
  <si>
    <t>18W000000000I4JY</t>
  </si>
  <si>
    <t>ENUFRV8</t>
  </si>
  <si>
    <t>18W000000000N1PB</t>
  </si>
  <si>
    <t>ENUFRV9</t>
  </si>
  <si>
    <t>LA JARA 1</t>
  </si>
  <si>
    <t>18W000000000NKDF</t>
  </si>
  <si>
    <t>ENUFV10</t>
  </si>
  <si>
    <t>18W000000000OMHY</t>
  </si>
  <si>
    <t>ENUFV11</t>
  </si>
  <si>
    <t>LA JARA 2</t>
  </si>
  <si>
    <t>18W000000000P9W2</t>
  </si>
  <si>
    <t>ENUFV12</t>
  </si>
  <si>
    <t>LA RASA 1</t>
  </si>
  <si>
    <t>18W000000000PP66</t>
  </si>
  <si>
    <t>ENUFV14</t>
  </si>
  <si>
    <t>POAL FOTOVOLTAICA</t>
  </si>
  <si>
    <t>18W000000000QW4M</t>
  </si>
  <si>
    <t>ENUFV15</t>
  </si>
  <si>
    <t>NUFRI SOLAR</t>
  </si>
  <si>
    <t>18W000000000QW6I</t>
  </si>
  <si>
    <t>ENUPCX1</t>
  </si>
  <si>
    <t>18W000000000OC7A</t>
  </si>
  <si>
    <t>ENUPVX1</t>
  </si>
  <si>
    <t>18W000000000OC88</t>
  </si>
  <si>
    <t>ENVEC01</t>
  </si>
  <si>
    <t>ENERVER</t>
  </si>
  <si>
    <t>ENERVER ENERGIA</t>
  </si>
  <si>
    <t>18W000000000IMUW</t>
  </si>
  <si>
    <t>ENVER</t>
  </si>
  <si>
    <t>ENXXC01</t>
  </si>
  <si>
    <t>ENTXX</t>
  </si>
  <si>
    <t>ENTECO EXT</t>
  </si>
  <si>
    <t>18W000000000P2EM</t>
  </si>
  <si>
    <t>ENZIC01</t>
  </si>
  <si>
    <t>UP_ENEAC</t>
  </si>
  <si>
    <t>UP_ZINQUETA</t>
  </si>
  <si>
    <t>18W000000000K4PE</t>
  </si>
  <si>
    <t>ENEAC</t>
  </si>
  <si>
    <t>EOITAV</t>
  </si>
  <si>
    <t>18WEOITAV-123--S</t>
  </si>
  <si>
    <t>EONUC01</t>
  </si>
  <si>
    <t>E.ON CUR. COMPRA</t>
  </si>
  <si>
    <t>18WEONUC01-1234U</t>
  </si>
  <si>
    <t>EONUR</t>
  </si>
  <si>
    <t>EOP2C01</t>
  </si>
  <si>
    <t>EOP</t>
  </si>
  <si>
    <t>ENERGIA OPERATIVA S.L.</t>
  </si>
  <si>
    <t>18WEOP2C01-12--E</t>
  </si>
  <si>
    <t>EOP20</t>
  </si>
  <si>
    <t>EORKO</t>
  </si>
  <si>
    <t>ORKOIEN</t>
  </si>
  <si>
    <t>PE ORKOIEN</t>
  </si>
  <si>
    <t>18W000000000Q4CG</t>
  </si>
  <si>
    <t>EORTIV</t>
  </si>
  <si>
    <t>18WEORTIV-1234-R</t>
  </si>
  <si>
    <t>EOTMR</t>
  </si>
  <si>
    <t>EOLICA GN</t>
  </si>
  <si>
    <t>EOLICA GN PR</t>
  </si>
  <si>
    <t>18W000000000D4IJ</t>
  </si>
  <si>
    <t>EOUROL</t>
  </si>
  <si>
    <t>18WEOUROL-1234-3</t>
  </si>
  <si>
    <t>EPACC01</t>
  </si>
  <si>
    <t>18W000000000IWU2</t>
  </si>
  <si>
    <t>EPAC</t>
  </si>
  <si>
    <t>EPALOM</t>
  </si>
  <si>
    <t>EAEPALOMAR</t>
  </si>
  <si>
    <t>18WEPALOM-1234-4</t>
  </si>
  <si>
    <t>EPARIDE</t>
  </si>
  <si>
    <t>PE PARIDER</t>
  </si>
  <si>
    <t>PARQUE ELICO PARIDERAS</t>
  </si>
  <si>
    <t>18W000000000OVQQ</t>
  </si>
  <si>
    <t>EPBUIO</t>
  </si>
  <si>
    <t>PARQUES EOLICOS DE BUIO</t>
  </si>
  <si>
    <t>18WEPBUIO-1234-F</t>
  </si>
  <si>
    <t>EPBUIO1</t>
  </si>
  <si>
    <t>18W0000000000YQ2</t>
  </si>
  <si>
    <t>EPDERAS</t>
  </si>
  <si>
    <t>PNDRAS</t>
  </si>
  <si>
    <t>PANADERAS</t>
  </si>
  <si>
    <t>18W000000000QQ9U</t>
  </si>
  <si>
    <t>EPEAFG</t>
  </si>
  <si>
    <t>P E AMEIXENDA - FILGUEIRA</t>
  </si>
  <si>
    <t>18WEPEAFG-123-1P</t>
  </si>
  <si>
    <t>EPEBAN</t>
  </si>
  <si>
    <t>18WEPEBAN-1234-U</t>
  </si>
  <si>
    <t>EPEBECE</t>
  </si>
  <si>
    <t>18W000000000PRM5</t>
  </si>
  <si>
    <t>EPEBRE</t>
  </si>
  <si>
    <t>UP PEBESA</t>
  </si>
  <si>
    <t>UP EOLICA PEBESA</t>
  </si>
  <si>
    <t>18W000000000797D</t>
  </si>
  <si>
    <t>EPECOTE</t>
  </si>
  <si>
    <t>COTEREJON - TARIFA &gt;10</t>
  </si>
  <si>
    <t>18WEPECOTE-123-O</t>
  </si>
  <si>
    <t>EPEDROL</t>
  </si>
  <si>
    <t>PEPEDROLA</t>
  </si>
  <si>
    <t>18W000000000MET5</t>
  </si>
  <si>
    <t>EPEEXXI</t>
  </si>
  <si>
    <t>18WEPEEXXI-123-B</t>
  </si>
  <si>
    <t>EPEGLE</t>
  </si>
  <si>
    <t>18WEPEGLE-1234-R</t>
  </si>
  <si>
    <t>EPENUCA</t>
  </si>
  <si>
    <t>18W000000000Q7NM</t>
  </si>
  <si>
    <t>EPEONUR</t>
  </si>
  <si>
    <t>18WEPEONUR-12--B</t>
  </si>
  <si>
    <t>EPEPUR</t>
  </si>
  <si>
    <t>18WEPEPUR-1234-B</t>
  </si>
  <si>
    <t>EPEVIG</t>
  </si>
  <si>
    <t>PARQUE EOLICO DE VICEDO</t>
  </si>
  <si>
    <t>18WEPEVIG-123-1A</t>
  </si>
  <si>
    <t>EPHCCUR</t>
  </si>
  <si>
    <t>18WEPHCCUR-123-0</t>
  </si>
  <si>
    <t>HCCUR</t>
  </si>
  <si>
    <t>EPI</t>
  </si>
  <si>
    <t>PI</t>
  </si>
  <si>
    <t>PI EOLICO</t>
  </si>
  <si>
    <t>18W000000000P4YD</t>
  </si>
  <si>
    <t>EPIBCUR</t>
  </si>
  <si>
    <t>18WEPIBCUR-12--B</t>
  </si>
  <si>
    <t>IBCUR</t>
  </si>
  <si>
    <t>EPILC01</t>
  </si>
  <si>
    <t>EPILA</t>
  </si>
  <si>
    <t>18W000000000M7ZE</t>
  </si>
  <si>
    <t>EPLATA</t>
  </si>
  <si>
    <t>EOLICA LA PLATA</t>
  </si>
  <si>
    <t>18W000000000IQQS</t>
  </si>
  <si>
    <t>EPLEN1</t>
  </si>
  <si>
    <t>PLEN1</t>
  </si>
  <si>
    <t>18W000000000QT7P</t>
  </si>
  <si>
    <t>EPLOMAS</t>
  </si>
  <si>
    <t>ELPLOMAS</t>
  </si>
  <si>
    <t>EOLICA LAS LOMAS LANJARON</t>
  </si>
  <si>
    <t>18W000000000FZKP</t>
  </si>
  <si>
    <t>EPMULTI</t>
  </si>
  <si>
    <t>18W000000000POVX</t>
  </si>
  <si>
    <t>EPOUROL</t>
  </si>
  <si>
    <t>UP OUROL</t>
  </si>
  <si>
    <t>UP EOLICA OUROL</t>
  </si>
  <si>
    <t>18W000000000HTOR</t>
  </si>
  <si>
    <t>EPOZAL</t>
  </si>
  <si>
    <t>18WEPOZAL-1234-T</t>
  </si>
  <si>
    <t>EPPJAR</t>
  </si>
  <si>
    <t>18WEPPJAR-123-1U</t>
  </si>
  <si>
    <t>EPPOZA</t>
  </si>
  <si>
    <t>18WEPPOZA-1234-S</t>
  </si>
  <si>
    <t>EPRADA</t>
  </si>
  <si>
    <t>PE LA LOMA</t>
  </si>
  <si>
    <t>18W000000000ONE0</t>
  </si>
  <si>
    <t>EPRADA2</t>
  </si>
  <si>
    <t>UP PINGUIN</t>
  </si>
  <si>
    <t>18W000000000R3SK</t>
  </si>
  <si>
    <t>EPROTO</t>
  </si>
  <si>
    <t>18WEPROTO-1234-M</t>
  </si>
  <si>
    <t>EPRSC01</t>
  </si>
  <si>
    <t>EPRESA CO</t>
  </si>
  <si>
    <t>EPRESA ENERGIA, S.A.U.</t>
  </si>
  <si>
    <t>18WEPRSC01-12-2A</t>
  </si>
  <si>
    <t>EPRSA</t>
  </si>
  <si>
    <t>EPTRIZ</t>
  </si>
  <si>
    <t>18W000000000N3VU</t>
  </si>
  <si>
    <t>EPU50</t>
  </si>
  <si>
    <t>ENCE ENERGIA PUERTOLLANO</t>
  </si>
  <si>
    <t>18W000000000FFIF</t>
  </si>
  <si>
    <t>PU100</t>
  </si>
  <si>
    <t>EPUEYO</t>
  </si>
  <si>
    <t>18WEPUEYO-123--M</t>
  </si>
  <si>
    <t>ERALTA</t>
  </si>
  <si>
    <t>18WERALTA-1234-V</t>
  </si>
  <si>
    <t>ERANCHO</t>
  </si>
  <si>
    <t>UP EOLICA RANCHOV</t>
  </si>
  <si>
    <t>18W000000000N3CV</t>
  </si>
  <si>
    <t>EREDON</t>
  </si>
  <si>
    <t>EOLICA EL REDONDAL</t>
  </si>
  <si>
    <t>18W000000000IQRQ</t>
  </si>
  <si>
    <t>EREGPEM</t>
  </si>
  <si>
    <t>REPRESENTADA MERCADOS DE AJUSTE</t>
  </si>
  <si>
    <t>18WEREGPEM-123-F</t>
  </si>
  <si>
    <t>ERENC01</t>
  </si>
  <si>
    <t>ENDESA ENERGIA RENOVABLE</t>
  </si>
  <si>
    <t>18W000000000FBJP</t>
  </si>
  <si>
    <t>EEREN</t>
  </si>
  <si>
    <t>EREPSOL</t>
  </si>
  <si>
    <t>18W000000000IVA8</t>
  </si>
  <si>
    <t>ERIANSA</t>
  </si>
  <si>
    <t>PARQUE EOLICO RIANSARES</t>
  </si>
  <si>
    <t>18W000000000OY3Q</t>
  </si>
  <si>
    <t>ERONDA</t>
  </si>
  <si>
    <t>PARQUE EOLICO RONDAVINO</t>
  </si>
  <si>
    <t>18W00000000032U4</t>
  </si>
  <si>
    <t>EROUCP3</t>
  </si>
  <si>
    <t>EROUTE</t>
  </si>
  <si>
    <t>ELECTROROUTE ENERGY TRADING LIMITED</t>
  </si>
  <si>
    <t>18WELECTROROUTEP</t>
  </si>
  <si>
    <t>EROUT</t>
  </si>
  <si>
    <t>EROUVP3</t>
  </si>
  <si>
    <t>18WEROUVP3-123-F</t>
  </si>
  <si>
    <t>ERPCC01</t>
  </si>
  <si>
    <t>UP COMPRA ENERGETICA</t>
  </si>
  <si>
    <t>18W000000000Q8E0</t>
  </si>
  <si>
    <t>ENEDJ</t>
  </si>
  <si>
    <t>ERPCFV0</t>
  </si>
  <si>
    <t>UP PER FV</t>
  </si>
  <si>
    <t>UNIDAD DE PROGRAMACION PARA EL PORFOLIO FV</t>
  </si>
  <si>
    <t>18W000000000QOJG</t>
  </si>
  <si>
    <t>ERPCFV1</t>
  </si>
  <si>
    <t>UP GEN FV</t>
  </si>
  <si>
    <t>UP GENERICA FV ENERGETICA</t>
  </si>
  <si>
    <t>18W000000000R37P</t>
  </si>
  <si>
    <t>ERPCHI0</t>
  </si>
  <si>
    <t>UP PER H</t>
  </si>
  <si>
    <t>UNIDAD DE PROGRAMACION PARA PORTFOLIA HIDRAULICO</t>
  </si>
  <si>
    <t>18W000000000QV9F</t>
  </si>
  <si>
    <t>ERUNAG</t>
  </si>
  <si>
    <t>18WERUNAG--12-1K</t>
  </si>
  <si>
    <t>ES-EYPP</t>
  </si>
  <si>
    <t>18W000000000POP8</t>
  </si>
  <si>
    <t>EPYM</t>
  </si>
  <si>
    <t>ES-FGEN</t>
  </si>
  <si>
    <t>MAZARRON</t>
  </si>
  <si>
    <t>MAZARRON SOLIDA</t>
  </si>
  <si>
    <t>18W000000000PY6G</t>
  </si>
  <si>
    <t>ISMSL</t>
  </si>
  <si>
    <t>ES-FINV</t>
  </si>
  <si>
    <t>MAYA</t>
  </si>
  <si>
    <t>18W000000000PW4Q</t>
  </si>
  <si>
    <t>ES-HCAB</t>
  </si>
  <si>
    <t>UP HCABB</t>
  </si>
  <si>
    <t>18W000000000Q411</t>
  </si>
  <si>
    <t>GEMSL</t>
  </si>
  <si>
    <t>ES-RCAB</t>
  </si>
  <si>
    <t>UP RCABB</t>
  </si>
  <si>
    <t>18W000000000Q403</t>
  </si>
  <si>
    <t>ES-SROC</t>
  </si>
  <si>
    <t>UPROCI2</t>
  </si>
  <si>
    <t>ROLWIND HUELVA 2 SLU</t>
  </si>
  <si>
    <t>18W000000000Q0AW</t>
  </si>
  <si>
    <t>ESANCHO</t>
  </si>
  <si>
    <t>PESANCHOA</t>
  </si>
  <si>
    <t>18W000000000MEQB</t>
  </si>
  <si>
    <t>ESARDON</t>
  </si>
  <si>
    <t>EOLICA EL SARDON</t>
  </si>
  <si>
    <t>18W000000000IQTM</t>
  </si>
  <si>
    <t>ESASDON</t>
  </si>
  <si>
    <t>SASDONIGAS</t>
  </si>
  <si>
    <t>SASDONIGAS 1</t>
  </si>
  <si>
    <t>18W000000000P6NT</t>
  </si>
  <si>
    <t>ESAV</t>
  </si>
  <si>
    <t>PESAVILA</t>
  </si>
  <si>
    <t>ELICA SIERRA DE AVILA SL</t>
  </si>
  <si>
    <t>18W000000000P3AR</t>
  </si>
  <si>
    <t>ESBUC01</t>
  </si>
  <si>
    <t>ESBUS</t>
  </si>
  <si>
    <t>ESTACION AUTOBUSES</t>
  </si>
  <si>
    <t>18W0000000005WMX</t>
  </si>
  <si>
    <t>ESC6</t>
  </si>
  <si>
    <t>ESC IBER 6</t>
  </si>
  <si>
    <t>C.T.C.C.ESCOMBRERAS</t>
  </si>
  <si>
    <t>18WESC6-12345-07</t>
  </si>
  <si>
    <t>ESCANDE</t>
  </si>
  <si>
    <t>ESCANDELLA</t>
  </si>
  <si>
    <t>ESCANDELLA COGEN</t>
  </si>
  <si>
    <t>18WESCANDE-12--V</t>
  </si>
  <si>
    <t>ESCCC1</t>
  </si>
  <si>
    <t>18WESCCC1-123-0T</t>
  </si>
  <si>
    <t>CARTA</t>
  </si>
  <si>
    <t>ESCCC1X</t>
  </si>
  <si>
    <t>18WESCCC1X--1--D</t>
  </si>
  <si>
    <t>ESCCC2</t>
  </si>
  <si>
    <t>ESC GDF 2</t>
  </si>
  <si>
    <t>18WESCCC2-123-0L</t>
  </si>
  <si>
    <t>ESCCC2X</t>
  </si>
  <si>
    <t>18WESCCC2X-12--S</t>
  </si>
  <si>
    <t>ESCCC3</t>
  </si>
  <si>
    <t>ESC GDF 3</t>
  </si>
  <si>
    <t>18WESCCC3-123-0D</t>
  </si>
  <si>
    <t>ESCCC3X</t>
  </si>
  <si>
    <t>18WESCCC3X-12--K</t>
  </si>
  <si>
    <t>ESCU4</t>
  </si>
  <si>
    <t>ESC4</t>
  </si>
  <si>
    <t>ESCUDER4</t>
  </si>
  <si>
    <t>18W000000000PKE5</t>
  </si>
  <si>
    <t>ESDCAND</t>
  </si>
  <si>
    <t>EOLICA SERRA DO CANDO</t>
  </si>
  <si>
    <t>18W000000000IQVI</t>
  </si>
  <si>
    <t>ESDOC01</t>
  </si>
  <si>
    <t>ESDOMO</t>
  </si>
  <si>
    <t>ESDOMO ENERGIA SL</t>
  </si>
  <si>
    <t>18W000000000HC71</t>
  </si>
  <si>
    <t>ESDOM</t>
  </si>
  <si>
    <t>ESEIXO</t>
  </si>
  <si>
    <t>EOLICA MONTE SEIXO</t>
  </si>
  <si>
    <t>18W000000000IQUK</t>
  </si>
  <si>
    <t>ESEOUR</t>
  </si>
  <si>
    <t>18WESEOUR-1234-M</t>
  </si>
  <si>
    <t>ESERC01</t>
  </si>
  <si>
    <t>ESERO COM</t>
  </si>
  <si>
    <t>ELECTRICA SEROSENSE (NACIONAL)</t>
  </si>
  <si>
    <t>18WESERC01-12-2G</t>
  </si>
  <si>
    <t>ESERO</t>
  </si>
  <si>
    <t>ESHAC01</t>
  </si>
  <si>
    <t>HANWHA</t>
  </si>
  <si>
    <t>HANWHA ENERGY RETAIL SPAIN SLU</t>
  </si>
  <si>
    <t>18W000000000H8LM</t>
  </si>
  <si>
    <t>ESHAN</t>
  </si>
  <si>
    <t>ESHIC01</t>
  </si>
  <si>
    <t>EVERSHINING ENERGY</t>
  </si>
  <si>
    <t>18W000000000QDP0</t>
  </si>
  <si>
    <t>ESHIN</t>
  </si>
  <si>
    <t>ESIAM</t>
  </si>
  <si>
    <t>18WESIAM-1234--U</t>
  </si>
  <si>
    <t>ESIEMIN</t>
  </si>
  <si>
    <t>18WESIEMIN-123-4</t>
  </si>
  <si>
    <t>ESIERAR</t>
  </si>
  <si>
    <t>SIERRA</t>
  </si>
  <si>
    <t>18W000000000MEHT</t>
  </si>
  <si>
    <t>ESLA</t>
  </si>
  <si>
    <t>COGENERACION ESLA</t>
  </si>
  <si>
    <t>18WESLA-123456-Y</t>
  </si>
  <si>
    <t>ESOLANS</t>
  </si>
  <si>
    <t>PE SOLANS</t>
  </si>
  <si>
    <t>PARQUE EOLICO SOLANS</t>
  </si>
  <si>
    <t>18W000000000PLKR</t>
  </si>
  <si>
    <t>ESOMERS</t>
  </si>
  <si>
    <t>18WESOMERSA-1-11</t>
  </si>
  <si>
    <t>ESTEC01</t>
  </si>
  <si>
    <t>ELTE COMPR</t>
  </si>
  <si>
    <t>ELTE COMPRA</t>
  </si>
  <si>
    <t>18W000000000PTXE</t>
  </si>
  <si>
    <t>ELTES</t>
  </si>
  <si>
    <t>ESTEVE</t>
  </si>
  <si>
    <t>18W000000000OJ6S</t>
  </si>
  <si>
    <t>ETASA</t>
  </si>
  <si>
    <t>18WETASA-1234-1U</t>
  </si>
  <si>
    <t>ETEJONE</t>
  </si>
  <si>
    <t>UP EOLICA TEJONER</t>
  </si>
  <si>
    <t>18W000000000N3DT</t>
  </si>
  <si>
    <t>ETMA</t>
  </si>
  <si>
    <t>PETMADRINA</t>
  </si>
  <si>
    <t>PARC ELIC DE TORRE MADRINA SLU</t>
  </si>
  <si>
    <t>18W000000000P3CN</t>
  </si>
  <si>
    <t>ETNEC01</t>
  </si>
  <si>
    <t>ETNER</t>
  </si>
  <si>
    <t>ETER ENERGIA</t>
  </si>
  <si>
    <t>18W000000000IXHP</t>
  </si>
  <si>
    <t>ETO1</t>
  </si>
  <si>
    <t>EL TORCIO</t>
  </si>
  <si>
    <t>18WETO1-123456-5</t>
  </si>
  <si>
    <t>ETRIGO</t>
  </si>
  <si>
    <t>EOLICA SIERRA DE TRIGO</t>
  </si>
  <si>
    <t>18W000000000IQOW</t>
  </si>
  <si>
    <t>ETSOC01</t>
  </si>
  <si>
    <t>ENERGY TRADER SOLUTION SL</t>
  </si>
  <si>
    <t>18WENERGYTRADERY</t>
  </si>
  <si>
    <t>ETSOL</t>
  </si>
  <si>
    <t>EUCDR01</t>
  </si>
  <si>
    <t>18W000000000OTN1</t>
  </si>
  <si>
    <t>EUEUZA</t>
  </si>
  <si>
    <t>18WEUEUZA-1234-T</t>
  </si>
  <si>
    <t>EUJARAL</t>
  </si>
  <si>
    <t>UW-JARALES</t>
  </si>
  <si>
    <t>18WEUJARAL-123-5</t>
  </si>
  <si>
    <t>EULAYAL</t>
  </si>
  <si>
    <t>EOL UW LOMA AYALA</t>
  </si>
  <si>
    <t>18WEULAYAL-123-V</t>
  </si>
  <si>
    <t>EUNION</t>
  </si>
  <si>
    <t>18WEUNION-1234-8</t>
  </si>
  <si>
    <t>EUNTAL</t>
  </si>
  <si>
    <t>18WEUNTAL-1234-3</t>
  </si>
  <si>
    <t>EUNZUE</t>
  </si>
  <si>
    <t>18WEUNZUE-1234-4</t>
  </si>
  <si>
    <t>EURCC01</t>
  </si>
  <si>
    <t>EURCO_UP</t>
  </si>
  <si>
    <t>EURCO_COMPRAS</t>
  </si>
  <si>
    <t>18W000000000AXN8</t>
  </si>
  <si>
    <t>EURCO</t>
  </si>
  <si>
    <t>EUW3VIL</t>
  </si>
  <si>
    <t>UW - TRES VILLAS</t>
  </si>
  <si>
    <t>18WEUW3VIL-123-H</t>
  </si>
  <si>
    <t>EVALDET</t>
  </si>
  <si>
    <t>EOL VALDETELLAS</t>
  </si>
  <si>
    <t>18W000000000IZ3A</t>
  </si>
  <si>
    <t>EVALDLU</t>
  </si>
  <si>
    <t>18W000000000PRN3</t>
  </si>
  <si>
    <t>EVALLE</t>
  </si>
  <si>
    <t>PE VALLE</t>
  </si>
  <si>
    <t>PARQUE EOLICO VALLE</t>
  </si>
  <si>
    <t>18W000000000OVSM</t>
  </si>
  <si>
    <t>EVAR</t>
  </si>
  <si>
    <t>PEARCS</t>
  </si>
  <si>
    <t>VILALBA DELS ARCS SLU</t>
  </si>
  <si>
    <t>18W000000000P3EJ</t>
  </si>
  <si>
    <t>EVDCONE</t>
  </si>
  <si>
    <t>EOLICA VALDECONEJOS</t>
  </si>
  <si>
    <t>18W000000000IQXE</t>
  </si>
  <si>
    <t>EVDMOG</t>
  </si>
  <si>
    <t>PARQUE EOLICO VIRXE DO MONTE</t>
  </si>
  <si>
    <t>18WEVDMOG-123-1M</t>
  </si>
  <si>
    <t>EVECIA</t>
  </si>
  <si>
    <t>18WEVECIA-1234-H</t>
  </si>
  <si>
    <t>EVESTA</t>
  </si>
  <si>
    <t>18WEVESTA-1234-H</t>
  </si>
  <si>
    <t>EVIENG</t>
  </si>
  <si>
    <t>VIENTOS GESTIONABLE</t>
  </si>
  <si>
    <t>18W000000000QECN</t>
  </si>
  <si>
    <t>EVILLAN</t>
  </si>
  <si>
    <t>EOLICA VILLANUEVA</t>
  </si>
  <si>
    <t>18WEVILLAN-12-1G</t>
  </si>
  <si>
    <t>EVIVC01</t>
  </si>
  <si>
    <t>UP E_VIVA</t>
  </si>
  <si>
    <t>UP ENERGA VIVA SPAIN</t>
  </si>
  <si>
    <t>18W0000000000UV4</t>
  </si>
  <si>
    <t>EVIVA</t>
  </si>
  <si>
    <t>EVIVV01</t>
  </si>
  <si>
    <t>EVIVA VENTA</t>
  </si>
  <si>
    <t>18W000000000QSXD</t>
  </si>
  <si>
    <t>EVMER01</t>
  </si>
  <si>
    <t>UP EVM SRAD</t>
  </si>
  <si>
    <t>18W000000000QOGM</t>
  </si>
  <si>
    <t>EVOLTOR</t>
  </si>
  <si>
    <t>UP EOLICA SVOLTOR</t>
  </si>
  <si>
    <t>18W000000000N3ER</t>
  </si>
  <si>
    <t>EWIESRB</t>
  </si>
  <si>
    <t>EOLICA TARIFA</t>
  </si>
  <si>
    <t>18WEWIESRB-123-P</t>
  </si>
  <si>
    <t>EXPC01</t>
  </si>
  <si>
    <t>EXPOCENTER</t>
  </si>
  <si>
    <t>EXPOCENTER CENTRO DE NEGOCIOS</t>
  </si>
  <si>
    <t>18W000000000R1K5</t>
  </si>
  <si>
    <t>EXPOC</t>
  </si>
  <si>
    <t>EXUNQUE</t>
  </si>
  <si>
    <t>PE XUNQUEI</t>
  </si>
  <si>
    <t>PARQUE EOLICO XUNQUEIRA</t>
  </si>
  <si>
    <t>18W000000000OVTK</t>
  </si>
  <si>
    <t>EYCEC01</t>
  </si>
  <si>
    <t>18W0000000005XMU</t>
  </si>
  <si>
    <t>EYCE1</t>
  </si>
  <si>
    <t>EYDETIC</t>
  </si>
  <si>
    <t>18WEYDETIC-123-1</t>
  </si>
  <si>
    <t>EYEEXXI</t>
  </si>
  <si>
    <t>18WEYEEXXI-123-E</t>
  </si>
  <si>
    <t>EYEFG</t>
  </si>
  <si>
    <t>UP EOLICA TARIFA CON DESVIOS</t>
  </si>
  <si>
    <t>18WEYEFG-12345-P</t>
  </si>
  <si>
    <t>EYEGLE</t>
  </si>
  <si>
    <t>18WEYEGLE-1234-U</t>
  </si>
  <si>
    <t>EYEONUR</t>
  </si>
  <si>
    <t>18WEYEONUR-123-2</t>
  </si>
  <si>
    <t>EYGESTE</t>
  </si>
  <si>
    <t>18WEYGESTE-123-N</t>
  </si>
  <si>
    <t>EYGNSUR</t>
  </si>
  <si>
    <t>18WEYGNSUR-123-J</t>
  </si>
  <si>
    <t>GNSUR</t>
  </si>
  <si>
    <t>EYHCCUR</t>
  </si>
  <si>
    <t>18WEYHCCUR-123-3</t>
  </si>
  <si>
    <t>EYIBCUR</t>
  </si>
  <si>
    <t>18WEYIBCUR-123-2</t>
  </si>
  <si>
    <t>EYNEXU</t>
  </si>
  <si>
    <t>NEXU ( EOLICA, TARIFA, NO EXENTO)</t>
  </si>
  <si>
    <t>18WEYNEXU-1234-B</t>
  </si>
  <si>
    <t>EYOLPOP</t>
  </si>
  <si>
    <t>EOLPOP</t>
  </si>
  <si>
    <t>EOLICA VIURE DLAIRE</t>
  </si>
  <si>
    <t>18W0000000008NFP</t>
  </si>
  <si>
    <t>EYPC01</t>
  </si>
  <si>
    <t>ESTPAYMER</t>
  </si>
  <si>
    <t>ESTABANELL Y PAHISA MERCATOR S.A.</t>
  </si>
  <si>
    <t>18WEYPC01-123-2T</t>
  </si>
  <si>
    <t>EYPPV1</t>
  </si>
  <si>
    <t>EYP PV</t>
  </si>
  <si>
    <t>EYP PV MENORS 1MW</t>
  </si>
  <si>
    <t>18W000000000DQR9</t>
  </si>
  <si>
    <t>EYWMARK</t>
  </si>
  <si>
    <t>EOLICA SIN UF W2M</t>
  </si>
  <si>
    <t>18WEYWMARK-123-E</t>
  </si>
  <si>
    <t>EZENET</t>
  </si>
  <si>
    <t>UP ENERGA ELICA ZENETE</t>
  </si>
  <si>
    <t>18W000000000P30A</t>
  </si>
  <si>
    <t>EZKAC01</t>
  </si>
  <si>
    <t>18W0000000007KIW</t>
  </si>
  <si>
    <t>EZKAI</t>
  </si>
  <si>
    <t>F1CEG</t>
  </si>
  <si>
    <t>FV PEN MAYOR 1MW</t>
  </si>
  <si>
    <t>18WF1CEG-12345-X</t>
  </si>
  <si>
    <t>F1DREUA</t>
  </si>
  <si>
    <t>UP RD 413-2014 FV SUP 1MW</t>
  </si>
  <si>
    <t>18W000000000B38D</t>
  </si>
  <si>
    <t>FAAVYC</t>
  </si>
  <si>
    <t>UP FV AAVYC GESTION 2000</t>
  </si>
  <si>
    <t>18WFAAVYC-1234-O</t>
  </si>
  <si>
    <t>FABENOJ</t>
  </si>
  <si>
    <t>UP SOLAR ABENOJAR</t>
  </si>
  <si>
    <t>18W000000000R57J</t>
  </si>
  <si>
    <t>FABLITA</t>
  </si>
  <si>
    <t>FABLITAS</t>
  </si>
  <si>
    <t>UP SOLAR ABLITAS</t>
  </si>
  <si>
    <t>18W000000000QAR5</t>
  </si>
  <si>
    <t>FAGAC</t>
  </si>
  <si>
    <t>GAC FOTOV MAYOR 1MW</t>
  </si>
  <si>
    <t>18W000000000O3DP</t>
  </si>
  <si>
    <t>GAC</t>
  </si>
  <si>
    <t>FAGENOR</t>
  </si>
  <si>
    <t>AGENR</t>
  </si>
  <si>
    <t>AGENORR</t>
  </si>
  <si>
    <t>18W000000000QR7V</t>
  </si>
  <si>
    <t>FAGROB1</t>
  </si>
  <si>
    <t>UP SOLAR ALGARROBO I</t>
  </si>
  <si>
    <t>18W000000000QMVZ</t>
  </si>
  <si>
    <t>FAGROB2</t>
  </si>
  <si>
    <t>UP SOLAR ALGARROBO II</t>
  </si>
  <si>
    <t>18W000000000QMWX</t>
  </si>
  <si>
    <t>FAGROB3</t>
  </si>
  <si>
    <t>UP SOLAR ALGARROBO III</t>
  </si>
  <si>
    <t>18W000000000QMXV</t>
  </si>
  <si>
    <t>FAGUDO</t>
  </si>
  <si>
    <t>UP SOLAR AURA DE AGUDO</t>
  </si>
  <si>
    <t>18W000000000OA2Q</t>
  </si>
  <si>
    <t>FAIELO</t>
  </si>
  <si>
    <t>UP SOLAR FAIELO</t>
  </si>
  <si>
    <t>18W000000000P2L8</t>
  </si>
  <si>
    <t>FALAM</t>
  </si>
  <si>
    <t>18W000000000KRMP</t>
  </si>
  <si>
    <t>FALAMIL</t>
  </si>
  <si>
    <t>UP SOLAR ALAMILLA</t>
  </si>
  <si>
    <t>18W000000000R6W3</t>
  </si>
  <si>
    <t>FALARCO</t>
  </si>
  <si>
    <t>UP FV ALARCO</t>
  </si>
  <si>
    <t>18W000000000G236</t>
  </si>
  <si>
    <t>FALCNOR</t>
  </si>
  <si>
    <t>ALCNOR</t>
  </si>
  <si>
    <t>ALCALNORT</t>
  </si>
  <si>
    <t>18W000000000P237</t>
  </si>
  <si>
    <t>FALCNRA</t>
  </si>
  <si>
    <t>FCNERA</t>
  </si>
  <si>
    <t>FV_FALCONERA</t>
  </si>
  <si>
    <t>18W000000000QD9W</t>
  </si>
  <si>
    <t>FALCON1</t>
  </si>
  <si>
    <t>UP SOLAR FV ALCON 1</t>
  </si>
  <si>
    <t>18W000000000QF6W</t>
  </si>
  <si>
    <t>FALCONC</t>
  </si>
  <si>
    <t>ALCONCHEL</t>
  </si>
  <si>
    <t>PARQUE FV ALCONCHEL</t>
  </si>
  <si>
    <t>18W000000000PX7H</t>
  </si>
  <si>
    <t>FALCORE</t>
  </si>
  <si>
    <t>UP FV ALCORES</t>
  </si>
  <si>
    <t>18W000000000G29V</t>
  </si>
  <si>
    <t>FALCSUR</t>
  </si>
  <si>
    <t>ALCSUR</t>
  </si>
  <si>
    <t>ALCALASUR</t>
  </si>
  <si>
    <t>18W000000000P253</t>
  </si>
  <si>
    <t>FALIWN</t>
  </si>
  <si>
    <t>FALIWIN</t>
  </si>
  <si>
    <t>UP SOLAR ALIWIN</t>
  </si>
  <si>
    <t>18W000000000L9DJ</t>
  </si>
  <si>
    <t>FALIZAR</t>
  </si>
  <si>
    <t>ALIZARSUN</t>
  </si>
  <si>
    <t>18W000000000MEJP</t>
  </si>
  <si>
    <t>FALJORR</t>
  </si>
  <si>
    <t>FALJORRA</t>
  </si>
  <si>
    <t>UP FV ALJORRA</t>
  </si>
  <si>
    <t>18W000000000G2DN</t>
  </si>
  <si>
    <t>FALMANS</t>
  </si>
  <si>
    <t>UP FV ALMANSA</t>
  </si>
  <si>
    <t>18W000000000G27Z</t>
  </si>
  <si>
    <t>FALNERA</t>
  </si>
  <si>
    <t>UP FALNERA</t>
  </si>
  <si>
    <t>18W000000000LEX1</t>
  </si>
  <si>
    <t>FALNGE</t>
  </si>
  <si>
    <t>UP FALNGE</t>
  </si>
  <si>
    <t>18W000000000L9QU</t>
  </si>
  <si>
    <t>FALQRIA</t>
  </si>
  <si>
    <t>ALQUERIA</t>
  </si>
  <si>
    <t>18W000000000O2TX</t>
  </si>
  <si>
    <t>FALTCO</t>
  </si>
  <si>
    <t>UP ALTCO</t>
  </si>
  <si>
    <t>UP MAYOR 5MW ALTCO</t>
  </si>
  <si>
    <t>18W000000000F23A</t>
  </si>
  <si>
    <t>FANGES1</t>
  </si>
  <si>
    <t>FV CASA ANGEL RENOVALIA</t>
  </si>
  <si>
    <t>18W000000000QDIE</t>
  </si>
  <si>
    <t>FANOVR</t>
  </si>
  <si>
    <t>ANOVR</t>
  </si>
  <si>
    <t>ANOVER</t>
  </si>
  <si>
    <t>18W000000000LKID</t>
  </si>
  <si>
    <t>FANPU</t>
  </si>
  <si>
    <t>UP ANPU SOLAR</t>
  </si>
  <si>
    <t>18W000000000MOZ0</t>
  </si>
  <si>
    <t>FANTU</t>
  </si>
  <si>
    <t>UP ANTU SOLAR SL</t>
  </si>
  <si>
    <t>18W000000000P7UC</t>
  </si>
  <si>
    <t>FARBYON</t>
  </si>
  <si>
    <t>UP SOLAR ARABAYONA</t>
  </si>
  <si>
    <t>18W000000000QFJ6</t>
  </si>
  <si>
    <t>FARCICR</t>
  </si>
  <si>
    <t>ARCICLLR</t>
  </si>
  <si>
    <t>ARCICOLLR</t>
  </si>
  <si>
    <t>18W000000000O2R0</t>
  </si>
  <si>
    <t>FARCOS</t>
  </si>
  <si>
    <t>UP SOLAR LOS ARCOS</t>
  </si>
  <si>
    <t>18W000000000OK2X</t>
  </si>
  <si>
    <t>FARGASL</t>
  </si>
  <si>
    <t>PE_ARGASOL</t>
  </si>
  <si>
    <t>PARQUE FV ARGASOL</t>
  </si>
  <si>
    <t>18W000000000PXAB</t>
  </si>
  <si>
    <t>FAROBO</t>
  </si>
  <si>
    <t>UP SOLAR ARROLLO</t>
  </si>
  <si>
    <t>18W000000000QJMP</t>
  </si>
  <si>
    <t>FASETYM</t>
  </si>
  <si>
    <t>PE_ASETYM</t>
  </si>
  <si>
    <t>PARQUE FV ASETYM SOL DE MURCIA</t>
  </si>
  <si>
    <t>18W000000000PX8F</t>
  </si>
  <si>
    <t>FASSENE</t>
  </si>
  <si>
    <t>UP FV ASSET ENERGIA SOLAR</t>
  </si>
  <si>
    <t>18WFASSENE-123-F</t>
  </si>
  <si>
    <t>FASSEST</t>
  </si>
  <si>
    <t>UP FV ASSET SESTRA</t>
  </si>
  <si>
    <t>18WFASSEST-123-I</t>
  </si>
  <si>
    <t>FASSLOG</t>
  </si>
  <si>
    <t>UP FV ASSET LOGISTIC</t>
  </si>
  <si>
    <t>18WFASSLOG-123-4</t>
  </si>
  <si>
    <t>FATALAY</t>
  </si>
  <si>
    <t>UP SOLAR ATALAYA</t>
  </si>
  <si>
    <t>18W000000000R38N</t>
  </si>
  <si>
    <t>FAUDAX</t>
  </si>
  <si>
    <t>PV AUDAX</t>
  </si>
  <si>
    <t>18W000000000I2K1</t>
  </si>
  <si>
    <t>FAZARA</t>
  </si>
  <si>
    <t>UP AZARAR</t>
  </si>
  <si>
    <t>18W000000000IBZI</t>
  </si>
  <si>
    <t>FAZUER1</t>
  </si>
  <si>
    <t>UP SOLAR AZUER1</t>
  </si>
  <si>
    <t>18W000000000LX7X</t>
  </si>
  <si>
    <t>FAZUER2</t>
  </si>
  <si>
    <t>UP SOLAR AZUER2</t>
  </si>
  <si>
    <t>18W000000000LX9T</t>
  </si>
  <si>
    <t>FBARAD</t>
  </si>
  <si>
    <t>BARAD</t>
  </si>
  <si>
    <t>FBARRAD</t>
  </si>
  <si>
    <t>18W000000000JWFS</t>
  </si>
  <si>
    <t>FBARCI</t>
  </si>
  <si>
    <t>UP COLMENA SUN BARCIENCE</t>
  </si>
  <si>
    <t>18W000000000R54P</t>
  </si>
  <si>
    <t>FBARGSN</t>
  </si>
  <si>
    <t>BARGSNORT</t>
  </si>
  <si>
    <t>BARGASNORTE</t>
  </si>
  <si>
    <t>18W000000000PYGX</t>
  </si>
  <si>
    <t>FBARGSS</t>
  </si>
  <si>
    <t>BRNSSUR</t>
  </si>
  <si>
    <t>BARGSSUR</t>
  </si>
  <si>
    <t>18W000000000PYIT</t>
  </si>
  <si>
    <t>FBELCH1</t>
  </si>
  <si>
    <t>BELINCHON1</t>
  </si>
  <si>
    <t>18W000000000Q6KV</t>
  </si>
  <si>
    <t>FBELCH2</t>
  </si>
  <si>
    <t>18W000000000Q6LT</t>
  </si>
  <si>
    <t>FBELCH3</t>
  </si>
  <si>
    <t>18W000000000Q6MR</t>
  </si>
  <si>
    <t>FBELOS</t>
  </si>
  <si>
    <t>UP FV BELOS</t>
  </si>
  <si>
    <t>18W000000000I9DV</t>
  </si>
  <si>
    <t>FBHIBHV</t>
  </si>
  <si>
    <t>VENTA HIBRIDACION FV Y BATERIA</t>
  </si>
  <si>
    <t>18W000000000Q3TM</t>
  </si>
  <si>
    <t>FBLANCA</t>
  </si>
  <si>
    <t>BLNCA</t>
  </si>
  <si>
    <t>CSBLANCA</t>
  </si>
  <si>
    <t>18W000000000N7DH</t>
  </si>
  <si>
    <t>FBLCON1</t>
  </si>
  <si>
    <t>UP SOLAR BELINCHON1</t>
  </si>
  <si>
    <t>18W000000000QAMF</t>
  </si>
  <si>
    <t>FBLCON2</t>
  </si>
  <si>
    <t>UP SOLAR BELINCHON 2</t>
  </si>
  <si>
    <t>18W000000000QE50</t>
  </si>
  <si>
    <t>FBLCON3</t>
  </si>
  <si>
    <t>UP SOLAR BELINCHON3</t>
  </si>
  <si>
    <t>18W000000000QTEB</t>
  </si>
  <si>
    <t>FBLDIO2</t>
  </si>
  <si>
    <t>BLDIO</t>
  </si>
  <si>
    <t>BALDIO2</t>
  </si>
  <si>
    <t>18W000000000MZ2X</t>
  </si>
  <si>
    <t>FBRDENA</t>
  </si>
  <si>
    <t>FBRDENAS</t>
  </si>
  <si>
    <t>18W000000000IPXH</t>
  </si>
  <si>
    <t>FBRDENS</t>
  </si>
  <si>
    <t>BRDNS</t>
  </si>
  <si>
    <t>BRDNASS</t>
  </si>
  <si>
    <t>18W000000000NDV0</t>
  </si>
  <si>
    <t>FBRERAS</t>
  </si>
  <si>
    <t>BRERAS</t>
  </si>
  <si>
    <t>LUMBRERAS</t>
  </si>
  <si>
    <t>18W000000000NKK1</t>
  </si>
  <si>
    <t>FBRGAS</t>
  </si>
  <si>
    <t>UP SOLAR BARGAS</t>
  </si>
  <si>
    <t>18W000000000R56L</t>
  </si>
  <si>
    <t>FBUIXEU</t>
  </si>
  <si>
    <t>UP SOLAR BUIXALLEU</t>
  </si>
  <si>
    <t>18W000000000QHJ0</t>
  </si>
  <si>
    <t>FBURGLL</t>
  </si>
  <si>
    <t>UP SOLAR BURGUILLOS</t>
  </si>
  <si>
    <t>18W000000000PVQM</t>
  </si>
  <si>
    <t>FCABEZA</t>
  </si>
  <si>
    <t>CABEZA</t>
  </si>
  <si>
    <t>CABEZASS</t>
  </si>
  <si>
    <t>18W000000000NDS6</t>
  </si>
  <si>
    <t>FCADIMA</t>
  </si>
  <si>
    <t>UP FV CADIMA</t>
  </si>
  <si>
    <t>18W000000000G2AT</t>
  </si>
  <si>
    <t>FCALCAL</t>
  </si>
  <si>
    <t>UP FV CALCAL</t>
  </si>
  <si>
    <t>18W000000000L28D</t>
  </si>
  <si>
    <t>FCALERA</t>
  </si>
  <si>
    <t>CALERA</t>
  </si>
  <si>
    <t>CALERACHOZAS</t>
  </si>
  <si>
    <t>18W000000000N0C3</t>
  </si>
  <si>
    <t>FCALIG</t>
  </si>
  <si>
    <t>UP SOLAR CALIG</t>
  </si>
  <si>
    <t>18W000000000ONV3</t>
  </si>
  <si>
    <t>FCAMPAN</t>
  </si>
  <si>
    <t>FCP</t>
  </si>
  <si>
    <t>FCPAM</t>
  </si>
  <si>
    <t>18W000000000H0GJ</t>
  </si>
  <si>
    <t>FCANAME</t>
  </si>
  <si>
    <t>UP CANAME</t>
  </si>
  <si>
    <t>18W000000000FNMK</t>
  </si>
  <si>
    <t>FCANAVE</t>
  </si>
  <si>
    <t>18WFCANAVE-123-Q</t>
  </si>
  <si>
    <t>FCAPRI</t>
  </si>
  <si>
    <t>18W000000000KNDI</t>
  </si>
  <si>
    <t>FCARAVA</t>
  </si>
  <si>
    <t>18W000000000QRDJ</t>
  </si>
  <si>
    <t>FCARRIL</t>
  </si>
  <si>
    <t>UP FV CARRIL</t>
  </si>
  <si>
    <t>18W000000000HG5U</t>
  </si>
  <si>
    <t>FCARTU</t>
  </si>
  <si>
    <t>FCATUR</t>
  </si>
  <si>
    <t>UP PSFV-CARTUJA</t>
  </si>
  <si>
    <t>18W000000000LZED</t>
  </si>
  <si>
    <t>FCARVAC</t>
  </si>
  <si>
    <t>CAR</t>
  </si>
  <si>
    <t>CARAVACA</t>
  </si>
  <si>
    <t>18W000000000R29O</t>
  </si>
  <si>
    <t>FCASAQ1</t>
  </si>
  <si>
    <t>CASAQUEMADA I</t>
  </si>
  <si>
    <t>18W000000000Q1TS</t>
  </si>
  <si>
    <t>FCASAQ2</t>
  </si>
  <si>
    <t>CASAQUEMADA II</t>
  </si>
  <si>
    <t>18W000000000Q1UQ</t>
  </si>
  <si>
    <t>FCASTEJ</t>
  </si>
  <si>
    <t>CASTEJ</t>
  </si>
  <si>
    <t>CASTEJADA</t>
  </si>
  <si>
    <t>18W000000000JQWC</t>
  </si>
  <si>
    <t>FCASTJA</t>
  </si>
  <si>
    <t>UP FV CASTJA</t>
  </si>
  <si>
    <t>18WFCASTJA-123-3</t>
  </si>
  <si>
    <t>FCASTOR</t>
  </si>
  <si>
    <t>CASTOR</t>
  </si>
  <si>
    <t>18W000000000MEKN</t>
  </si>
  <si>
    <t>FCASTUR</t>
  </si>
  <si>
    <t>UP SOLAR CASTUR</t>
  </si>
  <si>
    <t>18W000000000QB3D</t>
  </si>
  <si>
    <t>FCLVRON</t>
  </si>
  <si>
    <t>UP SOLAR CALAVERON</t>
  </si>
  <si>
    <t>18W000000000LZZ8</t>
  </si>
  <si>
    <t>FCNTRAS</t>
  </si>
  <si>
    <t>UP SOLAR CONTRERAS</t>
  </si>
  <si>
    <t>18W000000000QMOC</t>
  </si>
  <si>
    <t>FCONV61</t>
  </si>
  <si>
    <t>UP FV CONVERTIDOR SOLAR 66</t>
  </si>
  <si>
    <t>18WFCONV61-123-B</t>
  </si>
  <si>
    <t>FCORELA</t>
  </si>
  <si>
    <t>18W000000000INEO</t>
  </si>
  <si>
    <t>FCORESE</t>
  </si>
  <si>
    <t>UP SOLAR CORESES</t>
  </si>
  <si>
    <t>18W000000000MZUE</t>
  </si>
  <si>
    <t>FCORIA</t>
  </si>
  <si>
    <t>UP SOLAR AURA DE GUIJO DE CORIA</t>
  </si>
  <si>
    <t>18W000000000OA0U</t>
  </si>
  <si>
    <t>FCORONI</t>
  </si>
  <si>
    <t>MORON TARIFA &gt;10MW</t>
  </si>
  <si>
    <t>18WFCORONI-123-1</t>
  </si>
  <si>
    <t>FCOSENT</t>
  </si>
  <si>
    <t>COSENT</t>
  </si>
  <si>
    <t>18W000000000NX8N</t>
  </si>
  <si>
    <t>FCOTILL</t>
  </si>
  <si>
    <t>UP FV TORRES COTILLAS</t>
  </si>
  <si>
    <t>18W000000000G244</t>
  </si>
  <si>
    <t>FCRJOS1</t>
  </si>
  <si>
    <t>UP SOLAR CARTUJOS 1</t>
  </si>
  <si>
    <t>18W000000000QAIN</t>
  </si>
  <si>
    <t>FCRJOS2</t>
  </si>
  <si>
    <t>UP SOLAR CARTUJOS 2</t>
  </si>
  <si>
    <t>18W000000000QAJL</t>
  </si>
  <si>
    <t>FCRONOS</t>
  </si>
  <si>
    <t>CRONO</t>
  </si>
  <si>
    <t>CRONOS</t>
  </si>
  <si>
    <t>18W000000000MP2Q</t>
  </si>
  <si>
    <t>FCSERAS</t>
  </si>
  <si>
    <t>UP SOLAR CASTELSERAS</t>
  </si>
  <si>
    <t>18W000000000P9IU</t>
  </si>
  <si>
    <t>FCSTEL1</t>
  </si>
  <si>
    <t>UP SOLAR CASTELNOU</t>
  </si>
  <si>
    <t>18W000000000QJQH</t>
  </si>
  <si>
    <t>FCSTEL2</t>
  </si>
  <si>
    <t>FCASTEL2</t>
  </si>
  <si>
    <t>UP SOLAR CASTELNOU II</t>
  </si>
  <si>
    <t>18W000000000QJNN</t>
  </si>
  <si>
    <t>FCTUERA</t>
  </si>
  <si>
    <t>UP SOLAR CASTUERA</t>
  </si>
  <si>
    <t>18W000000000QMLI</t>
  </si>
  <si>
    <t>FCUARTI</t>
  </si>
  <si>
    <t>FV CUARTILLEJO</t>
  </si>
  <si>
    <t>18W000000000OR1E</t>
  </si>
  <si>
    <t>FCVALDE</t>
  </si>
  <si>
    <t>VALDES</t>
  </si>
  <si>
    <t>CASA VALDES</t>
  </si>
  <si>
    <t>18W000000000P5RO</t>
  </si>
  <si>
    <t>FDARRO</t>
  </si>
  <si>
    <t>18W000000000OBZV</t>
  </si>
  <si>
    <t>FDERSC</t>
  </si>
  <si>
    <t>MOTORS</t>
  </si>
  <si>
    <t>TEST</t>
  </si>
  <si>
    <t>18WFDERSC-1234-1</t>
  </si>
  <si>
    <t>FDESENE</t>
  </si>
  <si>
    <t>UP FV DESARROLLOS ENERGETICOS SOLARES</t>
  </si>
  <si>
    <t>18WFDESENE-123-M</t>
  </si>
  <si>
    <t>FDEVAR</t>
  </si>
  <si>
    <t>DEVA</t>
  </si>
  <si>
    <t>DEVA RENOVABLES</t>
  </si>
  <si>
    <t>18W0000000000O7X</t>
  </si>
  <si>
    <t>FDHSLA</t>
  </si>
  <si>
    <t>UP SOLAR DEHESILLA</t>
  </si>
  <si>
    <t>18W000000000PVLW</t>
  </si>
  <si>
    <t>FDRACOS</t>
  </si>
  <si>
    <t>DRACO</t>
  </si>
  <si>
    <t>DRACOS</t>
  </si>
  <si>
    <t>18W000000000O9E5</t>
  </si>
  <si>
    <t>FDREU04</t>
  </si>
  <si>
    <t>CLIMASTER</t>
  </si>
  <si>
    <t>FV CLIMASTER</t>
  </si>
  <si>
    <t>18W000000000GUF9</t>
  </si>
  <si>
    <t>FDREU05</t>
  </si>
  <si>
    <t>ZARZA</t>
  </si>
  <si>
    <t>FV ZARZA</t>
  </si>
  <si>
    <t>18W000000000H9ZS</t>
  </si>
  <si>
    <t>FDREU06</t>
  </si>
  <si>
    <t>GT PILAR</t>
  </si>
  <si>
    <t>GT PILAR DE LA HORADADA</t>
  </si>
  <si>
    <t>18W000000000M3FT</t>
  </si>
  <si>
    <t>FDREU07</t>
  </si>
  <si>
    <t>FV BANY 16</t>
  </si>
  <si>
    <t>FV BANYERES 1600</t>
  </si>
  <si>
    <t>18W000000000M3HP</t>
  </si>
  <si>
    <t>FDREU08</t>
  </si>
  <si>
    <t>FV BELINCH</t>
  </si>
  <si>
    <t>FV BELINCHON</t>
  </si>
  <si>
    <t>18W000000000NXG7</t>
  </si>
  <si>
    <t>FDREUA</t>
  </si>
  <si>
    <t>UP RD 413-2014</t>
  </si>
  <si>
    <t>18WFDREUA-1234-N</t>
  </si>
  <si>
    <t>FDRODR2</t>
  </si>
  <si>
    <t>FD2</t>
  </si>
  <si>
    <t>FRODR2</t>
  </si>
  <si>
    <t>18W000000000GTBK</t>
  </si>
  <si>
    <t>FDRODRI</t>
  </si>
  <si>
    <t>RODRIG</t>
  </si>
  <si>
    <t>FVDRODRIGO</t>
  </si>
  <si>
    <t>18W000000000AI3J</t>
  </si>
  <si>
    <t>FDSERTO</t>
  </si>
  <si>
    <t>DESERTO</t>
  </si>
  <si>
    <t>DESIERTO</t>
  </si>
  <si>
    <t>18W000000000P02F</t>
  </si>
  <si>
    <t>FDULC5</t>
  </si>
  <si>
    <t>UP SOLAR DULCINEA 5</t>
  </si>
  <si>
    <t>18W000000000R5BB</t>
  </si>
  <si>
    <t>FDULC6</t>
  </si>
  <si>
    <t>UP SOLAR DULCINEA 6</t>
  </si>
  <si>
    <t>18W000000000R5C9</t>
  </si>
  <si>
    <t>FEBISU</t>
  </si>
  <si>
    <t>18W000000000HF6V</t>
  </si>
  <si>
    <t>FEBLCO4</t>
  </si>
  <si>
    <t>SENECA</t>
  </si>
  <si>
    <t>18W000000000GFZE</t>
  </si>
  <si>
    <t>FECC01</t>
  </si>
  <si>
    <t>FLUID ELECTRIC CAMPRODON II, S.L</t>
  </si>
  <si>
    <t>18WFECC01-1234-K</t>
  </si>
  <si>
    <t>FECII</t>
  </si>
  <si>
    <t>FECOEX1</t>
  </si>
  <si>
    <t>UP FV ECOINVERSION EXTREMADURA1</t>
  </si>
  <si>
    <t>18WFECOEX1-123-9</t>
  </si>
  <si>
    <t>FECOEX2</t>
  </si>
  <si>
    <t>UP FV ECOINVERSION EXT2</t>
  </si>
  <si>
    <t>18WFECOEX2-123-2</t>
  </si>
  <si>
    <t>FECOEX3</t>
  </si>
  <si>
    <t>UP FV ECOINVERSION EXT3</t>
  </si>
  <si>
    <t>18WFECOEX3-123-W</t>
  </si>
  <si>
    <t>FEDAC04</t>
  </si>
  <si>
    <t>FEDAUP</t>
  </si>
  <si>
    <t>FORCES ELECTRIQUES D'ANDORRA</t>
  </si>
  <si>
    <t>18WFEDAC04-123-T</t>
  </si>
  <si>
    <t>FEDA</t>
  </si>
  <si>
    <t>FEEDC01</t>
  </si>
  <si>
    <t>FEEDC</t>
  </si>
  <si>
    <t>FEED PENINSULA</t>
  </si>
  <si>
    <t>18W000000000K4HU</t>
  </si>
  <si>
    <t>FEED</t>
  </si>
  <si>
    <t>FEGA</t>
  </si>
  <si>
    <t>18W000000000NHCQ</t>
  </si>
  <si>
    <t>FEGPE2</t>
  </si>
  <si>
    <t>FREGP2</t>
  </si>
  <si>
    <t>FV 100 EGPE NO HAB NO</t>
  </si>
  <si>
    <t>18WFEGPE2-1234-8</t>
  </si>
  <si>
    <t>FEGPE3</t>
  </si>
  <si>
    <t>FEGPE3 ZR</t>
  </si>
  <si>
    <t>18W0000000004SDU</t>
  </si>
  <si>
    <t>FEGPEM</t>
  </si>
  <si>
    <t>FV100EGHAB</t>
  </si>
  <si>
    <t>18W000000000N85U</t>
  </si>
  <si>
    <t>FEHIBHV</t>
  </si>
  <si>
    <t>HIBRIDACION FV Y EOLICA</t>
  </si>
  <si>
    <t>18W000000000QZS2</t>
  </si>
  <si>
    <t>FELLOM</t>
  </si>
  <si>
    <t>18W000000000NQOC</t>
  </si>
  <si>
    <t>FEMCC01</t>
  </si>
  <si>
    <t>MUSEROS</t>
  </si>
  <si>
    <t>FLUIDO ELECTRICO DE MUSEROS, S.C.V.</t>
  </si>
  <si>
    <t>18WFEMCC01-123-5</t>
  </si>
  <si>
    <t>FEMCV</t>
  </si>
  <si>
    <t>FENC01</t>
  </si>
  <si>
    <t>FENIE ENERGIA</t>
  </si>
  <si>
    <t>18WFENIEENERGIAA</t>
  </si>
  <si>
    <t>FENERL</t>
  </si>
  <si>
    <t>UP SOLAR ENERLAND 2007</t>
  </si>
  <si>
    <t>18W000000000P180</t>
  </si>
  <si>
    <t>FENPCX1</t>
  </si>
  <si>
    <t>PPC</t>
  </si>
  <si>
    <t>PORFOLIOPC</t>
  </si>
  <si>
    <t>18W000000000OJ3Y</t>
  </si>
  <si>
    <t>FENPVX1</t>
  </si>
  <si>
    <t>PORFOLIOV</t>
  </si>
  <si>
    <t>18W000000000OI6V</t>
  </si>
  <si>
    <t>FESCALN</t>
  </si>
  <si>
    <t>SCALN</t>
  </si>
  <si>
    <t>ESCALNI</t>
  </si>
  <si>
    <t>18W000000000HTY7</t>
  </si>
  <si>
    <t>FESLAR1</t>
  </si>
  <si>
    <t>F ESLA</t>
  </si>
  <si>
    <t>F ESLA RENOVABLES</t>
  </si>
  <si>
    <t>18WFESLAR1-123-L</t>
  </si>
  <si>
    <t>FESTACN</t>
  </si>
  <si>
    <t>UP SOLAR LA ESTACION</t>
  </si>
  <si>
    <t>18W000000000PVNS</t>
  </si>
  <si>
    <t>FFALAMO</t>
  </si>
  <si>
    <t>UP FUENTE ALAMO</t>
  </si>
  <si>
    <t>18W000000000G082</t>
  </si>
  <si>
    <t>FFATFW</t>
  </si>
  <si>
    <t>UP FUENTE ALAMO III FW</t>
  </si>
  <si>
    <t>18WFFATFW-1234-W</t>
  </si>
  <si>
    <t>FFEDE</t>
  </si>
  <si>
    <t>UP SOLAR FEDE</t>
  </si>
  <si>
    <t>18W000000000QF15</t>
  </si>
  <si>
    <t>FFEGED</t>
  </si>
  <si>
    <t>18W000000000I2NW</t>
  </si>
  <si>
    <t>FFERNAN</t>
  </si>
  <si>
    <t>UP FV FERNANDINA II</t>
  </si>
  <si>
    <t>18W000000000FT7W</t>
  </si>
  <si>
    <t>FFFGASN</t>
  </si>
  <si>
    <t>18W000000000O9Z0</t>
  </si>
  <si>
    <t>FFGASN</t>
  </si>
  <si>
    <t>18W000000000G53Y</t>
  </si>
  <si>
    <t>FFIBGES</t>
  </si>
  <si>
    <t>18W000000000I7A6</t>
  </si>
  <si>
    <t>FFIRSTW</t>
  </si>
  <si>
    <t>FIRST WAVE</t>
  </si>
  <si>
    <t>FIRST WAVE SERVICES</t>
  </si>
  <si>
    <t>18W000000000PXD5</t>
  </si>
  <si>
    <t>FFNEXU</t>
  </si>
  <si>
    <t>RE TARIFA (AGRUPACION)</t>
  </si>
  <si>
    <t>18WFFNEXU-1234-4</t>
  </si>
  <si>
    <t>FFRSPRA</t>
  </si>
  <si>
    <t>18WFFRSPRA-123-B</t>
  </si>
  <si>
    <t>FFRSPRE</t>
  </si>
  <si>
    <t>18W0000000007A1M</t>
  </si>
  <si>
    <t>RSPRE</t>
  </si>
  <si>
    <t>FFV124</t>
  </si>
  <si>
    <t>18W000000000OMJU</t>
  </si>
  <si>
    <t>FFV154</t>
  </si>
  <si>
    <t>UP PLANTA FV 154 SL</t>
  </si>
  <si>
    <t>18W000000000R34V</t>
  </si>
  <si>
    <t>FFV155</t>
  </si>
  <si>
    <t>UP PLANTA FV 155 SL</t>
  </si>
  <si>
    <t>18W000000000R35T</t>
  </si>
  <si>
    <t>FFWMARK</t>
  </si>
  <si>
    <t>FOTOVOLTAICA MAYOR DE 10 MW WMARK</t>
  </si>
  <si>
    <t>18WFFWMARK-123-7</t>
  </si>
  <si>
    <t>FFYECL1</t>
  </si>
  <si>
    <t>UP SOLAR YECLA 1</t>
  </si>
  <si>
    <t>18W000000000R6T9</t>
  </si>
  <si>
    <t>FFYECL2</t>
  </si>
  <si>
    <t>UP SOLAR YECLA 2</t>
  </si>
  <si>
    <t>18W000000000R6U7</t>
  </si>
  <si>
    <t>FFYECL3</t>
  </si>
  <si>
    <t>UP SOLAR YECLA 3</t>
  </si>
  <si>
    <t>18W000000000R6V5</t>
  </si>
  <si>
    <t>FGAMONL</t>
  </si>
  <si>
    <t>GMNL</t>
  </si>
  <si>
    <t>GAMONAL</t>
  </si>
  <si>
    <t>18W000000000Q7F1</t>
  </si>
  <si>
    <t>FGASNE2</t>
  </si>
  <si>
    <t>18W000000000IT2U</t>
  </si>
  <si>
    <t>FGAZ1</t>
  </si>
  <si>
    <t>18W000000000R1M1</t>
  </si>
  <si>
    <t>FGAZ2</t>
  </si>
  <si>
    <t>GAZ2</t>
  </si>
  <si>
    <t>18W000000000R799</t>
  </si>
  <si>
    <t>FGEFG</t>
  </si>
  <si>
    <t>FOTOV SUP 1MW</t>
  </si>
  <si>
    <t>18WFGEFG-12345-6</t>
  </si>
  <si>
    <t>FGENIA</t>
  </si>
  <si>
    <t>18W000000000N00R</t>
  </si>
  <si>
    <t>FGENIL1</t>
  </si>
  <si>
    <t>GNL1</t>
  </si>
  <si>
    <t>GENIL1</t>
  </si>
  <si>
    <t>18W000000000NXWC</t>
  </si>
  <si>
    <t>FGENIL2</t>
  </si>
  <si>
    <t>GEL2</t>
  </si>
  <si>
    <t>GENIL2</t>
  </si>
  <si>
    <t>18W000000000NXXA</t>
  </si>
  <si>
    <t>FGILENA</t>
  </si>
  <si>
    <t>GILLENA</t>
  </si>
  <si>
    <t>GUILLENA</t>
  </si>
  <si>
    <t>18W000000000PU8O</t>
  </si>
  <si>
    <t>FGMNRJ</t>
  </si>
  <si>
    <t>UP SOLAR GAMONAREJO</t>
  </si>
  <si>
    <t>18W000000000K2JW</t>
  </si>
  <si>
    <t>FGUADA</t>
  </si>
  <si>
    <t>FV GRADARRANQUE</t>
  </si>
  <si>
    <t>18W000000000OOZT</t>
  </si>
  <si>
    <t>FGUILLE</t>
  </si>
  <si>
    <t>SFGUILLENA</t>
  </si>
  <si>
    <t>18W000000000H6OM</t>
  </si>
  <si>
    <t>FHELIO1</t>
  </si>
  <si>
    <t>UP SOLAR HELIOS 1</t>
  </si>
  <si>
    <t>18W000000000M17E</t>
  </si>
  <si>
    <t>FHELIO2</t>
  </si>
  <si>
    <t>UP SOLAR HELIOS 2</t>
  </si>
  <si>
    <t>18W000000000M18C</t>
  </si>
  <si>
    <t>FHIBGES</t>
  </si>
  <si>
    <t>FOTOVOLTAICA HABILITADA EN ZR</t>
  </si>
  <si>
    <t>18W000000000NXPQ</t>
  </si>
  <si>
    <t>FIGAC</t>
  </si>
  <si>
    <t>GACFOTOV2</t>
  </si>
  <si>
    <t>18W000000000NLLX</t>
  </si>
  <si>
    <t>FIIBGES</t>
  </si>
  <si>
    <t>18W000000000Q7E3</t>
  </si>
  <si>
    <t>FIM2SLR</t>
  </si>
  <si>
    <t>IM2</t>
  </si>
  <si>
    <t>IM2SOLAR</t>
  </si>
  <si>
    <t>18W000000000KSNK</t>
  </si>
  <si>
    <t>FINFREN</t>
  </si>
  <si>
    <t>UP FV INFRACLASS RENEWABLES SPAIN SL</t>
  </si>
  <si>
    <t>18WFINFREN-123-X</t>
  </si>
  <si>
    <t>FJUNCAL</t>
  </si>
  <si>
    <t>D JUNCAL</t>
  </si>
  <si>
    <t>DUERO JUNCAL</t>
  </si>
  <si>
    <t>18WFJUNCAL-123-8</t>
  </si>
  <si>
    <t>FKALEL</t>
  </si>
  <si>
    <t>UP KALEL SN POWER</t>
  </si>
  <si>
    <t>18W000000000QXD1</t>
  </si>
  <si>
    <t>FKAPPA</t>
  </si>
  <si>
    <t>18W000000000KOAL</t>
  </si>
  <si>
    <t>FKAPPG</t>
  </si>
  <si>
    <t>KAPPAG</t>
  </si>
  <si>
    <t>KAPPA GESTIONABLE</t>
  </si>
  <si>
    <t>18W000000000PD65</t>
  </si>
  <si>
    <t>FKGAC</t>
  </si>
  <si>
    <t>GACFOTOV3</t>
  </si>
  <si>
    <t>18W000000000NLKZ</t>
  </si>
  <si>
    <t>FLACAB</t>
  </si>
  <si>
    <t>LACABRITA</t>
  </si>
  <si>
    <t>18W000000000KZBN</t>
  </si>
  <si>
    <t>FLAISLA</t>
  </si>
  <si>
    <t>UP SOLAR LA ISLA</t>
  </si>
  <si>
    <t>18W000000000R310</t>
  </si>
  <si>
    <t>FLAMC01</t>
  </si>
  <si>
    <t>FLAMAGAS LLINARS SLU</t>
  </si>
  <si>
    <t>18W000000000AQEA</t>
  </si>
  <si>
    <t>FLAMA</t>
  </si>
  <si>
    <t>FLASTR2</t>
  </si>
  <si>
    <t>LSTS</t>
  </si>
  <si>
    <t>LASTRA</t>
  </si>
  <si>
    <t>18W000000000NZY2</t>
  </si>
  <si>
    <t>FLASTRA</t>
  </si>
  <si>
    <t>FVLASTRA</t>
  </si>
  <si>
    <t>18W000000000G9U5</t>
  </si>
  <si>
    <t>FLASVAG</t>
  </si>
  <si>
    <t>18W000000000QBTZ</t>
  </si>
  <si>
    <t>FLECC01</t>
  </si>
  <si>
    <t>FAB PAN</t>
  </si>
  <si>
    <t>FABRICA PAN</t>
  </si>
  <si>
    <t>18W0000000001QI1</t>
  </si>
  <si>
    <t>FLECA</t>
  </si>
  <si>
    <t>FLILLAN</t>
  </si>
  <si>
    <t>UP SOLAR LO ILLAN</t>
  </si>
  <si>
    <t>18W000000000QMU0</t>
  </si>
  <si>
    <t>FLLANO1</t>
  </si>
  <si>
    <t>FV LLANO1</t>
  </si>
  <si>
    <t>18W000000000P86K</t>
  </si>
  <si>
    <t>FLLANO2</t>
  </si>
  <si>
    <t>FV LLANO2</t>
  </si>
  <si>
    <t>18W000000000P88G</t>
  </si>
  <si>
    <t>FLLANO3</t>
  </si>
  <si>
    <t>FV LLANO3</t>
  </si>
  <si>
    <t>18W000000000Q3ZA</t>
  </si>
  <si>
    <t>FLLANOS</t>
  </si>
  <si>
    <t>LLANOS</t>
  </si>
  <si>
    <t>18W000000000QPWO</t>
  </si>
  <si>
    <t>FLOBSIL</t>
  </si>
  <si>
    <t>UP LOBOSILLO</t>
  </si>
  <si>
    <t>18W000000000M7XI</t>
  </si>
  <si>
    <t>FLOCABA</t>
  </si>
  <si>
    <t>UP SOLAR LOCABA</t>
  </si>
  <si>
    <t>18W000000000QMPA</t>
  </si>
  <si>
    <t>FLOGROS</t>
  </si>
  <si>
    <t>LOGROSAN</t>
  </si>
  <si>
    <t>FLOGROSAN</t>
  </si>
  <si>
    <t>18WFLOGROS-123-9</t>
  </si>
  <si>
    <t>FLOMOS2</t>
  </si>
  <si>
    <t>UP SOLAR LOMOS II</t>
  </si>
  <si>
    <t>18W000000000NH29</t>
  </si>
  <si>
    <t>FLPICOS</t>
  </si>
  <si>
    <t>PICOS</t>
  </si>
  <si>
    <t>LPICOS</t>
  </si>
  <si>
    <t>18W000000000QPSW</t>
  </si>
  <si>
    <t>FLSENIA</t>
  </si>
  <si>
    <t>UP SOLAR LA SENIA</t>
  </si>
  <si>
    <t>18W000000000QMQ8</t>
  </si>
  <si>
    <t>FLSOLAN</t>
  </si>
  <si>
    <t>UP FLSOLAN</t>
  </si>
  <si>
    <t>18W000000000L9L3</t>
  </si>
  <si>
    <t>FLTORRE</t>
  </si>
  <si>
    <t>FLATORRE</t>
  </si>
  <si>
    <t>18W000000000P04B</t>
  </si>
  <si>
    <t>FLUANDA</t>
  </si>
  <si>
    <t>18W000000000MZWA</t>
  </si>
  <si>
    <t>FMAGVE</t>
  </si>
  <si>
    <t>UP SOLAR MAGASQUILLA</t>
  </si>
  <si>
    <t>18W000000000JRZ3</t>
  </si>
  <si>
    <t>FMAHOR</t>
  </si>
  <si>
    <t>PE_MAHORA</t>
  </si>
  <si>
    <t>PARQUE FV MAHORA</t>
  </si>
  <si>
    <t>18W000000000PXC7</t>
  </si>
  <si>
    <t>FMANDLA</t>
  </si>
  <si>
    <t>UP SOLAR MANDALA</t>
  </si>
  <si>
    <t>18W000000000P28Y</t>
  </si>
  <si>
    <t>FMANZAN</t>
  </si>
  <si>
    <t>UP SOLAR MANZANARES</t>
  </si>
  <si>
    <t>18W000000000OK1Z</t>
  </si>
  <si>
    <t>FMARQUE</t>
  </si>
  <si>
    <t>18W000000000HIAE</t>
  </si>
  <si>
    <t>FMATAS</t>
  </si>
  <si>
    <t>UP SOLAR MATAS</t>
  </si>
  <si>
    <t>18W000000000P9HW</t>
  </si>
  <si>
    <t>FMFEN</t>
  </si>
  <si>
    <t>FOT 1MW</t>
  </si>
  <si>
    <t>FOT MAYORES 1MW</t>
  </si>
  <si>
    <t>18WFMFEN-12345-I</t>
  </si>
  <si>
    <t>FMILGRO</t>
  </si>
  <si>
    <t>18W000000000IPVL</t>
  </si>
  <si>
    <t>FMIRAMU</t>
  </si>
  <si>
    <t>UP FV MIRAMUNDO</t>
  </si>
  <si>
    <t>18W000000000FT8U</t>
  </si>
  <si>
    <t>FMISTRA</t>
  </si>
  <si>
    <t>UP SOLAR LOS MISTRALES</t>
  </si>
  <si>
    <t>18W000000000PR44</t>
  </si>
  <si>
    <t>FMNZARS</t>
  </si>
  <si>
    <t>MNZS</t>
  </si>
  <si>
    <t>MNZANRES</t>
  </si>
  <si>
    <t>18W000000000QR32</t>
  </si>
  <si>
    <t>FMOLINO</t>
  </si>
  <si>
    <t>18W000000000PK3R</t>
  </si>
  <si>
    <t>FMONTES</t>
  </si>
  <si>
    <t>FMONTESOL</t>
  </si>
  <si>
    <t>UP FV MONTESOL</t>
  </si>
  <si>
    <t>18W000000000IG6O</t>
  </si>
  <si>
    <t>FMONTFV</t>
  </si>
  <si>
    <t>UP FV MONTILLA FOTOVOLTAICA</t>
  </si>
  <si>
    <t>18WFMONTFV-123-Y</t>
  </si>
  <si>
    <t>FMRPANI</t>
  </si>
  <si>
    <t>UP SOLAR MARPANI</t>
  </si>
  <si>
    <t>18W000000000QB4B</t>
  </si>
  <si>
    <t>FMUDARA</t>
  </si>
  <si>
    <t>18W000000000R3RM</t>
  </si>
  <si>
    <t>FMUELLE</t>
  </si>
  <si>
    <t>UP FV MUELLE</t>
  </si>
  <si>
    <t>18W000000000I9FR</t>
  </si>
  <si>
    <t>FNARGS</t>
  </si>
  <si>
    <t>18W000000000MZZ4</t>
  </si>
  <si>
    <t>FNAVALM</t>
  </si>
  <si>
    <t>NAVALMORAL</t>
  </si>
  <si>
    <t>PARQUE FV NAVALMORALES</t>
  </si>
  <si>
    <t>18W000000000PX9D</t>
  </si>
  <si>
    <t>FNAVAR</t>
  </si>
  <si>
    <t>FNAVARR</t>
  </si>
  <si>
    <t>FNAVARRA</t>
  </si>
  <si>
    <t>18W000000000B7N8</t>
  </si>
  <si>
    <t>FNAVID</t>
  </si>
  <si>
    <t>18W000000000MZY6</t>
  </si>
  <si>
    <t>FNEFTI</t>
  </si>
  <si>
    <t>18W000000000MZX8</t>
  </si>
  <si>
    <t>FNTVERO</t>
  </si>
  <si>
    <t>FONTIVEROS</t>
  </si>
  <si>
    <t>UP SOLAR FONTIVEROS</t>
  </si>
  <si>
    <t>18W000000000M03P</t>
  </si>
  <si>
    <t>FOGAC</t>
  </si>
  <si>
    <t>18W000000000P3VM</t>
  </si>
  <si>
    <t>FOLIVR2</t>
  </si>
  <si>
    <t>UP SOLAR OLVARES2</t>
  </si>
  <si>
    <t>18W000000000QHDC</t>
  </si>
  <si>
    <t>FOLIVR3</t>
  </si>
  <si>
    <t>UP SOLAR OLIVARES3</t>
  </si>
  <si>
    <t>18W000000000QHF8</t>
  </si>
  <si>
    <t>FOLIVR4</t>
  </si>
  <si>
    <t>UP SOLAR FOLIVR4</t>
  </si>
  <si>
    <t>18W000000000QHH4</t>
  </si>
  <si>
    <t>FOLIVRS</t>
  </si>
  <si>
    <t>UP SOLAR OLIVARES</t>
  </si>
  <si>
    <t>18W000000000QFHA</t>
  </si>
  <si>
    <t>FOLMALC</t>
  </si>
  <si>
    <t>UP SOLAR OMALC</t>
  </si>
  <si>
    <t>18W000000000P2GI</t>
  </si>
  <si>
    <t>FOLMEDA</t>
  </si>
  <si>
    <t>UP SOLAR OLMEDA</t>
  </si>
  <si>
    <t>18W000000000LEV5</t>
  </si>
  <si>
    <t>FOLMFW</t>
  </si>
  <si>
    <t>OLMEDILLA1</t>
  </si>
  <si>
    <t>18WFOLMFW-1234-L</t>
  </si>
  <si>
    <t>FOLVNZ</t>
  </si>
  <si>
    <t>UF OLIVENZA</t>
  </si>
  <si>
    <t>18W000000000L9J7</t>
  </si>
  <si>
    <t>FOLVNZ1</t>
  </si>
  <si>
    <t>UP SOLAR OLIVENZA1</t>
  </si>
  <si>
    <t>18W000000000QKE1</t>
  </si>
  <si>
    <t>FOLVNZ2</t>
  </si>
  <si>
    <t>UP SOLAR OLIVENZA2</t>
  </si>
  <si>
    <t>18W000000000QKGY</t>
  </si>
  <si>
    <t>FONDAB</t>
  </si>
  <si>
    <t>NDAB</t>
  </si>
  <si>
    <t>ONDAB</t>
  </si>
  <si>
    <t>18W000000000JLLC</t>
  </si>
  <si>
    <t>FOPPI</t>
  </si>
  <si>
    <t>FV-OPPIDUM</t>
  </si>
  <si>
    <t>18WFOPPI-12345-4</t>
  </si>
  <si>
    <t>OPPI</t>
  </si>
  <si>
    <t>FORTC01</t>
  </si>
  <si>
    <t>ENERGIA PARA GRANDES CONSUMIDORES INDUSTRIALES (FORTIA)</t>
  </si>
  <si>
    <t>18WFORTC01-123-U</t>
  </si>
  <si>
    <t>FORTI</t>
  </si>
  <si>
    <t>FORTR01</t>
  </si>
  <si>
    <t>RESPUESTA ACTIVA GRANDES CONSUMIDORES</t>
  </si>
  <si>
    <t>18W000000000ONYY</t>
  </si>
  <si>
    <t>FOXC01</t>
  </si>
  <si>
    <t>FOX ENERGIA</t>
  </si>
  <si>
    <t>18WFOXC01-1234-2</t>
  </si>
  <si>
    <t>FOX</t>
  </si>
  <si>
    <t>FPARADA</t>
  </si>
  <si>
    <t>PARADAS</t>
  </si>
  <si>
    <t>PARQUE FV PARADAS</t>
  </si>
  <si>
    <t>18W000000000PXB9</t>
  </si>
  <si>
    <t>FPARCAS</t>
  </si>
  <si>
    <t>UP FV PARCAS</t>
  </si>
  <si>
    <t>18W000000000G2BR</t>
  </si>
  <si>
    <t>FPEEXXI</t>
  </si>
  <si>
    <t>18WFPEEXXI-123-Z</t>
  </si>
  <si>
    <t>FPEONUR</t>
  </si>
  <si>
    <t>E.ON CUR ( FOTOVOLTAICA, PRUEBAS)</t>
  </si>
  <si>
    <t>18WFPEONUR-123-N</t>
  </si>
  <si>
    <t>FPEROGO</t>
  </si>
  <si>
    <t>UP FV PEROGORDO</t>
  </si>
  <si>
    <t>18W000000000G2GH</t>
  </si>
  <si>
    <t>FPHCCUR</t>
  </si>
  <si>
    <t>HIDROCANTABRICO CUR ( FOTOVOLTAICA, PRUEBAS</t>
  </si>
  <si>
    <t>18WFPHCCUR-123-O</t>
  </si>
  <si>
    <t>FPIBCUR</t>
  </si>
  <si>
    <t>18WFPIBCUR-123-N</t>
  </si>
  <si>
    <t>FPINILA</t>
  </si>
  <si>
    <t>UP SOLAR PINILLA</t>
  </si>
  <si>
    <t>18W000000000HG6S</t>
  </si>
  <si>
    <t>FPJRTOS</t>
  </si>
  <si>
    <t>UP SOLAR PAJARITOS</t>
  </si>
  <si>
    <t>18W000000000PVE9</t>
  </si>
  <si>
    <t>FPLASE</t>
  </si>
  <si>
    <t>PLASENS1</t>
  </si>
  <si>
    <t>18W000000000MFA3</t>
  </si>
  <si>
    <t>FPLAZA</t>
  </si>
  <si>
    <t>UP SOLAR PLAZA</t>
  </si>
  <si>
    <t>18W000000000QJOL</t>
  </si>
  <si>
    <t>FPLUNA1</t>
  </si>
  <si>
    <t>FV PRADO DE LUNA 1</t>
  </si>
  <si>
    <t>18W000000000OQYP</t>
  </si>
  <si>
    <t>FPLUNA2</t>
  </si>
  <si>
    <t>FV PRADOS DE LUNA 2</t>
  </si>
  <si>
    <t>18W000000000OQZN</t>
  </si>
  <si>
    <t>FPLUNA3</t>
  </si>
  <si>
    <t>FV PRADO DE LUNA 3</t>
  </si>
  <si>
    <t>18W000000000OR0G</t>
  </si>
  <si>
    <t>FPOCICO</t>
  </si>
  <si>
    <t>UP POCICO SALAO</t>
  </si>
  <si>
    <t>18W000000000M01T</t>
  </si>
  <si>
    <t>FPPIEDR</t>
  </si>
  <si>
    <t>UP PUENTE DE PIEDRA</t>
  </si>
  <si>
    <t>18W000000000M807</t>
  </si>
  <si>
    <t>FPSJESO</t>
  </si>
  <si>
    <t>UP FOTOVOLTAICA PASAJESOL</t>
  </si>
  <si>
    <t>18W000000000K0WC</t>
  </si>
  <si>
    <t>FPSOL</t>
  </si>
  <si>
    <t>PSOL</t>
  </si>
  <si>
    <t>FV PUERTA DEL SOL</t>
  </si>
  <si>
    <t>18W000000000PYPF</t>
  </si>
  <si>
    <t>FPTREAL</t>
  </si>
  <si>
    <t>FV PUERTO REAL</t>
  </si>
  <si>
    <t>18W000000000OOXX</t>
  </si>
  <si>
    <t>FPUCELA</t>
  </si>
  <si>
    <t>LAS PUCELA</t>
  </si>
  <si>
    <t>UP FV LAS PUCELAS</t>
  </si>
  <si>
    <t>18W000000000FYZZ</t>
  </si>
  <si>
    <t>FQIJOT3</t>
  </si>
  <si>
    <t>UP SOLAR QUIJOTE 3</t>
  </si>
  <si>
    <t>18W000000000R5PK</t>
  </si>
  <si>
    <t>FQIJOTE</t>
  </si>
  <si>
    <t>FQUIJOTE</t>
  </si>
  <si>
    <t>UP QUIJOTE</t>
  </si>
  <si>
    <t>18W000000000LFGW</t>
  </si>
  <si>
    <t>FRANC01</t>
  </si>
  <si>
    <t>FRANK ENERGIA IBERIA</t>
  </si>
  <si>
    <t>18W000000000Q1QY</t>
  </si>
  <si>
    <t>FRANK</t>
  </si>
  <si>
    <t>FREGANT</t>
  </si>
  <si>
    <t>18W000000000Q48O</t>
  </si>
  <si>
    <t>FREGP3</t>
  </si>
  <si>
    <t>FVRDES1MW</t>
  </si>
  <si>
    <t>FV REP DES &lt;1MW</t>
  </si>
  <si>
    <t>18WFREGP3-1234-5</t>
  </si>
  <si>
    <t>FREGPEM</t>
  </si>
  <si>
    <t>FV REPRESENTADA _PROP_100_MERCADOS_AJUSTE</t>
  </si>
  <si>
    <t>18W000000000LD1V</t>
  </si>
  <si>
    <t>FRENEDO</t>
  </si>
  <si>
    <t>UP SOLAR RENEDO</t>
  </si>
  <si>
    <t>18W000000000QKA9</t>
  </si>
  <si>
    <t>FRIXRAB</t>
  </si>
  <si>
    <t>UP SOLAR RIXIRABA</t>
  </si>
  <si>
    <t>18W000000000LUES</t>
  </si>
  <si>
    <t>FROBLA3</t>
  </si>
  <si>
    <t>18W000000000R3PQ</t>
  </si>
  <si>
    <t>FROBLA5</t>
  </si>
  <si>
    <t>18W000000000R3QO</t>
  </si>
  <si>
    <t>FROTON1</t>
  </si>
  <si>
    <t>ROT1</t>
  </si>
  <si>
    <t>ROTON1</t>
  </si>
  <si>
    <t>18W000000000PR7Z</t>
  </si>
  <si>
    <t>FROTON2</t>
  </si>
  <si>
    <t>ROT2</t>
  </si>
  <si>
    <t>ROTON2</t>
  </si>
  <si>
    <t>18W000000000PR9V</t>
  </si>
  <si>
    <t>FROTON3</t>
  </si>
  <si>
    <t>ROT3</t>
  </si>
  <si>
    <t>ROTD3</t>
  </si>
  <si>
    <t>18W000000000PRBR</t>
  </si>
  <si>
    <t>FRSIGMA</t>
  </si>
  <si>
    <t>18W000000000Q5F7</t>
  </si>
  <si>
    <t>FRTS1</t>
  </si>
  <si>
    <t>FV RENOV RTS1 1MW</t>
  </si>
  <si>
    <t>18WFRTS1-12345-A</t>
  </si>
  <si>
    <t>FSACIMP</t>
  </si>
  <si>
    <t>UP SOLAR SAC IMP</t>
  </si>
  <si>
    <t>18W000000000NH1B</t>
  </si>
  <si>
    <t>FSALOB</t>
  </si>
  <si>
    <t>SALOBRAL</t>
  </si>
  <si>
    <t>18W000000000HTPP</t>
  </si>
  <si>
    <t>FSARDA</t>
  </si>
  <si>
    <t>UP SARDA</t>
  </si>
  <si>
    <t>18W000000000LF1P</t>
  </si>
  <si>
    <t>FSARIUM</t>
  </si>
  <si>
    <t>UP FV FOTOSOLARIUM 10</t>
  </si>
  <si>
    <t>18WFSARIUM-123-7</t>
  </si>
  <si>
    <t>FSCALN2</t>
  </si>
  <si>
    <t>SCAL</t>
  </si>
  <si>
    <t>SCAL2</t>
  </si>
  <si>
    <t>18W000000000L2OI</t>
  </si>
  <si>
    <t>FSCALNA</t>
  </si>
  <si>
    <t>SCALNA</t>
  </si>
  <si>
    <t>ESCALONA</t>
  </si>
  <si>
    <t>18W000000000MCJV</t>
  </si>
  <si>
    <t>FSCASTU</t>
  </si>
  <si>
    <t>UP MAYOR 5 MW CASTUERA</t>
  </si>
  <si>
    <t>18WFSCASTU-123-H</t>
  </si>
  <si>
    <t>FSERRZL</t>
  </si>
  <si>
    <t>UP SOLAR SERREZUELA</t>
  </si>
  <si>
    <t>18W000000000MXWG</t>
  </si>
  <si>
    <t>FSERVN3</t>
  </si>
  <si>
    <t>SRVN3</t>
  </si>
  <si>
    <t>SERVAN3</t>
  </si>
  <si>
    <t>18W000000000P3ZE</t>
  </si>
  <si>
    <t>FSERVN4</t>
  </si>
  <si>
    <t>SERVN4</t>
  </si>
  <si>
    <t>SERVAN4</t>
  </si>
  <si>
    <t>18W000000000P415</t>
  </si>
  <si>
    <t>FSERVN5</t>
  </si>
  <si>
    <t>SERVN5</t>
  </si>
  <si>
    <t>SERVAN5</t>
  </si>
  <si>
    <t>18W000000000P431</t>
  </si>
  <si>
    <t>FSERXXI</t>
  </si>
  <si>
    <t>REGIMEN ESPECIAL TARIFA</t>
  </si>
  <si>
    <t>18WFSERXXI-12--T</t>
  </si>
  <si>
    <t>FSEVILL</t>
  </si>
  <si>
    <t>FSEVILLA</t>
  </si>
  <si>
    <t>UP FV SEVILLA</t>
  </si>
  <si>
    <t>18W000000000G28X</t>
  </si>
  <si>
    <t>FSIGMA</t>
  </si>
  <si>
    <t>SIGMA</t>
  </si>
  <si>
    <t>18W000000000LQJU</t>
  </si>
  <si>
    <t>FSIRIUS</t>
  </si>
  <si>
    <t>SIRIUS</t>
  </si>
  <si>
    <t>FVSIRIUS</t>
  </si>
  <si>
    <t>18W000000000MP4M</t>
  </si>
  <si>
    <t>FSJORGE</t>
  </si>
  <si>
    <t>UP SOLAR SAN JORGE</t>
  </si>
  <si>
    <t>18W000000000PVRK</t>
  </si>
  <si>
    <t>FSLINAS</t>
  </si>
  <si>
    <t>SLINAS</t>
  </si>
  <si>
    <t>SALINAS</t>
  </si>
  <si>
    <t>18W000000000QPUS</t>
  </si>
  <si>
    <t>FSLNOC1</t>
  </si>
  <si>
    <t>UP SOLAR SOLNOCTIS3</t>
  </si>
  <si>
    <t>18W000000000PT30</t>
  </si>
  <si>
    <t>FSLOBON</t>
  </si>
  <si>
    <t>UP LOBON</t>
  </si>
  <si>
    <t>UP SOLAR LOBON</t>
  </si>
  <si>
    <t>18W000000000MGXS</t>
  </si>
  <si>
    <t>FSMURC</t>
  </si>
  <si>
    <t>UP SOLAR VERGELES SOLARES</t>
  </si>
  <si>
    <t>18W000000000PVG5</t>
  </si>
  <si>
    <t>FSOLANG</t>
  </si>
  <si>
    <t>18W000000000Q4J2</t>
  </si>
  <si>
    <t>FSOLARG</t>
  </si>
  <si>
    <t>18W000000000Q56P</t>
  </si>
  <si>
    <t>FSOLLAN</t>
  </si>
  <si>
    <t>UP SOLAR LA SOLLANA</t>
  </si>
  <si>
    <t>18W000000000QMR6</t>
  </si>
  <si>
    <t>FSOLMA</t>
  </si>
  <si>
    <t>SOLMATCH</t>
  </si>
  <si>
    <t>18W000000000PK1V</t>
  </si>
  <si>
    <t>VIEE</t>
  </si>
  <si>
    <t>FSPARRA</t>
  </si>
  <si>
    <t>UP FV CALASPARRA</t>
  </si>
  <si>
    <t>18WFSPARRA-123-2</t>
  </si>
  <si>
    <t>FSPELYO</t>
  </si>
  <si>
    <t>UP SOLAR SAN PELAYO</t>
  </si>
  <si>
    <t>18W000000000QRAP</t>
  </si>
  <si>
    <t>FSRRANA</t>
  </si>
  <si>
    <t>UP LA SERRANA</t>
  </si>
  <si>
    <t>18W000000000M05L</t>
  </si>
  <si>
    <t>FSTOMAS</t>
  </si>
  <si>
    <t>UP SOLAR ST TOMAS</t>
  </si>
  <si>
    <t>18W000000000QKB7</t>
  </si>
  <si>
    <t>FTABRNS</t>
  </si>
  <si>
    <t>TABRNAS</t>
  </si>
  <si>
    <t>TABERNASII</t>
  </si>
  <si>
    <t>18W000000000NKNW</t>
  </si>
  <si>
    <t>FTALAR1</t>
  </si>
  <si>
    <t>UP FV TALARRUBIAS I</t>
  </si>
  <si>
    <t>18W000000000G252</t>
  </si>
  <si>
    <t>FTALAR2</t>
  </si>
  <si>
    <t>UP FV TALARRUBIASII</t>
  </si>
  <si>
    <t>18W000000000G260</t>
  </si>
  <si>
    <t>FTALARR</t>
  </si>
  <si>
    <t>F TALARRUBIAS</t>
  </si>
  <si>
    <t>18WFTALARR-123-5</t>
  </si>
  <si>
    <t>FTALYEL</t>
  </si>
  <si>
    <t>TALYELA</t>
  </si>
  <si>
    <t>TALAYUELAS2</t>
  </si>
  <si>
    <t>18W000000000PWRH</t>
  </si>
  <si>
    <t>FTARACN</t>
  </si>
  <si>
    <t>TARC</t>
  </si>
  <si>
    <t>TARANA</t>
  </si>
  <si>
    <t>18W000000000QIH1</t>
  </si>
  <si>
    <t>FTARACS</t>
  </si>
  <si>
    <t>TARACS</t>
  </si>
  <si>
    <t>TARACNS</t>
  </si>
  <si>
    <t>18W000000000QIKW</t>
  </si>
  <si>
    <t>FTASOL</t>
  </si>
  <si>
    <t>UP TALASOL SOLAR SL</t>
  </si>
  <si>
    <t>18W000000000MOY2</t>
  </si>
  <si>
    <t>FTEJEDA</t>
  </si>
  <si>
    <t>18W000000000Q4G8</t>
  </si>
  <si>
    <t>FTERC01</t>
  </si>
  <si>
    <t>FORESTA</t>
  </si>
  <si>
    <t>FORESTA TERRENOS SL</t>
  </si>
  <si>
    <t>18WFTERC01-123-M</t>
  </si>
  <si>
    <t>FORTE</t>
  </si>
  <si>
    <t>FTFAPRO</t>
  </si>
  <si>
    <t>TFAPRO</t>
  </si>
  <si>
    <t>TARIFA&gt;10 FV VALDECABALLEROS</t>
  </si>
  <si>
    <t>18WFTFAPRO-123-K</t>
  </si>
  <si>
    <t>FTINJR1</t>
  </si>
  <si>
    <t>UP SOLAR TINAJEROS 1</t>
  </si>
  <si>
    <t>18W000000000R58H</t>
  </si>
  <si>
    <t>FTINJR2</t>
  </si>
  <si>
    <t>UP SOLAR TINAJEROS 2</t>
  </si>
  <si>
    <t>18W000000000R59F</t>
  </si>
  <si>
    <t>FTORDE1</t>
  </si>
  <si>
    <t>TORDE</t>
  </si>
  <si>
    <t>TORDESILLS</t>
  </si>
  <si>
    <t>18W000000000LCRJ</t>
  </si>
  <si>
    <t>FTORIJ2</t>
  </si>
  <si>
    <t>TORIJ</t>
  </si>
  <si>
    <t>TORIJA2</t>
  </si>
  <si>
    <t>18W000000000G7PL</t>
  </si>
  <si>
    <t>FTORIJ3</t>
  </si>
  <si>
    <t>TJ3</t>
  </si>
  <si>
    <t>TRJA3</t>
  </si>
  <si>
    <t>18W000000000IRUH</t>
  </si>
  <si>
    <t>FTORIJ4</t>
  </si>
  <si>
    <t>TRJ4</t>
  </si>
  <si>
    <t>TORIJA4</t>
  </si>
  <si>
    <t>18W000000000KSPG</t>
  </si>
  <si>
    <t>FTORRIJ</t>
  </si>
  <si>
    <t>TOR</t>
  </si>
  <si>
    <t>TORRIJOS EW</t>
  </si>
  <si>
    <t>18W000000000PKPK</t>
  </si>
  <si>
    <t>FTORRJ</t>
  </si>
  <si>
    <t>TORRIJOS</t>
  </si>
  <si>
    <t>UP SF ELAWAN TORRIJOS</t>
  </si>
  <si>
    <t>18W000000000MBAF</t>
  </si>
  <si>
    <t>FTRDESI</t>
  </si>
  <si>
    <t>UP FTRDESI</t>
  </si>
  <si>
    <t>18W000000000L9OY</t>
  </si>
  <si>
    <t>FTULC01</t>
  </si>
  <si>
    <t>FORTU PEN</t>
  </si>
  <si>
    <t>FORTULUZ PENINSULAR</t>
  </si>
  <si>
    <t>18WFTULC01-123-H</t>
  </si>
  <si>
    <t>FORTU</t>
  </si>
  <si>
    <t>FTURBIN</t>
  </si>
  <si>
    <t>UP SOLAR TURBINTO</t>
  </si>
  <si>
    <t>18W000000000QMT2</t>
  </si>
  <si>
    <t>FTURRON</t>
  </si>
  <si>
    <t>UP SOLAR TURRONEROS</t>
  </si>
  <si>
    <t>18W000000000LPY3</t>
  </si>
  <si>
    <t>FUEPA</t>
  </si>
  <si>
    <t>18W000000000F9RF</t>
  </si>
  <si>
    <t>FURSAMA</t>
  </si>
  <si>
    <t>URSA</t>
  </si>
  <si>
    <t>URSAMAIOR</t>
  </si>
  <si>
    <t>18W000000000NDQA</t>
  </si>
  <si>
    <t>FUTETEM</t>
  </si>
  <si>
    <t>FOTOVOLTAICA UTETEM</t>
  </si>
  <si>
    <t>18WFUTETEM-123-7</t>
  </si>
  <si>
    <t>FVALAMO</t>
  </si>
  <si>
    <t>FV ALAMO</t>
  </si>
  <si>
    <t>18W000000000PA4I</t>
  </si>
  <si>
    <t>FVALDEC</t>
  </si>
  <si>
    <t>UP SOLAR VALDECARRETAS</t>
  </si>
  <si>
    <t>18W000000000Q6E6</t>
  </si>
  <si>
    <t>FVALDES</t>
  </si>
  <si>
    <t>VALDESOLAR</t>
  </si>
  <si>
    <t>18W000000000L44F</t>
  </si>
  <si>
    <t>FVALFW</t>
  </si>
  <si>
    <t>VALFW</t>
  </si>
  <si>
    <t>18WFVALFW-1234-V</t>
  </si>
  <si>
    <t>FVALLKA</t>
  </si>
  <si>
    <t>18W000000000QRCL</t>
  </si>
  <si>
    <t>FVASIE5</t>
  </si>
  <si>
    <t>FVASIE5MW</t>
  </si>
  <si>
    <t>FV MAYOR - IGUAL 5MW</t>
  </si>
  <si>
    <t>18W000000000P38V</t>
  </si>
  <si>
    <t>FVBOTOA</t>
  </si>
  <si>
    <t>VEGA DE BOTOA</t>
  </si>
  <si>
    <t>18WFVBOTOA-123-N</t>
  </si>
  <si>
    <t>FVCARR</t>
  </si>
  <si>
    <t>18W000000000R7MK</t>
  </si>
  <si>
    <t>FVECOIB</t>
  </si>
  <si>
    <t>18W000000000Q49M</t>
  </si>
  <si>
    <t>FVEIBC1</t>
  </si>
  <si>
    <t>VENTA EXCEDENTES FV</t>
  </si>
  <si>
    <t>18W000000000QIRI</t>
  </si>
  <si>
    <t>FVENZA</t>
  </si>
  <si>
    <t>VNZA</t>
  </si>
  <si>
    <t>LIVENZA</t>
  </si>
  <si>
    <t>18W000000000JVXW</t>
  </si>
  <si>
    <t>FVFRA</t>
  </si>
  <si>
    <t>18W000000000P4OX</t>
  </si>
  <si>
    <t>FVFUENT</t>
  </si>
  <si>
    <t>FUENTEE</t>
  </si>
  <si>
    <t>FUENTE DEL ANO</t>
  </si>
  <si>
    <t>18W0000000000YAY</t>
  </si>
  <si>
    <t>FVGNRA</t>
  </si>
  <si>
    <t>SOLARES 1</t>
  </si>
  <si>
    <t>SOLARES MAYOR 1</t>
  </si>
  <si>
    <t>18W000000000A0UJ</t>
  </si>
  <si>
    <t>FVGREEN</t>
  </si>
  <si>
    <t>FV EGREEN ZR</t>
  </si>
  <si>
    <t>18W000000000PVZ4</t>
  </si>
  <si>
    <t>FVILLAV</t>
  </si>
  <si>
    <t>VILLA</t>
  </si>
  <si>
    <t>VILLAVALIENTE</t>
  </si>
  <si>
    <t>18W000000000R213</t>
  </si>
  <si>
    <t>FVITEC</t>
  </si>
  <si>
    <t>18W000000000MZRK</t>
  </si>
  <si>
    <t>VITEC</t>
  </si>
  <si>
    <t>FVIVAL</t>
  </si>
  <si>
    <t>VVL</t>
  </si>
  <si>
    <t>VIVLS</t>
  </si>
  <si>
    <t>18W000000000JX90</t>
  </si>
  <si>
    <t>FVLAUEI</t>
  </si>
  <si>
    <t>FV MAS DE 1MW</t>
  </si>
  <si>
    <t>18W000000000OWSJ</t>
  </si>
  <si>
    <t>LAUEI</t>
  </si>
  <si>
    <t>FVLNEVA</t>
  </si>
  <si>
    <t>VLLNA</t>
  </si>
  <si>
    <t>VILLANUEVA</t>
  </si>
  <si>
    <t>18W000000000PWNP</t>
  </si>
  <si>
    <t>FVLVERD</t>
  </si>
  <si>
    <t>UP SOLAR VALVERDE</t>
  </si>
  <si>
    <t>18W000000000QMJM</t>
  </si>
  <si>
    <t>FVMAZO</t>
  </si>
  <si>
    <t>18W000000000R7KO</t>
  </si>
  <si>
    <t>FVNSER</t>
  </si>
  <si>
    <t>18W000000000MSEU</t>
  </si>
  <si>
    <t>FVPON</t>
  </si>
  <si>
    <t>18W000000000P3FH</t>
  </si>
  <si>
    <t>FVPOSA</t>
  </si>
  <si>
    <t>18W000000000R7JQ</t>
  </si>
  <si>
    <t>FVRIOJA</t>
  </si>
  <si>
    <t>FV RIOJA</t>
  </si>
  <si>
    <t>18W000000000ODYR</t>
  </si>
  <si>
    <t>FVSESAN</t>
  </si>
  <si>
    <t>18W000000000MSIM</t>
  </si>
  <si>
    <t>FVSSVAN</t>
  </si>
  <si>
    <t>18W000000000MSGQ</t>
  </si>
  <si>
    <t>FVTABA</t>
  </si>
  <si>
    <t>18W000000000R7LM</t>
  </si>
  <si>
    <t>FVTEJES</t>
  </si>
  <si>
    <t>18W000000000N2XT</t>
  </si>
  <si>
    <t>FXRSPRE</t>
  </si>
  <si>
    <t>18W00000000079YX</t>
  </si>
  <si>
    <t>FYAGENT</t>
  </si>
  <si>
    <t>AGENT ( FOTOVOLTAICA,TARIFA,NO EXENTO )</t>
  </si>
  <si>
    <t>18WFYAGENT-123-E</t>
  </si>
  <si>
    <t>AGENT</t>
  </si>
  <si>
    <t>FYALBA1</t>
  </si>
  <si>
    <t>18W000000000Q2RT</t>
  </si>
  <si>
    <t>FYALBA2</t>
  </si>
  <si>
    <t>18W000000000Q2TP</t>
  </si>
  <si>
    <t>FYAME</t>
  </si>
  <si>
    <t>FOTOVOLTAICA MENOS 1 MW</t>
  </si>
  <si>
    <t>18WFYAME-12345-4</t>
  </si>
  <si>
    <t>FYASIE</t>
  </si>
  <si>
    <t>FOTVREGESP</t>
  </si>
  <si>
    <t>FOTOVOLTAICA RETRIBUCION ESPECIFICA</t>
  </si>
  <si>
    <t>18WFYASIE-1234-5</t>
  </si>
  <si>
    <t>FYATLAS</t>
  </si>
  <si>
    <t>18W000000000JMYK</t>
  </si>
  <si>
    <t>FYBSG</t>
  </si>
  <si>
    <t>18W000000000BCMW</t>
  </si>
  <si>
    <t>FYCEG</t>
  </si>
  <si>
    <t>CEG ( FOTOVOLTAICA,TARIFA,NO EXENTO )</t>
  </si>
  <si>
    <t>18WFYCEG-12345-7</t>
  </si>
  <si>
    <t>FYCESOS</t>
  </si>
  <si>
    <t>UP FOTOVOLTAICA CESOS</t>
  </si>
  <si>
    <t>18W000000000R0N2</t>
  </si>
  <si>
    <t>FYCEXXI</t>
  </si>
  <si>
    <t>ENDESA CUR FOTOVOL MAYOR 100</t>
  </si>
  <si>
    <t>18W000000000FDMD</t>
  </si>
  <si>
    <t>FYCLIDM</t>
  </si>
  <si>
    <t>RET SUP 15</t>
  </si>
  <si>
    <t>REGIMEN ESPECIAL TARIFA &gt;15</t>
  </si>
  <si>
    <t>18WFYCLIDM-123-Z</t>
  </si>
  <si>
    <t>FYCYE</t>
  </si>
  <si>
    <t>UPRREFVCD</t>
  </si>
  <si>
    <t>UP REPRESENTACION RE FV CON DESVIOS</t>
  </si>
  <si>
    <t>18WFYCYE-12345-A</t>
  </si>
  <si>
    <t>FYDETIC</t>
  </si>
  <si>
    <t>DETIC ( FOTOVOLTAICA,TARIFA,NO EXENTO )</t>
  </si>
  <si>
    <t>18WFYDETIC-123-P</t>
  </si>
  <si>
    <t>FYEBEN</t>
  </si>
  <si>
    <t>COLMENA SUN YEBENES</t>
  </si>
  <si>
    <t>18W000000000OYU9</t>
  </si>
  <si>
    <t>FYEBLCO</t>
  </si>
  <si>
    <t>EBLCO ( FOTOVOLTAICA,TARIFA,NO EXENTO )</t>
  </si>
  <si>
    <t>18WFYEBLCO-123-6</t>
  </si>
  <si>
    <t>FYEEXXI</t>
  </si>
  <si>
    <t>18WFYEEXXI-123-1</t>
  </si>
  <si>
    <t>FYEFG</t>
  </si>
  <si>
    <t>EFG ( FOTOVOLTAICA,TARIFA,NO EXENTO )</t>
  </si>
  <si>
    <t>18WFYEFG-12345-C</t>
  </si>
  <si>
    <t>FYEGED</t>
  </si>
  <si>
    <t>18W000000000Q00F</t>
  </si>
  <si>
    <t>FYEGLE</t>
  </si>
  <si>
    <t>EGLE ( FOTOVOLTAICA,TARIFA,NO EXENTO )</t>
  </si>
  <si>
    <t>18WFYEGLE-1234-H</t>
  </si>
  <si>
    <t>FYENDG</t>
  </si>
  <si>
    <t>18WFYENDG-1234-3</t>
  </si>
  <si>
    <t>FYEONUR</t>
  </si>
  <si>
    <t>E.ON CUR ( TARIFA, FOTOVOLTAICA, NO EXENTA)</t>
  </si>
  <si>
    <t>18WFYEONUR-123-Q</t>
  </si>
  <si>
    <t>FYEPES</t>
  </si>
  <si>
    <t>YPS</t>
  </si>
  <si>
    <t>FOTYEPES</t>
  </si>
  <si>
    <t>18W000000000IWWZ</t>
  </si>
  <si>
    <t>FYESERA</t>
  </si>
  <si>
    <t>UP FV YESERAS</t>
  </si>
  <si>
    <t>18W000000000FYY0</t>
  </si>
  <si>
    <t>FYFEN</t>
  </si>
  <si>
    <t>FOTOVOLTAICA MAYOR 15 KW</t>
  </si>
  <si>
    <t>18WFYFEN-12345-M</t>
  </si>
  <si>
    <t>FYFUTGR</t>
  </si>
  <si>
    <t>UP FYFUTGR</t>
  </si>
  <si>
    <t>UP FOTOVOLTAICA FUTURA GREEN</t>
  </si>
  <si>
    <t>18WFYFUTGR-123-D</t>
  </si>
  <si>
    <t>FYGAC</t>
  </si>
  <si>
    <t>GAC ( FOTOVOLTAICA,TARIFA,NO EXENTO )</t>
  </si>
  <si>
    <t>18WFYGAC-12345-2</t>
  </si>
  <si>
    <t>FYGEMSL</t>
  </si>
  <si>
    <t>GEM FV</t>
  </si>
  <si>
    <t>18W000000000F5CK</t>
  </si>
  <si>
    <t>FYGENER</t>
  </si>
  <si>
    <t>GENER ( FOTOVOLTAICA,TARIFA,NO EXENTO )</t>
  </si>
  <si>
    <t>18WFYGENER-123-A</t>
  </si>
  <si>
    <t>FYGESTE</t>
  </si>
  <si>
    <t>GESTE ( FOTOVOLTAICA,TARIFA,NO EXENTO )</t>
  </si>
  <si>
    <t>18WFYGESTE-123-A</t>
  </si>
  <si>
    <t>FYGNRA</t>
  </si>
  <si>
    <t>GNRA ( FOTOVOLTAICA,TARIFA,NO EXENTO )</t>
  </si>
  <si>
    <t>18WFYGNRA-1234-E</t>
  </si>
  <si>
    <t>FYGNSUR</t>
  </si>
  <si>
    <t>GAS NATURAL SUR SDG ( TARIFA, FOTOVOLTAICA, NO EXENTA)</t>
  </si>
  <si>
    <t>18WFYGNSUR-123-6</t>
  </si>
  <si>
    <t>FYGSETT</t>
  </si>
  <si>
    <t>GSE S.A.</t>
  </si>
  <si>
    <t>GLOBAL SOLAR ENERGY S.A.</t>
  </si>
  <si>
    <t>18WFYGSETT-123-2</t>
  </si>
  <si>
    <t>GSETT</t>
  </si>
  <si>
    <t>FYHCCUR</t>
  </si>
  <si>
    <t>HIDROCANTABRICO CUR ( TARIFA, FOTOVOLTAICA, NO EXENTA)</t>
  </si>
  <si>
    <t>18WFYHCCUR-123-R</t>
  </si>
  <si>
    <t>FYHCG</t>
  </si>
  <si>
    <t>UP FOTOVOLTAICA HCG</t>
  </si>
  <si>
    <t>18W000000000CRRA</t>
  </si>
  <si>
    <t>FYHELIO</t>
  </si>
  <si>
    <t>HELIO ( FOTOVOLTAICA,TARIFA,NO EXENTO )</t>
  </si>
  <si>
    <t>18WFYHELIO-123-6</t>
  </si>
  <si>
    <t>HELIO</t>
  </si>
  <si>
    <t>FYIBCUR</t>
  </si>
  <si>
    <t>18WFYIBCUR-123-Q</t>
  </si>
  <si>
    <t>FYIBGES</t>
  </si>
  <si>
    <t>18WFYIBGES-123-0</t>
  </si>
  <si>
    <t>FYIGNI</t>
  </si>
  <si>
    <t>IGNI FY</t>
  </si>
  <si>
    <t>IGNIS AGRUPACION SOLAR FOTOVOLTAICA</t>
  </si>
  <si>
    <t>18W000000000PZQA</t>
  </si>
  <si>
    <t>FYLAUEI</t>
  </si>
  <si>
    <t>REPRESENTANTE &gt;15 KW</t>
  </si>
  <si>
    <t>18WFYLAUEI-123-W</t>
  </si>
  <si>
    <t>FYLMER</t>
  </si>
  <si>
    <t>LMER ( FOTOVOLTAICA,TARIFA,NO EXENTO )</t>
  </si>
  <si>
    <t>18WFYLMER-1234-O</t>
  </si>
  <si>
    <t>FYNEXU</t>
  </si>
  <si>
    <t>NEXU ( FOTOVOLTAICA,TARIFA,NO EXENTO )</t>
  </si>
  <si>
    <t>18WFYNEXU-1234-Z</t>
  </si>
  <si>
    <t>FYNRENO</t>
  </si>
  <si>
    <t>NRENO ( FOTOVOLTAICA,TARIFA,NO EXENTO )</t>
  </si>
  <si>
    <t>18WFYNRENO-123-I</t>
  </si>
  <si>
    <t>NRENO</t>
  </si>
  <si>
    <t>FYREN2</t>
  </si>
  <si>
    <t>18W000000000PM99</t>
  </si>
  <si>
    <t>FYRSPRA</t>
  </si>
  <si>
    <t>18WFYRSPRA-123-5</t>
  </si>
  <si>
    <t>FYSESPV</t>
  </si>
  <si>
    <t>FOT AGRUPA</t>
  </si>
  <si>
    <t>FOTOVOLTAICA AGRUPACION</t>
  </si>
  <si>
    <t>18W000000000BWM9</t>
  </si>
  <si>
    <t>SHELL</t>
  </si>
  <si>
    <t>FYTERSA</t>
  </si>
  <si>
    <t>TERSAFVOL</t>
  </si>
  <si>
    <t>TERSA SOLAR FOTOVOLTAICA</t>
  </si>
  <si>
    <t>18W0000000007AJN</t>
  </si>
  <si>
    <t>TERSA</t>
  </si>
  <si>
    <t>FYWMARK</t>
  </si>
  <si>
    <t>WMARK ( FOTOVOLTAICA,TARIFA,NO EXENTO )</t>
  </si>
  <si>
    <t>18WFYWMARK-123-1</t>
  </si>
  <si>
    <t>FZAFRA</t>
  </si>
  <si>
    <t>UP ZAFRA</t>
  </si>
  <si>
    <t>UP FV ZAFRA</t>
  </si>
  <si>
    <t>18W000000000FT9S</t>
  </si>
  <si>
    <t>FZARZMS</t>
  </si>
  <si>
    <t>UP FV ZARZA M SOLAR</t>
  </si>
  <si>
    <t>18WFZARZMS-123-E</t>
  </si>
  <si>
    <t>FZUERA2</t>
  </si>
  <si>
    <t>FZUERAA2</t>
  </si>
  <si>
    <t>18W000000000MEYW</t>
  </si>
  <si>
    <t>FZUERAS</t>
  </si>
  <si>
    <t>FZUERAA</t>
  </si>
  <si>
    <t>18W000000000MEXY</t>
  </si>
  <si>
    <t>GABAC01</t>
  </si>
  <si>
    <t>GABA</t>
  </si>
  <si>
    <t>GABA COMERCIALIZADORA DE ELECTRICIDAD SLU</t>
  </si>
  <si>
    <t>18W000000000N5ZG</t>
  </si>
  <si>
    <t>GABAC</t>
  </si>
  <si>
    <t>GACC01</t>
  </si>
  <si>
    <t>GEOATLANTER COMPRA</t>
  </si>
  <si>
    <t>18WGEOATLANTERP1</t>
  </si>
  <si>
    <t>GAENER1</t>
  </si>
  <si>
    <t>18W000000000I1QT</t>
  </si>
  <si>
    <t>GAIAC01</t>
  </si>
  <si>
    <t>GAIA COMER</t>
  </si>
  <si>
    <t>GAIA COMERCIALIZADORA</t>
  </si>
  <si>
    <t>18W000000000CG2J</t>
  </si>
  <si>
    <t>GGLOB</t>
  </si>
  <si>
    <t>GALAC01</t>
  </si>
  <si>
    <t>18WGALAC01-123-Y</t>
  </si>
  <si>
    <t>GALA1</t>
  </si>
  <si>
    <t>GALPC01</t>
  </si>
  <si>
    <t>GALPUP</t>
  </si>
  <si>
    <t>18WGALPC01-12--7</t>
  </si>
  <si>
    <t>GALP</t>
  </si>
  <si>
    <t>GALPR01</t>
  </si>
  <si>
    <t>GALPSRAD</t>
  </si>
  <si>
    <t>18W000000000QKT8</t>
  </si>
  <si>
    <t>GALPS1</t>
  </si>
  <si>
    <t>GALPV1</t>
  </si>
  <si>
    <t>GALP VENTA 1</t>
  </si>
  <si>
    <t>18W000000000LYAO</t>
  </si>
  <si>
    <t>GALPS2</t>
  </si>
  <si>
    <t>GALP VENTA 2</t>
  </si>
  <si>
    <t>18W000000000LYBM</t>
  </si>
  <si>
    <t>GALPS23</t>
  </si>
  <si>
    <t>LOGRO</t>
  </si>
  <si>
    <t>PARQUE LOGRO</t>
  </si>
  <si>
    <t>18W000000000N3GN</t>
  </si>
  <si>
    <t>GALPS24</t>
  </si>
  <si>
    <t>IALCI</t>
  </si>
  <si>
    <t>ICTIO ALCAZAR I</t>
  </si>
  <si>
    <t>18W000000000NHP0</t>
  </si>
  <si>
    <t>GALPS25</t>
  </si>
  <si>
    <t>ICTIO ALACAZAR II</t>
  </si>
  <si>
    <t>18W000000000NHQZ</t>
  </si>
  <si>
    <t>GALPS26</t>
  </si>
  <si>
    <t>IALCAIII</t>
  </si>
  <si>
    <t>ICTIO ALCAZAR III</t>
  </si>
  <si>
    <t>18W000000000NHRX</t>
  </si>
  <si>
    <t>GALPS27</t>
  </si>
  <si>
    <t>ALCAZAR II</t>
  </si>
  <si>
    <t>18W000000000OV04</t>
  </si>
  <si>
    <t>GALPS28</t>
  </si>
  <si>
    <t>VALDIVIESO</t>
  </si>
  <si>
    <t>18W000000000OV20</t>
  </si>
  <si>
    <t>GALPS29</t>
  </si>
  <si>
    <t>RIBAGRANDE</t>
  </si>
  <si>
    <t>18W000000000PAFX</t>
  </si>
  <si>
    <t>GALPS3</t>
  </si>
  <si>
    <t>GALP VENTA 3</t>
  </si>
  <si>
    <t>18W000000000M8EG</t>
  </si>
  <si>
    <t>GALPS30</t>
  </si>
  <si>
    <t>SIERREZUEL</t>
  </si>
  <si>
    <t>SIERREZUELA</t>
  </si>
  <si>
    <t>18W000000000PDR0</t>
  </si>
  <si>
    <t>GALPS31</t>
  </si>
  <si>
    <t>ESCARNES</t>
  </si>
  <si>
    <t>18W000000000PGGD</t>
  </si>
  <si>
    <t>GALPS32</t>
  </si>
  <si>
    <t>ENVITERO</t>
  </si>
  <si>
    <t>18W000000000PGHB</t>
  </si>
  <si>
    <t>GALPS33</t>
  </si>
  <si>
    <t>MOCATERO</t>
  </si>
  <si>
    <t>18W000000000PGI9</t>
  </si>
  <si>
    <t>GALPS34</t>
  </si>
  <si>
    <t>IGNISSOLAR</t>
  </si>
  <si>
    <t>IGNIS SOLAR I</t>
  </si>
  <si>
    <t>18W000000000PGJ7</t>
  </si>
  <si>
    <t>GALPS35</t>
  </si>
  <si>
    <t>MEDIOMONTE</t>
  </si>
  <si>
    <t>18W000000000PGK5</t>
  </si>
  <si>
    <t>GALPS36</t>
  </si>
  <si>
    <t>EMOCION</t>
  </si>
  <si>
    <t>18W000000000PGL3</t>
  </si>
  <si>
    <t>GALPS37</t>
  </si>
  <si>
    <t>ESCATRNSII</t>
  </si>
  <si>
    <t>ESCATRON SOLAR II</t>
  </si>
  <si>
    <t>18W000000000PGM1</t>
  </si>
  <si>
    <t>GALPS38</t>
  </si>
  <si>
    <t>PALABRA</t>
  </si>
  <si>
    <t>18W000000000PGOY</t>
  </si>
  <si>
    <t>GALPS39</t>
  </si>
  <si>
    <t>VALDELAGUA</t>
  </si>
  <si>
    <t>18W000000000PGPW</t>
  </si>
  <si>
    <t>GALPS40</t>
  </si>
  <si>
    <t>EL ROBLEDO</t>
  </si>
  <si>
    <t>18W000000000PGQU</t>
  </si>
  <si>
    <t>GALPS41</t>
  </si>
  <si>
    <t>18W000000000PGRS</t>
  </si>
  <si>
    <t>GALPS42</t>
  </si>
  <si>
    <t>TALENTO</t>
  </si>
  <si>
    <t>18W000000000PGSQ</t>
  </si>
  <si>
    <t>GALPS43</t>
  </si>
  <si>
    <t>ESPLENDOR</t>
  </si>
  <si>
    <t>18W000000000PGTO</t>
  </si>
  <si>
    <t>GALPS44</t>
  </si>
  <si>
    <t>PITARCO</t>
  </si>
  <si>
    <t>PITARCO ABC</t>
  </si>
  <si>
    <t>18W000000000PH21</t>
  </si>
  <si>
    <t>GALPS53</t>
  </si>
  <si>
    <t>ALBARREAL</t>
  </si>
  <si>
    <t>18W000000000QFEG</t>
  </si>
  <si>
    <t>GAMBC01</t>
  </si>
  <si>
    <t>GAMBASTAR</t>
  </si>
  <si>
    <t>GAMBASTAR S.L</t>
  </si>
  <si>
    <t>18WGAMBC01-123-D</t>
  </si>
  <si>
    <t>GAMB</t>
  </si>
  <si>
    <t>GAMIC01</t>
  </si>
  <si>
    <t>GAMBITO</t>
  </si>
  <si>
    <t>GAMBITO ENERGY SL</t>
  </si>
  <si>
    <t>18W000000000PW8I</t>
  </si>
  <si>
    <t>GAMBI</t>
  </si>
  <si>
    <t>GAOLC01</t>
  </si>
  <si>
    <t>GANA ENER</t>
  </si>
  <si>
    <t>18WGAOLC01-123-2</t>
  </si>
  <si>
    <t>GAOLA</t>
  </si>
  <si>
    <t>GASRGAN</t>
  </si>
  <si>
    <t>GAS RESIDUOS GANADEROS</t>
  </si>
  <si>
    <t>18W000000000LUYP</t>
  </si>
  <si>
    <t>GASTU1</t>
  </si>
  <si>
    <t>18W0000000000TQH</t>
  </si>
  <si>
    <t>GAUDAX</t>
  </si>
  <si>
    <t>UNIDAD GENERICA</t>
  </si>
  <si>
    <t>18W000000000816Z</t>
  </si>
  <si>
    <t>GAVIAEG</t>
  </si>
  <si>
    <t>18W00000000037AT</t>
  </si>
  <si>
    <t>GAVIC01</t>
  </si>
  <si>
    <t>GAVIPLAS</t>
  </si>
  <si>
    <t>18WGAVIC01-123-T</t>
  </si>
  <si>
    <t>GAVIP</t>
  </si>
  <si>
    <t>GBENC01</t>
  </si>
  <si>
    <t>GB ENERGIA</t>
  </si>
  <si>
    <t>GLOBAL BIOSFERA ENERGIA</t>
  </si>
  <si>
    <t>18WGBENC01-123-6</t>
  </si>
  <si>
    <t>GBENE</t>
  </si>
  <si>
    <t>GBNPRV1</t>
  </si>
  <si>
    <t>BONPREU GENERICA</t>
  </si>
  <si>
    <t>18W000000000R1CL</t>
  </si>
  <si>
    <t>GC21C01</t>
  </si>
  <si>
    <t>GC2 PRO</t>
  </si>
  <si>
    <t>GC2 PROYECTOS</t>
  </si>
  <si>
    <t>18WGC21-123456-I</t>
  </si>
  <si>
    <t>GC2</t>
  </si>
  <si>
    <t>GCENES1</t>
  </si>
  <si>
    <t>CENTRICA ENERGIAS ESPECIALES</t>
  </si>
  <si>
    <t>18WGCENES1-123-B</t>
  </si>
  <si>
    <t>GCENTE1</t>
  </si>
  <si>
    <t>CENTRICA ENERGIA S.L.U. ( G )</t>
  </si>
  <si>
    <t>18WGCENTE1-123-P</t>
  </si>
  <si>
    <t>GDETI1</t>
  </si>
  <si>
    <t>DETISA ( G )</t>
  </si>
  <si>
    <t>18WGDETI1-1234-Z</t>
  </si>
  <si>
    <t>GDIVC01</t>
  </si>
  <si>
    <t>GDIVC01_PEN</t>
  </si>
  <si>
    <t>18WGDIVC01-123-6</t>
  </si>
  <si>
    <t>GDIVE</t>
  </si>
  <si>
    <t>GDLQ</t>
  </si>
  <si>
    <t>GUADALQUIV</t>
  </si>
  <si>
    <t>UGH. GUADALQUIVIR</t>
  </si>
  <si>
    <t>18WGDLQ-12345-0A</t>
  </si>
  <si>
    <t>GDLQB</t>
  </si>
  <si>
    <t>UGH. GUADALQUIVIR - BOMBEO</t>
  </si>
  <si>
    <t>18WGDLQB-12345-Z</t>
  </si>
  <si>
    <t>GDNA</t>
  </si>
  <si>
    <t>GUADIANA</t>
  </si>
  <si>
    <t>UGH. GUADIANA</t>
  </si>
  <si>
    <t>18WGDNA-12345-00</t>
  </si>
  <si>
    <t>GDREUA1</t>
  </si>
  <si>
    <t>UG FOENER</t>
  </si>
  <si>
    <t>GENERICA FOENER ENERGIA SL</t>
  </si>
  <si>
    <t>18W000000000Q144</t>
  </si>
  <si>
    <t>GDUFER1</t>
  </si>
  <si>
    <t>DUFENERGY TRADING</t>
  </si>
  <si>
    <t>18WGDUFER1-123-M</t>
  </si>
  <si>
    <t>GEBLCO1</t>
  </si>
  <si>
    <t>GENERICA EBLCO</t>
  </si>
  <si>
    <t>18W000000000IZ56</t>
  </si>
  <si>
    <t>GEDFT1</t>
  </si>
  <si>
    <t>EDF TRADING LIMITED ( G )</t>
  </si>
  <si>
    <t>18WGEDFT1-1234-1</t>
  </si>
  <si>
    <t>GEFG1</t>
  </si>
  <si>
    <t>FACTOR ENERGIA ( G )</t>
  </si>
  <si>
    <t>18WGEFG1-12345-K</t>
  </si>
  <si>
    <t>GEGC01</t>
  </si>
  <si>
    <t>ENERG</t>
  </si>
  <si>
    <t>GRUPO ENERGALICIA, S.A.</t>
  </si>
  <si>
    <t>18WGEGC01-1234-0</t>
  </si>
  <si>
    <t>GEGED1</t>
  </si>
  <si>
    <t>ACCIONA GREEN ENERGY DEVELOPMENTS, S.L. ( G )</t>
  </si>
  <si>
    <t>18WGEGED1-1234-B</t>
  </si>
  <si>
    <t>GEGLE1</t>
  </si>
  <si>
    <t>18WGEGLE1-1234-6</t>
  </si>
  <si>
    <t>GEISC01</t>
  </si>
  <si>
    <t>VD</t>
  </si>
  <si>
    <t>VILADECAVALS</t>
  </si>
  <si>
    <t>18W000000000IDYE</t>
  </si>
  <si>
    <t>GEISA</t>
  </si>
  <si>
    <t>GENCEG1</t>
  </si>
  <si>
    <t>GENENCEG</t>
  </si>
  <si>
    <t>GENERICA INTERCONEXION ENCEG</t>
  </si>
  <si>
    <t>18W000000000OZ3N</t>
  </si>
  <si>
    <t>GENDG1</t>
  </si>
  <si>
    <t>ENDESA GENERACION, S.A.</t>
  </si>
  <si>
    <t>18WGENDG1-1234-S</t>
  </si>
  <si>
    <t>GENGES3</t>
  </si>
  <si>
    <t>GEN GES3</t>
  </si>
  <si>
    <t>NEO SC CINCA VERDE</t>
  </si>
  <si>
    <t>18W0000000001DRM</t>
  </si>
  <si>
    <t>GENGEST</t>
  </si>
  <si>
    <t>GEN GEST</t>
  </si>
  <si>
    <t>EL GRADO</t>
  </si>
  <si>
    <t>18WGENGEST-123-L</t>
  </si>
  <si>
    <t>GEOAC01</t>
  </si>
  <si>
    <t>UP COMPRA 1</t>
  </si>
  <si>
    <t>18WGEOAC01-123-R</t>
  </si>
  <si>
    <t>GEOAL</t>
  </si>
  <si>
    <t>GEPLAS</t>
  </si>
  <si>
    <t>GE PLASTICS (ENERGY WORKS CARTAGENA, S.L.)</t>
  </si>
  <si>
    <t>18WGEPLAS--12-0K</t>
  </si>
  <si>
    <t>EWCA</t>
  </si>
  <si>
    <t>GEROUT1</t>
  </si>
  <si>
    <t>GEN EROUTE</t>
  </si>
  <si>
    <t>18WGEROUT1-123-F</t>
  </si>
  <si>
    <t>GESIC01</t>
  </si>
  <si>
    <t>GESTINER</t>
  </si>
  <si>
    <t>GESTINER INGENIEROS</t>
  </si>
  <si>
    <t>18WGESIC01-123-E</t>
  </si>
  <si>
    <t>GESTI</t>
  </si>
  <si>
    <t>GESLC01</t>
  </si>
  <si>
    <t>GESL</t>
  </si>
  <si>
    <t>GENERG</t>
  </si>
  <si>
    <t>18W000000000IOID</t>
  </si>
  <si>
    <t>GESPCX1</t>
  </si>
  <si>
    <t>PORGENC</t>
  </si>
  <si>
    <t>PORT_GEN_CMPRA</t>
  </si>
  <si>
    <t>18W000000000LOUE</t>
  </si>
  <si>
    <t>GESPVX1</t>
  </si>
  <si>
    <t>PORGENV</t>
  </si>
  <si>
    <t>PORT_GEN_VNTA</t>
  </si>
  <si>
    <t>18W000000000LOVC</t>
  </si>
  <si>
    <t>GESSC01</t>
  </si>
  <si>
    <t>GESS</t>
  </si>
  <si>
    <t>GESTIONNA</t>
  </si>
  <si>
    <t>18WGESSC01-123-P</t>
  </si>
  <si>
    <t>GEST</t>
  </si>
  <si>
    <t>GESTC01</t>
  </si>
  <si>
    <t>GESTERNOVA S.A.</t>
  </si>
  <si>
    <t>18WGESTC01-123-F</t>
  </si>
  <si>
    <t>GESTCOM</t>
  </si>
  <si>
    <t>18W000000000M9SM</t>
  </si>
  <si>
    <t>GEXTIII</t>
  </si>
  <si>
    <t>GEXTRESIII</t>
  </si>
  <si>
    <t>GEXTRESOLIII</t>
  </si>
  <si>
    <t>18W000000000QC72</t>
  </si>
  <si>
    <t>GEXTRII</t>
  </si>
  <si>
    <t>GEXTRESOLI</t>
  </si>
  <si>
    <t>GEXTRESOLII</t>
  </si>
  <si>
    <t>18W000000000QC64</t>
  </si>
  <si>
    <t>GFRGS1</t>
  </si>
  <si>
    <t>GST</t>
  </si>
  <si>
    <t>GDF SUEZ TRADING</t>
  </si>
  <si>
    <t>18WGFR-GS1-12--T</t>
  </si>
  <si>
    <t>FR_GS</t>
  </si>
  <si>
    <t>GGAC1</t>
  </si>
  <si>
    <t>GEOATLANTER S.L. (GENERICA)</t>
  </si>
  <si>
    <t>18WGGAC1-12345-H</t>
  </si>
  <si>
    <t>GGMT1</t>
  </si>
  <si>
    <t>GMT</t>
  </si>
  <si>
    <t>18WGGMT1-12345-B</t>
  </si>
  <si>
    <t>GGNCO1</t>
  </si>
  <si>
    <t>GEN</t>
  </si>
  <si>
    <t>18WGGNCO1-1234-G</t>
  </si>
  <si>
    <t>GGNRA1</t>
  </si>
  <si>
    <t>UP GENERICA GNERA</t>
  </si>
  <si>
    <t>18WGGNRA1-1234-T</t>
  </si>
  <si>
    <t>GGSLZ1</t>
  </si>
  <si>
    <t>18W000000000R5F3</t>
  </si>
  <si>
    <t>GSLZE</t>
  </si>
  <si>
    <t>GGUNV1</t>
  </si>
  <si>
    <t>18W000000000LVP3</t>
  </si>
  <si>
    <t>GUNVOR</t>
  </si>
  <si>
    <t>GHCG1</t>
  </si>
  <si>
    <t>HIDROELECTRICA DEL CANTABRICO ( G )</t>
  </si>
  <si>
    <t>18WGHCG1-12345-H</t>
  </si>
  <si>
    <t>GHISPE1</t>
  </si>
  <si>
    <t>18WGHISPE1-123-I</t>
  </si>
  <si>
    <t>GIBEG1</t>
  </si>
  <si>
    <t>IBERDROLA GENERACION S.A.U. ( G )</t>
  </si>
  <si>
    <t>18WGIBEG1-1234-S</t>
  </si>
  <si>
    <t>GIBGES1</t>
  </si>
  <si>
    <t>18WGIBGES1-123-5</t>
  </si>
  <si>
    <t>GIGNI1</t>
  </si>
  <si>
    <t>GENERICA1</t>
  </si>
  <si>
    <t>UNIDAD GENERICA IGNIS</t>
  </si>
  <si>
    <t>18W000000000NBKS</t>
  </si>
  <si>
    <t>GJARON1</t>
  </si>
  <si>
    <t>J.ARON &amp; COMPANY</t>
  </si>
  <si>
    <t>18WGJARON1-123-T</t>
  </si>
  <si>
    <t>JARON</t>
  </si>
  <si>
    <t>GMARTB1</t>
  </si>
  <si>
    <t>UPGENERICA</t>
  </si>
  <si>
    <t>UPGENERICA BILATERAL FISICO</t>
  </si>
  <si>
    <t>18W000000000R0RV</t>
  </si>
  <si>
    <t>MARTB</t>
  </si>
  <si>
    <t>GMEC01</t>
  </si>
  <si>
    <t>GME</t>
  </si>
  <si>
    <t>GARCIA MUNTE</t>
  </si>
  <si>
    <t>18W000000000MIDP</t>
  </si>
  <si>
    <t>GMEEC01</t>
  </si>
  <si>
    <t>CD GME</t>
  </si>
  <si>
    <t>CONSUMIDOR DIRECTO GME</t>
  </si>
  <si>
    <t>18W000000000OYW5</t>
  </si>
  <si>
    <t>GMERCU1</t>
  </si>
  <si>
    <t>MERCU</t>
  </si>
  <si>
    <t>MERCURIA ENERGY TRADING SA</t>
  </si>
  <si>
    <t>18WGMERCU1-123-1</t>
  </si>
  <si>
    <t>GMETEE1</t>
  </si>
  <si>
    <t>UP METGEN</t>
  </si>
  <si>
    <t>18W000000000PUK0</t>
  </si>
  <si>
    <t>METEN</t>
  </si>
  <si>
    <t>GMTCP3</t>
  </si>
  <si>
    <t>18WIMPORTFRESWCN</t>
  </si>
  <si>
    <t>GMTVP3</t>
  </si>
  <si>
    <t>18WEXPORTESFRWCH</t>
  </si>
  <si>
    <t>GNCOC01</t>
  </si>
  <si>
    <t>GAS NATURAL COMERCIALIZADORA</t>
  </si>
  <si>
    <t>18WGNCOC01-12-2S</t>
  </si>
  <si>
    <t>GNCOCP3</t>
  </si>
  <si>
    <t>GNCO DERECH COMPRA FRANCIA</t>
  </si>
  <si>
    <t>18W000000000F3XL</t>
  </si>
  <si>
    <t>GNCOR01</t>
  </si>
  <si>
    <t>GNCOR01 XEALSA SRAD</t>
  </si>
  <si>
    <t>18W000000000OU6W</t>
  </si>
  <si>
    <t>GNCOVP3</t>
  </si>
  <si>
    <t>GNCO DERECH VENTA FRANCIA</t>
  </si>
  <si>
    <t>18W000000000F3YJ</t>
  </si>
  <si>
    <t>GNCPCX1</t>
  </si>
  <si>
    <t>GNCO PORTFOLIO COMPRA</t>
  </si>
  <si>
    <t>18W000000000F3QZ</t>
  </si>
  <si>
    <t>GNCPVX1</t>
  </si>
  <si>
    <t>GNCO PORTFOLIO VENTA</t>
  </si>
  <si>
    <t>18W000000000F3RX</t>
  </si>
  <si>
    <t>GNEAS1</t>
  </si>
  <si>
    <t>NEAS-CG</t>
  </si>
  <si>
    <t>NEAS ENERGY A/S</t>
  </si>
  <si>
    <t>18WGNEAS1-1234-F</t>
  </si>
  <si>
    <t>NEAS</t>
  </si>
  <si>
    <t>GNEXU1</t>
  </si>
  <si>
    <t>NEXUS ENERGIA ( G )</t>
  </si>
  <si>
    <t>18WGNEXU1-1234-Q</t>
  </si>
  <si>
    <t>GNFRC01</t>
  </si>
  <si>
    <t>GAS NATURAL FENOSA RENOVABLES COMERCIALIZACION</t>
  </si>
  <si>
    <t>18W00000000065I7</t>
  </si>
  <si>
    <t>GNCE</t>
  </si>
  <si>
    <t>GNOBLE1</t>
  </si>
  <si>
    <t>GENERIC</t>
  </si>
  <si>
    <t>GENERIC UNIT</t>
  </si>
  <si>
    <t>18WGNOBLE1-123-C</t>
  </si>
  <si>
    <t>NOBLE</t>
  </si>
  <si>
    <t>GNRAC01</t>
  </si>
  <si>
    <t>UP COMERCIALIZADORA NACIONAL</t>
  </si>
  <si>
    <t>18WGNRAC01-123-Y</t>
  </si>
  <si>
    <t>GNRACP3</t>
  </si>
  <si>
    <t>18WGNRACP3-123-5</t>
  </si>
  <si>
    <t>GNRAVP3</t>
  </si>
  <si>
    <t>18WGNRAVP3-123-J</t>
  </si>
  <si>
    <t>GNRPCX1</t>
  </si>
  <si>
    <t>18W000000000AGE3</t>
  </si>
  <si>
    <t>GNRPVX1</t>
  </si>
  <si>
    <t>18W000000000AGF1</t>
  </si>
  <si>
    <t>GNSEC01</t>
  </si>
  <si>
    <t>GNSE</t>
  </si>
  <si>
    <t>GAS NATURAL SERVICIOS SDG, S.A.</t>
  </si>
  <si>
    <t>18WGNSEC01-12-2Q</t>
  </si>
  <si>
    <t>GNSUC01</t>
  </si>
  <si>
    <t>GAS NATURAL SUR SDG COMPRA</t>
  </si>
  <si>
    <t>18WGNSUC01-123-8</t>
  </si>
  <si>
    <t>GNSUCEB</t>
  </si>
  <si>
    <t>UP GNSUR COMPRA CABLE BALEAR</t>
  </si>
  <si>
    <t>18WGNSUCEB-123-B</t>
  </si>
  <si>
    <t>GOENC01</t>
  </si>
  <si>
    <t>GODAY ENER</t>
  </si>
  <si>
    <t>GODAY ENERGA</t>
  </si>
  <si>
    <t>18WGOENC01-123-Z</t>
  </si>
  <si>
    <t>GOENC</t>
  </si>
  <si>
    <t>GOICCX1</t>
  </si>
  <si>
    <t>18W000000000P1M9</t>
  </si>
  <si>
    <t>GOIEN</t>
  </si>
  <si>
    <t>GOICVX1</t>
  </si>
  <si>
    <t>18W000000000P1N7</t>
  </si>
  <si>
    <t>GOIEC01</t>
  </si>
  <si>
    <t>UP GOIENER COMERCILIZADORA</t>
  </si>
  <si>
    <t>18WGOIEC01-123-7</t>
  </si>
  <si>
    <t>GOIEV01</t>
  </si>
  <si>
    <t>UP GOIENER REPRESENTACION VENTA</t>
  </si>
  <si>
    <t>18W0000000007JZ1</t>
  </si>
  <si>
    <t>GOIEV02</t>
  </si>
  <si>
    <t>UP GOIENER REPRE VENTA SOLAR</t>
  </si>
  <si>
    <t>18W00000000091AN</t>
  </si>
  <si>
    <t>GOIEV03</t>
  </si>
  <si>
    <t>UP VENTA REPRE LIZAR HIDRO</t>
  </si>
  <si>
    <t>18W0000000009KR6</t>
  </si>
  <si>
    <t>GONE1</t>
  </si>
  <si>
    <t>18WGONE1-12345-H</t>
  </si>
  <si>
    <t>ONE</t>
  </si>
  <si>
    <t>GPIBCUR</t>
  </si>
  <si>
    <t>18WGPIBCUR-123-A</t>
  </si>
  <si>
    <t>GPOWER1</t>
  </si>
  <si>
    <t>PM GENERIC</t>
  </si>
  <si>
    <t>POWERMART GENERIC</t>
  </si>
  <si>
    <t>18WGPOWER1-123-X</t>
  </si>
  <si>
    <t>POWER</t>
  </si>
  <si>
    <t>GRAFC01</t>
  </si>
  <si>
    <t>GRAFV</t>
  </si>
  <si>
    <t>GRAFICAS VARIAS SA</t>
  </si>
  <si>
    <t>18W000000000F8E7</t>
  </si>
  <si>
    <t>GRANA</t>
  </si>
  <si>
    <t>18W000000000H2K5</t>
  </si>
  <si>
    <t>GRDZ</t>
  </si>
  <si>
    <t>18WGRDZ-123456-6</t>
  </si>
  <si>
    <t>GREPSB1</t>
  </si>
  <si>
    <t>UP GENERICA REPSOL SERVICIOS RENOVABLES</t>
  </si>
  <si>
    <t>18W000000000LCVB</t>
  </si>
  <si>
    <t>GRTEC01</t>
  </si>
  <si>
    <t>GERENTA_E</t>
  </si>
  <si>
    <t>GERENTA ENERGIA SL</t>
  </si>
  <si>
    <t>18W0000000004RND</t>
  </si>
  <si>
    <t>GRTEN</t>
  </si>
  <si>
    <t>GSAMP1</t>
  </si>
  <si>
    <t>SAMPOL ( G )</t>
  </si>
  <si>
    <t>18WGSAMP1-1234-H</t>
  </si>
  <si>
    <t>SAMP</t>
  </si>
  <si>
    <t>GSECOB1</t>
  </si>
  <si>
    <t>18W000000000PQZJ</t>
  </si>
  <si>
    <t>GSETC01</t>
  </si>
  <si>
    <t>COMERCIALI</t>
  </si>
  <si>
    <t>COMERCIALIZADORA</t>
  </si>
  <si>
    <t>18WGSETC01-123-1</t>
  </si>
  <si>
    <t>GSHEEN1</t>
  </si>
  <si>
    <t>SHEEN (GENERICA)</t>
  </si>
  <si>
    <t>18WGSHEEN1-123-R</t>
  </si>
  <si>
    <t>SHEEN</t>
  </si>
  <si>
    <t>GSLZC01</t>
  </si>
  <si>
    <t>18W000000000HAKI</t>
  </si>
  <si>
    <t>GSLZV02</t>
  </si>
  <si>
    <t>CACERES 1</t>
  </si>
  <si>
    <t>18W000000000PQ1D</t>
  </si>
  <si>
    <t>GSLZV03</t>
  </si>
  <si>
    <t>CACERES 2</t>
  </si>
  <si>
    <t>18W000000000PQ2B</t>
  </si>
  <si>
    <t>GSLZV04</t>
  </si>
  <si>
    <t>18W000000000PVX8</t>
  </si>
  <si>
    <t>GSLZV06</t>
  </si>
  <si>
    <t>JEREZ 2020</t>
  </si>
  <si>
    <t>18W000000000QE0A</t>
  </si>
  <si>
    <t>GSLZV07</t>
  </si>
  <si>
    <t>ALCONCHEL 20202</t>
  </si>
  <si>
    <t>18W000000000QH9K</t>
  </si>
  <si>
    <t>GSLZV08</t>
  </si>
  <si>
    <t>ALCONCHEL 2020</t>
  </si>
  <si>
    <t>18W000000000QXNI</t>
  </si>
  <si>
    <t>GSLZV09</t>
  </si>
  <si>
    <t>ALCONCHEL 2021</t>
  </si>
  <si>
    <t>18W000000000QXPE</t>
  </si>
  <si>
    <t>GSMG1</t>
  </si>
  <si>
    <t>STATKRAFT MARKETS GMBH</t>
  </si>
  <si>
    <t>18WGSMG1-12345-Y</t>
  </si>
  <si>
    <t>SMG</t>
  </si>
  <si>
    <t>GSTCP3</t>
  </si>
  <si>
    <t>GDF SUEZ TRADING GSTCP3</t>
  </si>
  <si>
    <t>18WGSTCP3-123--I</t>
  </si>
  <si>
    <t>GSTVP3</t>
  </si>
  <si>
    <t>GDF SUEZ TRADING GSTVP3</t>
  </si>
  <si>
    <t>18WGSTVP3-123--D</t>
  </si>
  <si>
    <t>GTOTGA1</t>
  </si>
  <si>
    <t>18WGTOTGA1-123-M</t>
  </si>
  <si>
    <t>TOTGA</t>
  </si>
  <si>
    <t>GTSRDE1</t>
  </si>
  <si>
    <t>TSRDE GENERIC</t>
  </si>
  <si>
    <t>18W000000000IG9I</t>
  </si>
  <si>
    <t>TSRDE</t>
  </si>
  <si>
    <t>GUADA</t>
  </si>
  <si>
    <t>HGUADA</t>
  </si>
  <si>
    <t>18WGUADA-12345-H</t>
  </si>
  <si>
    <t>GUIB</t>
  </si>
  <si>
    <t>GUILLENA B</t>
  </si>
  <si>
    <t>C.H.B. GUILLENA BOMBEO</t>
  </si>
  <si>
    <t>18WGUIB-12345-0Q</t>
  </si>
  <si>
    <t>GUIG</t>
  </si>
  <si>
    <t>GUILLENA G</t>
  </si>
  <si>
    <t>C.H. GUILLENA GENERACION</t>
  </si>
  <si>
    <t>18WGUIG-12345-0D</t>
  </si>
  <si>
    <t>GUISC01</t>
  </si>
  <si>
    <t>18WGUISC01-123-H</t>
  </si>
  <si>
    <t>GUIS</t>
  </si>
  <si>
    <t>GUISC02</t>
  </si>
  <si>
    <t>GUIS CD</t>
  </si>
  <si>
    <t>GUIS CONSUMIDOR DIRECTO</t>
  </si>
  <si>
    <t>18WGUISC02-123-A</t>
  </si>
  <si>
    <t>GUISGN</t>
  </si>
  <si>
    <t>GUIS VENTA</t>
  </si>
  <si>
    <t>GUISSONA VENTA</t>
  </si>
  <si>
    <t>18W000000000NT9X</t>
  </si>
  <si>
    <t>GUISR01</t>
  </si>
  <si>
    <t>GUISSONA SRAD</t>
  </si>
  <si>
    <t>18W000000000QJC8</t>
  </si>
  <si>
    <t>GUNEL01</t>
  </si>
  <si>
    <t>18W000000000OM7H</t>
  </si>
  <si>
    <t>UNEL</t>
  </si>
  <si>
    <t>GUNVCP3</t>
  </si>
  <si>
    <t>18W000000000LVN7</t>
  </si>
  <si>
    <t>GUNVVP3</t>
  </si>
  <si>
    <t>18W000000000LVO5</t>
  </si>
  <si>
    <t>GURBC01</t>
  </si>
  <si>
    <t>18W000000000K0UG</t>
  </si>
  <si>
    <t>GURBT</t>
  </si>
  <si>
    <t>GVIEG1</t>
  </si>
  <si>
    <t>GEONG1</t>
  </si>
  <si>
    <t>EON GENERACION, S.L. ( G )</t>
  </si>
  <si>
    <t>18WGVIEG1-1234-H</t>
  </si>
  <si>
    <t>GVITOL1</t>
  </si>
  <si>
    <t>GVITOL01</t>
  </si>
  <si>
    <t>UP GENERICA FRANCIA</t>
  </si>
  <si>
    <t>18W000000000NFJI</t>
  </si>
  <si>
    <t>VITOL</t>
  </si>
  <si>
    <t>GYEEXXI</t>
  </si>
  <si>
    <t>18WGYEEXXI-123-P</t>
  </si>
  <si>
    <t>GYGNRA</t>
  </si>
  <si>
    <t>OLAS</t>
  </si>
  <si>
    <t>PLANTA DE APROVECHAMENTO DE LAS OLAS</t>
  </si>
  <si>
    <t>18WGYGNRA-1234-1</t>
  </si>
  <si>
    <t>GYIBCUR</t>
  </si>
  <si>
    <t>18WGYIBCUR-123-D</t>
  </si>
  <si>
    <t>HABGN</t>
  </si>
  <si>
    <t>18W000000000OY5M</t>
  </si>
  <si>
    <t>HACUAM</t>
  </si>
  <si>
    <t>18WHACUAM-1234-B</t>
  </si>
  <si>
    <t>HACUAVI</t>
  </si>
  <si>
    <t>ACUAVIR - TARIFA&gt;10MW</t>
  </si>
  <si>
    <t>18WHACUAVI-123-F</t>
  </si>
  <si>
    <t>HAGUI</t>
  </si>
  <si>
    <t>HAGUILA</t>
  </si>
  <si>
    <t>18W000000000L15M</t>
  </si>
  <si>
    <t>HALANGE</t>
  </si>
  <si>
    <t>UP CH ALANGE</t>
  </si>
  <si>
    <t>18W000000000G03C</t>
  </si>
  <si>
    <t>HALCOL</t>
  </si>
  <si>
    <t>18WHALCOL-1234-B</t>
  </si>
  <si>
    <t>HAMPC01</t>
  </si>
  <si>
    <t>18W000000000MEFX</t>
  </si>
  <si>
    <t>HAMPO</t>
  </si>
  <si>
    <t>HAMPV01</t>
  </si>
  <si>
    <t>18W000000000PQ0F</t>
  </si>
  <si>
    <t>HANARBE</t>
  </si>
  <si>
    <t>UP ANARBE</t>
  </si>
  <si>
    <t>18WHANARBE-123-I</t>
  </si>
  <si>
    <t>HANTEL</t>
  </si>
  <si>
    <t>18WHANTEL-1234-K</t>
  </si>
  <si>
    <t>HAPOC01</t>
  </si>
  <si>
    <t>HAPO</t>
  </si>
  <si>
    <t>HARINAS POLO</t>
  </si>
  <si>
    <t>18W0000000007IBF</t>
  </si>
  <si>
    <t>HARENG</t>
  </si>
  <si>
    <t>18WHARENG-1234-B</t>
  </si>
  <si>
    <t>HARNO</t>
  </si>
  <si>
    <t>18WHARNO-1234-1U</t>
  </si>
  <si>
    <t>HARXC01</t>
  </si>
  <si>
    <t>HARINERA</t>
  </si>
  <si>
    <t>18W000000000P47U</t>
  </si>
  <si>
    <t>HARXX</t>
  </si>
  <si>
    <t>HATJUG</t>
  </si>
  <si>
    <t>18WHATJUG-123-1Z</t>
  </si>
  <si>
    <t>HATUDEL</t>
  </si>
  <si>
    <t>AGROELECTRICA TUDELANA</t>
  </si>
  <si>
    <t>18WHATUDEL-123-R</t>
  </si>
  <si>
    <t>HAZANON</t>
  </si>
  <si>
    <t>18W000000000QRI9</t>
  </si>
  <si>
    <t>HBARCO</t>
  </si>
  <si>
    <t>18WHBARCO-1234-H</t>
  </si>
  <si>
    <t>HBARDE</t>
  </si>
  <si>
    <t>18WHBARDE-1234-E</t>
  </si>
  <si>
    <t>HBARLO</t>
  </si>
  <si>
    <t>BARLOQUE SL</t>
  </si>
  <si>
    <t>18W000000000P1KD</t>
  </si>
  <si>
    <t>HCADOS</t>
  </si>
  <si>
    <t>18WHCADOS-1234-5</t>
  </si>
  <si>
    <t>HCALDA</t>
  </si>
  <si>
    <t>18WHCALDA-1234-K</t>
  </si>
  <si>
    <t>HCAST</t>
  </si>
  <si>
    <t>UPCASTRELO</t>
  </si>
  <si>
    <t>UP CH CASTRELO</t>
  </si>
  <si>
    <t>18W000000000HSJ3</t>
  </si>
  <si>
    <t>HCASTRO</t>
  </si>
  <si>
    <t>UP CH EL CASTRO</t>
  </si>
  <si>
    <t>18WHCASTRO-123-0</t>
  </si>
  <si>
    <t>HCENE01</t>
  </si>
  <si>
    <t>HC-ENE NAC</t>
  </si>
  <si>
    <t>HIDROCANTABRICO ENERGIA (NACIONAL)</t>
  </si>
  <si>
    <t>18WHCENE01-12-26</t>
  </si>
  <si>
    <t>HCENE</t>
  </si>
  <si>
    <t>HCGC01</t>
  </si>
  <si>
    <t>18WHCGC01-123-2K</t>
  </si>
  <si>
    <t>HCGCOX</t>
  </si>
  <si>
    <t>COMPRA SSAA PARQUES EOLICOS</t>
  </si>
  <si>
    <t>18W000000000IO36</t>
  </si>
  <si>
    <t>HCGEORS</t>
  </si>
  <si>
    <t>UP HCG ZONA REGULACION</t>
  </si>
  <si>
    <t>18W000000000IG4S</t>
  </si>
  <si>
    <t>HCGFVSA</t>
  </si>
  <si>
    <t>UNIDAD PROGRAMACION FOTOVOLTAICA</t>
  </si>
  <si>
    <t>18W000000000P3QW</t>
  </si>
  <si>
    <t>HCGSCSA</t>
  </si>
  <si>
    <t>UP VENTA PE HABILITADOS SERV AJUSTE</t>
  </si>
  <si>
    <t>18W000000000IG3U</t>
  </si>
  <si>
    <t>HCGSIHA</t>
  </si>
  <si>
    <t>UP PARQUES EOLICOS SIN HABILITAR</t>
  </si>
  <si>
    <t>18W000000000IG2W</t>
  </si>
  <si>
    <t>HCHI</t>
  </si>
  <si>
    <t>HC-HIDRAUL</t>
  </si>
  <si>
    <t>UGH. HIDROCANTABRICO HIDRAULICA</t>
  </si>
  <si>
    <t>18WHCHI-12345-0M</t>
  </si>
  <si>
    <t>HCHI2</t>
  </si>
  <si>
    <t>HIDRAULICAS VIESGO</t>
  </si>
  <si>
    <t>18W000000000N5N3</t>
  </si>
  <si>
    <t>HCHZAMU</t>
  </si>
  <si>
    <t>18WHCHZAMU-123-M</t>
  </si>
  <si>
    <t>HCMINE</t>
  </si>
  <si>
    <t>18WHMINER-1234-H</t>
  </si>
  <si>
    <t>HCNSC01</t>
  </si>
  <si>
    <t>HC NATURGAS SERVICIOS ENERGETICOS</t>
  </si>
  <si>
    <t>18WHCNSC01-123-H</t>
  </si>
  <si>
    <t>HCOGOTA</t>
  </si>
  <si>
    <t>UO CASTRO DE LAS COGOTAS</t>
  </si>
  <si>
    <t>18WHCOGOTA-123-J</t>
  </si>
  <si>
    <t>HCOHIG</t>
  </si>
  <si>
    <t>18WHCOHIG-123-19</t>
  </si>
  <si>
    <t>HCORADA</t>
  </si>
  <si>
    <t>UP CH CORADA</t>
  </si>
  <si>
    <t>18W000000000FZW1</t>
  </si>
  <si>
    <t>HCUER</t>
  </si>
  <si>
    <t>18W000000000NQVZ</t>
  </si>
  <si>
    <t>HCURC01</t>
  </si>
  <si>
    <t>HIDROCANTABRICO CUR. COMPRA</t>
  </si>
  <si>
    <t>18WHCURC01-123-O</t>
  </si>
  <si>
    <t>HCURCEB</t>
  </si>
  <si>
    <t>HCUR BALEA</t>
  </si>
  <si>
    <t>HC NAT ULTIMO RECURSO, COMPRA BALEARES</t>
  </si>
  <si>
    <t>18WHCURCEB-123-R</t>
  </si>
  <si>
    <t>HDOSA</t>
  </si>
  <si>
    <t>18W000000000NHJC</t>
  </si>
  <si>
    <t>HDUEROK</t>
  </si>
  <si>
    <t>18W000000000QROY</t>
  </si>
  <si>
    <t>HECEC01</t>
  </si>
  <si>
    <t>HIDROELÃ‰CTRICA EL CARMEN ENERGÃA, S.L</t>
  </si>
  <si>
    <t>18WHECEC01-123-W</t>
  </si>
  <si>
    <t>HECEN</t>
  </si>
  <si>
    <t>HEEARG</t>
  </si>
  <si>
    <t>HIDR ARTESA PEN MAYOR 1MW</t>
  </si>
  <si>
    <t>18WHEEARG-123-1A</t>
  </si>
  <si>
    <t>HEGEDGS</t>
  </si>
  <si>
    <t>LA SARRA</t>
  </si>
  <si>
    <t>18WHEGEDGS-123-W</t>
  </si>
  <si>
    <t>HEGILLO</t>
  </si>
  <si>
    <t>18W000000000QRQU</t>
  </si>
  <si>
    <t>HEGPE</t>
  </si>
  <si>
    <t>HIDRO EGPE</t>
  </si>
  <si>
    <t>18WHEGPE-12345-B</t>
  </si>
  <si>
    <t>HEGPE3</t>
  </si>
  <si>
    <t>HEGPE3 ZR</t>
  </si>
  <si>
    <t>18W0000000004RZQ</t>
  </si>
  <si>
    <t>HELEC01</t>
  </si>
  <si>
    <t>UP01 HELIO</t>
  </si>
  <si>
    <t>UP01 HELIOELEC</t>
  </si>
  <si>
    <t>18W000000000A6YU</t>
  </si>
  <si>
    <t>HELEC</t>
  </si>
  <si>
    <t>HELIC01</t>
  </si>
  <si>
    <t>HELIOS PEN</t>
  </si>
  <si>
    <t>HELIOS PENINSULA</t>
  </si>
  <si>
    <t>18W000000000KVA0</t>
  </si>
  <si>
    <t>HELEI</t>
  </si>
  <si>
    <t>HENGAG</t>
  </si>
  <si>
    <t>18WEENGAG-123-16</t>
  </si>
  <si>
    <t>HENREU</t>
  </si>
  <si>
    <t>18WHENREU-1234-V</t>
  </si>
  <si>
    <t>HEUGI</t>
  </si>
  <si>
    <t>18W000000000QRPW</t>
  </si>
  <si>
    <t>HFASIE</t>
  </si>
  <si>
    <t>HID RE 05</t>
  </si>
  <si>
    <t>HIDRAULICA REG ESP NO GEST POT&gt;=5 MW</t>
  </si>
  <si>
    <t>18WHFASIE-1234-M</t>
  </si>
  <si>
    <t>HFDETIC</t>
  </si>
  <si>
    <t>HIDRAULICA UF</t>
  </si>
  <si>
    <t>18WHFDETIC-123-5</t>
  </si>
  <si>
    <t>HFEGED</t>
  </si>
  <si>
    <t>HTARIFA</t>
  </si>
  <si>
    <t>HIDRAULICA TARIFA &lt; 10MW</t>
  </si>
  <si>
    <t>18WHFEGED-1234-V</t>
  </si>
  <si>
    <t>HFGASN</t>
  </si>
  <si>
    <t>18WHFGASN-1234-B</t>
  </si>
  <si>
    <t>HFGNRA</t>
  </si>
  <si>
    <t>HIDRAULICA</t>
  </si>
  <si>
    <t>HIDRAULICA MAYOR 1</t>
  </si>
  <si>
    <t>18WHFGNRA-1234-V</t>
  </si>
  <si>
    <t>HFIBFZ</t>
  </si>
  <si>
    <t>HFIBFZ MINIS FUERA ZONA R</t>
  </si>
  <si>
    <t>18W0000000002TGT</t>
  </si>
  <si>
    <t>HFIBGES</t>
  </si>
  <si>
    <t>18WHFIBGES-123-H</t>
  </si>
  <si>
    <t>HFITURB</t>
  </si>
  <si>
    <t>ITUR</t>
  </si>
  <si>
    <t>18WHFITURB-123-M</t>
  </si>
  <si>
    <t>ITURB</t>
  </si>
  <si>
    <t>HFNEXU</t>
  </si>
  <si>
    <t>HFNESXU</t>
  </si>
  <si>
    <t>UP HIDRAULICA MAYOR 1MW</t>
  </si>
  <si>
    <t>18WHFNEXU-1234-F</t>
  </si>
  <si>
    <t>HFOHIS</t>
  </si>
  <si>
    <t>18WHFOHIS-1234-E</t>
  </si>
  <si>
    <t>HFPLANA</t>
  </si>
  <si>
    <t>18WHFPLANA-123-M</t>
  </si>
  <si>
    <t>HFRESER</t>
  </si>
  <si>
    <t>UP CH FRESER</t>
  </si>
  <si>
    <t>18W000000000FZLN</t>
  </si>
  <si>
    <t>HFWMARK</t>
  </si>
  <si>
    <t>HIDRAULICA WMARK</t>
  </si>
  <si>
    <t>18WHFWMARK-123-I</t>
  </si>
  <si>
    <t>HGALLU</t>
  </si>
  <si>
    <t>18WHGALLU-123--E</t>
  </si>
  <si>
    <t>HGAME</t>
  </si>
  <si>
    <t>HIDRO MAS 1 MW</t>
  </si>
  <si>
    <t>18W0000000006SAS</t>
  </si>
  <si>
    <t>HGDALI</t>
  </si>
  <si>
    <t>18WHGDALI-1234-O</t>
  </si>
  <si>
    <t>HGDF01</t>
  </si>
  <si>
    <t>18WHGDF01-1234-3</t>
  </si>
  <si>
    <t>HGEFG</t>
  </si>
  <si>
    <t>UP HIDRAULICA SUP 1 MW</t>
  </si>
  <si>
    <t>18WHGEFG-12345-H</t>
  </si>
  <si>
    <t>HGENHI</t>
  </si>
  <si>
    <t>UP LOS ANGELES</t>
  </si>
  <si>
    <t>18WHGENHI-1234-U</t>
  </si>
  <si>
    <t>ANGEL</t>
  </si>
  <si>
    <t>HGIES</t>
  </si>
  <si>
    <t>18WHGIES-1234-10</t>
  </si>
  <si>
    <t>HGUADAL</t>
  </si>
  <si>
    <t>GUADALOPE</t>
  </si>
  <si>
    <t>HGUADALOPE</t>
  </si>
  <si>
    <t>18WHGUADAL-123-S</t>
  </si>
  <si>
    <t>HGUEJG</t>
  </si>
  <si>
    <t>18WHGUEJG-1234-G</t>
  </si>
  <si>
    <t>HHDESP</t>
  </si>
  <si>
    <t>18WHHDESP-1234-1</t>
  </si>
  <si>
    <t>HDE</t>
  </si>
  <si>
    <t>HHIAST</t>
  </si>
  <si>
    <t>18WHHIAST-1234-S</t>
  </si>
  <si>
    <t>HHICAG</t>
  </si>
  <si>
    <t>18WHHICAG-1234-F</t>
  </si>
  <si>
    <t>HHIDFR</t>
  </si>
  <si>
    <t>18WHHIDFR-1234-K</t>
  </si>
  <si>
    <t>HHIDGA</t>
  </si>
  <si>
    <t>18WHHIDGA-123--E</t>
  </si>
  <si>
    <t>HHIFRE</t>
  </si>
  <si>
    <t>18WHHIFRE-1234-X</t>
  </si>
  <si>
    <t>HHIMEG</t>
  </si>
  <si>
    <t>UP HIDROMEDIA</t>
  </si>
  <si>
    <t>18W000000000R7B5</t>
  </si>
  <si>
    <t>HHIPAL</t>
  </si>
  <si>
    <t>18WHHIPAL-1234-U</t>
  </si>
  <si>
    <t>HHIPIN</t>
  </si>
  <si>
    <t>18WHHIPIN-1234-G</t>
  </si>
  <si>
    <t>HHITOIZ</t>
  </si>
  <si>
    <t>ITOIZ - TARIFA&gt;10MW</t>
  </si>
  <si>
    <t>18WHHITOIZ-123-U</t>
  </si>
  <si>
    <t>HHOJAM</t>
  </si>
  <si>
    <t>HOJAMARTA</t>
  </si>
  <si>
    <t>18WHHOJAM-1234-G</t>
  </si>
  <si>
    <t>HHONZA</t>
  </si>
  <si>
    <t>18WHHONZA-1234-W</t>
  </si>
  <si>
    <t>HHRSPRA</t>
  </si>
  <si>
    <t>HIDRA MAYOR 1MW</t>
  </si>
  <si>
    <t>18WHHRSPRA-123-Z</t>
  </si>
  <si>
    <t>HHTRAS</t>
  </si>
  <si>
    <t>UP H DEL TRASVASE</t>
  </si>
  <si>
    <t>18W000000000R3VE</t>
  </si>
  <si>
    <t>HHTTRIN</t>
  </si>
  <si>
    <t>HIDRO TTR</t>
  </si>
  <si>
    <t>18WHHTTRIN-123-3</t>
  </si>
  <si>
    <t>HHURONE</t>
  </si>
  <si>
    <t>UP JUNTA ANDALUCIA</t>
  </si>
  <si>
    <t>18WHHURONE-123-P</t>
  </si>
  <si>
    <t>JDALU</t>
  </si>
  <si>
    <t>HHYDRO</t>
  </si>
  <si>
    <t>UP HYDRO BLUE</t>
  </si>
  <si>
    <t>18W000000000R2GA</t>
  </si>
  <si>
    <t>HIBSIHA</t>
  </si>
  <si>
    <t>HIBRIDA SIN HABILITAR</t>
  </si>
  <si>
    <t>18W000000000R0HE</t>
  </si>
  <si>
    <t>HIDAGST</t>
  </si>
  <si>
    <t>HIDA</t>
  </si>
  <si>
    <t>HID IDA</t>
  </si>
  <si>
    <t>18W00000000058I2</t>
  </si>
  <si>
    <t>HIDEUR</t>
  </si>
  <si>
    <t>18W00000000001RP</t>
  </si>
  <si>
    <t>HIDRAUL</t>
  </si>
  <si>
    <t>H1CEG</t>
  </si>
  <si>
    <t>18W00000000010ED</t>
  </si>
  <si>
    <t>HIDSC01</t>
  </si>
  <si>
    <t>HIDR SERV</t>
  </si>
  <si>
    <t>HIDROBESORA SERVICIOS</t>
  </si>
  <si>
    <t>18W0000000002U0L</t>
  </si>
  <si>
    <t>HIDSE</t>
  </si>
  <si>
    <t>HILTC01</t>
  </si>
  <si>
    <t>HILLTECH DIGITAL</t>
  </si>
  <si>
    <t>18W000000000QSYB</t>
  </si>
  <si>
    <t>HILLT</t>
  </si>
  <si>
    <t>HINOJ</t>
  </si>
  <si>
    <t>HINOJOSASF</t>
  </si>
  <si>
    <t>UP HINOJOSA SOLAR</t>
  </si>
  <si>
    <t>18W000000000JFTE</t>
  </si>
  <si>
    <t>HINTRA</t>
  </si>
  <si>
    <t>18WINTRAENERGIA2</t>
  </si>
  <si>
    <t>HISPC01</t>
  </si>
  <si>
    <t>HISPAELEC</t>
  </si>
  <si>
    <t>HISPAELEC ENERGIA S.A. COMERCIALIZADORA</t>
  </si>
  <si>
    <t>18WHISPC01-12-20</t>
  </si>
  <si>
    <t>HJERTE</t>
  </si>
  <si>
    <t>UP CH JERTE</t>
  </si>
  <si>
    <t>18W000000000FZZW</t>
  </si>
  <si>
    <t>HLACOBA</t>
  </si>
  <si>
    <t>UP SALTO VILACOBA</t>
  </si>
  <si>
    <t>18WHLACOBA-123-R</t>
  </si>
  <si>
    <t>HLASJO</t>
  </si>
  <si>
    <t>LEIRE SAN JOSE ANDUEZA Y OTROS</t>
  </si>
  <si>
    <t>18W0000000004XI5</t>
  </si>
  <si>
    <t>HLAVERN</t>
  </si>
  <si>
    <t>18WHLAVERN-123-4</t>
  </si>
  <si>
    <t>HLLOREN</t>
  </si>
  <si>
    <t>HLLORENS</t>
  </si>
  <si>
    <t>UP CH LLORENS</t>
  </si>
  <si>
    <t>18W000000000FZNJ</t>
  </si>
  <si>
    <t>HLOURG</t>
  </si>
  <si>
    <t>18WHLOURG-1234-C</t>
  </si>
  <si>
    <t>HLRSPRE</t>
  </si>
  <si>
    <t>18W000000000GSVK</t>
  </si>
  <si>
    <t>HLYC01</t>
  </si>
  <si>
    <t>HALLEY COM</t>
  </si>
  <si>
    <t>18W000000000QJG0</t>
  </si>
  <si>
    <t>HALLE</t>
  </si>
  <si>
    <t>HMERCA</t>
  </si>
  <si>
    <t>18WHMERCA-1234-R</t>
  </si>
  <si>
    <t>HMICAN</t>
  </si>
  <si>
    <t>18WHMICAN-1234-A</t>
  </si>
  <si>
    <t>HMOLINO</t>
  </si>
  <si>
    <t>UP CH MOLINOS</t>
  </si>
  <si>
    <t>18W000000000FZRB</t>
  </si>
  <si>
    <t>HMPUNTE</t>
  </si>
  <si>
    <t>UP HMPUNTE</t>
  </si>
  <si>
    <t>18W000000000PZ89</t>
  </si>
  <si>
    <t>HMSRO</t>
  </si>
  <si>
    <t>18W000000000MMQO</t>
  </si>
  <si>
    <t>HNIGUEL</t>
  </si>
  <si>
    <t>UP NIGUELAS</t>
  </si>
  <si>
    <t>18WHNIGUEL-123-G</t>
  </si>
  <si>
    <t>HNORHI</t>
  </si>
  <si>
    <t>18WHNORHI-1234-I</t>
  </si>
  <si>
    <t>HNRPGG</t>
  </si>
  <si>
    <t>18WHNRPGG-123-14</t>
  </si>
  <si>
    <t>HNSMER</t>
  </si>
  <si>
    <t>18WHNSMER-1234-G</t>
  </si>
  <si>
    <t>HONATIK</t>
  </si>
  <si>
    <t>UP OLATE</t>
  </si>
  <si>
    <t>18WHONATIK-123-U</t>
  </si>
  <si>
    <t>HOREC01</t>
  </si>
  <si>
    <t>HORENER</t>
  </si>
  <si>
    <t>HORECA ENERGIA SL</t>
  </si>
  <si>
    <t>18WHOREC01-123-6</t>
  </si>
  <si>
    <t>HORE</t>
  </si>
  <si>
    <t>HOUROL</t>
  </si>
  <si>
    <t>18WHOUROL-1234-1</t>
  </si>
  <si>
    <t>HOYEC01</t>
  </si>
  <si>
    <t>HOY ENERGIA</t>
  </si>
  <si>
    <t>18W000000000N5GH</t>
  </si>
  <si>
    <t>HOYEN</t>
  </si>
  <si>
    <t>HPARRA</t>
  </si>
  <si>
    <t>18W000000000MYJ2</t>
  </si>
  <si>
    <t>HPCANAV</t>
  </si>
  <si>
    <t>HIDRAULICA PM CANAL DE NAVARRA</t>
  </si>
  <si>
    <t>18WHPCANAV-123-W</t>
  </si>
  <si>
    <t>HPDRSA</t>
  </si>
  <si>
    <t>18WHPDRSA-1234-6</t>
  </si>
  <si>
    <t>HPEEXXI</t>
  </si>
  <si>
    <t>18WHPEEXXI-123-9</t>
  </si>
  <si>
    <t>HPEGLE</t>
  </si>
  <si>
    <t>18WHPEGLE-1234-P</t>
  </si>
  <si>
    <t>HPEONUR</t>
  </si>
  <si>
    <t>18WHPEONUR-123-Y</t>
  </si>
  <si>
    <t>HPERUC</t>
  </si>
  <si>
    <t>18WHPERUC-1234-Z</t>
  </si>
  <si>
    <t>HPEUSA</t>
  </si>
  <si>
    <t>UP HIDRAULICA PEUSA</t>
  </si>
  <si>
    <t>18WHPEUSA-1234-2</t>
  </si>
  <si>
    <t>PEUSA</t>
  </si>
  <si>
    <t>HPEUSA2</t>
  </si>
  <si>
    <t>UP SANTA LUCIA</t>
  </si>
  <si>
    <t>18W000000000COE8</t>
  </si>
  <si>
    <t>HPGNRA</t>
  </si>
  <si>
    <t>UP HIDRAULICA PRECIO MERCADO</t>
  </si>
  <si>
    <t>18WHPGNRA-1234-M</t>
  </si>
  <si>
    <t>HPHCCUR</t>
  </si>
  <si>
    <t>18WHPHCCUR-123-Z</t>
  </si>
  <si>
    <t>HPIBCUR</t>
  </si>
  <si>
    <t>18WHPIBCUR-123-Y</t>
  </si>
  <si>
    <t>HPOBLA</t>
  </si>
  <si>
    <t>UP CH LA POBLA</t>
  </si>
  <si>
    <t>18W000000000FZPF</t>
  </si>
  <si>
    <t>HPORMA</t>
  </si>
  <si>
    <t>UP CH PORMA</t>
  </si>
  <si>
    <t>18W000000000G058</t>
  </si>
  <si>
    <t>HPTMR</t>
  </si>
  <si>
    <t>UP HPTMR</t>
  </si>
  <si>
    <t>18W000000000FZHV</t>
  </si>
  <si>
    <t>HPUEYO</t>
  </si>
  <si>
    <t>UP CH EL PUEYO TARIFA</t>
  </si>
  <si>
    <t>18WHPUEYO-1234-5</t>
  </si>
  <si>
    <t>HREGPE</t>
  </si>
  <si>
    <t>HIDRO REP EGPE</t>
  </si>
  <si>
    <t>18WHREGPE-1234-2</t>
  </si>
  <si>
    <t>HRPI</t>
  </si>
  <si>
    <t>UP RPI</t>
  </si>
  <si>
    <t>18W000000000P2AU</t>
  </si>
  <si>
    <t>HRUMBLA</t>
  </si>
  <si>
    <t>18WHRUMBLA-123-5</t>
  </si>
  <si>
    <t>HRWMARK</t>
  </si>
  <si>
    <t>18WHRWMARK-123-M</t>
  </si>
  <si>
    <t>HSAECH</t>
  </si>
  <si>
    <t>SAHECHORES</t>
  </si>
  <si>
    <t>C.H. SAHECHORES</t>
  </si>
  <si>
    <t>18WHSAECH-123--E</t>
  </si>
  <si>
    <t>HSAEDO</t>
  </si>
  <si>
    <t>18WHSAEDO-1234-8</t>
  </si>
  <si>
    <t>HSANMI</t>
  </si>
  <si>
    <t>18WHSANMI-1234-X</t>
  </si>
  <si>
    <t>HSATC01</t>
  </si>
  <si>
    <t>HSAT</t>
  </si>
  <si>
    <t>HSAT21</t>
  </si>
  <si>
    <t>18W000000000MDE1</t>
  </si>
  <si>
    <t>HSATE</t>
  </si>
  <si>
    <t>HSCOC01</t>
  </si>
  <si>
    <t>HSILCO</t>
  </si>
  <si>
    <t>HSILLDECOMER</t>
  </si>
  <si>
    <t>18W0000000002EY1</t>
  </si>
  <si>
    <t>HSCOM</t>
  </si>
  <si>
    <t>HSEGEN</t>
  </si>
  <si>
    <t>18W00000000001L0</t>
  </si>
  <si>
    <t>HSOLUE</t>
  </si>
  <si>
    <t>18WHSOLUE-1234-7</t>
  </si>
  <si>
    <t>HSTMARI</t>
  </si>
  <si>
    <t>UP AUXIME</t>
  </si>
  <si>
    <t>18WHSTMARI-123-K</t>
  </si>
  <si>
    <t>HSYEGU</t>
  </si>
  <si>
    <t>18WHSYEGU-1234-2</t>
  </si>
  <si>
    <t>HTAJUN</t>
  </si>
  <si>
    <t>18WHTAJUN-1234-N</t>
  </si>
  <si>
    <t>HVADOC</t>
  </si>
  <si>
    <t>18WHVADOC-1234-G</t>
  </si>
  <si>
    <t>HVANGE</t>
  </si>
  <si>
    <t>18WHVANGE-1234-9</t>
  </si>
  <si>
    <t>HVILLAR</t>
  </si>
  <si>
    <t>VILLR</t>
  </si>
  <si>
    <t>VILLAR</t>
  </si>
  <si>
    <t>18W000000000O4FI</t>
  </si>
  <si>
    <t>HVLLNGO</t>
  </si>
  <si>
    <t>UP HVLLNGO</t>
  </si>
  <si>
    <t>18W000000000PZ7B</t>
  </si>
  <si>
    <t>HVVINAS</t>
  </si>
  <si>
    <t>UP HVVINAS</t>
  </si>
  <si>
    <t>18W000000000PZ97</t>
  </si>
  <si>
    <t>HXAL1</t>
  </si>
  <si>
    <t>HC XALLAS1</t>
  </si>
  <si>
    <t>SANTA EUGENIA Y NOVO PINDO</t>
  </si>
  <si>
    <t>18W000000000HTLX</t>
  </si>
  <si>
    <t>HXAL2</t>
  </si>
  <si>
    <t>CH XALLAS2</t>
  </si>
  <si>
    <t>CH XALLAS -10MW</t>
  </si>
  <si>
    <t>18W000000000HTMV</t>
  </si>
  <si>
    <t>HXRSPRE</t>
  </si>
  <si>
    <t>18W00000000079ZV</t>
  </si>
  <si>
    <t>HYAGREN</t>
  </si>
  <si>
    <t>18W000000000JIR9</t>
  </si>
  <si>
    <t>HYAME</t>
  </si>
  <si>
    <t>18W0000000006SBQ</t>
  </si>
  <si>
    <t>HYANORF</t>
  </si>
  <si>
    <t>UP FV HYAN</t>
  </si>
  <si>
    <t>UP FV HYANOR</t>
  </si>
  <si>
    <t>18W000000000QUW9</t>
  </si>
  <si>
    <t>HYANORH</t>
  </si>
  <si>
    <t>HIDRO HYANOR</t>
  </si>
  <si>
    <t>18W000000000QUVB</t>
  </si>
  <si>
    <t>HYASIE</t>
  </si>
  <si>
    <t>18WHYASIE-1234-G</t>
  </si>
  <si>
    <t>HYCEG</t>
  </si>
  <si>
    <t>18WHYCEG-12345-I</t>
  </si>
  <si>
    <t>HYDETIC</t>
  </si>
  <si>
    <t>18WHYDETIC-12--B</t>
  </si>
  <si>
    <t>HYDRC01</t>
  </si>
  <si>
    <t>18W000000000R27S</t>
  </si>
  <si>
    <t>HYDRO</t>
  </si>
  <si>
    <t>HYDRO1</t>
  </si>
  <si>
    <t>CH_PETITES</t>
  </si>
  <si>
    <t>HIDRO MENORS DE 1 MW</t>
  </si>
  <si>
    <t>18W000000000C12R</t>
  </si>
  <si>
    <t>HYDRO2</t>
  </si>
  <si>
    <t>CH_GRANS</t>
  </si>
  <si>
    <t>HIDRO MAJOR 1 MW</t>
  </si>
  <si>
    <t>18W000000000DPMM</t>
  </si>
  <si>
    <t>HYEDMUN</t>
  </si>
  <si>
    <t>18W000000000OZJS</t>
  </si>
  <si>
    <t>HYEEXXI</t>
  </si>
  <si>
    <t>18WHYEEXXI-123-C</t>
  </si>
  <si>
    <t>HYEFG</t>
  </si>
  <si>
    <t>18WHYEFG-12345-N</t>
  </si>
  <si>
    <t>HYEGLE</t>
  </si>
  <si>
    <t>18WHYEGLE-1234-S</t>
  </si>
  <si>
    <t>HYEONUR</t>
  </si>
  <si>
    <t>18WHYEONUR-123-0</t>
  </si>
  <si>
    <t>HYFEN</t>
  </si>
  <si>
    <t>MINIHIDRAU</t>
  </si>
  <si>
    <t>MINIHIDRAULICA A TARIFA</t>
  </si>
  <si>
    <t>18WHYFEN-12345-X</t>
  </si>
  <si>
    <t>HYGESTE</t>
  </si>
  <si>
    <t>18WHYGESTE-123-L</t>
  </si>
  <si>
    <t>HYGNRA</t>
  </si>
  <si>
    <t>18WHYGNRA-1234-P</t>
  </si>
  <si>
    <t>HYGNSUR</t>
  </si>
  <si>
    <t>18WHYGNSUR-123-H</t>
  </si>
  <si>
    <t>HYHCCUR</t>
  </si>
  <si>
    <t>18WHYHCCUR-123-1</t>
  </si>
  <si>
    <t>HYIBCUR</t>
  </si>
  <si>
    <t>18WHYIBCUR-123-0</t>
  </si>
  <si>
    <t>HYIBFZ</t>
  </si>
  <si>
    <t>HYIBFZ MINIS FUERA ZONA R</t>
  </si>
  <si>
    <t>18W0000000002THR</t>
  </si>
  <si>
    <t>HYIGNI</t>
  </si>
  <si>
    <t>UOHYIGNIS</t>
  </si>
  <si>
    <t>UP GENERICA HIDRAULICAS IGNIS NO EXENTO</t>
  </si>
  <si>
    <t>18W000000000R3BH</t>
  </si>
  <si>
    <t>HYITURB</t>
  </si>
  <si>
    <t>HITURB</t>
  </si>
  <si>
    <t>18WHITURB--123-K</t>
  </si>
  <si>
    <t>HYLAUE3</t>
  </si>
  <si>
    <t>UP HYLAUE3</t>
  </si>
  <si>
    <t>18W000000000R3Y8</t>
  </si>
  <si>
    <t>HYNEXU</t>
  </si>
  <si>
    <t>18WHYNEXU-1234-9</t>
  </si>
  <si>
    <t>HYRSPRA</t>
  </si>
  <si>
    <t>18WHYRSPRA-123-G</t>
  </si>
  <si>
    <t>HYSERRA</t>
  </si>
  <si>
    <t>UP SERRA POT MENOR 1 MW</t>
  </si>
  <si>
    <t>18WHYSERRA-123-G</t>
  </si>
  <si>
    <t>HYTLAVE</t>
  </si>
  <si>
    <t>18W000000000PK0X</t>
  </si>
  <si>
    <t>HYWMARK</t>
  </si>
  <si>
    <t>HIDRAULICA TARIFA MENOR DE 10 MW</t>
  </si>
  <si>
    <t>18WHYWMARK-123-C</t>
  </si>
  <si>
    <t>HZORIT</t>
  </si>
  <si>
    <t>18WHZORIT-123--E</t>
  </si>
  <si>
    <t>IBCUC01</t>
  </si>
  <si>
    <t>IBERDROLA CUR. COMPRA</t>
  </si>
  <si>
    <t>18WIBCUC01-123-6</t>
  </si>
  <si>
    <t>IBCUCEB</t>
  </si>
  <si>
    <t>IBCUR ENLACE BALEARES</t>
  </si>
  <si>
    <t>18WIBCUCEB-123-9</t>
  </si>
  <si>
    <t>IBDSC01</t>
  </si>
  <si>
    <t>UPIBERDESA</t>
  </si>
  <si>
    <t>UPROGRAMACIONIBERDESA</t>
  </si>
  <si>
    <t>18W000000000GB4E</t>
  </si>
  <si>
    <t>IBERD</t>
  </si>
  <si>
    <t>IBEGC01</t>
  </si>
  <si>
    <t>IBEGC01 CO</t>
  </si>
  <si>
    <t>18WIBEGC01-12-2J</t>
  </si>
  <si>
    <t>IBEGC05</t>
  </si>
  <si>
    <t>18WIBEGC05-12-4O</t>
  </si>
  <si>
    <t>IBEGCP3</t>
  </si>
  <si>
    <t>18WIBEGCP3-12-4N</t>
  </si>
  <si>
    <t>IBEGVP3</t>
  </si>
  <si>
    <t>IMPORT VENTA FRANCIA CON DERECHOS</t>
  </si>
  <si>
    <t>18WIBEGVP3-123-Z</t>
  </si>
  <si>
    <t>IBGCCX1</t>
  </si>
  <si>
    <t>UNID PORF IBGES COMERC COMPRA</t>
  </si>
  <si>
    <t>18W000000000A7JK</t>
  </si>
  <si>
    <t>IBGCVX1</t>
  </si>
  <si>
    <t>UNID PORF IBGES COMERC VENT</t>
  </si>
  <si>
    <t>18W000000000A7IM</t>
  </si>
  <si>
    <t>IBGECP3</t>
  </si>
  <si>
    <t>IBGE DERECHOS COMPRA(FRAN)</t>
  </si>
  <si>
    <t>18WIBGECP3-123-J</t>
  </si>
  <si>
    <t>IBGESX</t>
  </si>
  <si>
    <t>IBGES CONSUMO SERV AUXILIARES</t>
  </si>
  <si>
    <t>18W0000000006UYB</t>
  </si>
  <si>
    <t>IBGEVP3</t>
  </si>
  <si>
    <t>IBGE DERECHOS VENTA(FRAN)</t>
  </si>
  <si>
    <t>18WIBGEVP3-123-X</t>
  </si>
  <si>
    <t>IBGPCX1</t>
  </si>
  <si>
    <t>PROD PORF IBGES COMERC COMPR</t>
  </si>
  <si>
    <t>18W000000000A7KI</t>
  </si>
  <si>
    <t>IBGPVX1</t>
  </si>
  <si>
    <t>PROD PORF IBGES COMERC VENTA</t>
  </si>
  <si>
    <t>18W000000000A7LG</t>
  </si>
  <si>
    <t>IBSEC01</t>
  </si>
  <si>
    <t>IBSEN COMERCIALIZADORA</t>
  </si>
  <si>
    <t>18W0000000009SI0</t>
  </si>
  <si>
    <t>IBSEN</t>
  </si>
  <si>
    <t>IBSNC01</t>
  </si>
  <si>
    <t>IBSNC01 NULES</t>
  </si>
  <si>
    <t>18W000000000MLNX</t>
  </si>
  <si>
    <t>IBSUS</t>
  </si>
  <si>
    <t>IBSUC01</t>
  </si>
  <si>
    <t>IBSUC01 ALSASUA</t>
  </si>
  <si>
    <t>18W000000000LB2Z</t>
  </si>
  <si>
    <t>IBTOC01</t>
  </si>
  <si>
    <t>IBERITOS</t>
  </si>
  <si>
    <t>HUERTA DEHESA EL ALCORNOCAL</t>
  </si>
  <si>
    <t>18W000000000KM0A</t>
  </si>
  <si>
    <t>IBTOS</t>
  </si>
  <si>
    <t>ICASC01</t>
  </si>
  <si>
    <t>ICASA CO</t>
  </si>
  <si>
    <t>INMOBILIARIA DE CONSTRUCCIONES Y ARRIENDOS, S.A. (NACIONAL)</t>
  </si>
  <si>
    <t>18WICASC01-12-25</t>
  </si>
  <si>
    <t>ICASA</t>
  </si>
  <si>
    <t>ICGAC01</t>
  </si>
  <si>
    <t>COMERC</t>
  </si>
  <si>
    <t>18WICGAC01-123-2</t>
  </si>
  <si>
    <t>ICGAS</t>
  </si>
  <si>
    <t>ICLIC01</t>
  </si>
  <si>
    <t>IBERDROLA CLIENTES</t>
  </si>
  <si>
    <t>18WICLIC01-123-F</t>
  </si>
  <si>
    <t>IBCLI</t>
  </si>
  <si>
    <t>ICLIR01</t>
  </si>
  <si>
    <t>COMERCIALIZADOR BALANCE SRAD</t>
  </si>
  <si>
    <t>18W000000000OQVV</t>
  </si>
  <si>
    <t>ICUPCX1</t>
  </si>
  <si>
    <t>18W000000000A84A</t>
  </si>
  <si>
    <t>ICUPVX1</t>
  </si>
  <si>
    <t>18W000000000A83C</t>
  </si>
  <si>
    <t>IENOC01</t>
  </si>
  <si>
    <t>COM IENOV</t>
  </si>
  <si>
    <t>COMERCIALIZADORA IENOV</t>
  </si>
  <si>
    <t>18WIENOC01-123-K</t>
  </si>
  <si>
    <t>IENOV</t>
  </si>
  <si>
    <t>IFAVG</t>
  </si>
  <si>
    <t>AEROGENERADOR</t>
  </si>
  <si>
    <t>18W0000000006N6E</t>
  </si>
  <si>
    <t>IGESC01</t>
  </si>
  <si>
    <t>18WIGESC01-123-I</t>
  </si>
  <si>
    <t>IGNIC01</t>
  </si>
  <si>
    <t>IUP COMPRA</t>
  </si>
  <si>
    <t>UNIDAD PROGRAMACION IGNIS COMPRA</t>
  </si>
  <si>
    <t>18WIGNIC01-123-J</t>
  </si>
  <si>
    <t>IGNIS7</t>
  </si>
  <si>
    <t>UP IGNIS7</t>
  </si>
  <si>
    <t>UP SOLAR FOTOVOLTAICA IGNIS GENERACION SOLAR</t>
  </si>
  <si>
    <t>18W000000000M07H</t>
  </si>
  <si>
    <t>IM3C01</t>
  </si>
  <si>
    <t>IM3ENER</t>
  </si>
  <si>
    <t>IM3ENERGIA</t>
  </si>
  <si>
    <t>18WIM3ENERGIASLV</t>
  </si>
  <si>
    <t>IM3</t>
  </si>
  <si>
    <t>IMPEC01</t>
  </si>
  <si>
    <t>IMPERIUM</t>
  </si>
  <si>
    <t>IMPERIUM LUMEN</t>
  </si>
  <si>
    <t>18W000000000NEQ7</t>
  </si>
  <si>
    <t>IMPER</t>
  </si>
  <si>
    <t>INDEC01</t>
  </si>
  <si>
    <t>INDEXO ENERGIA</t>
  </si>
  <si>
    <t>18WINDEXOENERGI4</t>
  </si>
  <si>
    <t>INDEX</t>
  </si>
  <si>
    <t>INDXC01</t>
  </si>
  <si>
    <t>INDEXA ENERGIA INTELIGENTE</t>
  </si>
  <si>
    <t>18W000000000PYKP</t>
  </si>
  <si>
    <t>INDEA</t>
  </si>
  <si>
    <t>INERC01</t>
  </si>
  <si>
    <t>INER1C01</t>
  </si>
  <si>
    <t>18WINERC01-123-I</t>
  </si>
  <si>
    <t>INER1</t>
  </si>
  <si>
    <t>INGEC01</t>
  </si>
  <si>
    <t>INGEM ENERGIA SL</t>
  </si>
  <si>
    <t>18W000000000IP25</t>
  </si>
  <si>
    <t>INGEM</t>
  </si>
  <si>
    <t>INTEC01</t>
  </si>
  <si>
    <t>UP COM INTEGRA</t>
  </si>
  <si>
    <t>18WINTEC01-123-K</t>
  </si>
  <si>
    <t>INTEG</t>
  </si>
  <si>
    <t>INTRC01</t>
  </si>
  <si>
    <t>INTEA</t>
  </si>
  <si>
    <t>INTERENERGIA</t>
  </si>
  <si>
    <t>18W000000000LPE6</t>
  </si>
  <si>
    <t>INUSC01</t>
  </si>
  <si>
    <t>18W000000000JGC8</t>
  </si>
  <si>
    <t>INUSK</t>
  </si>
  <si>
    <t>IONC01</t>
  </si>
  <si>
    <t>ION ENERGI</t>
  </si>
  <si>
    <t>ION ENERGÃA</t>
  </si>
  <si>
    <t>18WIONC01-123--E</t>
  </si>
  <si>
    <t>ION</t>
  </si>
  <si>
    <t>IRISC01</t>
  </si>
  <si>
    <t>IRIS</t>
  </si>
  <si>
    <t>IRIS ENERGIA EFICIENTE SA</t>
  </si>
  <si>
    <t>18W000000000AS3Q</t>
  </si>
  <si>
    <t>ISEOC01</t>
  </si>
  <si>
    <t>ISEO ENERGIA CONSUMIDOR DIRECTO 1</t>
  </si>
  <si>
    <t>18W000000000Q8PF</t>
  </si>
  <si>
    <t>ISEO</t>
  </si>
  <si>
    <t>ISMCCX1</t>
  </si>
  <si>
    <t>18W000000000QFL2</t>
  </si>
  <si>
    <t>ISMCVX1</t>
  </si>
  <si>
    <t>18W000000000QFPV</t>
  </si>
  <si>
    <t>ISMPCX1</t>
  </si>
  <si>
    <t>18W000000000QHVD</t>
  </si>
  <si>
    <t>ISMPVX1</t>
  </si>
  <si>
    <t>18W000000000QHTH</t>
  </si>
  <si>
    <t>ISMSC01</t>
  </si>
  <si>
    <t>ISMCOM</t>
  </si>
  <si>
    <t>ISMCOMER</t>
  </si>
  <si>
    <t>18W000000000F3SV</t>
  </si>
  <si>
    <t>ISYDC01</t>
  </si>
  <si>
    <t>UPC ISYDE</t>
  </si>
  <si>
    <t>UP COMPRA INVESYDE</t>
  </si>
  <si>
    <t>18W000000000G8QG</t>
  </si>
  <si>
    <t>ISYDE</t>
  </si>
  <si>
    <t>JOINC01</t>
  </si>
  <si>
    <t>ENERJOIN</t>
  </si>
  <si>
    <t>18W00000000022QG</t>
  </si>
  <si>
    <t>JOIN</t>
  </si>
  <si>
    <t>JOSEC01</t>
  </si>
  <si>
    <t>ELECTRICA SUDANDELL</t>
  </si>
  <si>
    <t>18WJOSECO1-12--B</t>
  </si>
  <si>
    <t>JOSEP</t>
  </si>
  <si>
    <t>JRONCP3</t>
  </si>
  <si>
    <t>18WJRONCP3-123-6</t>
  </si>
  <si>
    <t>JRONVP3</t>
  </si>
  <si>
    <t>18WJRONVP3-123-K</t>
  </si>
  <si>
    <t>JUANC01</t>
  </si>
  <si>
    <t>JUANX_UP</t>
  </si>
  <si>
    <t>JUAN_ENERGY_UP</t>
  </si>
  <si>
    <t>18W000000000IB70</t>
  </si>
  <si>
    <t>JUANX</t>
  </si>
  <si>
    <t>JUCA</t>
  </si>
  <si>
    <t>JUCAR</t>
  </si>
  <si>
    <t>UGH. JUCAR</t>
  </si>
  <si>
    <t>18WJUCA-12345-0Q</t>
  </si>
  <si>
    <t>JUCAR2</t>
  </si>
  <si>
    <t>UGH CASTELNOU</t>
  </si>
  <si>
    <t>18WJUCAR2-1234-Q</t>
  </si>
  <si>
    <t>JUSEC01</t>
  </si>
  <si>
    <t>18W000000000O3US</t>
  </si>
  <si>
    <t>JUSEP</t>
  </si>
  <si>
    <t>KARMC01</t>
  </si>
  <si>
    <t>KARMA ALIMUR</t>
  </si>
  <si>
    <t>18W000000000QDQZ</t>
  </si>
  <si>
    <t>KARMA</t>
  </si>
  <si>
    <t>KAUNITE</t>
  </si>
  <si>
    <t>COG. KANUI TEXTIL</t>
  </si>
  <si>
    <t>18WKAUNITE-12-1D</t>
  </si>
  <si>
    <t>KAEN</t>
  </si>
  <si>
    <t>KELC01</t>
  </si>
  <si>
    <t>KELSEN</t>
  </si>
  <si>
    <t>REFRACTARIOS KELSEN</t>
  </si>
  <si>
    <t>18W000000000KN9Q</t>
  </si>
  <si>
    <t>KILVC01</t>
  </si>
  <si>
    <t>KILV_C</t>
  </si>
  <si>
    <t>KILOWATIOS VERDES UP</t>
  </si>
  <si>
    <t>18W0000000003A3Y</t>
  </si>
  <si>
    <t>KILVE</t>
  </si>
  <si>
    <t>KINEC01</t>
  </si>
  <si>
    <t>COMPRA KINESTALIA</t>
  </si>
  <si>
    <t>18W000000000P9RC</t>
  </si>
  <si>
    <t>KINE</t>
  </si>
  <si>
    <t>KISHC01</t>
  </si>
  <si>
    <t>KISHCOM</t>
  </si>
  <si>
    <t>KISHOA COMERCIALIZADORA</t>
  </si>
  <si>
    <t>18W0000000004K6V</t>
  </si>
  <si>
    <t>KISHO</t>
  </si>
  <si>
    <t>KODLC01</t>
  </si>
  <si>
    <t>18W000000000IXEV</t>
  </si>
  <si>
    <t>KODLC</t>
  </si>
  <si>
    <t>KONYC01</t>
  </si>
  <si>
    <t>KONERY</t>
  </si>
  <si>
    <t>KONERY EFICIENCIA ENERGTICA SL</t>
  </si>
  <si>
    <t>18W000000000CDU9</t>
  </si>
  <si>
    <t>KONRY</t>
  </si>
  <si>
    <t>KREAC01</t>
  </si>
  <si>
    <t>KREAN ENERGIA COMERCIALIZADORA</t>
  </si>
  <si>
    <t>18W000000000IVHV</t>
  </si>
  <si>
    <t>KREAN</t>
  </si>
  <si>
    <t>KWFC01</t>
  </si>
  <si>
    <t>KWFI</t>
  </si>
  <si>
    <t>KWFVI ENERGIA</t>
  </si>
  <si>
    <t>18W000000000JYM8</t>
  </si>
  <si>
    <t>KWFVI</t>
  </si>
  <si>
    <t>LABOC01</t>
  </si>
  <si>
    <t>LABOIL CC</t>
  </si>
  <si>
    <t>LABOIL ENERGIA COMERCIALIZADORA</t>
  </si>
  <si>
    <t>18WLABOC01-123-D</t>
  </si>
  <si>
    <t>LABOI</t>
  </si>
  <si>
    <t>LACOC01</t>
  </si>
  <si>
    <t>LA CORRIEN</t>
  </si>
  <si>
    <t>LA CORRIENTE S COOP</t>
  </si>
  <si>
    <t>18W000000000COY5</t>
  </si>
  <si>
    <t>LACOR</t>
  </si>
  <si>
    <t>LAFRV</t>
  </si>
  <si>
    <t>18W000000000G5EC</t>
  </si>
  <si>
    <t>LANCA2</t>
  </si>
  <si>
    <t>UP RO LANCARA 2</t>
  </si>
  <si>
    <t>18WLANCA2-1234-U</t>
  </si>
  <si>
    <t>CHDUE</t>
  </si>
  <si>
    <t>LANCAR</t>
  </si>
  <si>
    <t>UP LANACRA</t>
  </si>
  <si>
    <t>UP RO LANCARA 1</t>
  </si>
  <si>
    <t>18WLANCAR-1234-F</t>
  </si>
  <si>
    <t>LANDC01</t>
  </si>
  <si>
    <t>LANDS AND BUILDING S.L</t>
  </si>
  <si>
    <t>18WLANDC01-123-S</t>
  </si>
  <si>
    <t>LAND</t>
  </si>
  <si>
    <t>LAOBC01</t>
  </si>
  <si>
    <t>LAOBC01 UP</t>
  </si>
  <si>
    <t>18W000000000OAHX</t>
  </si>
  <si>
    <t>LABOA</t>
  </si>
  <si>
    <t>LAPAC01</t>
  </si>
  <si>
    <t>GALAP ENER</t>
  </si>
  <si>
    <t>GALAPAGO ENERGIA</t>
  </si>
  <si>
    <t>18W000000000Q9EY</t>
  </si>
  <si>
    <t>GALAP</t>
  </si>
  <si>
    <t>LAPEN</t>
  </si>
  <si>
    <t>18W000000000M0QG</t>
  </si>
  <si>
    <t>LAUCCX1</t>
  </si>
  <si>
    <t>18W000000000AOQT</t>
  </si>
  <si>
    <t>LAUCVX1</t>
  </si>
  <si>
    <t>18W000000000AORR</t>
  </si>
  <si>
    <t>LAUEC01</t>
  </si>
  <si>
    <t>18WLAUEC01-123-F</t>
  </si>
  <si>
    <t>LAVAC01</t>
  </si>
  <si>
    <t>LA VALL</t>
  </si>
  <si>
    <t>LA VALL COMERCIALIZADORA ELECTRICA</t>
  </si>
  <si>
    <t>18W000000000NR1I</t>
  </si>
  <si>
    <t>LAVAL</t>
  </si>
  <si>
    <t>LBAT</t>
  </si>
  <si>
    <t>LOS BATANEJOS</t>
  </si>
  <si>
    <t>18WLBAT-123456-4</t>
  </si>
  <si>
    <t>LCOSC01</t>
  </si>
  <si>
    <t>LOW COST 01</t>
  </si>
  <si>
    <t>18W000000000JMEN</t>
  </si>
  <si>
    <t>LCOST</t>
  </si>
  <si>
    <t>LDGIC01</t>
  </si>
  <si>
    <t>LDGIA</t>
  </si>
  <si>
    <t>COMERCIALIZADORA LIDERGIA</t>
  </si>
  <si>
    <t>18WLIDERGIACOMM4</t>
  </si>
  <si>
    <t>LECDE</t>
  </si>
  <si>
    <t>18W000000000PRGH</t>
  </si>
  <si>
    <t>LEDCC01</t>
  </si>
  <si>
    <t>LCE COMPRA</t>
  </si>
  <si>
    <t>LEDESMA COMERCIALIZADORA UNIDAD DE COMPRA</t>
  </si>
  <si>
    <t>18WLEDCC01-123-Q</t>
  </si>
  <si>
    <t>LEDCE</t>
  </si>
  <si>
    <t>LEGAC01</t>
  </si>
  <si>
    <t>ELEGA UP</t>
  </si>
  <si>
    <t>ELEGA UNIDAD DE PROGRAMACION</t>
  </si>
  <si>
    <t>18W000000000F329</t>
  </si>
  <si>
    <t>ELEGA</t>
  </si>
  <si>
    <t>LERC01</t>
  </si>
  <si>
    <t>LER S.L.</t>
  </si>
  <si>
    <t>18WLERC01-123-28</t>
  </si>
  <si>
    <t>LER</t>
  </si>
  <si>
    <t>LIDEC01</t>
  </si>
  <si>
    <t>18W000000000K35K</t>
  </si>
  <si>
    <t>LIDER</t>
  </si>
  <si>
    <t>LIDEV01</t>
  </si>
  <si>
    <t>18W000000000O1LF</t>
  </si>
  <si>
    <t>LINKC01</t>
  </si>
  <si>
    <t>UPLINKPEN</t>
  </si>
  <si>
    <t>UP LINK PENINSULA</t>
  </si>
  <si>
    <t>18W000000000Q9FW</t>
  </si>
  <si>
    <t>LINKE</t>
  </si>
  <si>
    <t>LIUPC01</t>
  </si>
  <si>
    <t>LIUP</t>
  </si>
  <si>
    <t>LIGHT UP SL</t>
  </si>
  <si>
    <t>18WLIUPC01-123-V</t>
  </si>
  <si>
    <t>LLO1</t>
  </si>
  <si>
    <t>LA LOSA 1</t>
  </si>
  <si>
    <t>18WLLO1-123456-A</t>
  </si>
  <si>
    <t>LLO2</t>
  </si>
  <si>
    <t>LA LOSA 2</t>
  </si>
  <si>
    <t>18WLLO2-123456-0</t>
  </si>
  <si>
    <t>LLO3</t>
  </si>
  <si>
    <t>LA LOSA 3</t>
  </si>
  <si>
    <t>18WLLO3-123456-R</t>
  </si>
  <si>
    <t>LMA1</t>
  </si>
  <si>
    <t>LA MANCHEGA</t>
  </si>
  <si>
    <t>18WLMA1-123456-4</t>
  </si>
  <si>
    <t>LMERC01</t>
  </si>
  <si>
    <t>18WLMERC01-123-S</t>
  </si>
  <si>
    <t>LMM1</t>
  </si>
  <si>
    <t>LA MARMOTA 1</t>
  </si>
  <si>
    <t>18WLMM1-123456-K</t>
  </si>
  <si>
    <t>LMM2</t>
  </si>
  <si>
    <t>LA MARMOTA 2</t>
  </si>
  <si>
    <t>18WLMM2-123456-A</t>
  </si>
  <si>
    <t>LNU1</t>
  </si>
  <si>
    <t>LOS NUEVOS 1</t>
  </si>
  <si>
    <t>18WLNU1-123456-V</t>
  </si>
  <si>
    <t>LNU2</t>
  </si>
  <si>
    <t>LOS NUEVOS 2</t>
  </si>
  <si>
    <t>18WLNU2-123456-L</t>
  </si>
  <si>
    <t>LOBOC01</t>
  </si>
  <si>
    <t>EL LOBO</t>
  </si>
  <si>
    <t>ALMENDRA Y MIEL S.A</t>
  </si>
  <si>
    <t>18WLOBOC01-123-U</t>
  </si>
  <si>
    <t>LOBO</t>
  </si>
  <si>
    <t>LORC</t>
  </si>
  <si>
    <t>LORCHA</t>
  </si>
  <si>
    <t>18WLORC-123456-G</t>
  </si>
  <si>
    <t>LOVEC01</t>
  </si>
  <si>
    <t>LOVE PENINSULA</t>
  </si>
  <si>
    <t>18W000000000HQN1</t>
  </si>
  <si>
    <t>LOVEE</t>
  </si>
  <si>
    <t>LSINC01</t>
  </si>
  <si>
    <t>LUZ INCLUS</t>
  </si>
  <si>
    <t>LUZ SOLIDARIA INCLUSIVA SL</t>
  </si>
  <si>
    <t>18W000000000NES3</t>
  </si>
  <si>
    <t>LSINC</t>
  </si>
  <si>
    <t>LUBAC01</t>
  </si>
  <si>
    <t>LUBALOO</t>
  </si>
  <si>
    <t>18WLUBAC01-123-O</t>
  </si>
  <si>
    <t>LUBAL</t>
  </si>
  <si>
    <t>LUCAC01</t>
  </si>
  <si>
    <t>LUCIFERASA</t>
  </si>
  <si>
    <t>LUCIFERASA-2 ENERGIA SL</t>
  </si>
  <si>
    <t>18W000000000QWX1</t>
  </si>
  <si>
    <t>LUCIA</t>
  </si>
  <si>
    <t>LUCFC01</t>
  </si>
  <si>
    <t>LUCIFE1</t>
  </si>
  <si>
    <t>LUCIFERASA-1 ENERGIA SL</t>
  </si>
  <si>
    <t>18W000000000QV8H</t>
  </si>
  <si>
    <t>LUCIF</t>
  </si>
  <si>
    <t>LUCIC01</t>
  </si>
  <si>
    <t>LUCI</t>
  </si>
  <si>
    <t>18W0000000005KWC</t>
  </si>
  <si>
    <t>LUCIE</t>
  </si>
  <si>
    <t>LUM1C01</t>
  </si>
  <si>
    <t>18WLUM1C01-123-U</t>
  </si>
  <si>
    <t>LUM1</t>
  </si>
  <si>
    <t>LUMEC01</t>
  </si>
  <si>
    <t>18W000000000LOWA</t>
  </si>
  <si>
    <t>LUMEN</t>
  </si>
  <si>
    <t>LUMIC01</t>
  </si>
  <si>
    <t>LUMISA</t>
  </si>
  <si>
    <t>18WLUMIC01-123-8</t>
  </si>
  <si>
    <t>LUMIE</t>
  </si>
  <si>
    <t>LUOJI</t>
  </si>
  <si>
    <t>FUENTEALB</t>
  </si>
  <si>
    <t>FUENTEALBILLA</t>
  </si>
  <si>
    <t>18W000000000QVY2</t>
  </si>
  <si>
    <t>LUXC01</t>
  </si>
  <si>
    <t>LUX FORUM</t>
  </si>
  <si>
    <t>UP LUX FORUM COMERCIALIZACION</t>
  </si>
  <si>
    <t>18WLUXC01-1234-0</t>
  </si>
  <si>
    <t>LUX</t>
  </si>
  <si>
    <t>LUZPC01</t>
  </si>
  <si>
    <t>LUZPUEBLO</t>
  </si>
  <si>
    <t>LUZ DEL PUEBLO COMPRA</t>
  </si>
  <si>
    <t>18W000000000N5M5</t>
  </si>
  <si>
    <t>LUZDA</t>
  </si>
  <si>
    <t>LUZSC01</t>
  </si>
  <si>
    <t>UPR LUZSO</t>
  </si>
  <si>
    <t>UPR LUZ SOLIDARIA</t>
  </si>
  <si>
    <t>18W000000000F5L2</t>
  </si>
  <si>
    <t>LUZSO</t>
  </si>
  <si>
    <t>LUZYC01</t>
  </si>
  <si>
    <t>18W000000000NRP7</t>
  </si>
  <si>
    <t>LUZYE</t>
  </si>
  <si>
    <t>MACEC01</t>
  </si>
  <si>
    <t>18W000000000IKNF</t>
  </si>
  <si>
    <t>MACEB</t>
  </si>
  <si>
    <t>MALA1</t>
  </si>
  <si>
    <t>CCC MALAGA 1</t>
  </si>
  <si>
    <t>18WMALA1-12345-L</t>
  </si>
  <si>
    <t>MALAC01</t>
  </si>
  <si>
    <t>18W000000000PSXH</t>
  </si>
  <si>
    <t>MALAK</t>
  </si>
  <si>
    <t>MANUC01</t>
  </si>
  <si>
    <t>MANUBENS</t>
  </si>
  <si>
    <t>FABRICA MANUBENS</t>
  </si>
  <si>
    <t>18W000000000LHME</t>
  </si>
  <si>
    <t>PRODU</t>
  </si>
  <si>
    <t>MANZA1</t>
  </si>
  <si>
    <t>MARTC01</t>
  </si>
  <si>
    <t>MARTB_UP</t>
  </si>
  <si>
    <t>MARTB_UP_COMPRAS</t>
  </si>
  <si>
    <t>18W000000000LS6D</t>
  </si>
  <si>
    <t>MASIC01</t>
  </si>
  <si>
    <t>MASINTELIG</t>
  </si>
  <si>
    <t>MAS INTELIGENCIA UNIDAD DE PROGRAMACION</t>
  </si>
  <si>
    <t>18W0000000004562</t>
  </si>
  <si>
    <t>MASIN</t>
  </si>
  <si>
    <t>MASIRP</t>
  </si>
  <si>
    <t>MASIRP01</t>
  </si>
  <si>
    <t>18W000000000PLMN</t>
  </si>
  <si>
    <t>MASQC01</t>
  </si>
  <si>
    <t>MASQLUZ PENINSULA</t>
  </si>
  <si>
    <t>18W000000000HQPY</t>
  </si>
  <si>
    <t>MASQL</t>
  </si>
  <si>
    <t>MATAC01</t>
  </si>
  <si>
    <t>MATACOUTA</t>
  </si>
  <si>
    <t>PIZARRAS MATACOUTA S.A</t>
  </si>
  <si>
    <t>18WMATAC01-12--S</t>
  </si>
  <si>
    <t>MATA</t>
  </si>
  <si>
    <t>MAXIC01</t>
  </si>
  <si>
    <t>MAXI ENERGIA</t>
  </si>
  <si>
    <t>18W000000000Q7D5</t>
  </si>
  <si>
    <t>MAXEN</t>
  </si>
  <si>
    <t>MEGC01</t>
  </si>
  <si>
    <t>MEGARA UNIDAD COMPRA</t>
  </si>
  <si>
    <t>18WMEGC01-1234-X</t>
  </si>
  <si>
    <t>MEG</t>
  </si>
  <si>
    <t>MELUC01</t>
  </si>
  <si>
    <t>HISPA</t>
  </si>
  <si>
    <t>HISPANO TEX S.A.</t>
  </si>
  <si>
    <t>18WMELUC01-123-4</t>
  </si>
  <si>
    <t>MENEC01</t>
  </si>
  <si>
    <t>MOSCOSO ENERGIA</t>
  </si>
  <si>
    <t>18WMENEC01-123-V</t>
  </si>
  <si>
    <t>MENER</t>
  </si>
  <si>
    <t>MERC01</t>
  </si>
  <si>
    <t>MEROLTEX</t>
  </si>
  <si>
    <t>TEJEDURIA BOMBARDO</t>
  </si>
  <si>
    <t>18W000000000O0HQ</t>
  </si>
  <si>
    <t>MEROL</t>
  </si>
  <si>
    <t>MERCCP3</t>
  </si>
  <si>
    <t>RIGHT EXP</t>
  </si>
  <si>
    <t>WITH RIGHTS EXPORTS FR</t>
  </si>
  <si>
    <t>18WMERCCP3-123-F</t>
  </si>
  <si>
    <t>MERCVP3</t>
  </si>
  <si>
    <t>RIGHT IMP</t>
  </si>
  <si>
    <t>WITH RIGHT IMPORT FR</t>
  </si>
  <si>
    <t>18WMERCVP3-123-T</t>
  </si>
  <si>
    <t>METEC01</t>
  </si>
  <si>
    <t>18W000000000MBMS</t>
  </si>
  <si>
    <t>METER01</t>
  </si>
  <si>
    <t>18W000000000QKPG</t>
  </si>
  <si>
    <t>MFREC01</t>
  </si>
  <si>
    <t>MAFRESA</t>
  </si>
  <si>
    <t>MAFRESA EL IBERICO DE CONFIANZA SL</t>
  </si>
  <si>
    <t>18W000000000F12F</t>
  </si>
  <si>
    <t>MFRSA</t>
  </si>
  <si>
    <t>MIBESFR</t>
  </si>
  <si>
    <t>Saldo acoplamiento ES a FR</t>
  </si>
  <si>
    <t>18WMIBESFR-123-2</t>
  </si>
  <si>
    <t>Saldo acoplamiento mercado</t>
  </si>
  <si>
    <t>MIBESPT</t>
  </si>
  <si>
    <t>Saldo acoplamiento ES a PT</t>
  </si>
  <si>
    <t>18WMIBESPT-123-J</t>
  </si>
  <si>
    <t>MIBFRES</t>
  </si>
  <si>
    <t>Saldo acoplamiento FR a ES</t>
  </si>
  <si>
    <t>18WMIBFRES-123-2</t>
  </si>
  <si>
    <t>MIBPTES</t>
  </si>
  <si>
    <t>Saldo acoplamiento PT a ES</t>
  </si>
  <si>
    <t>18WMIBPTES-123-W</t>
  </si>
  <si>
    <t>MILII</t>
  </si>
  <si>
    <t>MILLAS II</t>
  </si>
  <si>
    <t>18WMILII-12345-P</t>
  </si>
  <si>
    <t>MINAC01</t>
  </si>
  <si>
    <t>ALCANTARA</t>
  </si>
  <si>
    <t>MINAS DE ALCANTARA</t>
  </si>
  <si>
    <t>18W0000000001873</t>
  </si>
  <si>
    <t>MINAL</t>
  </si>
  <si>
    <t>MINIC01</t>
  </si>
  <si>
    <t>MINAI</t>
  </si>
  <si>
    <t>MINAI SERVICIOS ENERGETICOS</t>
  </si>
  <si>
    <t>18W000000000HEEI</t>
  </si>
  <si>
    <t>MLTB</t>
  </si>
  <si>
    <t>MORALET B</t>
  </si>
  <si>
    <t>C.H.B. MORALETS BOMBEO</t>
  </si>
  <si>
    <t>18WMLTB-12345-09</t>
  </si>
  <si>
    <t>MLTG</t>
  </si>
  <si>
    <t>MORALET G</t>
  </si>
  <si>
    <t>C.H. MORALETS GENERACION</t>
  </si>
  <si>
    <t>18WMLTG-12345-0X</t>
  </si>
  <si>
    <t>MODIC01</t>
  </si>
  <si>
    <t>MODISPREM</t>
  </si>
  <si>
    <t>MODISPREM SA</t>
  </si>
  <si>
    <t>18WMODIC01-123-I</t>
  </si>
  <si>
    <t>MODI</t>
  </si>
  <si>
    <t>MOIAC01</t>
  </si>
  <si>
    <t>MAT MOIA</t>
  </si>
  <si>
    <t>MATADERO MOIA</t>
  </si>
  <si>
    <t>18WMOIAC01-123-6</t>
  </si>
  <si>
    <t>MOIA</t>
  </si>
  <si>
    <t>MOLEC01</t>
  </si>
  <si>
    <t>MOLECOR</t>
  </si>
  <si>
    <t>18WMOLEC01-123-7</t>
  </si>
  <si>
    <t>MOLE</t>
  </si>
  <si>
    <t>MOLIVI</t>
  </si>
  <si>
    <t>MOLIVI UP</t>
  </si>
  <si>
    <t>18W00000000032C3</t>
  </si>
  <si>
    <t>MONTC01</t>
  </si>
  <si>
    <t>ELECTRICA DEL MONTSEC, S.L</t>
  </si>
  <si>
    <t>18WMONTC01-123-K</t>
  </si>
  <si>
    <t>MONTS</t>
  </si>
  <si>
    <t>MOTAC01</t>
  </si>
  <si>
    <t>UPMONTARTO</t>
  </si>
  <si>
    <t>UP MONTARTO TECHNOLOGIES</t>
  </si>
  <si>
    <t>18W000000000PIF9</t>
  </si>
  <si>
    <t>MONTR</t>
  </si>
  <si>
    <t>MOVHC01</t>
  </si>
  <si>
    <t>MOVHERA COMERCIALIZADORA</t>
  </si>
  <si>
    <t>18W000000000LVQ1</t>
  </si>
  <si>
    <t>MOVHE</t>
  </si>
  <si>
    <t>MOVIC01</t>
  </si>
  <si>
    <t>18W000000000Q29S</t>
  </si>
  <si>
    <t>MOVIE</t>
  </si>
  <si>
    <t>MSVSC01</t>
  </si>
  <si>
    <t>MUNICIPAL DE SERVICIOS VILLAHERMOSANA, S.L</t>
  </si>
  <si>
    <t>18WMSVSC01-123-5</t>
  </si>
  <si>
    <t>MSVSL</t>
  </si>
  <si>
    <t>MUEB</t>
  </si>
  <si>
    <t>MUELA B</t>
  </si>
  <si>
    <t>C.H.B. LA MUELA BOMBEO</t>
  </si>
  <si>
    <t>18WMUEB-12345-0T</t>
  </si>
  <si>
    <t>MUEL</t>
  </si>
  <si>
    <t>MUELA G</t>
  </si>
  <si>
    <t>C.H. LA MUELA GENERACION</t>
  </si>
  <si>
    <t>18WMUEL-12345-03</t>
  </si>
  <si>
    <t>MUESC01</t>
  </si>
  <si>
    <t>MUESTRARIO</t>
  </si>
  <si>
    <t>MUESTRARIOS IBERIA</t>
  </si>
  <si>
    <t>18W000000000P0CW</t>
  </si>
  <si>
    <t>MUEST</t>
  </si>
  <si>
    <t>MULTC01</t>
  </si>
  <si>
    <t>MULTIC01</t>
  </si>
  <si>
    <t>MULTIENERGIA VERDE</t>
  </si>
  <si>
    <t>18WMULTC01-123-7</t>
  </si>
  <si>
    <t>MULTI</t>
  </si>
  <si>
    <t>MUTAC01</t>
  </si>
  <si>
    <t>MULTITEC</t>
  </si>
  <si>
    <t>MULTISEVICIOS TECNOLOGICOS SA</t>
  </si>
  <si>
    <t>18W000000000LXBP</t>
  </si>
  <si>
    <t>MULTA</t>
  </si>
  <si>
    <t>MXXIC01</t>
  </si>
  <si>
    <t>MYENXXI</t>
  </si>
  <si>
    <t>18W000000000LA6U</t>
  </si>
  <si>
    <t>MYENX</t>
  </si>
  <si>
    <t>MYENC01</t>
  </si>
  <si>
    <t>U. DE COMPRA MY ENERGIA</t>
  </si>
  <si>
    <t>18WMYENC01-123-M</t>
  </si>
  <si>
    <t>MYEN</t>
  </si>
  <si>
    <t>MYENV01</t>
  </si>
  <si>
    <t>MYENERGIA VENTA 01</t>
  </si>
  <si>
    <t>18W000000000KPCE</t>
  </si>
  <si>
    <t>MYENV02</t>
  </si>
  <si>
    <t>MYENERGIA VENTA 02</t>
  </si>
  <si>
    <t>18W000000000NHL8</t>
  </si>
  <si>
    <t>MYLIC01</t>
  </si>
  <si>
    <t>MY LIGHT</t>
  </si>
  <si>
    <t>MY LIGHT ENERGY</t>
  </si>
  <si>
    <t>18W000000000PFO0</t>
  </si>
  <si>
    <t>MYLIG</t>
  </si>
  <si>
    <t>NABAC01</t>
  </si>
  <si>
    <t>NABALIA ENERGIA</t>
  </si>
  <si>
    <t>18WNABAC01-123-G</t>
  </si>
  <si>
    <t>NABAL</t>
  </si>
  <si>
    <t>NAGAC01</t>
  </si>
  <si>
    <t>NAT GAS</t>
  </si>
  <si>
    <t>NATURAL GAS COMERCIALIZADORA (NACIONAL)</t>
  </si>
  <si>
    <t>18WNAGAC01-12-24</t>
  </si>
  <si>
    <t>NAGIC01</t>
  </si>
  <si>
    <t>18W000000000K33O</t>
  </si>
  <si>
    <t>NAGIN</t>
  </si>
  <si>
    <t>NAVAC01</t>
  </si>
  <si>
    <t>PETRONAVARRA PEN</t>
  </si>
  <si>
    <t>18W00000000021MR</t>
  </si>
  <si>
    <t>NAVAR</t>
  </si>
  <si>
    <t>NCEC01</t>
  </si>
  <si>
    <t>UP NCE</t>
  </si>
  <si>
    <t>18WNCEC01-1234-T</t>
  </si>
  <si>
    <t>NCE</t>
  </si>
  <si>
    <t>NCEGE</t>
  </si>
  <si>
    <t>VENTA FV</t>
  </si>
  <si>
    <t>18W000000000FY9D</t>
  </si>
  <si>
    <t>NEASC01</t>
  </si>
  <si>
    <t>SPECTRA</t>
  </si>
  <si>
    <t>PROP TRADERS SPAIN</t>
  </si>
  <si>
    <t>18W000000000M7TQ</t>
  </si>
  <si>
    <t>NEASCP3</t>
  </si>
  <si>
    <t>18WNEASCP3-12--4</t>
  </si>
  <si>
    <t>NEASVP3</t>
  </si>
  <si>
    <t>18WNEASVP3-123-6</t>
  </si>
  <si>
    <t>NEMOC01</t>
  </si>
  <si>
    <t>NEMON INTELLIGENCE IN BUSINESS, SL</t>
  </si>
  <si>
    <t>18WNEMOC01-123-3</t>
  </si>
  <si>
    <t>NEMON</t>
  </si>
  <si>
    <t>NEOEC01</t>
  </si>
  <si>
    <t>NEOELECTRA</t>
  </si>
  <si>
    <t>NEOELECTRA ENERGIA</t>
  </si>
  <si>
    <t>18WNEOEC01-123-7</t>
  </si>
  <si>
    <t>NEOEN</t>
  </si>
  <si>
    <t>NETOC01</t>
  </si>
  <si>
    <t>NETON</t>
  </si>
  <si>
    <t>NETON ENERGY SERVICES SLU</t>
  </si>
  <si>
    <t>18W000000000P4NZ</t>
  </si>
  <si>
    <t>NEURC01</t>
  </si>
  <si>
    <t>18W000000000F3IE</t>
  </si>
  <si>
    <t>NEURO</t>
  </si>
  <si>
    <t>NEWCC01</t>
  </si>
  <si>
    <t>UPCOMERCI</t>
  </si>
  <si>
    <t>COMERCIALIZADOR DE ENERGIA ELECTRICA</t>
  </si>
  <si>
    <t>18W000000000H1M4</t>
  </si>
  <si>
    <t>NEWCO</t>
  </si>
  <si>
    <t>NEXAC01</t>
  </si>
  <si>
    <t>NEXT COMPR</t>
  </si>
  <si>
    <t>NEXT COMPRA</t>
  </si>
  <si>
    <t>18W000000000LVIH</t>
  </si>
  <si>
    <t>NEXAM</t>
  </si>
  <si>
    <t>NEXUC01</t>
  </si>
  <si>
    <t>NEXUS COMP</t>
  </si>
  <si>
    <t>18WNEXUC01-12-2D</t>
  </si>
  <si>
    <t>NGORELL</t>
  </si>
  <si>
    <t>NGORELLANA</t>
  </si>
  <si>
    <t>18W000000000NOT8</t>
  </si>
  <si>
    <t>NIVAC01</t>
  </si>
  <si>
    <t>NIVAPLAST</t>
  </si>
  <si>
    <t>18WNIVAC01-123-X</t>
  </si>
  <si>
    <t>NIVA</t>
  </si>
  <si>
    <t>NOBEC01</t>
  </si>
  <si>
    <t>18WNOBEC01-123-U</t>
  </si>
  <si>
    <t>NOBE</t>
  </si>
  <si>
    <t>NOBLCP3</t>
  </si>
  <si>
    <t>CONS ACCT</t>
  </si>
  <si>
    <t>CONSUMPTION ACCOUNT</t>
  </si>
  <si>
    <t>18WNOBLCP3-123-5</t>
  </si>
  <si>
    <t>NOBLVP3</t>
  </si>
  <si>
    <t>PROD ACCT</t>
  </si>
  <si>
    <t>PRODUCTION ACCOUNT</t>
  </si>
  <si>
    <t>18WNOBLVP3-123-J</t>
  </si>
  <si>
    <t>NOREC01</t>
  </si>
  <si>
    <t>UNIDAD NORTELECTRICA</t>
  </si>
  <si>
    <t>18W0000000008BQ2</t>
  </si>
  <si>
    <t>NORE</t>
  </si>
  <si>
    <t>NORTC01</t>
  </si>
  <si>
    <t>NORTC01 CO</t>
  </si>
  <si>
    <t>ELECTRA NORTE 1997 S.A.</t>
  </si>
  <si>
    <t>18WNORTC01-12-26</t>
  </si>
  <si>
    <t>NORT</t>
  </si>
  <si>
    <t>NOSAC01</t>
  </si>
  <si>
    <t>NOSA ENERXIA SCP</t>
  </si>
  <si>
    <t>18WNOSAC01-123-V</t>
  </si>
  <si>
    <t>NOSA</t>
  </si>
  <si>
    <t>NVLUC01</t>
  </si>
  <si>
    <t>NOVALUUP</t>
  </si>
  <si>
    <t>18W000000000GSQU</t>
  </si>
  <si>
    <t>NVLZE</t>
  </si>
  <si>
    <t>NYCLC01</t>
  </si>
  <si>
    <t>NATURGY CLIENTES COMPRA PE</t>
  </si>
  <si>
    <t>18W000000000MXYC</t>
  </si>
  <si>
    <t>NYCLI</t>
  </si>
  <si>
    <t>ODFC01</t>
  </si>
  <si>
    <t>18WODFC01-1234-U</t>
  </si>
  <si>
    <t>ODF</t>
  </si>
  <si>
    <t>OESTC01</t>
  </si>
  <si>
    <t>RONDAOESTE</t>
  </si>
  <si>
    <t>18WOESTC01-123-M</t>
  </si>
  <si>
    <t>OESTE</t>
  </si>
  <si>
    <t>OHMIC01</t>
  </si>
  <si>
    <t>UP OHMIO</t>
  </si>
  <si>
    <t>UNIDAD BASE DE PROGRAMACIN OHMIO</t>
  </si>
  <si>
    <t>18W0000000005CIR</t>
  </si>
  <si>
    <t>OHMIA</t>
  </si>
  <si>
    <t>OKENC01</t>
  </si>
  <si>
    <t>OKENE</t>
  </si>
  <si>
    <t>OK ENERGIA</t>
  </si>
  <si>
    <t>18W000000000IXGR</t>
  </si>
  <si>
    <t>OLEC01</t>
  </si>
  <si>
    <t>OLE</t>
  </si>
  <si>
    <t>OLR GREEN ENERGY</t>
  </si>
  <si>
    <t>18WOLEC01-1234-J</t>
  </si>
  <si>
    <t>OLIVC01</t>
  </si>
  <si>
    <t>OLIVIA 01</t>
  </si>
  <si>
    <t>OLIVIA C01</t>
  </si>
  <si>
    <t>18W000000000C5IK</t>
  </si>
  <si>
    <t>OLIVC</t>
  </si>
  <si>
    <t>OLLEC01</t>
  </si>
  <si>
    <t>OLLER</t>
  </si>
  <si>
    <t>FRANCISCO OLLER SA</t>
  </si>
  <si>
    <t>18W000000000CXBO</t>
  </si>
  <si>
    <t>OMHEC01</t>
  </si>
  <si>
    <t>OMHEY</t>
  </si>
  <si>
    <t>18W000000000K1I0</t>
  </si>
  <si>
    <t>OHMEY</t>
  </si>
  <si>
    <t>ONDEC01</t>
  </si>
  <si>
    <t>ONDEM</t>
  </si>
  <si>
    <t>ON DEMAND FACILITIES</t>
  </si>
  <si>
    <t>18WONDEMAND----3</t>
  </si>
  <si>
    <t>ONEACH</t>
  </si>
  <si>
    <t>ONE - AGENT EXTERNE - COMPRA</t>
  </si>
  <si>
    <t>18WONEACH-123-46</t>
  </si>
  <si>
    <t>ONEVEN</t>
  </si>
  <si>
    <t>ONE - AGENT EXTERNE - VENTA</t>
  </si>
  <si>
    <t>18WONEVEN-123-3S</t>
  </si>
  <si>
    <t>ONSEC01</t>
  </si>
  <si>
    <t>ONS</t>
  </si>
  <si>
    <t>ONSE</t>
  </si>
  <si>
    <t>18W000000000CSZS</t>
  </si>
  <si>
    <t>OOPPC01</t>
  </si>
  <si>
    <t>OLIVA</t>
  </si>
  <si>
    <t>OLIVES</t>
  </si>
  <si>
    <t>18W000000000M1ML</t>
  </si>
  <si>
    <t>OPPIC01</t>
  </si>
  <si>
    <t>OPPIDUM</t>
  </si>
  <si>
    <t>OPPIDUM ENERGIA</t>
  </si>
  <si>
    <t>18WOPPIC01-123-X</t>
  </si>
  <si>
    <t>ORWEC01</t>
  </si>
  <si>
    <t>COMERCIALIZACION 1</t>
  </si>
  <si>
    <t>18W000000000AVYT</t>
  </si>
  <si>
    <t>ORWEL</t>
  </si>
  <si>
    <t>OSUNC01</t>
  </si>
  <si>
    <t>OSUNA</t>
  </si>
  <si>
    <t>OSUNA MISSION</t>
  </si>
  <si>
    <t>18W0000000000I6G</t>
  </si>
  <si>
    <t>OXPEC01</t>
  </si>
  <si>
    <t>OXPERTA ENERGA COMPRAS</t>
  </si>
  <si>
    <t>18W000000000PMXZ</t>
  </si>
  <si>
    <t>OXPER</t>
  </si>
  <si>
    <t>PAGRACU</t>
  </si>
  <si>
    <t>AGRACU</t>
  </si>
  <si>
    <t>UP AGRACU</t>
  </si>
  <si>
    <t>18W000000000K847</t>
  </si>
  <si>
    <t>PAGRUPA</t>
  </si>
  <si>
    <t>AGRUPAMI</t>
  </si>
  <si>
    <t>UP AGRUPAMI</t>
  </si>
  <si>
    <t>18W000000000K7N9</t>
  </si>
  <si>
    <t>PALOS1</t>
  </si>
  <si>
    <t>CICLO COMBINADO DE PALOS DE LA FRONTERA GRUPO1</t>
  </si>
  <si>
    <t>18WPALOS1-123-0Z</t>
  </si>
  <si>
    <t>PALOS2</t>
  </si>
  <si>
    <t>CICLO COMBINADO DE PALOS DE LA FRONTERA GRUPO2</t>
  </si>
  <si>
    <t>18WPALOS2-123-0R</t>
  </si>
  <si>
    <t>PALOS3</t>
  </si>
  <si>
    <t>CICLO COMBINADO DE PALOS DE LA FRONTERA GRUPO3</t>
  </si>
  <si>
    <t>18WPALOS3-123-0J</t>
  </si>
  <si>
    <t>PARMOC</t>
  </si>
  <si>
    <t>18W000000000M0LQ</t>
  </si>
  <si>
    <t>PAVASFT</t>
  </si>
  <si>
    <t>18W000000000QTBH</t>
  </si>
  <si>
    <t>PBCN1</t>
  </si>
  <si>
    <t>C.C PUERTO DE BARCELONA GRUPO 1</t>
  </si>
  <si>
    <t>18WPBCN1-12345-D</t>
  </si>
  <si>
    <t>PBCN2</t>
  </si>
  <si>
    <t>C.C. PUERTO DE BARCELONA GRUPO 2</t>
  </si>
  <si>
    <t>18WPBCN2-12345-4</t>
  </si>
  <si>
    <t>PECAST</t>
  </si>
  <si>
    <t>18W000000000R5NO</t>
  </si>
  <si>
    <t>PENAV</t>
  </si>
  <si>
    <t>18W000000000MK08</t>
  </si>
  <si>
    <t>PESOTIL</t>
  </si>
  <si>
    <t>PE SOTILLO-VM</t>
  </si>
  <si>
    <t>18W000000000FPCY</t>
  </si>
  <si>
    <t>PETABLA</t>
  </si>
  <si>
    <t>PE TABLARES</t>
  </si>
  <si>
    <t>18W000000000FPDW</t>
  </si>
  <si>
    <t>PETRC01</t>
  </si>
  <si>
    <t>PETRONIEVES ENERGIA 1, S.L.</t>
  </si>
  <si>
    <t>18WPETRC01-123-I</t>
  </si>
  <si>
    <t>PESL</t>
  </si>
  <si>
    <t>PEVALB</t>
  </si>
  <si>
    <t>18W000000000R5OM</t>
  </si>
  <si>
    <t>PEVER</t>
  </si>
  <si>
    <t>18W000000000QDFK</t>
  </si>
  <si>
    <t>PGOM</t>
  </si>
  <si>
    <t>18WPGOM-123456-U</t>
  </si>
  <si>
    <t>PGR5</t>
  </si>
  <si>
    <t>P.G.RODR 5</t>
  </si>
  <si>
    <t>CC AS PONTES GARCIA RODRIGUEZ - GRUPO 5</t>
  </si>
  <si>
    <t>18WPGR5-123456-J</t>
  </si>
  <si>
    <t>PINDC01</t>
  </si>
  <si>
    <t>UP PINDO</t>
  </si>
  <si>
    <t>UP PINDO PENINSULA</t>
  </si>
  <si>
    <t>18W000000000QA86</t>
  </si>
  <si>
    <t>PINDO</t>
  </si>
  <si>
    <t>PIZR</t>
  </si>
  <si>
    <t>18W000000000Q7U8</t>
  </si>
  <si>
    <t>PLASC01</t>
  </si>
  <si>
    <t>PLASPISA</t>
  </si>
  <si>
    <t>INDUSTRIAS PLASTICAS DEL PISUERGA</t>
  </si>
  <si>
    <t>18WPLASC01-123-M</t>
  </si>
  <si>
    <t>PLAS</t>
  </si>
  <si>
    <t>PLATC01</t>
  </si>
  <si>
    <t>PLATA</t>
  </si>
  <si>
    <t>MATADERO LA PLATA</t>
  </si>
  <si>
    <t>18W0000000005HJA</t>
  </si>
  <si>
    <t>PLENFV1</t>
  </si>
  <si>
    <t>PLENFV-1MW</t>
  </si>
  <si>
    <t>PLENI-FV-1MW</t>
  </si>
  <si>
    <t>18W000000000Q3QS</t>
  </si>
  <si>
    <t>PONCC01</t>
  </si>
  <si>
    <t>PONTS COM</t>
  </si>
  <si>
    <t>PONTS COMERCIALITZADORA MUNICIPAL DENERGIA ELECTRICA S.L.U</t>
  </si>
  <si>
    <t>18W0000000005D4F</t>
  </si>
  <si>
    <t>PONTC</t>
  </si>
  <si>
    <t>PONXC01</t>
  </si>
  <si>
    <t>CONSUMO PONTEVEDRA</t>
  </si>
  <si>
    <t>18WPONXC01-123-F</t>
  </si>
  <si>
    <t>ENCEG</t>
  </si>
  <si>
    <t>PORVC01</t>
  </si>
  <si>
    <t>18W000000000OYD6</t>
  </si>
  <si>
    <t>PORVE</t>
  </si>
  <si>
    <t>POTEC01</t>
  </si>
  <si>
    <t>POTENZIA COMERCIALZADORA SL</t>
  </si>
  <si>
    <t>18W0000000000VYW</t>
  </si>
  <si>
    <t>POTEN</t>
  </si>
  <si>
    <t>POWCP3</t>
  </si>
  <si>
    <t>PM EXPORT</t>
  </si>
  <si>
    <t>POWERMART EXPORT</t>
  </si>
  <si>
    <t>18WPOWCP3-1234-C</t>
  </si>
  <si>
    <t>POWEC01</t>
  </si>
  <si>
    <t>PM RET BUY</t>
  </si>
  <si>
    <t>POWERMART RETAIL BUY</t>
  </si>
  <si>
    <t>18W000000000GJKW</t>
  </si>
  <si>
    <t>POWNC01</t>
  </si>
  <si>
    <t>18W000000000QSTL</t>
  </si>
  <si>
    <t>POWEN</t>
  </si>
  <si>
    <t>POWVP3</t>
  </si>
  <si>
    <t>POWERMART</t>
  </si>
  <si>
    <t>POWERMART APS</t>
  </si>
  <si>
    <t>18WPOWVP3-1234-7</t>
  </si>
  <si>
    <t>POZOC01</t>
  </si>
  <si>
    <t>POZO</t>
  </si>
  <si>
    <t>ELECTRICA DEL POZO</t>
  </si>
  <si>
    <t>18WPOZOC01-123-A</t>
  </si>
  <si>
    <t>PRADC01</t>
  </si>
  <si>
    <t>COPRADO</t>
  </si>
  <si>
    <t>18W0000000001OUK</t>
  </si>
  <si>
    <t>PRADO</t>
  </si>
  <si>
    <t>PROSC01</t>
  </si>
  <si>
    <t>PROSOL COM</t>
  </si>
  <si>
    <t>PROSOL COMPRA</t>
  </si>
  <si>
    <t>18W000000000LH69</t>
  </si>
  <si>
    <t>PROSA</t>
  </si>
  <si>
    <t>PROTC01</t>
  </si>
  <si>
    <t>PROT</t>
  </si>
  <si>
    <t>PROT ENERGIA COMERCIALIZACION</t>
  </si>
  <si>
    <t>18WPROTC01-123-8</t>
  </si>
  <si>
    <t>PROTC</t>
  </si>
  <si>
    <t>PTENC01</t>
  </si>
  <si>
    <t>UP PTEN</t>
  </si>
  <si>
    <t>UP PARATIENERGIA</t>
  </si>
  <si>
    <t>18W000000000N9NS</t>
  </si>
  <si>
    <t>PTENG</t>
  </si>
  <si>
    <t>PTROC01</t>
  </si>
  <si>
    <t>PETROLIS</t>
  </si>
  <si>
    <t>SOLUCIONES PREMMIA ENERGIA</t>
  </si>
  <si>
    <t>18W000000000HNGO</t>
  </si>
  <si>
    <t>PTROL</t>
  </si>
  <si>
    <t>PUERTOB</t>
  </si>
  <si>
    <t>PUERTO B</t>
  </si>
  <si>
    <t>PUERTO BLANCO</t>
  </si>
  <si>
    <t>18W000000000OIBL</t>
  </si>
  <si>
    <t>PUIC01</t>
  </si>
  <si>
    <t>TEXTILPUIG</t>
  </si>
  <si>
    <t>TEXTIL PUIG UBACH</t>
  </si>
  <si>
    <t>18W000000000MBX6</t>
  </si>
  <si>
    <t>TEXTB</t>
  </si>
  <si>
    <t>PULSC01</t>
  </si>
  <si>
    <t>PULSAR</t>
  </si>
  <si>
    <t>PULSAR SERVICIOS ENERGETICOS</t>
  </si>
  <si>
    <t>18WPULSC01-123-F</t>
  </si>
  <si>
    <t>PULSA</t>
  </si>
  <si>
    <t>PVENT1</t>
  </si>
  <si>
    <t>PLANA DEL VENT1</t>
  </si>
  <si>
    <t>18WPVENT1--1234A</t>
  </si>
  <si>
    <t>PVENT2</t>
  </si>
  <si>
    <t>PLANA DEL VENT2</t>
  </si>
  <si>
    <t>18WPVENT2--12342</t>
  </si>
  <si>
    <t>PVENT2X</t>
  </si>
  <si>
    <t>PLANA DEL VENT2 AUTOCONSUMOS</t>
  </si>
  <si>
    <t>18WPVENT2X-123-X</t>
  </si>
  <si>
    <t>PZCP</t>
  </si>
  <si>
    <t>18WPZCP-123456-F</t>
  </si>
  <si>
    <t>QENEC01</t>
  </si>
  <si>
    <t>QUASAR</t>
  </si>
  <si>
    <t>QUASAR ENERGIA</t>
  </si>
  <si>
    <t>18W0000000008EL3</t>
  </si>
  <si>
    <t>QENER</t>
  </si>
  <si>
    <t>QUALC01</t>
  </si>
  <si>
    <t>QUANTUM COMERCIALIZADORA PENINSULA</t>
  </si>
  <si>
    <t>18W000000000NTM7</t>
  </si>
  <si>
    <t>QUANA</t>
  </si>
  <si>
    <t>QUATC01</t>
  </si>
  <si>
    <t>QUANTC01</t>
  </si>
  <si>
    <t>QUANTICA COMERCIALIZADORA</t>
  </si>
  <si>
    <t>18W000000000OQLE</t>
  </si>
  <si>
    <t>QUANT</t>
  </si>
  <si>
    <t>RABANIL</t>
  </si>
  <si>
    <t>UP ALBANILLA</t>
  </si>
  <si>
    <t>18WRABANIL-123-P</t>
  </si>
  <si>
    <t>RABIDA2</t>
  </si>
  <si>
    <t>REFINERIA LA RABIDA UNIDAD DE COGENERACION II</t>
  </si>
  <si>
    <t>18WRABIDA2-12--M</t>
  </si>
  <si>
    <t>CEPSA</t>
  </si>
  <si>
    <t>RAFAP</t>
  </si>
  <si>
    <t>18WRAFAP-12345-S</t>
  </si>
  <si>
    <t>RALBAD</t>
  </si>
  <si>
    <t>RESIDUOS BABCOCK-TECMED</t>
  </si>
  <si>
    <t>18W0000000004YMV</t>
  </si>
  <si>
    <t>RAUDAX</t>
  </si>
  <si>
    <t>AUDTR</t>
  </si>
  <si>
    <t>18WRAUDAX-1234-O</t>
  </si>
  <si>
    <t>RAUN</t>
  </si>
  <si>
    <t>UP C.H. AMERAUN</t>
  </si>
  <si>
    <t>18WRAUN-123456-0</t>
  </si>
  <si>
    <t>RBALMN</t>
  </si>
  <si>
    <t>UP BIOGAS ALMENAR</t>
  </si>
  <si>
    <t>18W000000000NI8V</t>
  </si>
  <si>
    <t>RBCESPA</t>
  </si>
  <si>
    <t>UP CESPA</t>
  </si>
  <si>
    <t>18WRBCESPA-123-C</t>
  </si>
  <si>
    <t>RBESOS</t>
  </si>
  <si>
    <t>ECOPARC 2</t>
  </si>
  <si>
    <t>18W000000000Q5VC</t>
  </si>
  <si>
    <t>RBIOCAN</t>
  </si>
  <si>
    <t>18WRBIOCAN-123-J</t>
  </si>
  <si>
    <t>RBIOLSI</t>
  </si>
  <si>
    <t>18WRBIOLSI-123-E</t>
  </si>
  <si>
    <t>RBIOSAN</t>
  </si>
  <si>
    <t>18WRBIOSAN-12-1V</t>
  </si>
  <si>
    <t>SANTG</t>
  </si>
  <si>
    <t>RBIOWA</t>
  </si>
  <si>
    <t>BIOWATT IBERICA ( R )</t>
  </si>
  <si>
    <t>18WBIOWA-1234-09</t>
  </si>
  <si>
    <t>BIOWA</t>
  </si>
  <si>
    <t>RBIPU</t>
  </si>
  <si>
    <t>BBIPUGE</t>
  </si>
  <si>
    <t>BIPUGE</t>
  </si>
  <si>
    <t>18WRBIPU-12345-A</t>
  </si>
  <si>
    <t>RBOTARE</t>
  </si>
  <si>
    <t>BOTARELL</t>
  </si>
  <si>
    <t>PLANTA MECANIC-BILOGICA DE BOTARELL</t>
  </si>
  <si>
    <t>18WRBOTARE-123-X</t>
  </si>
  <si>
    <t>BOTAR</t>
  </si>
  <si>
    <t>RCAMPEL</t>
  </si>
  <si>
    <t>UP EL CAMPELLO</t>
  </si>
  <si>
    <t>18WRCAMPEL-123-H</t>
  </si>
  <si>
    <t>RCEASA</t>
  </si>
  <si>
    <t>CENERE1</t>
  </si>
  <si>
    <t>18WRCEASA-123-1H</t>
  </si>
  <si>
    <t>CEASA</t>
  </si>
  <si>
    <t>RCENER</t>
  </si>
  <si>
    <t>18WRCENER-123-1P</t>
  </si>
  <si>
    <t>RCESPA</t>
  </si>
  <si>
    <t>18WRCESPA-1234-1</t>
  </si>
  <si>
    <t>RCESRE</t>
  </si>
  <si>
    <t>18WRCESRE-1234-P</t>
  </si>
  <si>
    <t>RCMOVA</t>
  </si>
  <si>
    <t>RESIDUOS MOVIALSA&gt;10</t>
  </si>
  <si>
    <t>18WRCMOVA-1234-A</t>
  </si>
  <si>
    <t>RCOGBIO</t>
  </si>
  <si>
    <t>18WRCOGBIO-123-X</t>
  </si>
  <si>
    <t>RCOGENA</t>
  </si>
  <si>
    <t>COGENERACION NAVIA CGCEASA</t>
  </si>
  <si>
    <t>18WRCOGENA-123-R</t>
  </si>
  <si>
    <t>Residuos varios</t>
  </si>
  <si>
    <t>RCONC01</t>
  </si>
  <si>
    <t>RCONSULT</t>
  </si>
  <si>
    <t>RENOVAE ENERGY</t>
  </si>
  <si>
    <t>18W000000000IWA5</t>
  </si>
  <si>
    <t>RCONS</t>
  </si>
  <si>
    <t>RCOPAMP</t>
  </si>
  <si>
    <t>R-B7 COM. PAMPLONA</t>
  </si>
  <si>
    <t>18WRCOPAMP-123-O</t>
  </si>
  <si>
    <t>RCUBILL</t>
  </si>
  <si>
    <t>RCUBILLOS</t>
  </si>
  <si>
    <t>UP BIOMASA CUBILLOS</t>
  </si>
  <si>
    <t>18W000000000H3J4</t>
  </si>
  <si>
    <t>RCULEBR</t>
  </si>
  <si>
    <t>UP EL CULEBRETE</t>
  </si>
  <si>
    <t>18WRCULEBR-12--B</t>
  </si>
  <si>
    <t>RCURTIS</t>
  </si>
  <si>
    <t>UP BIOMASA CURTIS</t>
  </si>
  <si>
    <t>18W000000000PI10</t>
  </si>
  <si>
    <t>RDAKIN</t>
  </si>
  <si>
    <t>18W000000000K74A</t>
  </si>
  <si>
    <t>RDQ1</t>
  </si>
  <si>
    <t>RINCON DEL DUQUE 1</t>
  </si>
  <si>
    <t>18WRDQ1-123456-6</t>
  </si>
  <si>
    <t>RDQ2</t>
  </si>
  <si>
    <t>RINCON DEL DUQUE 2</t>
  </si>
  <si>
    <t>18WRDQ2-123456-X</t>
  </si>
  <si>
    <t>RECMED</t>
  </si>
  <si>
    <t>BIOGAS ECOPARC</t>
  </si>
  <si>
    <t>18WRECMED-1234-N</t>
  </si>
  <si>
    <t>RECOC01</t>
  </si>
  <si>
    <t>EMECE</t>
  </si>
  <si>
    <t>EMECE ENERGIA COMERCIALIZADORA</t>
  </si>
  <si>
    <t>18WRECON-UP-COMR</t>
  </si>
  <si>
    <t>RECON</t>
  </si>
  <si>
    <t>REEM20</t>
  </si>
  <si>
    <t>ENCE ENERGIA EXTREMADURA</t>
  </si>
  <si>
    <t>18WREEM20-1234-S</t>
  </si>
  <si>
    <t>REGBRE</t>
  </si>
  <si>
    <t>UP BIOMASA EGABRENSE</t>
  </si>
  <si>
    <t>18W000000000P2JC</t>
  </si>
  <si>
    <t>REGPE3</t>
  </si>
  <si>
    <t>REGPE3 ZR</t>
  </si>
  <si>
    <t>18W0000000004P7E</t>
  </si>
  <si>
    <t>RELUC01</t>
  </si>
  <si>
    <t>UP_RELUZCA</t>
  </si>
  <si>
    <t>U PROGRAMACION RELUZCA</t>
  </si>
  <si>
    <t>18W000000000JY39</t>
  </si>
  <si>
    <t>RELUZ</t>
  </si>
  <si>
    <t>REMIC01</t>
  </si>
  <si>
    <t>18W000000000369Y</t>
  </si>
  <si>
    <t>REMIC</t>
  </si>
  <si>
    <t>RENCE</t>
  </si>
  <si>
    <t>VENTA G ENCE A MERCADO</t>
  </si>
  <si>
    <t>18WRENCE-12345-8</t>
  </si>
  <si>
    <t>RENMAN</t>
  </si>
  <si>
    <t>18W00000000029QW</t>
  </si>
  <si>
    <t>REPC01</t>
  </si>
  <si>
    <t>18W000000000EZNN</t>
  </si>
  <si>
    <t>REPEC01</t>
  </si>
  <si>
    <t>REPSOL PETROLEO</t>
  </si>
  <si>
    <t>18W000000000672X</t>
  </si>
  <si>
    <t>REPFOTV</t>
  </si>
  <si>
    <t>18W000000000AYRY</t>
  </si>
  <si>
    <t>REPPLL</t>
  </si>
  <si>
    <t>REPSOL PETROLEO PUERTOLLANO</t>
  </si>
  <si>
    <t>18WREPPLL-123-0W</t>
  </si>
  <si>
    <t>REPR</t>
  </si>
  <si>
    <t>REPRIMALA</t>
  </si>
  <si>
    <t>18WREPR-123456-4</t>
  </si>
  <si>
    <t>REPRC01</t>
  </si>
  <si>
    <t>18W000000000C9EG</t>
  </si>
  <si>
    <t>RESIAME</t>
  </si>
  <si>
    <t>18WRESIAME-123-T</t>
  </si>
  <si>
    <t>RESSEC</t>
  </si>
  <si>
    <t>RESSEC UP</t>
  </si>
  <si>
    <t>18W00000000032B5</t>
  </si>
  <si>
    <t>REUSC01</t>
  </si>
  <si>
    <t>18W000000000M1D2</t>
  </si>
  <si>
    <t>REUSS</t>
  </si>
  <si>
    <t>RENSP</t>
  </si>
  <si>
    <t>REXTRA</t>
  </si>
  <si>
    <t>EXTRAGOL R</t>
  </si>
  <si>
    <t>18W000000000O2WR</t>
  </si>
  <si>
    <t>REYSC01</t>
  </si>
  <si>
    <t>18WREYSC01-123-1</t>
  </si>
  <si>
    <t>REYSE</t>
  </si>
  <si>
    <t>RFDETIC</t>
  </si>
  <si>
    <t>UPROG TERMICA RENOVABLE</t>
  </si>
  <si>
    <t>18WRFDETIC-123-N</t>
  </si>
  <si>
    <t>RFEGED</t>
  </si>
  <si>
    <t>BIO TARIFA</t>
  </si>
  <si>
    <t>18WRFEGED-1234-C</t>
  </si>
  <si>
    <t>RFNEXU</t>
  </si>
  <si>
    <t>UP RESIDUOS MAYOR DE 1MW</t>
  </si>
  <si>
    <t>18WRFNEXU-1234-X</t>
  </si>
  <si>
    <t>RFVALDE</t>
  </si>
  <si>
    <t>18WRFVALDE-123-0</t>
  </si>
  <si>
    <t>RGAME</t>
  </si>
  <si>
    <t>18WRGAME-12345-R</t>
  </si>
  <si>
    <t>RGECASA</t>
  </si>
  <si>
    <t>18W000000000QRRS</t>
  </si>
  <si>
    <t>RGEDES</t>
  </si>
  <si>
    <t>18WRGEDES-1234-L</t>
  </si>
  <si>
    <t>RIDAGST</t>
  </si>
  <si>
    <t>BIOM IDA</t>
  </si>
  <si>
    <t>BIOMASA IDA</t>
  </si>
  <si>
    <t>18W0000000005CKN</t>
  </si>
  <si>
    <t>RINUSA</t>
  </si>
  <si>
    <t>BIOGAS INUSA</t>
  </si>
  <si>
    <t>18W0000000004WGC</t>
  </si>
  <si>
    <t>RISLON</t>
  </si>
  <si>
    <t>ISLONIAS R</t>
  </si>
  <si>
    <t>18W000000000L9AP</t>
  </si>
  <si>
    <t>RIVAC01</t>
  </si>
  <si>
    <t>RIVAS UP</t>
  </si>
  <si>
    <t>RIVAS UPROGRAMACION</t>
  </si>
  <si>
    <t>18W00000000066I4</t>
  </si>
  <si>
    <t>RIVAS</t>
  </si>
  <si>
    <t>RIVAV01</t>
  </si>
  <si>
    <t>UP RIVAV01</t>
  </si>
  <si>
    <t>UP RIVAVACIAMADRID VENTA</t>
  </si>
  <si>
    <t>18W000000000HPIE</t>
  </si>
  <si>
    <t>RLALOM</t>
  </si>
  <si>
    <t>18WRLALOM-1234-V</t>
  </si>
  <si>
    <t>RMARINA</t>
  </si>
  <si>
    <t>UP LA MARINA</t>
  </si>
  <si>
    <t>18WRMARINA-123-Q</t>
  </si>
  <si>
    <t>RMNEXU</t>
  </si>
  <si>
    <t>RMENXU</t>
  </si>
  <si>
    <t>UP BIOMASA</t>
  </si>
  <si>
    <t>18W0000000005AAC</t>
  </si>
  <si>
    <t>RMSVGA</t>
  </si>
  <si>
    <t>18WRMSVGA-1234-0</t>
  </si>
  <si>
    <t>RMU1</t>
  </si>
  <si>
    <t>RIO MUERTO</t>
  </si>
  <si>
    <t>18WRMU1-123456-2</t>
  </si>
  <si>
    <t>RNAVARA</t>
  </si>
  <si>
    <t>UO LA MARINA</t>
  </si>
  <si>
    <t>18WRNAVARA-123-E</t>
  </si>
  <si>
    <t>ROFEC01</t>
  </si>
  <si>
    <t>ROFEICA ENERGIA, S.L.</t>
  </si>
  <si>
    <t>18WROFEC01-123-8</t>
  </si>
  <si>
    <t>ROFEN</t>
  </si>
  <si>
    <t>ROFENV1</t>
  </si>
  <si>
    <t>ROFEICA</t>
  </si>
  <si>
    <t>ROFEICA ENERGIA SA</t>
  </si>
  <si>
    <t>18WROFENV1-123-V</t>
  </si>
  <si>
    <t>ROFENV2</t>
  </si>
  <si>
    <t>GAROFEICA SA</t>
  </si>
  <si>
    <t>18W0000000006FEM</t>
  </si>
  <si>
    <t>ROLEIC</t>
  </si>
  <si>
    <t>18WROLEIC-1234-4</t>
  </si>
  <si>
    <t>RONDC01</t>
  </si>
  <si>
    <t>RONDA</t>
  </si>
  <si>
    <t>SERRANIA DE RONDA</t>
  </si>
  <si>
    <t>18WRONDC01-123-4</t>
  </si>
  <si>
    <t>RPAME</t>
  </si>
  <si>
    <t>18WRPAME-12345-U</t>
  </si>
  <si>
    <t>RPCABAN</t>
  </si>
  <si>
    <t>RPCABANM</t>
  </si>
  <si>
    <t>RPCABANME</t>
  </si>
  <si>
    <t>18WRPCABAN-123-T</t>
  </si>
  <si>
    <t>RPEEXXI</t>
  </si>
  <si>
    <t>18WRPEEXXI-123-R</t>
  </si>
  <si>
    <t>RPEONUR</t>
  </si>
  <si>
    <t>E.ON CUR ( TERMICA RENOVABLE, PRUEBAS)</t>
  </si>
  <si>
    <t>18WRPEONUR-123-F</t>
  </si>
  <si>
    <t>RPGUIZ</t>
  </si>
  <si>
    <t>18WRPGUIZ-123--E</t>
  </si>
  <si>
    <t>RPHCCUR</t>
  </si>
  <si>
    <t>HIDROCANTABRICO CUR ( TERMICA RENOVABLE, PRUEBAS)</t>
  </si>
  <si>
    <t>18WRPHCCUR-123-G</t>
  </si>
  <si>
    <t>RPIBCUR</t>
  </si>
  <si>
    <t>18WRPIBCUR-123-F</t>
  </si>
  <si>
    <t>RPTRTAR</t>
  </si>
  <si>
    <t>REPSOL PETROLEO TARRAGONA</t>
  </si>
  <si>
    <t>18WRPTRTAR-12-0A</t>
  </si>
  <si>
    <t>RPUEBLA</t>
  </si>
  <si>
    <t>ALCOHOL PUEBLA RESIDUOS</t>
  </si>
  <si>
    <t>18WRPUEBLA-123-G</t>
  </si>
  <si>
    <t>RQUINA</t>
  </si>
  <si>
    <t>18WRQUINA-1234-Y</t>
  </si>
  <si>
    <t>RRBIOCO</t>
  </si>
  <si>
    <t>RTYLMER</t>
  </si>
  <si>
    <t>18WRRBIOCO-123-I</t>
  </si>
  <si>
    <t>RREBIOA</t>
  </si>
  <si>
    <t>18WRREBIOA-123-0</t>
  </si>
  <si>
    <t>RRUICES</t>
  </si>
  <si>
    <t>UP RESIDUOS RUICES</t>
  </si>
  <si>
    <t>18W000000000P3J9</t>
  </si>
  <si>
    <t>RSAICA</t>
  </si>
  <si>
    <t>18WRSAICA-1234-X</t>
  </si>
  <si>
    <t>RSMUNAV</t>
  </si>
  <si>
    <t>SMURFT NAV</t>
  </si>
  <si>
    <t>SMURFIT NAVARRA</t>
  </si>
  <si>
    <t>18W0000000004RIN</t>
  </si>
  <si>
    <t>RSMURFT</t>
  </si>
  <si>
    <t>SMURFITREN</t>
  </si>
  <si>
    <t>SMURFIT TERMICA RENOVABLE</t>
  </si>
  <si>
    <t>18WRSMURFT-123-C</t>
  </si>
  <si>
    <t>SMURF</t>
  </si>
  <si>
    <t>RSOGAM</t>
  </si>
  <si>
    <t>PARQUE DE GENERACION DE SOGAMA</t>
  </si>
  <si>
    <t>18WRSOGAM-123-1H</t>
  </si>
  <si>
    <t>RSOGBI</t>
  </si>
  <si>
    <t>SOGAMA BIOGAS</t>
  </si>
  <si>
    <t>18WRSOGBI-1234-T</t>
  </si>
  <si>
    <t>RSPEC01</t>
  </si>
  <si>
    <t>18W0000000000I5I</t>
  </si>
  <si>
    <t>RSPRC01</t>
  </si>
  <si>
    <t>18WRSPRC01-123-G</t>
  </si>
  <si>
    <t>RTFTPZB</t>
  </si>
  <si>
    <t>TFTPZB</t>
  </si>
  <si>
    <t>TARIFA&gt;10 TPZARAGOZA BIOMASA</t>
  </si>
  <si>
    <t>18WRTFTPZB-123-Y</t>
  </si>
  <si>
    <t>RTIRCA</t>
  </si>
  <si>
    <t>18W0000000001V0M</t>
  </si>
  <si>
    <t>TIRCA</t>
  </si>
  <si>
    <t>RTIRMA</t>
  </si>
  <si>
    <t>18WRTIRMA-1234-C</t>
  </si>
  <si>
    <t>RUCBIO1</t>
  </si>
  <si>
    <t>ENCE HUELVA CBIO1</t>
  </si>
  <si>
    <t>18W0000000000RLX</t>
  </si>
  <si>
    <t>RUCBIO2</t>
  </si>
  <si>
    <t>ENCE ENERGIA HUELVA</t>
  </si>
  <si>
    <t>18WRUCBIO2-123-5</t>
  </si>
  <si>
    <t>RURBA</t>
  </si>
  <si>
    <t>18W000000000KHIQ</t>
  </si>
  <si>
    <t>RURBAS</t>
  </si>
  <si>
    <t>BIOGAS URBASER</t>
  </si>
  <si>
    <t>18W0000000004WI8</t>
  </si>
  <si>
    <t>RURBZA</t>
  </si>
  <si>
    <t>BIOGAS UTE EBRO</t>
  </si>
  <si>
    <t>18W0000000004WHA</t>
  </si>
  <si>
    <t>RVGRECA</t>
  </si>
  <si>
    <t>18WRVGRECA-123-D</t>
  </si>
  <si>
    <t>RVSEDAE</t>
  </si>
  <si>
    <t>18WRVSEDAE-123-8</t>
  </si>
  <si>
    <t>RWESZN</t>
  </si>
  <si>
    <t>18W000000000JIIR</t>
  </si>
  <si>
    <t>RYCEG</t>
  </si>
  <si>
    <t>CEG (RENOVABLE,TARIFA,NO EXENTO)</t>
  </si>
  <si>
    <t>18WRYCEG-1234--H</t>
  </si>
  <si>
    <t>RYEEXXI</t>
  </si>
  <si>
    <t>18WRYEEXXI-123-U</t>
  </si>
  <si>
    <t>RYEGLE</t>
  </si>
  <si>
    <t>EGLE ( TARIFA, RENOVABLE, NO EXENTO)</t>
  </si>
  <si>
    <t>18WRYEGLE-1234-9</t>
  </si>
  <si>
    <t>RYEONUR</t>
  </si>
  <si>
    <t>E.ON CUR ( TARIFA, TERMICA RENOVABLE, NO EXENTA)</t>
  </si>
  <si>
    <t>18WRYEONUR-123-I</t>
  </si>
  <si>
    <t>RYGEMSL</t>
  </si>
  <si>
    <t>TARIFA VENTA GEM RENOVABLE</t>
  </si>
  <si>
    <t>18WRYGEMSL-123-F</t>
  </si>
  <si>
    <t>RYGENER</t>
  </si>
  <si>
    <t>18WRYGENER-123-2</t>
  </si>
  <si>
    <t>RYGESTE</t>
  </si>
  <si>
    <t>18WRYGESTE-123-2</t>
  </si>
  <si>
    <t>RYGNRA</t>
  </si>
  <si>
    <t>GNRA ( RENOVABLE,TARIFA,NO EXENTO )</t>
  </si>
  <si>
    <t>18WRYGNRA-1234-6</t>
  </si>
  <si>
    <t>RYGNSUR</t>
  </si>
  <si>
    <t>GAS NATURAL SUR SDG ( TARIFA, TERMICA RENOVABLE, NO EXENTA)</t>
  </si>
  <si>
    <t>18WRYGNSUR-123-Z</t>
  </si>
  <si>
    <t>RYHCCUR</t>
  </si>
  <si>
    <t>HIDROCANTABRICO CUR ( TARIFA, TERMICA RENOVABLE, NO EXENTA)</t>
  </si>
  <si>
    <t>18WRYHCCUR-123-J</t>
  </si>
  <si>
    <t>RYIBCUR</t>
  </si>
  <si>
    <t>18WRYIBCUR-123-I</t>
  </si>
  <si>
    <t>RYNEXU</t>
  </si>
  <si>
    <t>NEXU(COGENERACION ALTA EFICIENCIA)</t>
  </si>
  <si>
    <t>18WRYNEXU-1234-R</t>
  </si>
  <si>
    <t>RYTERSA</t>
  </si>
  <si>
    <t>TERSABG</t>
  </si>
  <si>
    <t>TERSA BIOGAS</t>
  </si>
  <si>
    <t>18W0000000007AMH</t>
  </si>
  <si>
    <t>RYWMARK</t>
  </si>
  <si>
    <t>18WRYWMARK-123-U</t>
  </si>
  <si>
    <t>RZABAL</t>
  </si>
  <si>
    <t>VALORIZACION DE RESIDUOS DT-1</t>
  </si>
  <si>
    <t>18W000000000L1LR</t>
  </si>
  <si>
    <t>SAGU1</t>
  </si>
  <si>
    <t>CC SAGUNTO GRUPO 1</t>
  </si>
  <si>
    <t>18WSAGU1-123--0J</t>
  </si>
  <si>
    <t>SAGU2</t>
  </si>
  <si>
    <t>CC SAGUNTO GRUPO 2</t>
  </si>
  <si>
    <t>18WSAGU2-123--0A</t>
  </si>
  <si>
    <t>SAGU3</t>
  </si>
  <si>
    <t>CC SAGUNTO GRUPO 3</t>
  </si>
  <si>
    <t>18WSAGU3-123--01</t>
  </si>
  <si>
    <t>SAICA1</t>
  </si>
  <si>
    <t>18WSAICA1-1234-2</t>
  </si>
  <si>
    <t>SAICA2</t>
  </si>
  <si>
    <t>18WSAICA2-1234-V</t>
  </si>
  <si>
    <t>SAICA3</t>
  </si>
  <si>
    <t>18WSAICA3-1234-N</t>
  </si>
  <si>
    <t>SAICA4</t>
  </si>
  <si>
    <t>18WSAICA4-1234-F</t>
  </si>
  <si>
    <t>SALPC01</t>
  </si>
  <si>
    <t>SALAS_UP</t>
  </si>
  <si>
    <t>ELECTRICA_SALAS_UP</t>
  </si>
  <si>
    <t>18W00000000047ZC</t>
  </si>
  <si>
    <t>SALPA</t>
  </si>
  <si>
    <t>SALVAR</t>
  </si>
  <si>
    <t>18WSALVAR-1234-F</t>
  </si>
  <si>
    <t>SAMPC01</t>
  </si>
  <si>
    <t>SAMPOL COMERCIALIZADORA</t>
  </si>
  <si>
    <t>18WSAMPC01-123-D</t>
  </si>
  <si>
    <t>SAN1</t>
  </si>
  <si>
    <t>SANGUESA</t>
  </si>
  <si>
    <t>18WSAN1-123456-P</t>
  </si>
  <si>
    <t>SANDA2</t>
  </si>
  <si>
    <t>18WSANDA2-1234-3</t>
  </si>
  <si>
    <t>SANDA3</t>
  </si>
  <si>
    <t>18WSANDA3-1234-W</t>
  </si>
  <si>
    <t>SANDAS</t>
  </si>
  <si>
    <t>18WSANDAS-1234-H</t>
  </si>
  <si>
    <t>SAPIC01</t>
  </si>
  <si>
    <t>SAPIENS</t>
  </si>
  <si>
    <t>SAPIENS UNIDAD COMPRA</t>
  </si>
  <si>
    <t>18W000000000KZFF</t>
  </si>
  <si>
    <t>SAPIE</t>
  </si>
  <si>
    <t>SARSOL</t>
  </si>
  <si>
    <t>18WSARSOL-1234-C</t>
  </si>
  <si>
    <t>SATSC01</t>
  </si>
  <si>
    <t>SATSP</t>
  </si>
  <si>
    <t>18W000000000HJZZ</t>
  </si>
  <si>
    <t>SBC01</t>
  </si>
  <si>
    <t>SASKI</t>
  </si>
  <si>
    <t>SASKI BASKONIA</t>
  </si>
  <si>
    <t>18W000000000QAP9</t>
  </si>
  <si>
    <t>SBEU</t>
  </si>
  <si>
    <t>SIL-BIB-EU</t>
  </si>
  <si>
    <t>UGH. SIL-BIBEY-EUME</t>
  </si>
  <si>
    <t>18WSBEU-12345-0Q</t>
  </si>
  <si>
    <t>SBO3</t>
  </si>
  <si>
    <t>SABON 3</t>
  </si>
  <si>
    <t>CC SABON - GRUPO 3</t>
  </si>
  <si>
    <t>18WSBO3-12345-01</t>
  </si>
  <si>
    <t>SCAMP1</t>
  </si>
  <si>
    <t>SF CAMPA1</t>
  </si>
  <si>
    <t>SOLAR FOTOVOLTAICA CAMPANARIO 1</t>
  </si>
  <si>
    <t>18W000000000LYZB</t>
  </si>
  <si>
    <t>SCAMP2</t>
  </si>
  <si>
    <t>CAMPANARI2</t>
  </si>
  <si>
    <t>UP SF CAMPANARIO II</t>
  </si>
  <si>
    <t>18W000000000MCQH</t>
  </si>
  <si>
    <t>SCAMP3</t>
  </si>
  <si>
    <t>UP CAMPA3</t>
  </si>
  <si>
    <t>UP SF CAMPANARIO 3</t>
  </si>
  <si>
    <t>18W000000000LZ04</t>
  </si>
  <si>
    <t>SCAMP4</t>
  </si>
  <si>
    <t>UP SF ELAWAN CAMPANARIO 4</t>
  </si>
  <si>
    <t>18W000000000N1GT</t>
  </si>
  <si>
    <t>SCAMP5</t>
  </si>
  <si>
    <t>CAMPA5</t>
  </si>
  <si>
    <t>UP SF CAMPANARIO V</t>
  </si>
  <si>
    <t>18W000000000MUKC</t>
  </si>
  <si>
    <t>SECOCP3</t>
  </si>
  <si>
    <t>SECOBCP3</t>
  </si>
  <si>
    <t>EXPORT UNIT SECOB</t>
  </si>
  <si>
    <t>18W000000000R1FF</t>
  </si>
  <si>
    <t>SECOVP3</t>
  </si>
  <si>
    <t>SECOBVP3</t>
  </si>
  <si>
    <t>IMPORT UNIT SECOB</t>
  </si>
  <si>
    <t>18W000000000PQYL</t>
  </si>
  <si>
    <t>SECPCX1</t>
  </si>
  <si>
    <t>18W000000000QXIS</t>
  </si>
  <si>
    <t>SECPVX1</t>
  </si>
  <si>
    <t>18W000000000QXGW</t>
  </si>
  <si>
    <t>SEDAC01</t>
  </si>
  <si>
    <t>FAB B</t>
  </si>
  <si>
    <t>FABRICA BORGES</t>
  </si>
  <si>
    <t>18W000000000HHQM</t>
  </si>
  <si>
    <t>SEDAT</t>
  </si>
  <si>
    <t>SENEC01</t>
  </si>
  <si>
    <t>18WSENEC01-123-R</t>
  </si>
  <si>
    <t>SENEO</t>
  </si>
  <si>
    <t>SERVC01</t>
  </si>
  <si>
    <t>SERV PEN</t>
  </si>
  <si>
    <t>18W000000000QFGC</t>
  </si>
  <si>
    <t>SERVC</t>
  </si>
  <si>
    <t>SESAC01</t>
  </si>
  <si>
    <t>18WSESAC01-12-2I</t>
  </si>
  <si>
    <t>SESAHID</t>
  </si>
  <si>
    <t>UP HIDRAULICA SHELL</t>
  </si>
  <si>
    <t>18W00000000023YY</t>
  </si>
  <si>
    <t>SESAUX</t>
  </si>
  <si>
    <t>AUXILIAR</t>
  </si>
  <si>
    <t>CONSUMO AUXILIAR</t>
  </si>
  <si>
    <t>18W000000000PGFF</t>
  </si>
  <si>
    <t>SESAWIN</t>
  </si>
  <si>
    <t>UP EOLICA</t>
  </si>
  <si>
    <t>18W00000000051KJ</t>
  </si>
  <si>
    <t>SESBIO4</t>
  </si>
  <si>
    <t>ORGANOGAS</t>
  </si>
  <si>
    <t>SESA BIOGAS4</t>
  </si>
  <si>
    <t>18W00000000073VK</t>
  </si>
  <si>
    <t>SESBIO5</t>
  </si>
  <si>
    <t>CTGBIOGAS</t>
  </si>
  <si>
    <t>SESABIOGAS5</t>
  </si>
  <si>
    <t>18W00000000073WI</t>
  </si>
  <si>
    <t>SESBIO7</t>
  </si>
  <si>
    <t>BIOGAS ECO</t>
  </si>
  <si>
    <t>BIOGAS ECOPARQUE</t>
  </si>
  <si>
    <t>18W000000000ABFG</t>
  </si>
  <si>
    <t>SESOL</t>
  </si>
  <si>
    <t>18W000000000G1Q0</t>
  </si>
  <si>
    <t>SESPV04</t>
  </si>
  <si>
    <t>UNIDAD FOTOVOLTAICA 4</t>
  </si>
  <si>
    <t>18W000000000GULY</t>
  </si>
  <si>
    <t>SEXTC01</t>
  </si>
  <si>
    <t>SES</t>
  </si>
  <si>
    <t>SERVICIO EXTREMEÃ‘O DE SALUD</t>
  </si>
  <si>
    <t>18W000000000907W</t>
  </si>
  <si>
    <t>SEXTS</t>
  </si>
  <si>
    <t>SEZUELA</t>
  </si>
  <si>
    <t>18W000000000LI82</t>
  </si>
  <si>
    <t>SFA1</t>
  </si>
  <si>
    <t>SAN FAUSTO 1</t>
  </si>
  <si>
    <t>18WSFA1-123456-Y</t>
  </si>
  <si>
    <t>SFA2</t>
  </si>
  <si>
    <t>SAN FAUSTO 2</t>
  </si>
  <si>
    <t>18WSFA2-123456-O</t>
  </si>
  <si>
    <t>SFADCA1</t>
  </si>
  <si>
    <t>COOP. ELECT. SAN FCO DE ASIS</t>
  </si>
  <si>
    <t>18WSFADCA1-123-E</t>
  </si>
  <si>
    <t>SFAD</t>
  </si>
  <si>
    <t>SFECAB</t>
  </si>
  <si>
    <t>EUROCAB</t>
  </si>
  <si>
    <t>EUROCAB FV 1</t>
  </si>
  <si>
    <t>18W000000000PZR8</t>
  </si>
  <si>
    <t>SFERA</t>
  </si>
  <si>
    <t>FSFERA</t>
  </si>
  <si>
    <t>UP SF FOTOSFERA</t>
  </si>
  <si>
    <t>18W000000000N79P</t>
  </si>
  <si>
    <t>SGCANO</t>
  </si>
  <si>
    <t>GUADACANO</t>
  </si>
  <si>
    <t>SF GUADACANO</t>
  </si>
  <si>
    <t>18W000000000R4H2</t>
  </si>
  <si>
    <t>SGTSMOR</t>
  </si>
  <si>
    <t>PST MORON</t>
  </si>
  <si>
    <t>18W000000000PYNJ</t>
  </si>
  <si>
    <t>SHEECP3</t>
  </si>
  <si>
    <t>18WSHEECP3--1--D</t>
  </si>
  <si>
    <t>SHEENX</t>
  </si>
  <si>
    <t>AUXILIARES</t>
  </si>
  <si>
    <t>CONSUMOS AUXILIARES</t>
  </si>
  <si>
    <t>18W000000000PRJB</t>
  </si>
  <si>
    <t>SHEEVP3</t>
  </si>
  <si>
    <t>18WSHEEVP3-12--D</t>
  </si>
  <si>
    <t>SHEPV01</t>
  </si>
  <si>
    <t>SHEEN PV1</t>
  </si>
  <si>
    <t>18W000000000IJKO</t>
  </si>
  <si>
    <t>SHEPV02</t>
  </si>
  <si>
    <t>SHEEN PV2</t>
  </si>
  <si>
    <t>18W000000000IJLM</t>
  </si>
  <si>
    <t>SHEPV03</t>
  </si>
  <si>
    <t>SHEEN PV3</t>
  </si>
  <si>
    <t>18W000000000J1G8</t>
  </si>
  <si>
    <t>SHEPV04</t>
  </si>
  <si>
    <t>SHEEN PV4</t>
  </si>
  <si>
    <t>18W000000000KLGI</t>
  </si>
  <si>
    <t>SHEPV05</t>
  </si>
  <si>
    <t>SHEEN PV5</t>
  </si>
  <si>
    <t>18W000000000KLHG</t>
  </si>
  <si>
    <t>SHEPV06</t>
  </si>
  <si>
    <t>PV VIRGEN DEL CARMEN</t>
  </si>
  <si>
    <t>18W000000000OB99</t>
  </si>
  <si>
    <t>SHEPV07</t>
  </si>
  <si>
    <t>QUNI SPV</t>
  </si>
  <si>
    <t>LAS QUINIENTAS SPV</t>
  </si>
  <si>
    <t>18W000000000LSA5</t>
  </si>
  <si>
    <t>SHEPV08</t>
  </si>
  <si>
    <t>SPV HUELVA</t>
  </si>
  <si>
    <t>SPV HUELVA BRUC</t>
  </si>
  <si>
    <t>18W000000000MGUY</t>
  </si>
  <si>
    <t>SHEPV09</t>
  </si>
  <si>
    <t>TLLANO</t>
  </si>
  <si>
    <t>PUERTOLLANO</t>
  </si>
  <si>
    <t>18W000000000PS41</t>
  </si>
  <si>
    <t>SHEPV10</t>
  </si>
  <si>
    <t>18W000000000PS7W</t>
  </si>
  <si>
    <t>SHEPV11</t>
  </si>
  <si>
    <t>MERIDA</t>
  </si>
  <si>
    <t>SAN SERVAN 2020</t>
  </si>
  <si>
    <t>18W000000000PH05</t>
  </si>
  <si>
    <t>SHEPV12</t>
  </si>
  <si>
    <t>FREYA</t>
  </si>
  <si>
    <t>FREYA SOLAR</t>
  </si>
  <si>
    <t>18W000000000PPAZ</t>
  </si>
  <si>
    <t>SHEPV13</t>
  </si>
  <si>
    <t>DR III</t>
  </si>
  <si>
    <t>DON RODRIGO III</t>
  </si>
  <si>
    <t>18W000000000POYR</t>
  </si>
  <si>
    <t>SHEPV14</t>
  </si>
  <si>
    <t>DR IV</t>
  </si>
  <si>
    <t>DON ROGDRIGO IV</t>
  </si>
  <si>
    <t>18W000000000POZP</t>
  </si>
  <si>
    <t>SHEPV15</t>
  </si>
  <si>
    <t>DR V</t>
  </si>
  <si>
    <t>DON RODRIGO V</t>
  </si>
  <si>
    <t>18W000000000PP0I</t>
  </si>
  <si>
    <t>SHEPV16</t>
  </si>
  <si>
    <t>BIANOR</t>
  </si>
  <si>
    <t>BIANOR SOLAR</t>
  </si>
  <si>
    <t>18W000000000PP1G</t>
  </si>
  <si>
    <t>SHEPV17</t>
  </si>
  <si>
    <t>FUENTE1</t>
  </si>
  <si>
    <t>18W000000000PV4T</t>
  </si>
  <si>
    <t>SHEPV18</t>
  </si>
  <si>
    <t>FUENTE2</t>
  </si>
  <si>
    <t>18W000000000PV6P</t>
  </si>
  <si>
    <t>SHEPV19</t>
  </si>
  <si>
    <t>FUENTE3</t>
  </si>
  <si>
    <t>18W000000000PV7N</t>
  </si>
  <si>
    <t>SHEPV20</t>
  </si>
  <si>
    <t>FUENTE4</t>
  </si>
  <si>
    <t>18W000000000PV8L</t>
  </si>
  <si>
    <t>SHEPV21</t>
  </si>
  <si>
    <t>HINOJOSAS</t>
  </si>
  <si>
    <t>18W000000000QDYJ</t>
  </si>
  <si>
    <t>SHEPV22</t>
  </si>
  <si>
    <t>THERMISTO</t>
  </si>
  <si>
    <t>THERMISTO FV147</t>
  </si>
  <si>
    <t>18W000000000Q0UT</t>
  </si>
  <si>
    <t>SHEPV23</t>
  </si>
  <si>
    <t>TELESTO7</t>
  </si>
  <si>
    <t>18W000000000Q6AE</t>
  </si>
  <si>
    <t>SHEPV24</t>
  </si>
  <si>
    <t>TETHYS</t>
  </si>
  <si>
    <t>THETYS SOLAR FV144</t>
  </si>
  <si>
    <t>18W000000000Q4AK</t>
  </si>
  <si>
    <t>SHEPV25</t>
  </si>
  <si>
    <t>RHEA</t>
  </si>
  <si>
    <t>TRILLO4</t>
  </si>
  <si>
    <t>18W000000000Q0WP</t>
  </si>
  <si>
    <t>SHEPV26</t>
  </si>
  <si>
    <t>TELESTO</t>
  </si>
  <si>
    <t>18W000000000Q6CA</t>
  </si>
  <si>
    <t>SHEPV27</t>
  </si>
  <si>
    <t>BIANOR SPV</t>
  </si>
  <si>
    <t>18W000000000QQIC</t>
  </si>
  <si>
    <t>SHEPV28</t>
  </si>
  <si>
    <t>CANADA ALT</t>
  </si>
  <si>
    <t>CANADA ALTA</t>
  </si>
  <si>
    <t>18W000000000R7YX</t>
  </si>
  <si>
    <t>SHIQIA</t>
  </si>
  <si>
    <t>FTE ALB 2</t>
  </si>
  <si>
    <t>FUENTE ALBILLA 2</t>
  </si>
  <si>
    <t>18W000000000QVZ0</t>
  </si>
  <si>
    <t>SIGMU</t>
  </si>
  <si>
    <t>SOLARMULA</t>
  </si>
  <si>
    <t>UP MULA 400MW</t>
  </si>
  <si>
    <t>18W000000000F3DO</t>
  </si>
  <si>
    <t>SIGNC01</t>
  </si>
  <si>
    <t>SIGNO</t>
  </si>
  <si>
    <t>18W000000000JX58</t>
  </si>
  <si>
    <t>SIL</t>
  </si>
  <si>
    <t>SIL G</t>
  </si>
  <si>
    <t>UGH. SIL GENERACION</t>
  </si>
  <si>
    <t>18WSIL-123456-0G</t>
  </si>
  <si>
    <t>SILB</t>
  </si>
  <si>
    <t>SIL B</t>
  </si>
  <si>
    <t>UGH.B. SIL BOMBEO</t>
  </si>
  <si>
    <t>18WSILB-12345-0I</t>
  </si>
  <si>
    <t>SILOC01</t>
  </si>
  <si>
    <t>HSILOS</t>
  </si>
  <si>
    <t>HOTEL SANTO DOMINGO DE SILOS</t>
  </si>
  <si>
    <t>18W00000000086QH</t>
  </si>
  <si>
    <t>SILOS</t>
  </si>
  <si>
    <t>SIMPV01</t>
  </si>
  <si>
    <t>18W000000000F2EP</t>
  </si>
  <si>
    <t>SIMPE</t>
  </si>
  <si>
    <t>SISLA</t>
  </si>
  <si>
    <t>FV LA ISLA</t>
  </si>
  <si>
    <t>PFV LA ISLA</t>
  </si>
  <si>
    <t>18W000000000R6OJ</t>
  </si>
  <si>
    <t>SKISSO</t>
  </si>
  <si>
    <t>KISSORO</t>
  </si>
  <si>
    <t>UP SF KISSORO</t>
  </si>
  <si>
    <t>18W000000000N7BL</t>
  </si>
  <si>
    <t>SLTB</t>
  </si>
  <si>
    <t>SALLENT B</t>
  </si>
  <si>
    <t>UGH.B. ESTANGENTO-SALLENTE BOMBEO</t>
  </si>
  <si>
    <t>18WSLTB-12345-05</t>
  </si>
  <si>
    <t>SLTG</t>
  </si>
  <si>
    <t>SALLENT G</t>
  </si>
  <si>
    <t>UGH. ESTANGENTO -SALLENTE GENERACION</t>
  </si>
  <si>
    <t>18WSLTG-12345-0T</t>
  </si>
  <si>
    <t>SMAJADA</t>
  </si>
  <si>
    <t>MAJADAS</t>
  </si>
  <si>
    <t>TERMOSOLAR MAJADAS</t>
  </si>
  <si>
    <t>18WSMAJADA-123-N</t>
  </si>
  <si>
    <t>SMASOL1</t>
  </si>
  <si>
    <t>MANCHASOL I</t>
  </si>
  <si>
    <t>18W000000000FZB6</t>
  </si>
  <si>
    <t>SMGCP3</t>
  </si>
  <si>
    <t>18WSMGCP3-123-4U</t>
  </si>
  <si>
    <t>SMGVP3</t>
  </si>
  <si>
    <t>18WSMGVP3-123-3R</t>
  </si>
  <si>
    <t>SMILANO</t>
  </si>
  <si>
    <t>UP MILANO</t>
  </si>
  <si>
    <t>UP FV MILANO SOLAR</t>
  </si>
  <si>
    <t>18W000000000R4F6</t>
  </si>
  <si>
    <t>SNARA</t>
  </si>
  <si>
    <t>NARANJILLA</t>
  </si>
  <si>
    <t>PSF LAS NARANJILLAS</t>
  </si>
  <si>
    <t>18W000000000JDRO</t>
  </si>
  <si>
    <t>SNIAC01</t>
  </si>
  <si>
    <t>SNIACONS</t>
  </si>
  <si>
    <t>SNIACECONSUMIDORDIRECTO</t>
  </si>
  <si>
    <t>18WSNIAC01-123-E</t>
  </si>
  <si>
    <t>SNIA</t>
  </si>
  <si>
    <t>SNICOG</t>
  </si>
  <si>
    <t>SNIACE COG</t>
  </si>
  <si>
    <t>SNIACE COGENERACION, S.A.</t>
  </si>
  <si>
    <t>18WSNICOG-123-0K</t>
  </si>
  <si>
    <t>SOECC01</t>
  </si>
  <si>
    <t>SF ENERGY</t>
  </si>
  <si>
    <t>SECONF FOUNDATION ENERGY</t>
  </si>
  <si>
    <t>18W000000000OWRL</t>
  </si>
  <si>
    <t>SOL2</t>
  </si>
  <si>
    <t>EL SOLVENTE 2</t>
  </si>
  <si>
    <t>18WSOL2-123456-H</t>
  </si>
  <si>
    <t>SOLFC01</t>
  </si>
  <si>
    <t>18W000000000Q2BO</t>
  </si>
  <si>
    <t>SOLFL</t>
  </si>
  <si>
    <t>SOLINZA</t>
  </si>
  <si>
    <t>PTS OLIVENZA 1</t>
  </si>
  <si>
    <t>18W000000000PYLN</t>
  </si>
  <si>
    <t>SOLLC01</t>
  </si>
  <si>
    <t>E.SOLLERENSE PENINSULA</t>
  </si>
  <si>
    <t>18WSOLLC01-123-7</t>
  </si>
  <si>
    <t>SOLL</t>
  </si>
  <si>
    <t>SOLRED</t>
  </si>
  <si>
    <t>18W000000000M0NM</t>
  </si>
  <si>
    <t>SOLTC01</t>
  </si>
  <si>
    <t>18W000000000Q8C4</t>
  </si>
  <si>
    <t>SOLTE</t>
  </si>
  <si>
    <t>SOLVAYM</t>
  </si>
  <si>
    <t>SOLVAY M</t>
  </si>
  <si>
    <t>SOLVAY - MARTORELL</t>
  </si>
  <si>
    <t>18WSOLVAYM-12-1W</t>
  </si>
  <si>
    <t>SOLWC01</t>
  </si>
  <si>
    <t>SOLWE</t>
  </si>
  <si>
    <t>SOLWE ENERGIA</t>
  </si>
  <si>
    <t>18W000000000K5C0</t>
  </si>
  <si>
    <t>SOMEC01</t>
  </si>
  <si>
    <t>SOMENERGIA</t>
  </si>
  <si>
    <t>SOM ENERGIA</t>
  </si>
  <si>
    <t>18WSOMEC01-123-T</t>
  </si>
  <si>
    <t>SOMEN</t>
  </si>
  <si>
    <t>SOMRE_F</t>
  </si>
  <si>
    <t>REP_FV_PEN</t>
  </si>
  <si>
    <t>REPRESENTACION SOLAR FOTOVOLTAICA PENINSULA</t>
  </si>
  <si>
    <t>18W000000000FDBZ</t>
  </si>
  <si>
    <t>SOMRE</t>
  </si>
  <si>
    <t>SOMRE_H</t>
  </si>
  <si>
    <t>MINIHIDR P</t>
  </si>
  <si>
    <t>SR MINIHIDRAULICA PENINSULA</t>
  </si>
  <si>
    <t>18W000000000GB5C</t>
  </si>
  <si>
    <t>SONES</t>
  </si>
  <si>
    <t>18W000000000JNL6</t>
  </si>
  <si>
    <t>SOPAG</t>
  </si>
  <si>
    <t>18WSOPAG-12345-3</t>
  </si>
  <si>
    <t>SOPRC01</t>
  </si>
  <si>
    <t>SOPRO PEN</t>
  </si>
  <si>
    <t>18W000000000OBFY</t>
  </si>
  <si>
    <t>SOPRO</t>
  </si>
  <si>
    <t>SORXC01</t>
  </si>
  <si>
    <t>SOREX</t>
  </si>
  <si>
    <t>SORS MARKETS LTD</t>
  </si>
  <si>
    <t>18W000000000K2MQ</t>
  </si>
  <si>
    <t>SPBBC01</t>
  </si>
  <si>
    <t>SPBB</t>
  </si>
  <si>
    <t>18WSPBBC01-123-K</t>
  </si>
  <si>
    <t>SPEEXXI</t>
  </si>
  <si>
    <t>18WSPEEXXI-123-E</t>
  </si>
  <si>
    <t>SPEONUR</t>
  </si>
  <si>
    <t>E.ON CUR ( SOLAR TERMICA, PRUEBAS)</t>
  </si>
  <si>
    <t>18WSPEONUR-123-2</t>
  </si>
  <si>
    <t>SPGGC01</t>
  </si>
  <si>
    <t>SPGG</t>
  </si>
  <si>
    <t>PLASTIENVASE</t>
  </si>
  <si>
    <t>18W000000000G0YO</t>
  </si>
  <si>
    <t>SPHCCUR</t>
  </si>
  <si>
    <t>HIDROCANTABRICO CUR ( SOLAR TERMICA, PRUEBAS)</t>
  </si>
  <si>
    <t>18WSPHCCUR-123-3</t>
  </si>
  <si>
    <t>SPIBCUR</t>
  </si>
  <si>
    <t>18WSPIBCUR-123-2</t>
  </si>
  <si>
    <t>SPINC01</t>
  </si>
  <si>
    <t>SPINREACT SAU</t>
  </si>
  <si>
    <t>18W0000000007IVC</t>
  </si>
  <si>
    <t>SPINR</t>
  </si>
  <si>
    <t>SPLEX</t>
  </si>
  <si>
    <t>SUNPLEX</t>
  </si>
  <si>
    <t>UP SF SUNPLEX</t>
  </si>
  <si>
    <t>18W000000000N77T</t>
  </si>
  <si>
    <t>SPRS5</t>
  </si>
  <si>
    <t>PUERTOLL5</t>
  </si>
  <si>
    <t>RENOVALIA PUERTOLLANO 5</t>
  </si>
  <si>
    <t>18W000000000JFKW</t>
  </si>
  <si>
    <t>SPRS6</t>
  </si>
  <si>
    <t>PUERTOLL6</t>
  </si>
  <si>
    <t>RENOVALIA PUERTOLLANO 6</t>
  </si>
  <si>
    <t>18W000000000JFLU</t>
  </si>
  <si>
    <t>SPRS7</t>
  </si>
  <si>
    <t>PUERTOLL7</t>
  </si>
  <si>
    <t>RENOVALIA PUERTOLLANO 7</t>
  </si>
  <si>
    <t>18W000000000JFMS</t>
  </si>
  <si>
    <t>SPRS8</t>
  </si>
  <si>
    <t>PUERTOLL8</t>
  </si>
  <si>
    <t>RENOVALIA PUERTOLLANO 8</t>
  </si>
  <si>
    <t>18W000000000JFNQ</t>
  </si>
  <si>
    <t>SPRS9</t>
  </si>
  <si>
    <t>PUERTOLL9</t>
  </si>
  <si>
    <t>RENOVALIA PUERTOLLANO 9</t>
  </si>
  <si>
    <t>18W000000000JFOO</t>
  </si>
  <si>
    <t>SPSAETI</t>
  </si>
  <si>
    <t>PALMASAETI</t>
  </si>
  <si>
    <t>TERMOSOLAR PALMA SAETILLA</t>
  </si>
  <si>
    <t>18WSPSAETI-123-T</t>
  </si>
  <si>
    <t>SREFV1</t>
  </si>
  <si>
    <t>SRFVMAJ1</t>
  </si>
  <si>
    <t>SRFV MAJOR 1MW</t>
  </si>
  <si>
    <t>18W000000000L3D0</t>
  </si>
  <si>
    <t>SRI3</t>
  </si>
  <si>
    <t>SOTORIBE 3</t>
  </si>
  <si>
    <t>C.T. SOTO DE RIBERA 3</t>
  </si>
  <si>
    <t>18WSRI3-12345-0N</t>
  </si>
  <si>
    <t>SRI4</t>
  </si>
  <si>
    <t>SOTORIBE 4</t>
  </si>
  <si>
    <t>CC SOTO RIBERA 4</t>
  </si>
  <si>
    <t>18W18WSRI4--123V</t>
  </si>
  <si>
    <t>SRI5</t>
  </si>
  <si>
    <t>SOTO5</t>
  </si>
  <si>
    <t>C.C. SOTO DE RIBERA 5</t>
  </si>
  <si>
    <t>18WSRI5-123456-L</t>
  </si>
  <si>
    <t>SROQ1</t>
  </si>
  <si>
    <t>SANROQUE1</t>
  </si>
  <si>
    <t>C.T. SAN ROQUE (CICLO COMBINADO) GAS NATURAL</t>
  </si>
  <si>
    <t>18WSROQ1-1234-06</t>
  </si>
  <si>
    <t>SROQ2</t>
  </si>
  <si>
    <t>SANROQUE2</t>
  </si>
  <si>
    <t>C.T. SAN ROQUE (CICLO COMBINADO) ENDESA</t>
  </si>
  <si>
    <t>18WSROQ2-1234-0Y</t>
  </si>
  <si>
    <t>SRVGC01</t>
  </si>
  <si>
    <t>GASHOGAR15</t>
  </si>
  <si>
    <t>18WSRVGC01-123-M</t>
  </si>
  <si>
    <t>SRVGS</t>
  </si>
  <si>
    <t>SSOMA</t>
  </si>
  <si>
    <t>ASOMADA</t>
  </si>
  <si>
    <t>UP SF LA ASOMADA</t>
  </si>
  <si>
    <t>18W000000000N0A7</t>
  </si>
  <si>
    <t>ST4</t>
  </si>
  <si>
    <t>PARC ALBA ST4</t>
  </si>
  <si>
    <t>18WST4-1234567-C</t>
  </si>
  <si>
    <t>STAQC01</t>
  </si>
  <si>
    <t>S COLOMA</t>
  </si>
  <si>
    <t>ELEC MUN S COLOMA DE QUERALT</t>
  </si>
  <si>
    <t>18W0000000002VN9</t>
  </si>
  <si>
    <t>STACO</t>
  </si>
  <si>
    <t>STC4</t>
  </si>
  <si>
    <t>SANTURCE 4</t>
  </si>
  <si>
    <t>C.T. SANTURCE 4</t>
  </si>
  <si>
    <t>18WSTC4-12345-0I</t>
  </si>
  <si>
    <t>STHEEN1</t>
  </si>
  <si>
    <t>HELIOENERGY 1</t>
  </si>
  <si>
    <t>18WSTHEEN1-123-7</t>
  </si>
  <si>
    <t>STHEEN2</t>
  </si>
  <si>
    <t>HELIOENERGY 2</t>
  </si>
  <si>
    <t>18WSTHEEN2-123-0</t>
  </si>
  <si>
    <t>STHELI1</t>
  </si>
  <si>
    <t>HELIOS 1 HYPERION</t>
  </si>
  <si>
    <t>18WSTHELI1-123-L</t>
  </si>
  <si>
    <t>STHELI2</t>
  </si>
  <si>
    <t>HELIOS 2 HYPERION</t>
  </si>
  <si>
    <t>18WSTHELI2-123-E</t>
  </si>
  <si>
    <t>STINC01</t>
  </si>
  <si>
    <t>STIN UNIDAD COMERCIALIZACION</t>
  </si>
  <si>
    <t>18W0000000000QYA</t>
  </si>
  <si>
    <t>STOC01</t>
  </si>
  <si>
    <t>STOCK</t>
  </si>
  <si>
    <t>STOCKFIL</t>
  </si>
  <si>
    <t>18W000000000QSUJ</t>
  </si>
  <si>
    <t>STROC01</t>
  </si>
  <si>
    <t>STROC1</t>
  </si>
  <si>
    <t>STROC01ENERGY</t>
  </si>
  <si>
    <t>18WENERGYSTROMXC</t>
  </si>
  <si>
    <t>STROM</t>
  </si>
  <si>
    <t>STSANSO</t>
  </si>
  <si>
    <t>SANLUCAR SOLAR</t>
  </si>
  <si>
    <t>18WSTSANSO-123-E</t>
  </si>
  <si>
    <t>STSLPRO</t>
  </si>
  <si>
    <t>SOLAR PROCESSES</t>
  </si>
  <si>
    <t>18WSTSLPRO-123-5</t>
  </si>
  <si>
    <t>STSOLA1</t>
  </si>
  <si>
    <t>TS SOLACOR 1</t>
  </si>
  <si>
    <t>18WSTSOLA1-123-C</t>
  </si>
  <si>
    <t>STSOLA2</t>
  </si>
  <si>
    <t>SOLACOR 2</t>
  </si>
  <si>
    <t>18WSTSOLA2-123-5</t>
  </si>
  <si>
    <t>STSOLB1</t>
  </si>
  <si>
    <t>SOLABEN 1</t>
  </si>
  <si>
    <t>18WSTSOLB1-123-4</t>
  </si>
  <si>
    <t>STSOLB2</t>
  </si>
  <si>
    <t>SOLABEN 2</t>
  </si>
  <si>
    <t>18WSTSOLB2-123-Y</t>
  </si>
  <si>
    <t>STSOLB3</t>
  </si>
  <si>
    <t>SOLABEN 3</t>
  </si>
  <si>
    <t>18WSTSOLB3-123-R</t>
  </si>
  <si>
    <t>STSOLB6</t>
  </si>
  <si>
    <t>SOLABEN 6</t>
  </si>
  <si>
    <t>18WSTSOLB6-123-6</t>
  </si>
  <si>
    <t>STSOLN1</t>
  </si>
  <si>
    <t>SOLNOVA 1</t>
  </si>
  <si>
    <t>18WSTSOLN1-123-J</t>
  </si>
  <si>
    <t>STSOLN3</t>
  </si>
  <si>
    <t>SOLNOVA 3</t>
  </si>
  <si>
    <t>18WSTSOLN3-123-5</t>
  </si>
  <si>
    <t>STSOLN4</t>
  </si>
  <si>
    <t>SOLNOVA 4</t>
  </si>
  <si>
    <t>18WSTSOLN4-123-Z</t>
  </si>
  <si>
    <t>STSOLUC</t>
  </si>
  <si>
    <t>UP TERMICA SOLUCIA</t>
  </si>
  <si>
    <t>18W000000000NHEM</t>
  </si>
  <si>
    <t>STUBOS</t>
  </si>
  <si>
    <t>18WSTUBOS-1234-D</t>
  </si>
  <si>
    <t>STVILLE</t>
  </si>
  <si>
    <t>UP TERMOSOLAR VILLENA</t>
  </si>
  <si>
    <t>18W000000000IR11</t>
  </si>
  <si>
    <t>SUCAC01</t>
  </si>
  <si>
    <t>SUCAS</t>
  </si>
  <si>
    <t>SUCA SOCIEDAD COOPERATIVA</t>
  </si>
  <si>
    <t>18W0000000005O6F</t>
  </si>
  <si>
    <t>SULAC01</t>
  </si>
  <si>
    <t>SULAYR</t>
  </si>
  <si>
    <t>SULAYR GLOBAL SERVICE</t>
  </si>
  <si>
    <t>18WSULAC01-123-8</t>
  </si>
  <si>
    <t>SULA</t>
  </si>
  <si>
    <t>SUMAC01</t>
  </si>
  <si>
    <t>SUMAE</t>
  </si>
  <si>
    <t>SUMA ENERGIA SL</t>
  </si>
  <si>
    <t>18W000000000HWT8</t>
  </si>
  <si>
    <t>SUNAC01</t>
  </si>
  <si>
    <t>SUNAIR ONE</t>
  </si>
  <si>
    <t>SUNAIR ONE ENERGY S.L.</t>
  </si>
  <si>
    <t>18WSUNAC01-123-N</t>
  </si>
  <si>
    <t>SUNAI</t>
  </si>
  <si>
    <t>SUNCC01</t>
  </si>
  <si>
    <t>SUNCAPEN</t>
  </si>
  <si>
    <t>SUNCA PENINSULA</t>
  </si>
  <si>
    <t>18W000000000FCMG</t>
  </si>
  <si>
    <t>SUNCA</t>
  </si>
  <si>
    <t>SUNFC01</t>
  </si>
  <si>
    <t>18W000000000Q2AQ</t>
  </si>
  <si>
    <t>SUNFL</t>
  </si>
  <si>
    <t>SUNHC01</t>
  </si>
  <si>
    <t>SUNAIRHOME</t>
  </si>
  <si>
    <t>SUNAIR ONE HOME</t>
  </si>
  <si>
    <t>18WSUNAIRHOMEPEJ</t>
  </si>
  <si>
    <t>SUNHO</t>
  </si>
  <si>
    <t>SUNPC01</t>
  </si>
  <si>
    <t>UP SUNPS</t>
  </si>
  <si>
    <t>UP SUN POWER 365</t>
  </si>
  <si>
    <t>18W000000000OJXB</t>
  </si>
  <si>
    <t>SUNPS</t>
  </si>
  <si>
    <t>SWAPE</t>
  </si>
  <si>
    <t>SWAPC01</t>
  </si>
  <si>
    <t>SWAPENERGI</t>
  </si>
  <si>
    <t>SWAP ENERGIA</t>
  </si>
  <si>
    <t>18WSWAPCO1-123-M</t>
  </si>
  <si>
    <t>SYEEXXI</t>
  </si>
  <si>
    <t>18WSYEEXXI-123-H</t>
  </si>
  <si>
    <t>SYENC01</t>
  </si>
  <si>
    <t>SYENE_UP</t>
  </si>
  <si>
    <t>18W000000000LN6S</t>
  </si>
  <si>
    <t>SYENE</t>
  </si>
  <si>
    <t>SYEONUR</t>
  </si>
  <si>
    <t>E.ON CUR ( TARIFA, SOLAR TERMICA, NO EXENTA)</t>
  </si>
  <si>
    <t>18WSYEONUR-123-5</t>
  </si>
  <si>
    <t>SYGNSUR</t>
  </si>
  <si>
    <t>GAS NATURAL SUR SDG ( TARIFA, SOLAR TERMICA, NO EXENTA</t>
  </si>
  <si>
    <t>18WSYGNSUR-123-M</t>
  </si>
  <si>
    <t>SYHCCUR</t>
  </si>
  <si>
    <t>HIDROCANTABRICO CUR ( TARIFA, SOLAR TERMICA, NO EXENTA)</t>
  </si>
  <si>
    <t>18WSYHCCUR-123-6</t>
  </si>
  <si>
    <t>SYIBCUR</t>
  </si>
  <si>
    <t>18WSYIBCUR-123-5</t>
  </si>
  <si>
    <t>T1CEG</t>
  </si>
  <si>
    <t>TERMICA AE 1MW EVM</t>
  </si>
  <si>
    <t>18W0000000003XEH</t>
  </si>
  <si>
    <t>TACOR</t>
  </si>
  <si>
    <t>18WTACOR-12345-P</t>
  </si>
  <si>
    <t>TAE2COG</t>
  </si>
  <si>
    <t>T ALTA EFICIENCIA 2 COGENERACION</t>
  </si>
  <si>
    <t>18W0000000000S2V</t>
  </si>
  <si>
    <t>TAE3COG</t>
  </si>
  <si>
    <t>T ALTA EFICIENCIA 3 COGENERACION</t>
  </si>
  <si>
    <t>18W0000000000S3T</t>
  </si>
  <si>
    <t>TAE4COG</t>
  </si>
  <si>
    <t>T ALTA EFICIENCIA 4 COGENERACION</t>
  </si>
  <si>
    <t>18W0000000000S4R</t>
  </si>
  <si>
    <t>TAE5COG</t>
  </si>
  <si>
    <t>T ALTA EFICIENCIA 5 COG</t>
  </si>
  <si>
    <t>18W0000000000S5P</t>
  </si>
  <si>
    <t>TAE6COG</t>
  </si>
  <si>
    <t>T ALTA EFICIENCIA 6 COG</t>
  </si>
  <si>
    <t>18W0000000000S6N</t>
  </si>
  <si>
    <t>TAE7COG</t>
  </si>
  <si>
    <t>T ALTA EFICIENCIA 7 COG</t>
  </si>
  <si>
    <t>18W0000000000S7L</t>
  </si>
  <si>
    <t>TAEEXXI</t>
  </si>
  <si>
    <t>ATL COOP</t>
  </si>
  <si>
    <t>ATLANTIC COOPER</t>
  </si>
  <si>
    <t>18WTAEEXXI-123-X</t>
  </si>
  <si>
    <t>TAFRICA</t>
  </si>
  <si>
    <t>AFRICAN</t>
  </si>
  <si>
    <t>AFRICANA</t>
  </si>
  <si>
    <t>18W000000000QV0X</t>
  </si>
  <si>
    <t>TAJB</t>
  </si>
  <si>
    <t>TAJO B</t>
  </si>
  <si>
    <t>UGH.B. TAJO BOMBEO</t>
  </si>
  <si>
    <t>18WTAJB-12345-0C</t>
  </si>
  <si>
    <t>TAJO</t>
  </si>
  <si>
    <t>TAJO G</t>
  </si>
  <si>
    <t>UGH. TAJO GENERACION</t>
  </si>
  <si>
    <t>18WTAJO-12345-0U</t>
  </si>
  <si>
    <t>TALEC01</t>
  </si>
  <si>
    <t>TALARN_UP</t>
  </si>
  <si>
    <t>TALARN_UNIDAD_PROGRAMACION</t>
  </si>
  <si>
    <t>18W00000000047YE</t>
  </si>
  <si>
    <t>TALEN</t>
  </si>
  <si>
    <t>TALGC01</t>
  </si>
  <si>
    <t>TALGAR</t>
  </si>
  <si>
    <t>METALGAR</t>
  </si>
  <si>
    <t>18W000000000PO93</t>
  </si>
  <si>
    <t>TALGA</t>
  </si>
  <si>
    <t>TAMIZAL</t>
  </si>
  <si>
    <t>ATOMIZADAS ALCORA</t>
  </si>
  <si>
    <t>18WTAMIZAL-123-D</t>
  </si>
  <si>
    <t>ATAL</t>
  </si>
  <si>
    <t>TAMPOC</t>
  </si>
  <si>
    <t>AMPO</t>
  </si>
  <si>
    <t>18WTAMPOC-1234-8</t>
  </si>
  <si>
    <t>TANB</t>
  </si>
  <si>
    <t>TANES B</t>
  </si>
  <si>
    <t>C.H.B. TANES BOMBEO</t>
  </si>
  <si>
    <t>18WTANB-12345-05</t>
  </si>
  <si>
    <t>TANTEX</t>
  </si>
  <si>
    <t>UP ANTEX</t>
  </si>
  <si>
    <t>18WTANTEX-1234-R</t>
  </si>
  <si>
    <t>TAPOWER</t>
  </si>
  <si>
    <t>TARRAG IB</t>
  </si>
  <si>
    <t>TARRAGONA POWER</t>
  </si>
  <si>
    <t>18WTAPOWER-12-0V</t>
  </si>
  <si>
    <t>TAPOW</t>
  </si>
  <si>
    <t>TARATO</t>
  </si>
  <si>
    <t>18WTARATO-123--E</t>
  </si>
  <si>
    <t>TARCILL</t>
  </si>
  <si>
    <t>UO ARCILLA BLANCA</t>
  </si>
  <si>
    <t>18WTARCILL-123-9</t>
  </si>
  <si>
    <t>TARTABR</t>
  </si>
  <si>
    <t>ARTABRA 1MW GASOLEO</t>
  </si>
  <si>
    <t>18WTARTABR-123-N</t>
  </si>
  <si>
    <t>TATOM</t>
  </si>
  <si>
    <t>18WTATOM-1234-18</t>
  </si>
  <si>
    <t>TAUTC01</t>
  </si>
  <si>
    <t>TAUTRA</t>
  </si>
  <si>
    <t>TAUTRA COMPRA</t>
  </si>
  <si>
    <t>18W000000000L72A</t>
  </si>
  <si>
    <t>TAUTR</t>
  </si>
  <si>
    <t>TAZGUAL</t>
  </si>
  <si>
    <t>18W000000000NOX0</t>
  </si>
  <si>
    <t>TAZULME</t>
  </si>
  <si>
    <t>18W000000000NOYZ</t>
  </si>
  <si>
    <t>TBANER</t>
  </si>
  <si>
    <t>18W000000000L9VK</t>
  </si>
  <si>
    <t>TBANY</t>
  </si>
  <si>
    <t>UP COG BANYOLES</t>
  </si>
  <si>
    <t>18WTBANY-1234-1X</t>
  </si>
  <si>
    <t>TBEFESA</t>
  </si>
  <si>
    <t>18WTBEFESA-123-J</t>
  </si>
  <si>
    <t>TBESOS</t>
  </si>
  <si>
    <t>UP TERMICA FBESOS</t>
  </si>
  <si>
    <t>18W000000000NQHQ</t>
  </si>
  <si>
    <t>TBIEMTE</t>
  </si>
  <si>
    <t>BIEMTE ( NO RENOVABLE,TARIFA,NO EXENTO )</t>
  </si>
  <si>
    <t>18WTBIEMTE-123-P</t>
  </si>
  <si>
    <t>TBIOBG</t>
  </si>
  <si>
    <t>VERTBG</t>
  </si>
  <si>
    <t>18W000000000GW3R</t>
  </si>
  <si>
    <t>TBIOCL</t>
  </si>
  <si>
    <t>COGPAS</t>
  </si>
  <si>
    <t>BIO CASTILLA LEON VX</t>
  </si>
  <si>
    <t>18W000000000GMS7</t>
  </si>
  <si>
    <t>TBIOEC</t>
  </si>
  <si>
    <t>VERTEC</t>
  </si>
  <si>
    <t>18W000000000GW4P</t>
  </si>
  <si>
    <t>TBLANSA</t>
  </si>
  <si>
    <t>18W000000000N7H9</t>
  </si>
  <si>
    <t>TBOIRO</t>
  </si>
  <si>
    <t>18WTBOIRO-1234-W</t>
  </si>
  <si>
    <t>TBOREME</t>
  </si>
  <si>
    <t>BOREMER GN 1MW</t>
  </si>
  <si>
    <t>18WTBOREME-123-V</t>
  </si>
  <si>
    <t>TBORGES</t>
  </si>
  <si>
    <t>BORGS</t>
  </si>
  <si>
    <t>BORGES</t>
  </si>
  <si>
    <t>18W000000000QV5N</t>
  </si>
  <si>
    <t>TBPREF1</t>
  </si>
  <si>
    <t>BP REFI 1</t>
  </si>
  <si>
    <t>18W000000000IZTW</t>
  </si>
  <si>
    <t>TBPREF2</t>
  </si>
  <si>
    <t>BP REFI 2</t>
  </si>
  <si>
    <t>18W000000000IZUU</t>
  </si>
  <si>
    <t>TBUNGE</t>
  </si>
  <si>
    <t>BUNGE GN AE 1MW</t>
  </si>
  <si>
    <t>18WTBUNGE-1234-L</t>
  </si>
  <si>
    <t>TBUTARQ</t>
  </si>
  <si>
    <t>BUTARQUE - TARIFA&gt;10MW</t>
  </si>
  <si>
    <t>18WTBUTARQ-123-5</t>
  </si>
  <si>
    <t>TBUTETE</t>
  </si>
  <si>
    <t>BIOGASUTEM</t>
  </si>
  <si>
    <t>BIOGAS UTE TEM</t>
  </si>
  <si>
    <t>18WTBUTETE-123-0</t>
  </si>
  <si>
    <t>UTTEM</t>
  </si>
  <si>
    <t>TCANAIS</t>
  </si>
  <si>
    <t>CANAISA - TARIFA&gt;10MW</t>
  </si>
  <si>
    <t>18WTCANAIS-123-Z</t>
  </si>
  <si>
    <t>TCAPSA</t>
  </si>
  <si>
    <t>UP CAPSA</t>
  </si>
  <si>
    <t>18WTCAPSA-1234-M</t>
  </si>
  <si>
    <t>TCAVLO</t>
  </si>
  <si>
    <t>DICEPA PAPELERA ENATE ( T )</t>
  </si>
  <si>
    <t>18WTCAVLO-123-1Z</t>
  </si>
  <si>
    <t>TCELISI</t>
  </si>
  <si>
    <t>18WTCELISI-123-3</t>
  </si>
  <si>
    <t>TCELVSI</t>
  </si>
  <si>
    <t>18WTCELVSI-123-Y</t>
  </si>
  <si>
    <t>TCEMO</t>
  </si>
  <si>
    <t>CEMOSA T</t>
  </si>
  <si>
    <t>18W000000000GMPD</t>
  </si>
  <si>
    <t>TCEPMSI</t>
  </si>
  <si>
    <t>18WTCEPMSI-123-1</t>
  </si>
  <si>
    <t>TCEPUSI</t>
  </si>
  <si>
    <t>18WTCEPUSI-123-3</t>
  </si>
  <si>
    <t>TCERMA</t>
  </si>
  <si>
    <t>UP CERM MAYOR DE 5MW</t>
  </si>
  <si>
    <t>18WTCERMA-1234-C</t>
  </si>
  <si>
    <t>TCHAPEL</t>
  </si>
  <si>
    <t>UP COG CHAPELA</t>
  </si>
  <si>
    <t>18W000000000OIRQ</t>
  </si>
  <si>
    <t>TCHPAGR</t>
  </si>
  <si>
    <t>18W000000000NP3K</t>
  </si>
  <si>
    <t>TCIBCUR</t>
  </si>
  <si>
    <t>COGENERACION MECANISMO AJUSTE</t>
  </si>
  <si>
    <t>18W000000000P9GY</t>
  </si>
  <si>
    <t>TCJVIL</t>
  </si>
  <si>
    <t>COG VIL</t>
  </si>
  <si>
    <t>COG VILASECA</t>
  </si>
  <si>
    <t>18WTCJVIL-1234-D</t>
  </si>
  <si>
    <t>TCOALSA</t>
  </si>
  <si>
    <t>18W000000000N3R1</t>
  </si>
  <si>
    <t>TCOBUR</t>
  </si>
  <si>
    <t>COGENERADORA BURGALESA ( T )</t>
  </si>
  <si>
    <t>18WTCOBUR-1234-2</t>
  </si>
  <si>
    <t>COBUR</t>
  </si>
  <si>
    <t>TCOGNA</t>
  </si>
  <si>
    <t>18WTCOGNA-1234-3</t>
  </si>
  <si>
    <t>TCOLSEM</t>
  </si>
  <si>
    <t>TCOLASEM</t>
  </si>
  <si>
    <t>UP TERMICA COLASEM</t>
  </si>
  <si>
    <t>18WTCOLSEM-123-Z</t>
  </si>
  <si>
    <t>TCONOR</t>
  </si>
  <si>
    <t>18WTCONOR-1234-A</t>
  </si>
  <si>
    <t>TCOOSU2</t>
  </si>
  <si>
    <t>TCOOSUR2_AE</t>
  </si>
  <si>
    <t>18W00000000001YB</t>
  </si>
  <si>
    <t>TCOOSUR</t>
  </si>
  <si>
    <t>COOSUR - TARIFA &gt;10MW</t>
  </si>
  <si>
    <t>18WTCOOSUR-123-R</t>
  </si>
  <si>
    <t>TCOPAQ</t>
  </si>
  <si>
    <t>18WTCOPAQ-1234-D</t>
  </si>
  <si>
    <t>TCORCOG</t>
  </si>
  <si>
    <t>UP TERMICA CORA</t>
  </si>
  <si>
    <t>18WTCORCOG-123-7</t>
  </si>
  <si>
    <t>TCOREY</t>
  </si>
  <si>
    <t>18WTCOREY-1234-4</t>
  </si>
  <si>
    <t>TCOVAP</t>
  </si>
  <si>
    <t>HIBRIDACIN COG -FV COVAP</t>
  </si>
  <si>
    <t>18WTCOVAP-1234-Z</t>
  </si>
  <si>
    <t>TCRNOR</t>
  </si>
  <si>
    <t>18WTCRNOR-1234-E</t>
  </si>
  <si>
    <t>TCRUCES</t>
  </si>
  <si>
    <t>COG GAS NATURAL H CRUCES</t>
  </si>
  <si>
    <t>18W000000000R3CF</t>
  </si>
  <si>
    <t>TCTAULE</t>
  </si>
  <si>
    <t>18WTCTAULE-123-Z</t>
  </si>
  <si>
    <t>TCUALIN</t>
  </si>
  <si>
    <t>CUALIN GN AE 1MW</t>
  </si>
  <si>
    <t>18WTCUALIN-123-T</t>
  </si>
  <si>
    <t>TCUTOLE</t>
  </si>
  <si>
    <t>TCUTOLE_MAJ</t>
  </si>
  <si>
    <t>18W000000000OTDL</t>
  </si>
  <si>
    <t>TDEDRE</t>
  </si>
  <si>
    <t>18WTDEDRE-1234-Q</t>
  </si>
  <si>
    <t>TDEEXXI</t>
  </si>
  <si>
    <t>DOWCHEM</t>
  </si>
  <si>
    <t>UP DOW CHEMICAL</t>
  </si>
  <si>
    <t>18WTDEEXXI-123-Y</t>
  </si>
  <si>
    <t>TDERMO</t>
  </si>
  <si>
    <t>18WTDERMO-123--E</t>
  </si>
  <si>
    <t>TDIBCUR</t>
  </si>
  <si>
    <t>18W000000000PA6E</t>
  </si>
  <si>
    <t>TDNEXU</t>
  </si>
  <si>
    <t>UP COGENERACION GLP</t>
  </si>
  <si>
    <t>18WTDNEXU-1234-V</t>
  </si>
  <si>
    <t>TEBLLRB</t>
  </si>
  <si>
    <t>18WTEBLLRB-123-5</t>
  </si>
  <si>
    <t>TECKER</t>
  </si>
  <si>
    <t>18WECKER-SA----T</t>
  </si>
  <si>
    <t>PECKE</t>
  </si>
  <si>
    <t>TEDARUB</t>
  </si>
  <si>
    <t>UP TERMICA EDAR RUBI</t>
  </si>
  <si>
    <t>18WTEDARUB-123-F</t>
  </si>
  <si>
    <t>TEES</t>
  </si>
  <si>
    <t>TERA-ESLA</t>
  </si>
  <si>
    <t>UGH. TERA-ESLA</t>
  </si>
  <si>
    <t>18WTEES-12345-0Y</t>
  </si>
  <si>
    <t>TEGASN</t>
  </si>
  <si>
    <t>18W00000000014U6</t>
  </si>
  <si>
    <t>TEGBREN</t>
  </si>
  <si>
    <t>UP COGENERACION EGABRENSE</t>
  </si>
  <si>
    <t>18W000000000P2N4</t>
  </si>
  <si>
    <t>TEITOL</t>
  </si>
  <si>
    <t>COG. LA PUEBLA ALMORADIEL 10 MW</t>
  </si>
  <si>
    <t>18WTEITOL-1234-3</t>
  </si>
  <si>
    <t>TELPOZO</t>
  </si>
  <si>
    <t>18W000000000NOU6</t>
  </si>
  <si>
    <t>TEMASA</t>
  </si>
  <si>
    <t>18WTEMASA-1234-G</t>
  </si>
  <si>
    <t>TENCRI</t>
  </si>
  <si>
    <t>18WTENCRI-1234-4</t>
  </si>
  <si>
    <t>TENDC01</t>
  </si>
  <si>
    <t>18W0000000005704</t>
  </si>
  <si>
    <t>TENDE</t>
  </si>
  <si>
    <t>TENERCO</t>
  </si>
  <si>
    <t>ENERCORR T</t>
  </si>
  <si>
    <t>18W000000000IJ2N</t>
  </si>
  <si>
    <t>TEPCSA</t>
  </si>
  <si>
    <t>18WTEPCSA-1234-0</t>
  </si>
  <si>
    <t>TERE</t>
  </si>
  <si>
    <t>TER</t>
  </si>
  <si>
    <t>UGH. TER</t>
  </si>
  <si>
    <t>18WTERE-12345-0V</t>
  </si>
  <si>
    <t>TERMLNO</t>
  </si>
  <si>
    <t>TERMLLANO</t>
  </si>
  <si>
    <t>TERMOLLANO</t>
  </si>
  <si>
    <t>18W000000000QV2T</t>
  </si>
  <si>
    <t>TERSC01</t>
  </si>
  <si>
    <t>TERSACOMER</t>
  </si>
  <si>
    <t>TERSA COMPRA PEN</t>
  </si>
  <si>
    <t>18W00000000058NT</t>
  </si>
  <si>
    <t>TESJOAN</t>
  </si>
  <si>
    <t>TERM_6045KW</t>
  </si>
  <si>
    <t>18W000000000OP1K</t>
  </si>
  <si>
    <t>TESNELA</t>
  </si>
  <si>
    <t>UP COG ESNELAT</t>
  </si>
  <si>
    <t>18W000000000P2P0</t>
  </si>
  <si>
    <t>TESTEL</t>
  </si>
  <si>
    <t>CARNES ESTELLES (T)</t>
  </si>
  <si>
    <t>18WTESTEL-123-1V</t>
  </si>
  <si>
    <t>ESTEL</t>
  </si>
  <si>
    <t>TEUROAT</t>
  </si>
  <si>
    <t>EUROATOMIZADOS</t>
  </si>
  <si>
    <t>18WTEUROAT-123-F</t>
  </si>
  <si>
    <t>TEV2C01</t>
  </si>
  <si>
    <t>TEVI2</t>
  </si>
  <si>
    <t>TVITEC SIN IE</t>
  </si>
  <si>
    <t>18W000000000NEHP</t>
  </si>
  <si>
    <t>TEVI</t>
  </si>
  <si>
    <t>TEVIC01</t>
  </si>
  <si>
    <t>TVITEC</t>
  </si>
  <si>
    <t>TVITEC SYSTEM GLASS</t>
  </si>
  <si>
    <t>18W0000000003LSP</t>
  </si>
  <si>
    <t>TEXZC01</t>
  </si>
  <si>
    <t>FF</t>
  </si>
  <si>
    <t>FABRICA FORRERIA</t>
  </si>
  <si>
    <t>18WTEXZC01-123-R</t>
  </si>
  <si>
    <t>TEXOR</t>
  </si>
  <si>
    <t>TFARMHI</t>
  </si>
  <si>
    <t>FARMINDUSTRIA</t>
  </si>
  <si>
    <t>18WTFARMHI-123-3</t>
  </si>
  <si>
    <t>TFASESA</t>
  </si>
  <si>
    <t>18W0000000009T3R</t>
  </si>
  <si>
    <t>TFEGED</t>
  </si>
  <si>
    <t>UPTARIFA</t>
  </si>
  <si>
    <t>UP TARIFA</t>
  </si>
  <si>
    <t>18WTFEGED-1234-N</t>
  </si>
  <si>
    <t>TFEIRA</t>
  </si>
  <si>
    <t>FEIRACO GN AE 1MW</t>
  </si>
  <si>
    <t>18WTFEIRA--12--K</t>
  </si>
  <si>
    <t>TFENAMU</t>
  </si>
  <si>
    <t>18W000000000HACY</t>
  </si>
  <si>
    <t>TFERT1</t>
  </si>
  <si>
    <t>FERTIBERIA - TERMICA</t>
  </si>
  <si>
    <t>18WTFERT1-1234-M</t>
  </si>
  <si>
    <t>TFGASN</t>
  </si>
  <si>
    <t>GNSDG TERMICA TARIFA MAS 10 MW</t>
  </si>
  <si>
    <t>18WTFGASN-1234-3</t>
  </si>
  <si>
    <t>TFGEGS1</t>
  </si>
  <si>
    <t>18WTFGEGS1-123-4</t>
  </si>
  <si>
    <t>TFGEMAS</t>
  </si>
  <si>
    <t>18W0000000002DUC</t>
  </si>
  <si>
    <t>TFIBGES</t>
  </si>
  <si>
    <t>18WTFIBGES-123-9</t>
  </si>
  <si>
    <t>TFIBR</t>
  </si>
  <si>
    <t>18WTFIBR-12345-T</t>
  </si>
  <si>
    <t>FIBR</t>
  </si>
  <si>
    <t>TFINPEL</t>
  </si>
  <si>
    <t>18W000000000HXV1</t>
  </si>
  <si>
    <t>TFINS2</t>
  </si>
  <si>
    <t>18WTFINS2-1234-J</t>
  </si>
  <si>
    <t>TFINSA</t>
  </si>
  <si>
    <t>FINSA GN 1MW</t>
  </si>
  <si>
    <t>18WTFINSA-1234-T</t>
  </si>
  <si>
    <t>TFLUBRB</t>
  </si>
  <si>
    <t>18WTFLUBRB-123-V</t>
  </si>
  <si>
    <t>TFNEXU</t>
  </si>
  <si>
    <t>UP TERMICA MAYOR 1MW</t>
  </si>
  <si>
    <t>18WTFNEXU-1234-7</t>
  </si>
  <si>
    <t>TFOREST</t>
  </si>
  <si>
    <t>FOREST ( NO RENOVABLE,TARIFA,NO EXENTO )</t>
  </si>
  <si>
    <t>18WTFOREST-123-F</t>
  </si>
  <si>
    <t>TFREPP</t>
  </si>
  <si>
    <t>FREPP</t>
  </si>
  <si>
    <t>COGS PETRONROR A TARIFA</t>
  </si>
  <si>
    <t>18WTFREPP-1234-1</t>
  </si>
  <si>
    <t>TFREPP2</t>
  </si>
  <si>
    <t>PETRONOR6</t>
  </si>
  <si>
    <t>18W000000000NMMS</t>
  </si>
  <si>
    <t>TFRIGN</t>
  </si>
  <si>
    <t>18WTFRIGN-1234-L</t>
  </si>
  <si>
    <t>TFSAMP</t>
  </si>
  <si>
    <t>TARMAS10MW</t>
  </si>
  <si>
    <t>TARIFA MAS DE 10MW</t>
  </si>
  <si>
    <t>18WTFSAMP-1234-K</t>
  </si>
  <si>
    <t>TFSEDAE</t>
  </si>
  <si>
    <t>UP TERMICA A TARIFA MAYOR 10MW</t>
  </si>
  <si>
    <t>18WTFSEDAE-123-Q</t>
  </si>
  <si>
    <t>TFUDEP</t>
  </si>
  <si>
    <t>18WTFUDEP-1234-3</t>
  </si>
  <si>
    <t>TGALES</t>
  </si>
  <si>
    <t>GALESA GN AE 1MW</t>
  </si>
  <si>
    <t>18WTGALES-1234-X</t>
  </si>
  <si>
    <t>TGARFER</t>
  </si>
  <si>
    <t>UP TERMICA GARFER</t>
  </si>
  <si>
    <t>18W000000000OF9Y</t>
  </si>
  <si>
    <t>TGBSC01</t>
  </si>
  <si>
    <t>TGB SA</t>
  </si>
  <si>
    <t>18W0000000007IAH</t>
  </si>
  <si>
    <t>TGBSA</t>
  </si>
  <si>
    <t>TGCOOSU</t>
  </si>
  <si>
    <t>TERMICA GN-COG</t>
  </si>
  <si>
    <t>18WTGCOOSU-123-V</t>
  </si>
  <si>
    <t>TGEC</t>
  </si>
  <si>
    <t>18WTGEC-123456-3</t>
  </si>
  <si>
    <t>TGECAS</t>
  </si>
  <si>
    <t>18W000000000034S</t>
  </si>
  <si>
    <t>TGEMOT</t>
  </si>
  <si>
    <t>18WTGEMOT-1234-T</t>
  </si>
  <si>
    <t>TGIRCO</t>
  </si>
  <si>
    <t>GIROA COGENERACION</t>
  </si>
  <si>
    <t>18W00000000001OV</t>
  </si>
  <si>
    <t>TGIRSA</t>
  </si>
  <si>
    <t>GIROA SA</t>
  </si>
  <si>
    <t>18W00000000001PT</t>
  </si>
  <si>
    <t>TGRESP</t>
  </si>
  <si>
    <t>GRESPANIA</t>
  </si>
  <si>
    <t>18W000000000JLZL</t>
  </si>
  <si>
    <t>TGRIFOL</t>
  </si>
  <si>
    <t>GRIFOLS</t>
  </si>
  <si>
    <t>18WTGRIFOL-123-S</t>
  </si>
  <si>
    <t>TGYEC01</t>
  </si>
  <si>
    <t>TGYE</t>
  </si>
  <si>
    <t>18W00000000056HA</t>
  </si>
  <si>
    <t>THARIM</t>
  </si>
  <si>
    <t>UP HARIMASA</t>
  </si>
  <si>
    <t>18WTHARIM-1234-A</t>
  </si>
  <si>
    <t>THCTUDE</t>
  </si>
  <si>
    <t>COGENERACION TUDELA</t>
  </si>
  <si>
    <t>18WTHCTUDE-12--B</t>
  </si>
  <si>
    <t>THERC01</t>
  </si>
  <si>
    <t>THERMOLYMP</t>
  </si>
  <si>
    <t>THERMOLYMPIC S.L</t>
  </si>
  <si>
    <t>18WTHERC01-123-L</t>
  </si>
  <si>
    <t>THER</t>
  </si>
  <si>
    <t>THUNOS</t>
  </si>
  <si>
    <t>HUNOSA - TARIFA TERMICA&gt;10</t>
  </si>
  <si>
    <t>18WTHUNOS-1234-O</t>
  </si>
  <si>
    <t>HUNOS</t>
  </si>
  <si>
    <t>TIGALC</t>
  </si>
  <si>
    <t>ALCARRASIE</t>
  </si>
  <si>
    <t>VENTA DDP ALCARRAS</t>
  </si>
  <si>
    <t>18WTIGALC-1234-7</t>
  </si>
  <si>
    <t>TIGALT</t>
  </si>
  <si>
    <t>ALTORRICON</t>
  </si>
  <si>
    <t>DDP ALTORRICON</t>
  </si>
  <si>
    <t>18W000000000BYUO</t>
  </si>
  <si>
    <t>TIGCOR</t>
  </si>
  <si>
    <t>CORCOIE</t>
  </si>
  <si>
    <t>VENTA DDP CORCO</t>
  </si>
  <si>
    <t>18WTIGCOR-1234-P</t>
  </si>
  <si>
    <t>TIGERE</t>
  </si>
  <si>
    <t>ERESMA</t>
  </si>
  <si>
    <t>VENTA DDP ERESMA</t>
  </si>
  <si>
    <t>18WTIGERE-1234-8</t>
  </si>
  <si>
    <t>TIGTUR</t>
  </si>
  <si>
    <t>TUREGANO</t>
  </si>
  <si>
    <t>DDP TURGANO</t>
  </si>
  <si>
    <t>18W000000000AY62</t>
  </si>
  <si>
    <t>TIGVOL</t>
  </si>
  <si>
    <t>VOLTREGA</t>
  </si>
  <si>
    <t>VENTA DDP VOLTREGA</t>
  </si>
  <si>
    <t>18WTIGVOL-1234-V</t>
  </si>
  <si>
    <t>TINDIP</t>
  </si>
  <si>
    <t>18WTINDIP-1234-8</t>
  </si>
  <si>
    <t>TINGARO</t>
  </si>
  <si>
    <t>INGAROIL</t>
  </si>
  <si>
    <t>18WTINGARO-123-V</t>
  </si>
  <si>
    <t>INGAR</t>
  </si>
  <si>
    <t>TINMAL</t>
  </si>
  <si>
    <t>18WTINMAL-1234-M</t>
  </si>
  <si>
    <t>TIRCC01</t>
  </si>
  <si>
    <t>TIRVIA</t>
  </si>
  <si>
    <t>SOCIETAT MUNICIPAL DE COMERCIALITZACIO ELECTRICA DE TIRVIA SL.U.</t>
  </si>
  <si>
    <t>18W00000000056YD</t>
  </si>
  <si>
    <t>COTIR</t>
  </si>
  <si>
    <t>TJEB</t>
  </si>
  <si>
    <t>TAJOENC B</t>
  </si>
  <si>
    <t>C.H.B. TAJO ENCANTADA BOMBEO</t>
  </si>
  <si>
    <t>18WTJEB-12345-0X</t>
  </si>
  <si>
    <t>TJEG</t>
  </si>
  <si>
    <t>TAJOENC G</t>
  </si>
  <si>
    <t>C.H. TAJO ENCANTADA GENERACION</t>
  </si>
  <si>
    <t>18WTJEG-12345-0K</t>
  </si>
  <si>
    <t>TKERAB</t>
  </si>
  <si>
    <t>TERMICA KERABEN</t>
  </si>
  <si>
    <t>18WTKERAB-123-1R</t>
  </si>
  <si>
    <t>TLARODA</t>
  </si>
  <si>
    <t>18WTLARODA-123-1</t>
  </si>
  <si>
    <t>TLCMC01</t>
  </si>
  <si>
    <t>TEL COMER1</t>
  </si>
  <si>
    <t>TELECOR COMERCIALIZADORA 01</t>
  </si>
  <si>
    <t>18W000000000JTMN</t>
  </si>
  <si>
    <t>TLCOR</t>
  </si>
  <si>
    <t>TLCRC01</t>
  </si>
  <si>
    <t>18W000000000J7YS</t>
  </si>
  <si>
    <t>TLEITZA</t>
  </si>
  <si>
    <t>UP TERMICA SARRIOPAPEL</t>
  </si>
  <si>
    <t>18WTLEITZA-123-B</t>
  </si>
  <si>
    <t>TLLERPR</t>
  </si>
  <si>
    <t>UNIDAD PROGRAMACION LLERPROTEIN</t>
  </si>
  <si>
    <t>18WTLLERPR-123-R</t>
  </si>
  <si>
    <t>TMARDG</t>
  </si>
  <si>
    <t>18WTMARDG-1234-6</t>
  </si>
  <si>
    <t>TMARE</t>
  </si>
  <si>
    <t>MARE -TARIFA&gt;10MW</t>
  </si>
  <si>
    <t>18WTMARE-12345-R</t>
  </si>
  <si>
    <t>TMARIG</t>
  </si>
  <si>
    <t>18WTMARIG-1234-Z</t>
  </si>
  <si>
    <t>TMARTIA</t>
  </si>
  <si>
    <t>UP COG MARTIARTU</t>
  </si>
  <si>
    <t>18WTMARTIA-123-F</t>
  </si>
  <si>
    <t>TMBPE</t>
  </si>
  <si>
    <t>UP COG PREMB</t>
  </si>
  <si>
    <t>18WTMBPE-1234--H</t>
  </si>
  <si>
    <t>TMEH</t>
  </si>
  <si>
    <t>COG MUSEO EVOL HUMANA</t>
  </si>
  <si>
    <t>18W000000000JE3W</t>
  </si>
  <si>
    <t>TMGAL</t>
  </si>
  <si>
    <t>18W000000000NBIW</t>
  </si>
  <si>
    <t>TMIRALP</t>
  </si>
  <si>
    <t>MIRALCAMP</t>
  </si>
  <si>
    <t>MIRALCAMP ARGAL</t>
  </si>
  <si>
    <t>18WTMIRALP-123-6</t>
  </si>
  <si>
    <t>TMORON</t>
  </si>
  <si>
    <t>18WTMORON-1234-U</t>
  </si>
  <si>
    <t>TMOVIAL</t>
  </si>
  <si>
    <t>MOVIALSA GN AE 1MW</t>
  </si>
  <si>
    <t>18WTMOVIAL-123-I</t>
  </si>
  <si>
    <t>TMOVIAS</t>
  </si>
  <si>
    <t>18WTMOVIAS-123-6</t>
  </si>
  <si>
    <t>TMOYGI</t>
  </si>
  <si>
    <t>MOYRESA GN AE 1MW</t>
  </si>
  <si>
    <t>18WTMOYGI-123--D</t>
  </si>
  <si>
    <t>TNCA</t>
  </si>
  <si>
    <t>NCA</t>
  </si>
  <si>
    <t>NEWARK CATALANA</t>
  </si>
  <si>
    <t>18WTNCA-123456-Z</t>
  </si>
  <si>
    <t>TNEOFP</t>
  </si>
  <si>
    <t>18W000000000H2CL</t>
  </si>
  <si>
    <t>TNEORAN</t>
  </si>
  <si>
    <t>18W000000000H2BN</t>
  </si>
  <si>
    <t>TNEOROD</t>
  </si>
  <si>
    <t>UP NEO SC LA RODA SA</t>
  </si>
  <si>
    <t>18W000000000MFIO</t>
  </si>
  <si>
    <t>TNEOSC</t>
  </si>
  <si>
    <t>18WTNEOSC-1234-P</t>
  </si>
  <si>
    <t>NEOSC</t>
  </si>
  <si>
    <t>TNESEP</t>
  </si>
  <si>
    <t>TNESPE</t>
  </si>
  <si>
    <t>18WTNESEP-1234-7</t>
  </si>
  <si>
    <t>TNESGI</t>
  </si>
  <si>
    <t>18WTNESGI-123--N</t>
  </si>
  <si>
    <t>TNOEL</t>
  </si>
  <si>
    <t>18WTNOEL-12345-2</t>
  </si>
  <si>
    <t>NOEL</t>
  </si>
  <si>
    <t>TNPCE</t>
  </si>
  <si>
    <t>TARIFA &gt;10 NPC</t>
  </si>
  <si>
    <t>18WTNPCE-1234-1E</t>
  </si>
  <si>
    <t>TNSA</t>
  </si>
  <si>
    <t>NSA</t>
  </si>
  <si>
    <t>ABELAN SAN ANDRES</t>
  </si>
  <si>
    <t>18WTNSA-123456-7</t>
  </si>
  <si>
    <t>TNUCE</t>
  </si>
  <si>
    <t>18WTNUCE-12345-J</t>
  </si>
  <si>
    <t>TOFGE</t>
  </si>
  <si>
    <t>TOFGE PINARES</t>
  </si>
  <si>
    <t>18W0000000008QQV</t>
  </si>
  <si>
    <t>TOLEPU</t>
  </si>
  <si>
    <t>18W00000000072QX</t>
  </si>
  <si>
    <t>TOLEXTR</t>
  </si>
  <si>
    <t>OLEXTRA T</t>
  </si>
  <si>
    <t>18W000000000O2UV</t>
  </si>
  <si>
    <t>TOREC01</t>
  </si>
  <si>
    <t>18W0000000001PEC</t>
  </si>
  <si>
    <t>TOREN</t>
  </si>
  <si>
    <t>TOREMB</t>
  </si>
  <si>
    <t>18W0000000000XMD</t>
  </si>
  <si>
    <t>TORIA</t>
  </si>
  <si>
    <t>18WTORIA-1234-1U</t>
  </si>
  <si>
    <t>TORTE01</t>
  </si>
  <si>
    <t>TORTE CU</t>
  </si>
  <si>
    <t>18WTORTE01-12-2L</t>
  </si>
  <si>
    <t>TORTE</t>
  </si>
  <si>
    <t>TOTEC01</t>
  </si>
  <si>
    <t>18W000000000R28Q</t>
  </si>
  <si>
    <t>TOTEM</t>
  </si>
  <si>
    <t>TOTGCP3</t>
  </si>
  <si>
    <t>BORDER</t>
  </si>
  <si>
    <t>18WTOTGCP3-12-43</t>
  </si>
  <si>
    <t>TOTGVP3</t>
  </si>
  <si>
    <t>18WTOTGVP3-12-3J</t>
  </si>
  <si>
    <t>TPAARA</t>
  </si>
  <si>
    <t>18WTPAARA-123--3</t>
  </si>
  <si>
    <t>TPALAC</t>
  </si>
  <si>
    <t>18WTPALAC-1234-F</t>
  </si>
  <si>
    <t>TPAMEC</t>
  </si>
  <si>
    <t>18WTPAMEC-1234-6</t>
  </si>
  <si>
    <t>TPANTA</t>
  </si>
  <si>
    <t>PANTANET</t>
  </si>
  <si>
    <t>18W000000000NNTB</t>
  </si>
  <si>
    <t>TPAPRI</t>
  </si>
  <si>
    <t>18W0000000009ZQ0</t>
  </si>
  <si>
    <t>TPAPRI1</t>
  </si>
  <si>
    <t>UP PAPRI CON MECANISMO</t>
  </si>
  <si>
    <t>18W000000000NWQR</t>
  </si>
  <si>
    <t>TPAYCA</t>
  </si>
  <si>
    <t>18WTPAYCA-1234-V</t>
  </si>
  <si>
    <t>TPCOGE</t>
  </si>
  <si>
    <t>18W00000000064BO</t>
  </si>
  <si>
    <t>TPCOGEN</t>
  </si>
  <si>
    <t>18WTPCOGEN-123-8</t>
  </si>
  <si>
    <t>TPCOVI</t>
  </si>
  <si>
    <t>TERMICA PETR COG VILLARICOS</t>
  </si>
  <si>
    <t>18WTPCOVI-1234-M</t>
  </si>
  <si>
    <t>TPEEXXI</t>
  </si>
  <si>
    <t>18WTPEEXXI-123-1</t>
  </si>
  <si>
    <t>TPEONUR</t>
  </si>
  <si>
    <t>E.ON CUR ( TERMICA NO RENOVABLE, PRUEBAS)</t>
  </si>
  <si>
    <t>18WTPEONUR-123-Q</t>
  </si>
  <si>
    <t>TPERSAN</t>
  </si>
  <si>
    <t>18W000000000JLWR</t>
  </si>
  <si>
    <t>TPFEN</t>
  </si>
  <si>
    <t>COGPOOL</t>
  </si>
  <si>
    <t>COGENERACION POOL</t>
  </si>
  <si>
    <t>18WTPFEN-12345-M</t>
  </si>
  <si>
    <t>TPGUIZ</t>
  </si>
  <si>
    <t>18WTPGUIZ-1234-A</t>
  </si>
  <si>
    <t>TPHCCUR</t>
  </si>
  <si>
    <t>HIDROCANTABRICO CUR ( TERMICA NO RENOVABLE, PRUEBAS)</t>
  </si>
  <si>
    <t>18WTPHCCUR-123-R</t>
  </si>
  <si>
    <t>TPIBCUR</t>
  </si>
  <si>
    <t>18WTPIBCUR-123-Q</t>
  </si>
  <si>
    <t>TPIBGES</t>
  </si>
  <si>
    <t>COGENERACION PETROLEO</t>
  </si>
  <si>
    <t>18W000000000PNPB</t>
  </si>
  <si>
    <t>TPIERO</t>
  </si>
  <si>
    <t>PIEROLA 1MW AE GASOLEO</t>
  </si>
  <si>
    <t>18W00000000018WR</t>
  </si>
  <si>
    <t>TPLACG</t>
  </si>
  <si>
    <t>18WTPLACG-123--6</t>
  </si>
  <si>
    <t>PLACG</t>
  </si>
  <si>
    <t>TPLAST</t>
  </si>
  <si>
    <t>18WTPLAST-1234-2</t>
  </si>
  <si>
    <t>TPODEBO</t>
  </si>
  <si>
    <t>PODEBO RDL 17_2022</t>
  </si>
  <si>
    <t>18W000000000OIL1</t>
  </si>
  <si>
    <t>TPYC2</t>
  </si>
  <si>
    <t>18WTPYC2-12345-M</t>
  </si>
  <si>
    <t>TPYCE</t>
  </si>
  <si>
    <t>18WTPYCE-1234-12</t>
  </si>
  <si>
    <t>TPYSA</t>
  </si>
  <si>
    <t>18W0000000000IPF</t>
  </si>
  <si>
    <t>TQUALI</t>
  </si>
  <si>
    <t>QUALICAPS</t>
  </si>
  <si>
    <t>18W0000000001HMK</t>
  </si>
  <si>
    <t>TRADC01</t>
  </si>
  <si>
    <t>COMPENERGI</t>
  </si>
  <si>
    <t>COMPRAENERGIAGRUPO</t>
  </si>
  <si>
    <t>18W000000000GMIR</t>
  </si>
  <si>
    <t>TRADB</t>
  </si>
  <si>
    <t>TRC2</t>
  </si>
  <si>
    <t>18WTRC2-123456-U</t>
  </si>
  <si>
    <t>TRCD</t>
  </si>
  <si>
    <t>18WTRCD-123456-V</t>
  </si>
  <si>
    <t>TRECKIT</t>
  </si>
  <si>
    <t>18W000000000NOW2</t>
  </si>
  <si>
    <t>TRELECO</t>
  </si>
  <si>
    <t>RELECO DERIV PET AE 1MW</t>
  </si>
  <si>
    <t>18W0000000001U3J</t>
  </si>
  <si>
    <t>TREPP</t>
  </si>
  <si>
    <t>REPSOL PETROLEO (TARIFA, NO RENOVABLE)</t>
  </si>
  <si>
    <t>18WTREPP-12345-T</t>
  </si>
  <si>
    <t>TRL1</t>
  </si>
  <si>
    <t>TRILLO</t>
  </si>
  <si>
    <t>C.N. TRILLO</t>
  </si>
  <si>
    <t>18WTRL1-12345-0Y</t>
  </si>
  <si>
    <t>TRLE</t>
  </si>
  <si>
    <t>18WTRLE-123456-X</t>
  </si>
  <si>
    <t>TRLE1</t>
  </si>
  <si>
    <t>UP MECANISMO AJUSTE RLESG</t>
  </si>
  <si>
    <t>18W000000000NSDS</t>
  </si>
  <si>
    <t>TRODO2</t>
  </si>
  <si>
    <t>18WTRODO2-1234-J</t>
  </si>
  <si>
    <t>TRODON</t>
  </si>
  <si>
    <t>18WTRODON-123--E</t>
  </si>
  <si>
    <t>TRPCAR2</t>
  </si>
  <si>
    <t>TREPP2</t>
  </si>
  <si>
    <t>REPSOL CARTAGENA 2</t>
  </si>
  <si>
    <t>18WTRPCAR2-123-L</t>
  </si>
  <si>
    <t>TSALIA</t>
  </si>
  <si>
    <t>SALIANA DERIV PET AE 1MW</t>
  </si>
  <si>
    <t>18W0000000001U1N</t>
  </si>
  <si>
    <t>TSALONI</t>
  </si>
  <si>
    <t>UP COGENERACION SALONI</t>
  </si>
  <si>
    <t>18W000000000NL5S</t>
  </si>
  <si>
    <t>TSANTA</t>
  </si>
  <si>
    <t>UP SANTANDERINA</t>
  </si>
  <si>
    <t>18W000000000NMAF</t>
  </si>
  <si>
    <t>TSANTG</t>
  </si>
  <si>
    <t>18WTSANTG-1234-F</t>
  </si>
  <si>
    <t>TSAVA</t>
  </si>
  <si>
    <t>SAVA T</t>
  </si>
  <si>
    <t>18W000000000O38Z</t>
  </si>
  <si>
    <t>TSEAT</t>
  </si>
  <si>
    <t>COGE SEAT</t>
  </si>
  <si>
    <t>18WTSEAT-12345-K</t>
  </si>
  <si>
    <t>TSEPIOL</t>
  </si>
  <si>
    <t>SEPIOL</t>
  </si>
  <si>
    <t>SEPIOLSA</t>
  </si>
  <si>
    <t>18WTSEPIOL-123-4</t>
  </si>
  <si>
    <t>TSERVI</t>
  </si>
  <si>
    <t>18WTSERVI-1234-8</t>
  </si>
  <si>
    <t>TSGNR</t>
  </si>
  <si>
    <t>18W000000000KTR9</t>
  </si>
  <si>
    <t>TSGNR2</t>
  </si>
  <si>
    <t>18W000000000LCPN</t>
  </si>
  <si>
    <t>TSGNR3</t>
  </si>
  <si>
    <t>18W000000000LCQL</t>
  </si>
  <si>
    <t>TSIBGES</t>
  </si>
  <si>
    <t>COGENERACION NO EFICIENTE</t>
  </si>
  <si>
    <t>18W0000000001AEK</t>
  </si>
  <si>
    <t>TSIRUS</t>
  </si>
  <si>
    <t>18WSIRUSA------6</t>
  </si>
  <si>
    <t>SIRUS</t>
  </si>
  <si>
    <t>TSLQ</t>
  </si>
  <si>
    <t>18WTSLQ-12345-1T</t>
  </si>
  <si>
    <t>TSMURES</t>
  </si>
  <si>
    <t>SMURFIT KAPPA ESPANA</t>
  </si>
  <si>
    <t>18W0000000005WNV</t>
  </si>
  <si>
    <t>TSOGAM</t>
  </si>
  <si>
    <t>SOGAMA S.A. (T)</t>
  </si>
  <si>
    <t>18WTSOGAM-123-1S</t>
  </si>
  <si>
    <t>TSOLC01</t>
  </si>
  <si>
    <t>TSOL_UPC01</t>
  </si>
  <si>
    <t>TELEFONICA SOLUCIONES (UNIDAD PROGRAMACION COMERCIALIZACION)</t>
  </si>
  <si>
    <t>18WTSOLUCIONES02</t>
  </si>
  <si>
    <t>TSOL</t>
  </si>
  <si>
    <t>TSOLVAI</t>
  </si>
  <si>
    <t>TSOLVAY I</t>
  </si>
  <si>
    <t>18W00000000029FH</t>
  </si>
  <si>
    <t>TSOLVAY</t>
  </si>
  <si>
    <t>TSOLVAYII</t>
  </si>
  <si>
    <t>18W00000000029GF</t>
  </si>
  <si>
    <t>TSRDCP3</t>
  </si>
  <si>
    <t>TSRDE EXPORT</t>
  </si>
  <si>
    <t>18W000000000IJ1P</t>
  </si>
  <si>
    <t>TSRDVP3</t>
  </si>
  <si>
    <t>TSR DE IMPORT UNIT</t>
  </si>
  <si>
    <t>18W000000000IJ0R</t>
  </si>
  <si>
    <t>TSTENBA</t>
  </si>
  <si>
    <t>18WTSTENBA-123-B</t>
  </si>
  <si>
    <t>TTABLER</t>
  </si>
  <si>
    <t>TABLER ( NO RENOVABLE,TARIFA,NO EXENTO )</t>
  </si>
  <si>
    <t>18WTTABLER-123-2</t>
  </si>
  <si>
    <t>TTARBA</t>
  </si>
  <si>
    <t>TARBA T</t>
  </si>
  <si>
    <t>18W000000000JYRZ</t>
  </si>
  <si>
    <t>TTBAYPO</t>
  </si>
  <si>
    <t>18W000000000JGNN</t>
  </si>
  <si>
    <t>TTCAYPA</t>
  </si>
  <si>
    <t>TERM_7314KW</t>
  </si>
  <si>
    <t>18W000000000OIOW</t>
  </si>
  <si>
    <t>TTECGA</t>
  </si>
  <si>
    <t>18W00000000078V5</t>
  </si>
  <si>
    <t>TTECQU</t>
  </si>
  <si>
    <t>18WTTECQU-1234-L</t>
  </si>
  <si>
    <t>TTFANOI</t>
  </si>
  <si>
    <t>TFANOIA</t>
  </si>
  <si>
    <t>TARIFA&gt;10 ANOIA</t>
  </si>
  <si>
    <t>18WTTFANOI-123-X</t>
  </si>
  <si>
    <t>TTFCONF</t>
  </si>
  <si>
    <t>TFCONFIREL</t>
  </si>
  <si>
    <t>TARIFA&gt;10 CONFIREL</t>
  </si>
  <si>
    <t>18WTTFCONF-123-X</t>
  </si>
  <si>
    <t>TTFGALL</t>
  </si>
  <si>
    <t>TFGALLREGA</t>
  </si>
  <si>
    <t>TARIFA&gt;10 GALLREGA</t>
  </si>
  <si>
    <t>18WTTFGALL-123-J</t>
  </si>
  <si>
    <t>TTFMOTR</t>
  </si>
  <si>
    <t>TFMOTRIL</t>
  </si>
  <si>
    <t>TARIFA&gt;10 COG.MOTRIL</t>
  </si>
  <si>
    <t>18WTTFMOTR-123-N</t>
  </si>
  <si>
    <t>TTFTPSJ</t>
  </si>
  <si>
    <t>TARIFA&gt;10 COG.TPSJOAN</t>
  </si>
  <si>
    <t>18WTTFTPSJ-123-8</t>
  </si>
  <si>
    <t>TTFTPZG</t>
  </si>
  <si>
    <t>TFTPZG</t>
  </si>
  <si>
    <t>TARIFA&gt;10 TPZARAGOZA GAS</t>
  </si>
  <si>
    <t>18WTTFTPZG-123-A</t>
  </si>
  <si>
    <t>TTFTREN</t>
  </si>
  <si>
    <t>TFTRENCA</t>
  </si>
  <si>
    <t>TARIFA&gt;10 TRENCA</t>
  </si>
  <si>
    <t>18WTTFTREN-123-0</t>
  </si>
  <si>
    <t>TTIBGES</t>
  </si>
  <si>
    <t>COG PETROL</t>
  </si>
  <si>
    <t>18WTTIBGES-123-Q</t>
  </si>
  <si>
    <t>TTINTS</t>
  </si>
  <si>
    <t>18W0000000009YMB</t>
  </si>
  <si>
    <t>TTIP</t>
  </si>
  <si>
    <t>INTERMONEY ENERGIA AG. VEND. 2</t>
  </si>
  <si>
    <t>18WTTIP-12345-1N</t>
  </si>
  <si>
    <t>TIP</t>
  </si>
  <si>
    <t>TTOLSA</t>
  </si>
  <si>
    <t>TOLSA - TARIFA&gt;10MW</t>
  </si>
  <si>
    <t>18WTTOLSA-1234-0</t>
  </si>
  <si>
    <t>TTOVAG</t>
  </si>
  <si>
    <t>18WTTOVAG-1234-E</t>
  </si>
  <si>
    <t>TTROYO</t>
  </si>
  <si>
    <t>UP COG ROYO</t>
  </si>
  <si>
    <t>18W000000000OI9P</t>
  </si>
  <si>
    <t>TTUDELA</t>
  </si>
  <si>
    <t>UP CIUDAD AGROALIMENTARIA TUDELA</t>
  </si>
  <si>
    <t>18WTTUDELA-12--B</t>
  </si>
  <si>
    <t>TUCAC01</t>
  </si>
  <si>
    <t>TUCAN</t>
  </si>
  <si>
    <t>TUCAN_ENERGIA</t>
  </si>
  <si>
    <t>18W000000000JBWK</t>
  </si>
  <si>
    <t>TUELC01</t>
  </si>
  <si>
    <t>UP TUELE</t>
  </si>
  <si>
    <t>UP TU ELECTRICA</t>
  </si>
  <si>
    <t>18W000000000OGZG</t>
  </si>
  <si>
    <t>TUELE</t>
  </si>
  <si>
    <t>TUEMADE</t>
  </si>
  <si>
    <t>UEMADE ( NO RENOVABLE,TARIFA,NO EXENTO )</t>
  </si>
  <si>
    <t>18WTUEMADE-123-Y</t>
  </si>
  <si>
    <t>TUFICS</t>
  </si>
  <si>
    <t>18WTUFICS-1234-6</t>
  </si>
  <si>
    <t>TUSARGO</t>
  </si>
  <si>
    <t>UP USARGOITI</t>
  </si>
  <si>
    <t>18WTUSARGO-123-C</t>
  </si>
  <si>
    <t>TUTETEM</t>
  </si>
  <si>
    <t>GTA2UTETEM</t>
  </si>
  <si>
    <t>UP GTA2 UTE TEM</t>
  </si>
  <si>
    <t>18WTUTETEM-123-A</t>
  </si>
  <si>
    <t>TUTISA</t>
  </si>
  <si>
    <t>UTISA - TARIFA&gt;10MW</t>
  </si>
  <si>
    <t>18WTUTISA-123-1B</t>
  </si>
  <si>
    <t>TVALPBA</t>
  </si>
  <si>
    <t>TERMICA VALPUREN BANUELO</t>
  </si>
  <si>
    <t>18WTVALPBA-123-M</t>
  </si>
  <si>
    <t>TVCOMAT</t>
  </si>
  <si>
    <t>VALPUREN COMAT TERMICA</t>
  </si>
  <si>
    <t>18WTVCOMAT-123-K</t>
  </si>
  <si>
    <t>TVGNRA2</t>
  </si>
  <si>
    <t>18W000000000LUKG</t>
  </si>
  <si>
    <t>TWAME</t>
  </si>
  <si>
    <t>TWAME - CHP NO ALTA EFICIENCIA POT SUPERIOR 1 MW</t>
  </si>
  <si>
    <t>18W00000000005D4</t>
  </si>
  <si>
    <t>TWART2</t>
  </si>
  <si>
    <t>UP WARTSILA 2</t>
  </si>
  <si>
    <t>18W0000000005DNE</t>
  </si>
  <si>
    <t>TWARTS</t>
  </si>
  <si>
    <t>WARTSILA IBERICA ( T )</t>
  </si>
  <si>
    <t>18WTWARTS-1234-G</t>
  </si>
  <si>
    <t>WARTS</t>
  </si>
  <si>
    <t>TYAME</t>
  </si>
  <si>
    <t>AME ( NO RENOVABLE, TARIFA, NO EXENTO)</t>
  </si>
  <si>
    <t>18WTYAME-12345-7</t>
  </si>
  <si>
    <t>TYCEG</t>
  </si>
  <si>
    <t>CEG (TARIFA, NO RENOVABLE, NO EXENTO)</t>
  </si>
  <si>
    <t>18WTYCEG-12345-A</t>
  </si>
  <si>
    <t>TERMICA CLIDOM UE</t>
  </si>
  <si>
    <t>TYDETIC</t>
  </si>
  <si>
    <t>DETISA ( TARIFA, NO RENOVABLE, NO EXENTO)</t>
  </si>
  <si>
    <t>18WTYDETIC-123-S</t>
  </si>
  <si>
    <t>TYEEXXI</t>
  </si>
  <si>
    <t>18WTYEEXXI-123-4</t>
  </si>
  <si>
    <t>TYEGLE</t>
  </si>
  <si>
    <t>EGLE (TARIFA, NO RENOVABLE, NO EXENTO)</t>
  </si>
  <si>
    <t>18WTYEGLE-1234-K</t>
  </si>
  <si>
    <t>TYEONUR</t>
  </si>
  <si>
    <t>E.ON CUR ( TARIFA, TERMICA NO RENOVABLE, NO EXENTA)</t>
  </si>
  <si>
    <t>18WTYEONUR-123-T</t>
  </si>
  <si>
    <t>TYESYF</t>
  </si>
  <si>
    <t>YESYFORMA T</t>
  </si>
  <si>
    <t>18W000000000GMOF</t>
  </si>
  <si>
    <t>TYGEMSL</t>
  </si>
  <si>
    <t>TARIFA VENTA GEM NO RENOVABLE</t>
  </si>
  <si>
    <t>18WTYGEMSL-123-Q</t>
  </si>
  <si>
    <t>TYGENER</t>
  </si>
  <si>
    <t>GENER ( NO RENOVABLE, TARIFA, NO EXENTO)</t>
  </si>
  <si>
    <t>18WTYGENER-123-D</t>
  </si>
  <si>
    <t>TYGNRA</t>
  </si>
  <si>
    <t>GNRA ( TARIFA, NO RENOVABLE,NO EXENTO)</t>
  </si>
  <si>
    <t>18WTYGNRA-1234-H</t>
  </si>
  <si>
    <t>TYGNSUR</t>
  </si>
  <si>
    <t>GAS NATURAL SUR SDG ( TARIFA, TERMICA NO RENOVABLE, NO EXENTA)</t>
  </si>
  <si>
    <t>18WTYGNSUR-123-9</t>
  </si>
  <si>
    <t>TYHCCUR</t>
  </si>
  <si>
    <t>HIDROCANTABRICO CUR ( TARIFA,TERMICA NO RENOVABLE, NO EXENTA)</t>
  </si>
  <si>
    <t>18WTYHCCUR-123-U</t>
  </si>
  <si>
    <t>TYHCG</t>
  </si>
  <si>
    <t>VENTA COGENERACIONES Y MICROS</t>
  </si>
  <si>
    <t>18W000000000CRQC</t>
  </si>
  <si>
    <t>TYIBCUR</t>
  </si>
  <si>
    <t>18WTYIBCUR-123-T</t>
  </si>
  <si>
    <t>TYLAUE3</t>
  </si>
  <si>
    <t>UP COGENERACION CREVILLENTINA</t>
  </si>
  <si>
    <t>18W000000000R1DJ</t>
  </si>
  <si>
    <t>TYLMER</t>
  </si>
  <si>
    <t>LONJAS Y MERCADOS (TARIFA, NO EXENTO, NO RENOVABLE)</t>
  </si>
  <si>
    <t>18WTYLMER-1234-R</t>
  </si>
  <si>
    <t>TYNEXU</t>
  </si>
  <si>
    <t>18WTYNEXU-1234-1</t>
  </si>
  <si>
    <t>TYTERSA</t>
  </si>
  <si>
    <t>TERSATERM</t>
  </si>
  <si>
    <t>TERSA TERMICA PVE</t>
  </si>
  <si>
    <t>18W0000000007ANF</t>
  </si>
  <si>
    <t>TYTRDB</t>
  </si>
  <si>
    <t>PRODUCCION</t>
  </si>
  <si>
    <t>PRODUCCION ENERGIA RESIDUOS</t>
  </si>
  <si>
    <t>18W000000000HJHY</t>
  </si>
  <si>
    <t>TYWMARK</t>
  </si>
  <si>
    <t>COGENERACION SIN UF</t>
  </si>
  <si>
    <t>18WTYWMARK-123-4</t>
  </si>
  <si>
    <t>TZAME</t>
  </si>
  <si>
    <t>18WTZAME-12345-W</t>
  </si>
  <si>
    <t>TZAME2</t>
  </si>
  <si>
    <t>TZAME2 TG</t>
  </si>
  <si>
    <t>TZAME2 TOPADO GAS</t>
  </si>
  <si>
    <t>18W000000000NPZU</t>
  </si>
  <si>
    <t>UFBB</t>
  </si>
  <si>
    <t>BOLARQUE B</t>
  </si>
  <si>
    <t>C.H.B. BOLARQUE BOMBEO</t>
  </si>
  <si>
    <t>18WUFBB-12345-0R</t>
  </si>
  <si>
    <t>GNFG</t>
  </si>
  <si>
    <t>UFBG</t>
  </si>
  <si>
    <t>BOLARQUE G</t>
  </si>
  <si>
    <t>C.H. BOLARQUE GENERACION</t>
  </si>
  <si>
    <t>18WUFBG-12345-0E</t>
  </si>
  <si>
    <t>UFGC</t>
  </si>
  <si>
    <t>GNF GALCOS</t>
  </si>
  <si>
    <t>UGH. GNF-GALICIA COSTA</t>
  </si>
  <si>
    <t>18WUFGC--1234-00</t>
  </si>
  <si>
    <t>UFMI</t>
  </si>
  <si>
    <t>18WUFMI-12345-0L</t>
  </si>
  <si>
    <t>UFTA</t>
  </si>
  <si>
    <t>GNF TAJO</t>
  </si>
  <si>
    <t>UGH. GNF-TAJO</t>
  </si>
  <si>
    <t>18WUFTA-12345-0O</t>
  </si>
  <si>
    <t>ULEA</t>
  </si>
  <si>
    <t>18WULEA-123456-O</t>
  </si>
  <si>
    <t>ULSOC01</t>
  </si>
  <si>
    <t>SOL ULTREYA COMERCIALIZADORA</t>
  </si>
  <si>
    <t>18W000000000K0AJ</t>
  </si>
  <si>
    <t>ULSOL</t>
  </si>
  <si>
    <t>UMBRC01</t>
  </si>
  <si>
    <t>UMBRELLA</t>
  </si>
  <si>
    <t>UMBRELLA ELECTRON SL</t>
  </si>
  <si>
    <t>18W000000000PUVF</t>
  </si>
  <si>
    <t>UMBRE</t>
  </si>
  <si>
    <t>UMEMC01</t>
  </si>
  <si>
    <t>UMEME</t>
  </si>
  <si>
    <t>UMEME UPR1</t>
  </si>
  <si>
    <t>18W000000000F0ND</t>
  </si>
  <si>
    <t>UNELC01</t>
  </si>
  <si>
    <t>UNIELECTRICA ENERGIA</t>
  </si>
  <si>
    <t>18WUNELC01-123-X</t>
  </si>
  <si>
    <t>UP_COGF</t>
  </si>
  <si>
    <t>UP_COGFUTN</t>
  </si>
  <si>
    <t>UP_COGENERACION NO ALTA EFICIENCIA</t>
  </si>
  <si>
    <t>18W0000000005E84</t>
  </si>
  <si>
    <t>UPALFOZ</t>
  </si>
  <si>
    <t>ALFOZ</t>
  </si>
  <si>
    <t>ELICA DEL ALFOZ SL</t>
  </si>
  <si>
    <t>18W000000000Q2YF</t>
  </si>
  <si>
    <t>UPARCOH</t>
  </si>
  <si>
    <t>18W000000000R78B</t>
  </si>
  <si>
    <t>UPARENA</t>
  </si>
  <si>
    <t>UP ARENOSA</t>
  </si>
  <si>
    <t>UP FV ARENOSAS</t>
  </si>
  <si>
    <t>18W000000000QQST</t>
  </si>
  <si>
    <t>UPASERP</t>
  </si>
  <si>
    <t>UP ASERPAL</t>
  </si>
  <si>
    <t>18W000000000QCO5</t>
  </si>
  <si>
    <t>UPATOMI</t>
  </si>
  <si>
    <t>ATOMIZADAS</t>
  </si>
  <si>
    <t>COGENERACIN NUEVAS ATOMIZADAS</t>
  </si>
  <si>
    <t>18W000000000QGJ3</t>
  </si>
  <si>
    <t>UPBELOR</t>
  </si>
  <si>
    <t>BELORADO</t>
  </si>
  <si>
    <t>COGENERACIN BELORADO</t>
  </si>
  <si>
    <t>18W000000000QGI5</t>
  </si>
  <si>
    <t>UPBERRO</t>
  </si>
  <si>
    <t>UP BERROCA</t>
  </si>
  <si>
    <t>UP BERROCA-FERROVIAL</t>
  </si>
  <si>
    <t>18W000000000Q4QP</t>
  </si>
  <si>
    <t>UPBON2</t>
  </si>
  <si>
    <t>18W000000000R5KU</t>
  </si>
  <si>
    <t>UPBON3</t>
  </si>
  <si>
    <t>18W000000000R5LS</t>
  </si>
  <si>
    <t>UPBON4</t>
  </si>
  <si>
    <t>18W000000000R5MQ</t>
  </si>
  <si>
    <t>UPBRILE</t>
  </si>
  <si>
    <t>BRILEN</t>
  </si>
  <si>
    <t>COGENERACIN BRILEN</t>
  </si>
  <si>
    <t>18W000000000QGH7</t>
  </si>
  <si>
    <t>UPCONVA</t>
  </si>
  <si>
    <t>UP CONVA</t>
  </si>
  <si>
    <t>COGENERACIN CONVA</t>
  </si>
  <si>
    <t>18W000000000QGAL</t>
  </si>
  <si>
    <t>UPDROS</t>
  </si>
  <si>
    <t>18W000000000R74J</t>
  </si>
  <si>
    <t>UPDULCI</t>
  </si>
  <si>
    <t>LA DEHESIC</t>
  </si>
  <si>
    <t>PE LA DEHESICA</t>
  </si>
  <si>
    <t>18W000000000Q2WJ</t>
  </si>
  <si>
    <t>UPEBRO</t>
  </si>
  <si>
    <t>MOL EBRO</t>
  </si>
  <si>
    <t>UP MOLINOS DEL EBRO SA</t>
  </si>
  <si>
    <t>18W000000000QG8P</t>
  </si>
  <si>
    <t>UPELVIS</t>
  </si>
  <si>
    <t>ELVISA</t>
  </si>
  <si>
    <t>UP FV ELVISA</t>
  </si>
  <si>
    <t>18W000000000QPHH</t>
  </si>
  <si>
    <t>UPESQUE</t>
  </si>
  <si>
    <t>ESQUEDAS</t>
  </si>
  <si>
    <t>UP SUNRISE VENTURES 1 ESQUEDAS</t>
  </si>
  <si>
    <t>18W000000000QEN1</t>
  </si>
  <si>
    <t>UPFLOR</t>
  </si>
  <si>
    <t>18W000000000R75H</t>
  </si>
  <si>
    <t>UPFLORI</t>
  </si>
  <si>
    <t>REN SAMCA</t>
  </si>
  <si>
    <t>UP RENOVABLES SAMCA SA</t>
  </si>
  <si>
    <t>18W000000000QGG9</t>
  </si>
  <si>
    <t>UPGETES</t>
  </si>
  <si>
    <t>18W000000000NPS7</t>
  </si>
  <si>
    <t>UPGR025</t>
  </si>
  <si>
    <t>18W000000000MDV4</t>
  </si>
  <si>
    <t>UPGR026</t>
  </si>
  <si>
    <t>18W000000000MDW2</t>
  </si>
  <si>
    <t>UPGR027</t>
  </si>
  <si>
    <t>18W000000000MDX0</t>
  </si>
  <si>
    <t>UPGR028</t>
  </si>
  <si>
    <t>18W000000000MDYZ</t>
  </si>
  <si>
    <t>UPGR029</t>
  </si>
  <si>
    <t>18W000000000N7SO</t>
  </si>
  <si>
    <t>UPGUITA</t>
  </si>
  <si>
    <t>UP FV LA GUITA</t>
  </si>
  <si>
    <t>18W000000000QQVN</t>
  </si>
  <si>
    <t>UPINLOS</t>
  </si>
  <si>
    <t>UP INLOSAN</t>
  </si>
  <si>
    <t>18W000000000QCLB</t>
  </si>
  <si>
    <t>UPJALON</t>
  </si>
  <si>
    <t>UP JALON</t>
  </si>
  <si>
    <t>MOLINOS DEL JALN SA</t>
  </si>
  <si>
    <t>18W000000000QG9N</t>
  </si>
  <si>
    <t>UPJENAR</t>
  </si>
  <si>
    <t>UP JENARIZ</t>
  </si>
  <si>
    <t>UP JENARIZ PE NAVARRA</t>
  </si>
  <si>
    <t>18W000000000R3EB</t>
  </si>
  <si>
    <t>UPJORGE</t>
  </si>
  <si>
    <t>UPSANJORGE</t>
  </si>
  <si>
    <t>UP SAN JORGE PROSALIA</t>
  </si>
  <si>
    <t>18W000000000QSCI</t>
  </si>
  <si>
    <t>UPLOSAN</t>
  </si>
  <si>
    <t>UP LOSAN</t>
  </si>
  <si>
    <t>UP TABLEROS LOSAN SA</t>
  </si>
  <si>
    <t>18W000000000Q5G5</t>
  </si>
  <si>
    <t>UPMADER</t>
  </si>
  <si>
    <t>COGENERACIN MADERUELO MYTA</t>
  </si>
  <si>
    <t>18W000000000QGDF</t>
  </si>
  <si>
    <t>UPMALAB</t>
  </si>
  <si>
    <t>UP FV MALABRIGO</t>
  </si>
  <si>
    <t>18W000000000QQTR</t>
  </si>
  <si>
    <t>UPMONC</t>
  </si>
  <si>
    <t>MONCA</t>
  </si>
  <si>
    <t>SPK MONCLOVA</t>
  </si>
  <si>
    <t>18W000000000PRDN</t>
  </si>
  <si>
    <t>UPMONCA</t>
  </si>
  <si>
    <t>UP MONCAYO</t>
  </si>
  <si>
    <t>MOLINOS DEL MONCAYO SL</t>
  </si>
  <si>
    <t>18W000000000QGBJ</t>
  </si>
  <si>
    <t>UPMONEG</t>
  </si>
  <si>
    <t>UP MONEGRO</t>
  </si>
  <si>
    <t>MONEGROS SOLAR SA</t>
  </si>
  <si>
    <t>18W000000000QGCH</t>
  </si>
  <si>
    <t>UPNAVIC</t>
  </si>
  <si>
    <t>LA NAVICA</t>
  </si>
  <si>
    <t>PE LA NAVICA</t>
  </si>
  <si>
    <t>18W000000000Q2XH</t>
  </si>
  <si>
    <t>UPOLIVA</t>
  </si>
  <si>
    <t>UP OLIVARE</t>
  </si>
  <si>
    <t>UP OLIVARES MATRIX</t>
  </si>
  <si>
    <t>18W000000000QOFO</t>
  </si>
  <si>
    <t>UPONDA</t>
  </si>
  <si>
    <t>ONDA</t>
  </si>
  <si>
    <t>COGENERACIN ONDA</t>
  </si>
  <si>
    <t>18W000000000QGED</t>
  </si>
  <si>
    <t>UPONDA1</t>
  </si>
  <si>
    <t>ONDA 1</t>
  </si>
  <si>
    <t>COGENERACIN ONDA 2</t>
  </si>
  <si>
    <t>18W000000000QGK1</t>
  </si>
  <si>
    <t>UPOUBAS</t>
  </si>
  <si>
    <t>UPOUBASM</t>
  </si>
  <si>
    <t>ENERGIAS AMBIENTALES DE OUTES SLU OUTES-BARRIGO -MBARDA</t>
  </si>
  <si>
    <t>18W000000000QTOS</t>
  </si>
  <si>
    <t>UPPINA</t>
  </si>
  <si>
    <t>UP PINA</t>
  </si>
  <si>
    <t>18W000000000Q5H3</t>
  </si>
  <si>
    <t>UPPINAS</t>
  </si>
  <si>
    <t>UPPINASA</t>
  </si>
  <si>
    <t>UP PINASA COGENERACION</t>
  </si>
  <si>
    <t>18W000000000QCM9</t>
  </si>
  <si>
    <t>UPPIRON</t>
  </si>
  <si>
    <t>RIO PIRON</t>
  </si>
  <si>
    <t>COG RIO PIRON</t>
  </si>
  <si>
    <t>18W000000000QGFB</t>
  </si>
  <si>
    <t>UPPOWER</t>
  </si>
  <si>
    <t>FV POWER</t>
  </si>
  <si>
    <t>SFV POWER ELECTRONICS</t>
  </si>
  <si>
    <t>18W000000000Q1N3</t>
  </si>
  <si>
    <t>UPPRIOH</t>
  </si>
  <si>
    <t>18W000000000R77D</t>
  </si>
  <si>
    <t>UPPTCHA</t>
  </si>
  <si>
    <t>UP PTCHA</t>
  </si>
  <si>
    <t>PORTOCHAO UP RO</t>
  </si>
  <si>
    <t>18WUPPTCHA-123-G</t>
  </si>
  <si>
    <t>UPPTDIS</t>
  </si>
  <si>
    <t>UP PTDIS</t>
  </si>
  <si>
    <t>UP RO PTDIS</t>
  </si>
  <si>
    <t>18WUPPTDIS-123-L</t>
  </si>
  <si>
    <t>UPQUIJO</t>
  </si>
  <si>
    <t>MUNERA I</t>
  </si>
  <si>
    <t>PE MUNERA I</t>
  </si>
  <si>
    <t>18W000000000Q2VL</t>
  </si>
  <si>
    <t>UPRADON</t>
  </si>
  <si>
    <t>RADONA</t>
  </si>
  <si>
    <t>PE CERROS DE RADONA</t>
  </si>
  <si>
    <t>18W000000000Q314</t>
  </si>
  <si>
    <t>UPRASPO</t>
  </si>
  <si>
    <t>ENERGAS ALTERNATIVAS ELICAS RIOJANAS SL RAPOS</t>
  </si>
  <si>
    <t>18W000000000QTPQ</t>
  </si>
  <si>
    <t>UPRCIER</t>
  </si>
  <si>
    <t>UPRENCIERZ</t>
  </si>
  <si>
    <t>UP RENOVABLES DEL CIERZO SLU</t>
  </si>
  <si>
    <t>18W000000000QSL0</t>
  </si>
  <si>
    <t>UPREAL3</t>
  </si>
  <si>
    <t>UP REAL 3</t>
  </si>
  <si>
    <t>UP FV PUERTO REAL 3 HEFESTO</t>
  </si>
  <si>
    <t>18W000000000QFZB</t>
  </si>
  <si>
    <t>UPROCI1</t>
  </si>
  <si>
    <t>FVROCIO 1</t>
  </si>
  <si>
    <t>ROLWIND HUELVA 1 SLU</t>
  </si>
  <si>
    <t>18W000000000Q09Y</t>
  </si>
  <si>
    <t>UPROCI3</t>
  </si>
  <si>
    <t>FVROCIO3</t>
  </si>
  <si>
    <t>ROLWIND HUELVA 3 SLU</t>
  </si>
  <si>
    <t>18W000000000Q0BU</t>
  </si>
  <si>
    <t>UPRODRI</t>
  </si>
  <si>
    <t>RODRIGO 2</t>
  </si>
  <si>
    <t>UP FV DON RODRIGO II</t>
  </si>
  <si>
    <t>18W000000000QPGJ</t>
  </si>
  <si>
    <t>UPSJUCA</t>
  </si>
  <si>
    <t>UP SJUCAR</t>
  </si>
  <si>
    <t>UP SALTOS JUCAR</t>
  </si>
  <si>
    <t>18WUPSJUCA-123-Z</t>
  </si>
  <si>
    <t>SJUCA</t>
  </si>
  <si>
    <t>UPSSALI</t>
  </si>
  <si>
    <t>UPSALINETE</t>
  </si>
  <si>
    <t>UP SALINETES SUN FARM SL SALIENTES I</t>
  </si>
  <si>
    <t>18W000000000R72N</t>
  </si>
  <si>
    <t>UPTOLOS</t>
  </si>
  <si>
    <t>UP TOLOSA</t>
  </si>
  <si>
    <t>UP TALOSA COGENERACION</t>
  </si>
  <si>
    <t>18W000000000QCN7</t>
  </si>
  <si>
    <t>UPTOSCA</t>
  </si>
  <si>
    <t>UP TOSCANO</t>
  </si>
  <si>
    <t>UP FV TOSCANO</t>
  </si>
  <si>
    <t>18W000000000QBVV</t>
  </si>
  <si>
    <t>UPTRUJI</t>
  </si>
  <si>
    <t>UP TRUJI</t>
  </si>
  <si>
    <t>FV TRUJILLO</t>
  </si>
  <si>
    <t>18W000000000QI1X</t>
  </si>
  <si>
    <t>UPVALD1</t>
  </si>
  <si>
    <t>VADOMPE1</t>
  </si>
  <si>
    <t>VALDOMPE1</t>
  </si>
  <si>
    <t>18W000000000QX1P</t>
  </si>
  <si>
    <t>UPVALD2</t>
  </si>
  <si>
    <t>VADOMPERE2</t>
  </si>
  <si>
    <t>VALDOMPE2</t>
  </si>
  <si>
    <t>18W000000000QX2N</t>
  </si>
  <si>
    <t>UPVALD3</t>
  </si>
  <si>
    <t>VALDOMPERE</t>
  </si>
  <si>
    <t>VALDOMPE3</t>
  </si>
  <si>
    <t>18W000000000QX3L</t>
  </si>
  <si>
    <t>UPVALDE</t>
  </si>
  <si>
    <t>UPVALDENEB</t>
  </si>
  <si>
    <t>UP VALDENEBRO SOLAR SL VALDENEBRO</t>
  </si>
  <si>
    <t>18W000000000QCXO</t>
  </si>
  <si>
    <t>UPVLEBR</t>
  </si>
  <si>
    <t>LA FATAREL</t>
  </si>
  <si>
    <t>PE LA FATARELLA</t>
  </si>
  <si>
    <t>18W000000000Q306</t>
  </si>
  <si>
    <t>UPVVILA</t>
  </si>
  <si>
    <t>VILALBA</t>
  </si>
  <si>
    <t>PE VILALBA</t>
  </si>
  <si>
    <t>18W000000000Q2ZD</t>
  </si>
  <si>
    <t>UPYARTE</t>
  </si>
  <si>
    <t>UP FV EL YARTE</t>
  </si>
  <si>
    <t>18W000000000QQUP</t>
  </si>
  <si>
    <t>URACC01</t>
  </si>
  <si>
    <t>URANOVII</t>
  </si>
  <si>
    <t>URANOSCOPIDAE VII ENERGIA SL</t>
  </si>
  <si>
    <t>18W000000000QBKG</t>
  </si>
  <si>
    <t>URANC</t>
  </si>
  <si>
    <t>URAIC01</t>
  </si>
  <si>
    <t>URAIV</t>
  </si>
  <si>
    <t>URANOSCOPIDAE IV</t>
  </si>
  <si>
    <t>18W000000000ISE9</t>
  </si>
  <si>
    <t>URBCC01</t>
  </si>
  <si>
    <t>URBE COMER</t>
  </si>
  <si>
    <t>URBENER COMERCAIZADADORA</t>
  </si>
  <si>
    <t>18W0000000005LE8</t>
  </si>
  <si>
    <t>URBEN</t>
  </si>
  <si>
    <t>URBNC01</t>
  </si>
  <si>
    <t>URBE CD</t>
  </si>
  <si>
    <t>URBENER CD</t>
  </si>
  <si>
    <t>18WURBNC01-123-Z</t>
  </si>
  <si>
    <t>VALIC01</t>
  </si>
  <si>
    <t>HID VALIRA</t>
  </si>
  <si>
    <t>HIDROELECTRICA DEL VALIRA, S.L.</t>
  </si>
  <si>
    <t>18WVALIC01-12-2O</t>
  </si>
  <si>
    <t>VALI</t>
  </si>
  <si>
    <t>VALOC01</t>
  </si>
  <si>
    <t>MV</t>
  </si>
  <si>
    <t>TEXTIL VALOR</t>
  </si>
  <si>
    <t>18W000000000HOYM</t>
  </si>
  <si>
    <t>VALOR</t>
  </si>
  <si>
    <t>VALRC01</t>
  </si>
  <si>
    <t>VALERO</t>
  </si>
  <si>
    <t>VALERO FORN TRADICIONAL</t>
  </si>
  <si>
    <t>18W000000000O12G</t>
  </si>
  <si>
    <t>VALEA</t>
  </si>
  <si>
    <t>VAN2</t>
  </si>
  <si>
    <t>VANDELLOS</t>
  </si>
  <si>
    <t>C.N. VANDELLOS II</t>
  </si>
  <si>
    <t>18WVAN2-12345-0W</t>
  </si>
  <si>
    <t>VAQC01</t>
  </si>
  <si>
    <t>VAQ CO</t>
  </si>
  <si>
    <t>ELECTRA VAQUER, S.A.</t>
  </si>
  <si>
    <t>18WVAQC01-123-2B</t>
  </si>
  <si>
    <t>VAQ</t>
  </si>
  <si>
    <t>VARAC01</t>
  </si>
  <si>
    <t>VARAENER</t>
  </si>
  <si>
    <t>COMERCIALIZADORA VARAENER</t>
  </si>
  <si>
    <t>18W000000000P520</t>
  </si>
  <si>
    <t>VARAE</t>
  </si>
  <si>
    <t>VDLUC01</t>
  </si>
  <si>
    <t>VDLUZ</t>
  </si>
  <si>
    <t>VERDELUZ</t>
  </si>
  <si>
    <t>18W000000000M1IT</t>
  </si>
  <si>
    <t>VELTC01</t>
  </si>
  <si>
    <t>18W000000000PUTJ</t>
  </si>
  <si>
    <t>VELTA</t>
  </si>
  <si>
    <t>VEMTR</t>
  </si>
  <si>
    <t>18W000000000F5FE</t>
  </si>
  <si>
    <t>VESTC01</t>
  </si>
  <si>
    <t>VESTA RENOVABLES SLL</t>
  </si>
  <si>
    <t>18W000000000Q90P</t>
  </si>
  <si>
    <t>VESTB</t>
  </si>
  <si>
    <t>VIEECA1</t>
  </si>
  <si>
    <t>EONECA1</t>
  </si>
  <si>
    <t>COMERCIALIZADOR EON ENERGIA (COMERCIALIZADORA NACIONAL)</t>
  </si>
  <si>
    <t>18WVIEECA1-12-22</t>
  </si>
  <si>
    <t>VIES</t>
  </si>
  <si>
    <t>UGH EON</t>
  </si>
  <si>
    <t>UGH. EON</t>
  </si>
  <si>
    <t>18WVIES-12345-0Y</t>
  </si>
  <si>
    <t>VINIC01</t>
  </si>
  <si>
    <t>COVINIL</t>
  </si>
  <si>
    <t>18WVINIC01-123-B</t>
  </si>
  <si>
    <t>VINI</t>
  </si>
  <si>
    <t>VIRGE02</t>
  </si>
  <si>
    <t>REPRESENTACION FOTOVOLAICA VIRTUM 2</t>
  </si>
  <si>
    <t>18W000000000QDDO</t>
  </si>
  <si>
    <t>VIRTM</t>
  </si>
  <si>
    <t>VIRIC01</t>
  </si>
  <si>
    <t>VIRGIN UP</t>
  </si>
  <si>
    <t>VIRGIN ELECTRIC UP</t>
  </si>
  <si>
    <t>18W0000000003U2D</t>
  </si>
  <si>
    <t>VIRGI</t>
  </si>
  <si>
    <t>VIROC01</t>
  </si>
  <si>
    <t>VIROQ_UP</t>
  </si>
  <si>
    <t>VIROQ_COMPRAS</t>
  </si>
  <si>
    <t>18W000000000O66U</t>
  </si>
  <si>
    <t>VIROQ</t>
  </si>
  <si>
    <t>VIRTC01</t>
  </si>
  <si>
    <t>VIRTUS GLOBAL ENERGY</t>
  </si>
  <si>
    <t>18W0000000008IE5</t>
  </si>
  <si>
    <t>VIRTU</t>
  </si>
  <si>
    <t>VIRTGE</t>
  </si>
  <si>
    <t>18W000000000P059</t>
  </si>
  <si>
    <t>VIRUC01</t>
  </si>
  <si>
    <t>SOCIEDAD</t>
  </si>
  <si>
    <t>SOCIEDAD ARAGONESA DE COMERCIALIZACION DE ENERGIA</t>
  </si>
  <si>
    <t>18W000000000I66H</t>
  </si>
  <si>
    <t>VISC01</t>
  </si>
  <si>
    <t>VISCOCEL</t>
  </si>
  <si>
    <t>18WVISC01-1234-W</t>
  </si>
  <si>
    <t>SNIVI</t>
  </si>
  <si>
    <t>VISLC01</t>
  </si>
  <si>
    <t>VISALIA ENERGIA SLU</t>
  </si>
  <si>
    <t>18W000000000CYZA</t>
  </si>
  <si>
    <t>VISAL</t>
  </si>
  <si>
    <t>VITLC01</t>
  </si>
  <si>
    <t>VITOL COMERCIALIZADORA</t>
  </si>
  <si>
    <t>18W000000000PPR1</t>
  </si>
  <si>
    <t>VITLCP3</t>
  </si>
  <si>
    <t>VITOLCP3</t>
  </si>
  <si>
    <t>VITOL COMPRAS PARA EXPORT FRA</t>
  </si>
  <si>
    <t>18W000000000NFHM</t>
  </si>
  <si>
    <t>VITLVP3</t>
  </si>
  <si>
    <t>VITOLVP3</t>
  </si>
  <si>
    <t>VITOL VENTAS DE IMPORTACION DESDE FRA</t>
  </si>
  <si>
    <t>18W000000000NFIK</t>
  </si>
  <si>
    <t>VIVOC01</t>
  </si>
  <si>
    <t>VIVO</t>
  </si>
  <si>
    <t>VIVO ENERGIA</t>
  </si>
  <si>
    <t>18W00000000013W5</t>
  </si>
  <si>
    <t>VNLSC01</t>
  </si>
  <si>
    <t>VINALESA</t>
  </si>
  <si>
    <t>ELECTRICA DE VINALESA SCV</t>
  </si>
  <si>
    <t>18W00000000093KY</t>
  </si>
  <si>
    <t>VINAL</t>
  </si>
  <si>
    <t>VPEL</t>
  </si>
  <si>
    <t>VENTA PEL COG</t>
  </si>
  <si>
    <t>18W0000000003YI6</t>
  </si>
  <si>
    <t>PEL</t>
  </si>
  <si>
    <t>VPFIC01</t>
  </si>
  <si>
    <t>VPFIL</t>
  </si>
  <si>
    <t>UP VALLES PLASTIC FILM, S.L.</t>
  </si>
  <si>
    <t>18WVPFIC01-123-F</t>
  </si>
  <si>
    <t>VVESC01</t>
  </si>
  <si>
    <t>VIVA EYS</t>
  </si>
  <si>
    <t>VIVA ENERGIA Y SOLUCIONES</t>
  </si>
  <si>
    <t>18W0000000002NUJ</t>
  </si>
  <si>
    <t>VIVA</t>
  </si>
  <si>
    <t>WATFV01</t>
  </si>
  <si>
    <t>WATIUM FV 01</t>
  </si>
  <si>
    <t>18W000000000FTSR</t>
  </si>
  <si>
    <t>WATFV02</t>
  </si>
  <si>
    <t>WATIUM 13 ROELES</t>
  </si>
  <si>
    <t>18W000000000PMPE</t>
  </si>
  <si>
    <t>WATFV03</t>
  </si>
  <si>
    <t>WATIUM FV BEAVIER PHOTO POWER</t>
  </si>
  <si>
    <t>18W000000000PMQC</t>
  </si>
  <si>
    <t>WATFV04</t>
  </si>
  <si>
    <t>WATIUMFV04</t>
  </si>
  <si>
    <t>WATIUM FV AGUASAL</t>
  </si>
  <si>
    <t>18W000000000PR0C</t>
  </si>
  <si>
    <t>WATFV05</t>
  </si>
  <si>
    <t>WATIUM FV LOPEZ BRAVO PIO CAMARA BURGOS</t>
  </si>
  <si>
    <t>18W000000000PR1A</t>
  </si>
  <si>
    <t>WATFV06</t>
  </si>
  <si>
    <t>WATIUM FV RODERO ENERGIA</t>
  </si>
  <si>
    <t>18W000000000PWPL</t>
  </si>
  <si>
    <t>WATFV11</t>
  </si>
  <si>
    <t>PIO CAMARA VILLALONQUEJAR</t>
  </si>
  <si>
    <t>18W000000000QP0E</t>
  </si>
  <si>
    <t>WATFV12</t>
  </si>
  <si>
    <t>FOTOSFERA-BARCO DE LOS FRAILES I</t>
  </si>
  <si>
    <t>18W000000000QUTF</t>
  </si>
  <si>
    <t>WATFV13</t>
  </si>
  <si>
    <t>VILLAHERMOSA</t>
  </si>
  <si>
    <t>18W000000000R0L6</t>
  </si>
  <si>
    <t>WATOC01</t>
  </si>
  <si>
    <t>WATIOX</t>
  </si>
  <si>
    <t>RECICLAJES ECOLOGICOS BARATHEON</t>
  </si>
  <si>
    <t>18W000000000HGMX</t>
  </si>
  <si>
    <t>WATIO</t>
  </si>
  <si>
    <t>WAUDAX</t>
  </si>
  <si>
    <t>WIND</t>
  </si>
  <si>
    <t>WIND AUDAX</t>
  </si>
  <si>
    <t>18W000000000KBPU</t>
  </si>
  <si>
    <t>WIBEC01</t>
  </si>
  <si>
    <t>WIBER</t>
  </si>
  <si>
    <t>WIBERLUZYGAS</t>
  </si>
  <si>
    <t>18W000000000IZ80</t>
  </si>
  <si>
    <t>WKWC01</t>
  </si>
  <si>
    <t>WEKIWI</t>
  </si>
  <si>
    <t>COMERCIALIZADOR ELECTRICIDAD Y GAS</t>
  </si>
  <si>
    <t>18W000000000MHGM</t>
  </si>
  <si>
    <t>WEKIW</t>
  </si>
  <si>
    <t>WMARC01</t>
  </si>
  <si>
    <t>18WWMARC01-123-3</t>
  </si>
  <si>
    <t>WMARCAX</t>
  </si>
  <si>
    <t>CONSUMO DE SERVICIOS AUXILIARES</t>
  </si>
  <si>
    <t>18W000000000IKMH</t>
  </si>
  <si>
    <t>YELLC01</t>
  </si>
  <si>
    <t>COMPRA YEL</t>
  </si>
  <si>
    <t>UNIDAD COMPRA THE YELLOW ENERGY PENINS</t>
  </si>
  <si>
    <t>18WYELLC01-123-C</t>
  </si>
  <si>
    <t>YELLO</t>
  </si>
  <si>
    <t>ZABU</t>
  </si>
  <si>
    <t>ZARBURDON</t>
  </si>
  <si>
    <t>18WZABU-123456-Z</t>
  </si>
  <si>
    <t>ZELTC01</t>
  </si>
  <si>
    <t>ZELTRIA</t>
  </si>
  <si>
    <t>ZELTRIA ENERGIA</t>
  </si>
  <si>
    <t>18WZELTC01-123-U</t>
  </si>
  <si>
    <t>ZELTR</t>
  </si>
  <si>
    <t>ZERBI</t>
  </si>
  <si>
    <t>UP IRUGURUTZETA</t>
  </si>
  <si>
    <t>18WZERBI-12345-J</t>
  </si>
  <si>
    <t>ZERC01</t>
  </si>
  <si>
    <t>18W0000000002ZI7</t>
  </si>
  <si>
    <t>ZEREN</t>
  </si>
  <si>
    <t>ZEREC01</t>
  </si>
  <si>
    <t>ZEREP</t>
  </si>
  <si>
    <t>ZEREP CARBONICAS Y AGUAS</t>
  </si>
  <si>
    <t>18WZEREC01-123-3</t>
  </si>
  <si>
    <t>ZERE</t>
  </si>
  <si>
    <t>ZJARVE</t>
  </si>
  <si>
    <t>18W000000000LAEE</t>
  </si>
  <si>
    <t>ZRMTC01</t>
  </si>
  <si>
    <t>ZERMATT</t>
  </si>
  <si>
    <t>ZERMATT POWER</t>
  </si>
  <si>
    <t>18W000000000L3YW</t>
  </si>
  <si>
    <t>ZUGPC01</t>
  </si>
  <si>
    <t>ZUG POWER</t>
  </si>
  <si>
    <t>ZUG POWER SL</t>
  </si>
  <si>
    <t>18W000000000NER5</t>
  </si>
  <si>
    <t>ZUGPW</t>
  </si>
  <si>
    <t>ZULUC01</t>
  </si>
  <si>
    <t>ZULU</t>
  </si>
  <si>
    <t>ZULUX ENERGIA</t>
  </si>
  <si>
    <t>18W000000000FCIO</t>
  </si>
  <si>
    <t>UP</t>
  </si>
  <si>
    <t>Descrip Short</t>
  </si>
  <si>
    <t>Descrip Long</t>
  </si>
  <si>
    <t>Power MW</t>
  </si>
  <si>
    <t>EIC Code</t>
  </si>
  <si>
    <t>Tech</t>
  </si>
  <si>
    <t>Buy-Sell</t>
  </si>
  <si>
    <t>Regulation Zone</t>
  </si>
  <si>
    <t>Sujeto del Mercado 2</t>
  </si>
  <si>
    <t>Technologia</t>
  </si>
  <si>
    <t>EDP</t>
  </si>
  <si>
    <t>GNERA</t>
  </si>
  <si>
    <t>ENERGYA</t>
  </si>
  <si>
    <t>ENCE</t>
  </si>
  <si>
    <t>AXPO</t>
  </si>
  <si>
    <t>NEXUS</t>
  </si>
  <si>
    <t>ENDESA</t>
  </si>
  <si>
    <t>AGENTE DEL MERCADO ELECTRICO</t>
  </si>
  <si>
    <t>BARBO ENERGÃAS RENOVABLES S.A.</t>
  </si>
  <si>
    <t>ABASTE COMERCIALIZADORA</t>
  </si>
  <si>
    <t>ABOUT WHITE SL</t>
  </si>
  <si>
    <t>ACAPERSA 1997 SL</t>
  </si>
  <si>
    <t>IBERDROLA</t>
  </si>
  <si>
    <t>NATURGY</t>
  </si>
  <si>
    <t>ACENHOL ENERGIA SOCIEDAD LIMITADA</t>
  </si>
  <si>
    <t>ACTIVA ENERGIA</t>
  </si>
  <si>
    <t>ADS ENERGY 8.0 SL</t>
  </si>
  <si>
    <t>ADS ENERGIA</t>
  </si>
  <si>
    <t>ADURIZ ENERGIA</t>
  </si>
  <si>
    <t>ADX RENOVABLES SL</t>
  </si>
  <si>
    <t>AED ENERGÃA ELÃ‰CTRICA, S.L.</t>
  </si>
  <si>
    <t>COX ENERGIA COMERCIALIZADORA</t>
  </si>
  <si>
    <t>AB ENERGIA 1903</t>
  </si>
  <si>
    <t>AGUAS DEL MARQUESADO S.L</t>
  </si>
  <si>
    <t>AGRI ENERGIA, S. A.</t>
  </si>
  <si>
    <t>ENERGY FACTORY GROUP S.L.</t>
  </si>
  <si>
    <t>REPSOL</t>
  </si>
  <si>
    <t>AHORRA ENERGIA</t>
  </si>
  <si>
    <t>AHORA LUZ ENERGÃA SL</t>
  </si>
  <si>
    <t>COMERCIALIZADOR</t>
  </si>
  <si>
    <t>HIDROCARBUROS ALAHURÃN SL</t>
  </si>
  <si>
    <t>COMERCIALIZADORA ELECTRICA DALBATARREC SLU</t>
  </si>
  <si>
    <t>ALRERAAN ENERGIA SLU</t>
  </si>
  <si>
    <t>ALDEFE COMERCIALIZADORA DE ENE</t>
  </si>
  <si>
    <t>ALDROENERGIA Y SOLUCIONES SL</t>
  </si>
  <si>
    <t>COMERCIALIZADORA SUMINISTRO ES</t>
  </si>
  <si>
    <t>ALIO ENERGIA S.L.</t>
  </si>
  <si>
    <t>ALPEX IBERICA DE ENERGIA SL</t>
  </si>
  <si>
    <t>ALQUILER SEGURO ENERGIA SA</t>
  </si>
  <si>
    <t>ALUZ ENERGIA ELECTRICA</t>
  </si>
  <si>
    <t>BIZCAIA ENERGIA</t>
  </si>
  <si>
    <t>AMPERIOS ENERGY TRADE</t>
  </si>
  <si>
    <t>ANTUKO ENERGÃA, S.L</t>
  </si>
  <si>
    <t>AUSARTA PRIMA</t>
  </si>
  <si>
    <t>ARACAN ENERGIA SL</t>
  </si>
  <si>
    <t>ARGIMODE SL</t>
  </si>
  <si>
    <t>COLABORA ENERGIA-ARGUS</t>
  </si>
  <si>
    <t>ASISTENCIA ENERGÃ‰TICA S.L.</t>
  </si>
  <si>
    <t>ATURAGUA</t>
  </si>
  <si>
    <t>ASTRALCAD ENERGIA S.L.</t>
  </si>
  <si>
    <t>ATENCO ENERGIA</t>
  </si>
  <si>
    <t>ATLAS ENERGIA COMERCIAL</t>
  </si>
  <si>
    <t>AUDAX</t>
  </si>
  <si>
    <t>AYUNTAMIENTO DE AVILES</t>
  </si>
  <si>
    <t>BBEL CCGT</t>
  </si>
  <si>
    <t>BASKONIA KIROL HIRIA SLU</t>
  </si>
  <si>
    <t>ELECBALEAR SL</t>
  </si>
  <si>
    <t>BALEIKE</t>
  </si>
  <si>
    <t>LONJAS TECNOLOGIA S.A.</t>
  </si>
  <si>
    <t>BASSOLS ENERGIA COMERCIAL,S.L.</t>
  </si>
  <si>
    <t>ELECTRICIDAD ELEIA SL</t>
  </si>
  <si>
    <t>BEROIL ENERGIA ELECTRICA</t>
  </si>
  <si>
    <t>HISPANO TEX</t>
  </si>
  <si>
    <t>HIDROJERTE</t>
  </si>
  <si>
    <t>COMERCIALIZADORA LUZIA ENERGIA</t>
  </si>
  <si>
    <t>BIROU GAS SL</t>
  </si>
  <si>
    <t>RESPIRA ENERGIA</t>
  </si>
  <si>
    <t>BON PREU SAU</t>
  </si>
  <si>
    <t>BOAENERGETICA 2000, S.L.</t>
  </si>
  <si>
    <t>BP GAS EUROPE</t>
  </si>
  <si>
    <t>IBERICA IMPULSA, S.L</t>
  </si>
  <si>
    <t>BSG ENERGIA</t>
  </si>
  <si>
    <t>BY ENERGYC ENERGIA EFICIENTE</t>
  </si>
  <si>
    <t>CANDELA ENERGÃA SL</t>
  </si>
  <si>
    <t>CALERA DE ALTZO</t>
  </si>
  <si>
    <t>ENERGIAS DE LA VILLA DE CAMPO COMERCIALIZADORA SLU</t>
  </si>
  <si>
    <t>MOLECOR CANALIZACIONES S.L</t>
  </si>
  <si>
    <t>CATGAS ENERGIA S.A</t>
  </si>
  <si>
    <t>ELECTRICA CATRALENSE SLU</t>
  </si>
  <si>
    <t>COMERCAST ENERGIAS, SL</t>
  </si>
  <si>
    <t>COOP. ELECT. CATRALENSE</t>
  </si>
  <si>
    <t>COOPERATIVA ELÃ‰CTRICA-BENÃ‰FICA</t>
  </si>
  <si>
    <t>COOP ELECTR DE CASTELLAR, S.CV</t>
  </si>
  <si>
    <t>COMERCIALIZADORA DE ENERGIA DIRECTA SL</t>
  </si>
  <si>
    <t>ESCANDINAVA DE ELECTRICIDAD</t>
  </si>
  <si>
    <t>ELECTRACOMERCIAL CENTELLES</t>
  </si>
  <si>
    <t>ZERMATT POWER, SL</t>
  </si>
  <si>
    <t>COMERC ELECTRICA TALAYUELAS</t>
  </si>
  <si>
    <t>RECICLAJES ECOLGICOS CHANDUY</t>
  </si>
  <si>
    <t>CHC COMERCIAL DE REFERENCIA</t>
  </si>
  <si>
    <t>E. DE SOT DE CHERA, SOC. COOP</t>
  </si>
  <si>
    <t>ACCIONA</t>
  </si>
  <si>
    <t>COMERCIALIZADORA LA CHISTABINA</t>
  </si>
  <si>
    <t>PRODUCTOS  CHURRUCA</t>
  </si>
  <si>
    <t>STIN SA</t>
  </si>
  <si>
    <t>W2M</t>
  </si>
  <si>
    <t>CIMA ENERGIA COMERCIALIZADORA</t>
  </si>
  <si>
    <t>TOTAL</t>
  </si>
  <si>
    <t>HOLALUZ</t>
  </si>
  <si>
    <t>ALTA COMERCIALIZADOR</t>
  </si>
  <si>
    <t>ELECTRICA DE GUADASSUAR, S.C.V</t>
  </si>
  <si>
    <t>FUTURA</t>
  </si>
  <si>
    <t>CONECTA2</t>
  </si>
  <si>
    <t>TUNERGIA</t>
  </si>
  <si>
    <t>URANOSCOPIDAE V ENERGIA S.L.</t>
  </si>
  <si>
    <t>CREAENERGIA ECO, S.L.U</t>
  </si>
  <si>
    <t>CRECE SOLUCIONES DE ENERGIA</t>
  </si>
  <si>
    <t>ENGIE</t>
  </si>
  <si>
    <t>CUPIRE PADESA S.L</t>
  </si>
  <si>
    <t>CYE ENERGÃA S.L.</t>
  </si>
  <si>
    <t>SECOND FOUNDATION ENERGY A.S.</t>
  </si>
  <si>
    <t>DAIMUZ ENERGIA SL</t>
  </si>
  <si>
    <t>DEBARU</t>
  </si>
  <si>
    <t>DISA ENERGIA ELECTRICA SL</t>
  </si>
  <si>
    <t>DILUZ COMERCIALIZADORA DE ELECTRICIDAD S.L.</t>
  </si>
  <si>
    <t>DIVICONSULTING ENERGIA COMERCIALIZADORA</t>
  </si>
  <si>
    <t>ENERGÃ‰TICA DEL ESTE SL</t>
  </si>
  <si>
    <t>CALERA DOLOMITAS</t>
  </si>
  <si>
    <t>DEEPKI ESPAÃ‘A SL</t>
  </si>
  <si>
    <t>DREUE AGRUPACION S L</t>
  </si>
  <si>
    <t>DRK ENERGY COMERCIALIZADORA</t>
  </si>
  <si>
    <t>3D SMART ENERGY SL</t>
  </si>
  <si>
    <t>DXT COMMODITIES SA</t>
  </si>
  <si>
    <t>DX COMERCIALIZADORA</t>
  </si>
  <si>
    <t>DYNEFF ESPAÃ‘A SL</t>
  </si>
  <si>
    <t>ELECTRICITAT DALMENAR SL.</t>
  </si>
  <si>
    <t>P. E. DEL ALTIPLANO</t>
  </si>
  <si>
    <t>ELECTRA ALTO MIÃ‘O COMERCIALIZA</t>
  </si>
  <si>
    <t>P.E. BECERRIL S.L.</t>
  </si>
  <si>
    <t>COOP. ELECT. NTRA. SRA. GRACIA</t>
  </si>
  <si>
    <t>EBROENERGIA COMERCIALIZADORA SL</t>
  </si>
  <si>
    <t>18XBURGE-1234--I</t>
  </si>
  <si>
    <t>ELECTRICA DE CADIZ</t>
  </si>
  <si>
    <t>ELECTRA DEL CARDENER ENERGIA</t>
  </si>
  <si>
    <t>ECOFUTURA LUZ ENERGIA</t>
  </si>
  <si>
    <t>ENERGÃA COLECTIVA</t>
  </si>
  <si>
    <t>ECONACTIVA SCOOP. DE C-LM</t>
  </si>
  <si>
    <t>ECOVERGY RENOVABLES</t>
  </si>
  <si>
    <t>ELECTRICA DE CALLOSA DE SEGURA</t>
  </si>
  <si>
    <t>COOP.ELECTRICA SERRALLO</t>
  </si>
  <si>
    <t>EDF TRADING LTD</t>
  </si>
  <si>
    <t>ELECTRA ENERGIA S.A.U.</t>
  </si>
  <si>
    <t>EFI-DUERO ENERGY SOCIEDAD COOPERATIVA EUROPEA LIMITADA</t>
  </si>
  <si>
    <t>E GUIXES ENERGIA</t>
  </si>
  <si>
    <t>HELIA COOPV</t>
  </si>
  <si>
    <t>ENERGY INTERSOL 15</t>
  </si>
  <si>
    <t>ELECTRA AVELLANA COMERCIAL, S.</t>
  </si>
  <si>
    <t>ELECNOVA</t>
  </si>
  <si>
    <t>ELEK COMERCIALIZADORA</t>
  </si>
  <si>
    <t>COMERCIALIZADORA ELECTRICA SUD</t>
  </si>
  <si>
    <t>ELITE BIOENERGÃA S.L.</t>
  </si>
  <si>
    <t>COM ELECTRICA MONTOLIU</t>
  </si>
  <si>
    <t>ELECTRICA POPULAR, S. COOP.</t>
  </si>
  <si>
    <t>GESTERNOVA</t>
  </si>
  <si>
    <t>E-LUZ ENERGY SOLUTIONS, S.L.</t>
  </si>
  <si>
    <t>ELEVA 2 COMERCIALIZADORA</t>
  </si>
  <si>
    <t>ELEVA UNO COMERCIALIZADORA</t>
  </si>
  <si>
    <t>RENOMAR</t>
  </si>
  <si>
    <t>EMILIO ESTEBAN S.A</t>
  </si>
  <si>
    <t>ENERMIA COMERCIALIZADORA ELECTRICA S.L.</t>
  </si>
  <si>
    <t>18XMIRAS-12345-9</t>
  </si>
  <si>
    <t>ENARA GESTION Y MEDIACION SL</t>
  </si>
  <si>
    <t>ENCIENDETENERGIA, S.L.</t>
  </si>
  <si>
    <t>ENERGIAS DE ESCARRILLA SL</t>
  </si>
  <si>
    <t>ENDI ENERGIA</t>
  </si>
  <si>
    <t>ENERGETICA HOTELERA</t>
  </si>
  <si>
    <t>ENERGIAS DE PANTICOSA COMERCIALIZADORA</t>
  </si>
  <si>
    <t>ENERGY SOLAR TECH S.L</t>
  </si>
  <si>
    <t>ENEX SOCIAL ENERGY SL</t>
  </si>
  <si>
    <t>ENERGIA ECOLOGICA ECONOMICA</t>
  </si>
  <si>
    <t>ENERGIA NUFRI</t>
  </si>
  <si>
    <t>COMERCIALIZADORA DEL MEDITERRANEO</t>
  </si>
  <si>
    <t>ENERPLUS ENERGIA</t>
  </si>
  <si>
    <t>ENERGIAS RENOVADORAS SL</t>
  </si>
  <si>
    <t>SUJETO ENERPLUS</t>
  </si>
  <si>
    <t>ENERGY SAVE PROYECTS</t>
  </si>
  <si>
    <t>FABRICA HILOS TEXTILES</t>
  </si>
  <si>
    <t>ENTECO EXTREMADURA</t>
  </si>
  <si>
    <t>ENERGIAS DEL ZINQUETA COMERCIALIZADORA SLU</t>
  </si>
  <si>
    <t>REGISITI COM. REGULADA</t>
  </si>
  <si>
    <t>ENERGIA OPERATIVA</t>
  </si>
  <si>
    <t>EPAC COMERCIALIZADORA</t>
  </si>
  <si>
    <t>HIDROCANTABRICO ULTIMO RECURSO</t>
  </si>
  <si>
    <t>ESTAMPACIONES METALICAS EPILA</t>
  </si>
  <si>
    <t>EPRESA ENERGIA S.A.U.</t>
  </si>
  <si>
    <t>ELECTROROUTE ENERGY TRADING LD</t>
  </si>
  <si>
    <t>ESTABANELL Y PAHISA MERCATOR</t>
  </si>
  <si>
    <t>INGEBAU SOLUCIONES DE MEDIDA</t>
  </si>
  <si>
    <t>GESTION DE ENERGIA Y MERCADOS</t>
  </si>
  <si>
    <t>ESTACION AUTOBUSES ZARAGOZA</t>
  </si>
  <si>
    <t>ESDOMO ENERGÃA SL</t>
  </si>
  <si>
    <t>ELECTRICA SEROSENSE</t>
  </si>
  <si>
    <t>EVERSHINING ENERGY, SOCIEDAD LIMITADA</t>
  </si>
  <si>
    <t>ETER ENERGIA SL</t>
  </si>
  <si>
    <t>ENERGY TRADER SOLUTIONS SL</t>
  </si>
  <si>
    <t>SUMINISTROS DE GAS Y LUZ EUROPA COMERCIALIZADORA</t>
  </si>
  <si>
    <t>ENERGIA VIVA SPAIN SL</t>
  </si>
  <si>
    <t>ENERGIA Y COMERCIALIZACION EMPRESARIAL SL</t>
  </si>
  <si>
    <t>ISABA</t>
  </si>
  <si>
    <t>GEOATLANTER S.L.</t>
  </si>
  <si>
    <t>FLUID ELECTRIC CAMPRODON II S</t>
  </si>
  <si>
    <t>FORCES ELECTRIQUES D ANDORRA</t>
  </si>
  <si>
    <t>FEED ENERGIA</t>
  </si>
  <si>
    <t>RESPIRA ESPAÃ‘A</t>
  </si>
  <si>
    <t>HORNO INDUSTRIAL DE PAN</t>
  </si>
  <si>
    <t>GRANDES CONSUM. INDUSTR. S.L.</t>
  </si>
  <si>
    <t>FRANK ENERGIA IBERIA, S.L.</t>
  </si>
  <si>
    <t>REPCOM EYG</t>
  </si>
  <si>
    <t>FORESTA TERRENOS</t>
  </si>
  <si>
    <t>FORTULUZ COMERCIALIZACION</t>
  </si>
  <si>
    <t>VITA ENERGY CONSULTING SL</t>
  </si>
  <si>
    <t>LA UNIÃ“N ELECTRO INDUSTRIAL, S</t>
  </si>
  <si>
    <t>AE3000 AGENT COMERCIALIZADOR S</t>
  </si>
  <si>
    <t>GLOBAL SOLAR ENERGY, S.A.</t>
  </si>
  <si>
    <t>PLANTA SOLAR HELIOS I, S.L.</t>
  </si>
  <si>
    <t>TRACTAMENT I SELECCIO DE RESID</t>
  </si>
  <si>
    <t>GAIA GLOBAL ENERGY SL</t>
  </si>
  <si>
    <t>IBERELECTRICA COMERCIALIZADORA</t>
  </si>
  <si>
    <t>GAMBITOENERGY, S.L.</t>
  </si>
  <si>
    <t>GANA ENERGIA</t>
  </si>
  <si>
    <t>GASELEC DIVERSIFICACION SL</t>
  </si>
  <si>
    <t>XENERA COMPAÃ‘ÃA ELÃ‰CTRICA S.A.</t>
  </si>
  <si>
    <t>FABRICA GEISA</t>
  </si>
  <si>
    <t>ENERGY WORKS CARTAGENA, S.L.</t>
  </si>
  <si>
    <t>GESTINER INGENIEROS, S.L.</t>
  </si>
  <si>
    <t>GERENCIA ENERGETICA</t>
  </si>
  <si>
    <t>GAZPROM MARKETING &amp; TRADING LI</t>
  </si>
  <si>
    <t>GASILUZ ECO ENERCIA</t>
  </si>
  <si>
    <t>MARTIN LOPEZ DE PETROLEOS</t>
  </si>
  <si>
    <t>GARCIAMUNTE ENERGIA S L</t>
  </si>
  <si>
    <t>MET ENERGÃA ESPAÃ‘A, S.A.U.</t>
  </si>
  <si>
    <t>CENTRICA ENERGY TRADING A/S</t>
  </si>
  <si>
    <t>NOBLE CLEAN FUELS LIMITED</t>
  </si>
  <si>
    <t>GODAY ENERGIA</t>
  </si>
  <si>
    <t>GOIENER S.COOP</t>
  </si>
  <si>
    <t>MARRUECOS</t>
  </si>
  <si>
    <t>GERENTA ENERGIA</t>
  </si>
  <si>
    <t>SAMPOL INGENIERIA Y OBRAS</t>
  </si>
  <si>
    <t>STATKRAFT</t>
  </si>
  <si>
    <t>TRAILSTONE RENEWABLES GMBH</t>
  </si>
  <si>
    <t>CORPORACION ALIMENTARIA GUISSO</t>
  </si>
  <si>
    <t>UNIELECTRICA</t>
  </si>
  <si>
    <t>Gurbtec energia, SL</t>
  </si>
  <si>
    <t>VITOL SA</t>
  </si>
  <si>
    <t>HAM POWER, S.L</t>
  </si>
  <si>
    <t>ARANDINA</t>
  </si>
  <si>
    <t>HIDROCANTÃBRICO ENERGÃA COMERC</t>
  </si>
  <si>
    <t>HELIOELECENERGIA ELECTRICAYGAS</t>
  </si>
  <si>
    <t>HELIOS ENERGIA INTELIGENTE</t>
  </si>
  <si>
    <t>ITURBEGI S.L.</t>
  </si>
  <si>
    <t>GENHIDRO S.L.</t>
  </si>
  <si>
    <t>HIDRO NITRO ESPAÃ‘OLA, S.A.</t>
  </si>
  <si>
    <t>INTRAENERGIA REPRESENTACION SL</t>
  </si>
  <si>
    <t>JUNTA ANDALUCIA</t>
  </si>
  <si>
    <t>HIDROBESORA SERVICIOS SL</t>
  </si>
  <si>
    <t>HOY ENERGIA S.L.</t>
  </si>
  <si>
    <t>18XPEUSA-12345-4</t>
  </si>
  <si>
    <t>HSAT21 ENERGIA SL</t>
  </si>
  <si>
    <t>SILLEDA COMERCIALIZADORA</t>
  </si>
  <si>
    <t>IBERICA DE SUSPENSIONES</t>
  </si>
  <si>
    <t>HUERTA DEHESA EL ALCORNOCAL SL</t>
  </si>
  <si>
    <t>INMOBILIARIA DE CONSTRUCCIONES</t>
  </si>
  <si>
    <t>INCOGAS</t>
  </si>
  <si>
    <t>INICIATIVA E.NOVA</t>
  </si>
  <si>
    <t>IMPERIUM LUMEN S.A.</t>
  </si>
  <si>
    <t>INER1CO1</t>
  </si>
  <si>
    <t>INTEGRACION EUROPEA DE ENERGIA</t>
  </si>
  <si>
    <t>INTERENERGIA ENERGY TRADING COMPANY</t>
  </si>
  <si>
    <t>INUSK01</t>
  </si>
  <si>
    <t>IRIS ENERGIA EFICIENTE</t>
  </si>
  <si>
    <t>INVESYDE COMERCIALIZADORA</t>
  </si>
  <si>
    <t>ELECTRICA DE SUDANELL SL</t>
  </si>
  <si>
    <t>JUAN ENERGY COMERCIALIZADORA</t>
  </si>
  <si>
    <t>JUST ENERGY PRO LUZ</t>
  </si>
  <si>
    <t>KANUI ENERGIA</t>
  </si>
  <si>
    <t>KILOWATIOS VERDES SL</t>
  </si>
  <si>
    <t>KINESTALIA ENERGIA, SOCIEDAD LIMITADA</t>
  </si>
  <si>
    <t>KODL CAPITAL SL</t>
  </si>
  <si>
    <t>KONERY EFICIENCIA ENERGTICA</t>
  </si>
  <si>
    <t>EKILUZ ENERGIA COMERCIALIZADORA SL</t>
  </si>
  <si>
    <t>KWFVI ENERGÃA, S.L</t>
  </si>
  <si>
    <t>LABOIL ENERGIA SL</t>
  </si>
  <si>
    <t>CH DUERO</t>
  </si>
  <si>
    <t>ILANDS AND BUILDINGS</t>
  </si>
  <si>
    <t>LABOR SOLIS COMERCIALIZADORA DE ENERGÃA S.L</t>
  </si>
  <si>
    <t>LA VALL COMERCIALIZADORA ELECTRICA SOCIEDAD LIMITADA</t>
  </si>
  <si>
    <t>LOWCOSTPOWER</t>
  </si>
  <si>
    <t>LIDERGIA</t>
  </si>
  <si>
    <t>LOOP ELECTRICIDAD</t>
  </si>
  <si>
    <t>ELEGA ENERGIA COMERCIALIZADORA</t>
  </si>
  <si>
    <t>COMERCIALIZADORA LERSA SL</t>
  </si>
  <si>
    <t>LIDERA COMERCIALIZADORA ENERGIA SL</t>
  </si>
  <si>
    <t>ALTERNA OPERADOR INTEGRAL</t>
  </si>
  <si>
    <t>LOVE ENERGY</t>
  </si>
  <si>
    <t>LUZ SOLIDARIA INCLUSIVA, SL</t>
  </si>
  <si>
    <t>COMERCIALIZADORA ELECTRICIDAD</t>
  </si>
  <si>
    <t>LUCIÃ‰RNAGA COMERCIALIZADORA</t>
  </si>
  <si>
    <t>HIDROELECTRICA LUMYMEY SL</t>
  </si>
  <si>
    <t>LUMENAZA GMBH</t>
  </si>
  <si>
    <t>COMPAÃ‘IA LUMISA ENERGIAS</t>
  </si>
  <si>
    <t>LUX FORUM SLU</t>
  </si>
  <si>
    <t>LUZ DEL PUEBLO S.L.</t>
  </si>
  <si>
    <t>LUZ SOLIDARIA SL</t>
  </si>
  <si>
    <t>LUZY ENERGIA RENOVABLE SLU</t>
  </si>
  <si>
    <t>PRODUCCIONES JOSE MANUBENS</t>
  </si>
  <si>
    <t>MAS INTELIGENCIA</t>
  </si>
  <si>
    <t>MASQLUZ 2020</t>
  </si>
  <si>
    <t>MEGARA ENERGIA SOC COOP</t>
  </si>
  <si>
    <t>MEROLTEX SL</t>
  </si>
  <si>
    <t>MAFRESA IBERICO DE CONFIANZA</t>
  </si>
  <si>
    <t>MINAS DE ALCANTARA SL</t>
  </si>
  <si>
    <t>MONTARTO TECHNOLOGY SL</t>
  </si>
  <si>
    <t>MOVHERA - HIDROELETRICAS DO NORTE SA</t>
  </si>
  <si>
    <t>MUNICIPAL DE SERVICIOS VILLAHE</t>
  </si>
  <si>
    <t>MUESTRARIOS IBERIA SL</t>
  </si>
  <si>
    <t>MULTISERVICIOS TECNOLOGICOS SA</t>
  </si>
  <si>
    <t>MY ENERGIA ONER S.L.</t>
  </si>
  <si>
    <t>MYLIGHT ENERGY SP, S.A.U.</t>
  </si>
  <si>
    <t>RECICLAJES ECOLOGICOS NAGINI SL</t>
  </si>
  <si>
    <t>PETRONAVARRA SL</t>
  </si>
  <si>
    <t>NUEVA COMERCIALIZ ESPAÃ‘OLA SL</t>
  </si>
  <si>
    <t>NEOELECTRA ENERGÃA SLU</t>
  </si>
  <si>
    <t>NETON ENERGY SERVICES, S.L.U.</t>
  </si>
  <si>
    <t>NEURO ENERGIA</t>
  </si>
  <si>
    <t>COMERCIALIZADORA ENERGÃA ELÃ‰CTRICA</t>
  </si>
  <si>
    <t>NEXT ENERGiA XXI SL</t>
  </si>
  <si>
    <t>NIVAPLAST RECICLADOS</t>
  </si>
  <si>
    <t>COMERCIALIZADOR DE ENERGIA</t>
  </si>
  <si>
    <t>NORTELECTRICA SA</t>
  </si>
  <si>
    <t>ELECTRA NORTE ENERGIA, S.A.</t>
  </si>
  <si>
    <t>NOSA ENERXIA SCG</t>
  </si>
  <si>
    <t>NOVALUZ ENERGÃA SL</t>
  </si>
  <si>
    <t>ODF ENERGIA LIBRE</t>
  </si>
  <si>
    <t>RONDA OESTE ENERGIA</t>
  </si>
  <si>
    <t>OHMIA ELECTRA</t>
  </si>
  <si>
    <t>OK_TU_ENEGIA_VERDE</t>
  </si>
  <si>
    <t>OLE GREEN ENERGY</t>
  </si>
  <si>
    <t>OLIVIA COMERCIALIZADORA SLU</t>
  </si>
  <si>
    <t>OHM EYG COMERCIALIZADORA</t>
  </si>
  <si>
    <t>OLIVES AND PICKLES</t>
  </si>
  <si>
    <t>COMERCIALIZADORA DE ENERGÃA ELÃ‰CTRICA</t>
  </si>
  <si>
    <t>OSUNA MISSSION</t>
  </si>
  <si>
    <t>OXPERTA GREEN ENERGY, SL</t>
  </si>
  <si>
    <t>PETRONIEVES ENERGIA COMERCIALI</t>
  </si>
  <si>
    <t>PLASPISA SA</t>
  </si>
  <si>
    <t>MATADERO EL CABEZO DE LA PLATA</t>
  </si>
  <si>
    <t>PONTS COMERCIALITZADORA MUNICI</t>
  </si>
  <si>
    <t>COMUNIDAD DE REGANTES EL PORVENIR</t>
  </si>
  <si>
    <t>POTENZIA COMERCIALIZADORA SL</t>
  </si>
  <si>
    <t>COMERCIALIZACION</t>
  </si>
  <si>
    <t>SCL MTRA SRA DEL PRADO</t>
  </si>
  <si>
    <t>PROSOL ENERGÃA COMERCIALIZADORA SL</t>
  </si>
  <si>
    <t>PARATIENERGIA</t>
  </si>
  <si>
    <t>TEXTIL PUIG UBACH SA</t>
  </si>
  <si>
    <t>PULSAR ENERGIA</t>
  </si>
  <si>
    <t>QUANTUM LUX 6.4 S.L</t>
  </si>
  <si>
    <t>QUANTICA COMERCIALIZADORA DE ENERGIA, S.L</t>
  </si>
  <si>
    <t>COMPAÃ‘ÃA ESPAÃ‘OLA DE PETROLEOS</t>
  </si>
  <si>
    <t>BIOWATT IBERICA S.L</t>
  </si>
  <si>
    <t>PLANTA MECA-BIOLOGICA BOTARELL</t>
  </si>
  <si>
    <t>RENOVAE CONSULTING</t>
  </si>
  <si>
    <t>REPRESENTANTES DE CONSUMIDORES EN EL MERCADO ELECTRICO</t>
  </si>
  <si>
    <t>SUJETO DE MERCADO RELUZCA</t>
  </si>
  <si>
    <t>REMICA COMERCIALIZADORA</t>
  </si>
  <si>
    <t>REUS SERVEIS MUNICIPALS, SA</t>
  </si>
  <si>
    <t>REYSE ENERGIA SL</t>
  </si>
  <si>
    <t>CONSUMIDOR DIRECTO AYUNTAMIENTO RIVAS</t>
  </si>
  <si>
    <t>ROFEICA ENERGIA, S.A.</t>
  </si>
  <si>
    <t>ELEC SERRANIA RONDA ENERGIA SL</t>
  </si>
  <si>
    <t>SMURFIT KAPPA NERVION, S.A.</t>
  </si>
  <si>
    <t>18XTIRCA-12345-N</t>
  </si>
  <si>
    <t>ELECTRICA SALAS DE PALLARS COMERCIALIZADORA</t>
  </si>
  <si>
    <t>SAPIENS ENERGIA COOPS</t>
  </si>
  <si>
    <t>FABRICA TELA</t>
  </si>
  <si>
    <t>SENEO, COOP.V.</t>
  </si>
  <si>
    <t>COOPELECSANFCODEASIS</t>
  </si>
  <si>
    <t>SIGNO ENERGY, S.L.</t>
  </si>
  <si>
    <t>HOTEL SILOS</t>
  </si>
  <si>
    <t>SIMPLES ENERGIA DE ESPAÃ‘A SL</t>
  </si>
  <si>
    <t>SNIACE S.A.</t>
  </si>
  <si>
    <t>ELECTRICA SOLLERENSE SA</t>
  </si>
  <si>
    <t>SOLWE ENERGÃA</t>
  </si>
  <si>
    <t>SOM ENERGIA COOPERATIVA</t>
  </si>
  <si>
    <t>SOM RENOVABLES SL</t>
  </si>
  <si>
    <t>PROFIT ENERGY SL</t>
  </si>
  <si>
    <t>RENEWABLE ENERGY OPTIMISATION</t>
  </si>
  <si>
    <t>SUAVIZANTES Y PLASTIFICANTES BITUMINOSOS</t>
  </si>
  <si>
    <t>GASHOGAR</t>
  </si>
  <si>
    <t>ENERGYSTROMXXI</t>
  </si>
  <si>
    <t>COMERCIALIZADORA ELECTRICA VALENCIANA</t>
  </si>
  <si>
    <t>SUNAIR ONE ENERGY</t>
  </si>
  <si>
    <t>POWER WATT ENERGY</t>
  </si>
  <si>
    <t>SUN POWER SPAIN 365</t>
  </si>
  <si>
    <t>SHAREYOURENERGY</t>
  </si>
  <si>
    <t>TALARN ENERGIA ELECTRICA</t>
  </si>
  <si>
    <t>18XATAL-12345-1E</t>
  </si>
  <si>
    <t>TARRAGONA POWER S.L</t>
  </si>
  <si>
    <t>TAUTRA ENERGIA</t>
  </si>
  <si>
    <t>UTTEM-TRM</t>
  </si>
  <si>
    <t>COGENERADORA BURGALESA</t>
  </si>
  <si>
    <t>18XPAPELECKERSAC</t>
  </si>
  <si>
    <t>TENSINA DE ENERGIA Y SERVICIOS</t>
  </si>
  <si>
    <t>CARNES ESTELLES S.A.</t>
  </si>
  <si>
    <t>FIBRAREL, A.I.E.</t>
  </si>
  <si>
    <t>HULLERAS DEL NORTE S.A.</t>
  </si>
  <si>
    <t>SOCIETAT MUNICIPAL DE COMERCIA</t>
  </si>
  <si>
    <t>TELECOR REPRESENTANTE CONSUMIDORES DIRECTOS</t>
  </si>
  <si>
    <t>18XNEOSC-12345-4</t>
  </si>
  <si>
    <t>COGENERACIÃ“N DE BEGUDA S.A.</t>
  </si>
  <si>
    <t>COMERCIALITZADORA TORRES ENERG</t>
  </si>
  <si>
    <t>TORTOSA ENERGIA, S. A.</t>
  </si>
  <si>
    <t>PLANA CAN GUITART S.L.</t>
  </si>
  <si>
    <t>COMPRAENERGIAPARAGRUPO</t>
  </si>
  <si>
    <t>SERVEI D INCINERACIÃ“ DELS RESI</t>
  </si>
  <si>
    <t>TELEFÃ“NICA SOLUCIONES</t>
  </si>
  <si>
    <t>TIPMEGA, S.A.</t>
  </si>
  <si>
    <t>TUCAN ENERGIA</t>
  </si>
  <si>
    <t>TU ELECTRICA S.L.</t>
  </si>
  <si>
    <t>WARTSILA IBÃ‰RICA S.A.</t>
  </si>
  <si>
    <t>ULTREYA SOLUCIONES SL</t>
  </si>
  <si>
    <t>UMBRELLA ELECTRON, S.L.</t>
  </si>
  <si>
    <t>OCTOPUS ENERGY ESPANA SLU</t>
  </si>
  <si>
    <t>SALTOS DEL JUCAR HIDRAULICA</t>
  </si>
  <si>
    <t>URANOSCOPIDAE VII ENERGIA, S.L.</t>
  </si>
  <si>
    <t>EVOLVE ENERGIA SL</t>
  </si>
  <si>
    <t>URBENER</t>
  </si>
  <si>
    <t>HIDROELECTRICA DEL VALIRA SL</t>
  </si>
  <si>
    <t>VALERO FORN TRADICIONAL SL</t>
  </si>
  <si>
    <t>VARAENER, S.L.</t>
  </si>
  <si>
    <t>VELETA ENERGIA SL</t>
  </si>
  <si>
    <t>SOCIEDAD ARAGONESA</t>
  </si>
  <si>
    <t>VIRGIN ELECTRIC COMERCIALIZADORA</t>
  </si>
  <si>
    <t>VIROQUE ENERGY SL</t>
  </si>
  <si>
    <t>VISCOCEL S.L.U</t>
  </si>
  <si>
    <t>VIVO ENERGIA FUTURA</t>
  </si>
  <si>
    <t>PELLET ASTURIAS</t>
  </si>
  <si>
    <t>VALLES PLASTIC FILM, S.L.</t>
  </si>
  <si>
    <t>VIVA ENERGIA Y SOLUCIONES SL</t>
  </si>
  <si>
    <t>RECICLAJE ECOLOGICOS BARATHEON</t>
  </si>
  <si>
    <t>WEKIWI SL</t>
  </si>
  <si>
    <t>YELLOW ENERGY</t>
  </si>
  <si>
    <t>DOMESTICA GAS Y ELECTRICIDAD</t>
  </si>
  <si>
    <t>ZUG POWER, SL</t>
  </si>
  <si>
    <t>Supply</t>
  </si>
  <si>
    <t>Coal</t>
  </si>
  <si>
    <t>Energia residual</t>
  </si>
  <si>
    <t>Hydro</t>
  </si>
  <si>
    <t>CCGT</t>
  </si>
  <si>
    <t>Cogeneration</t>
  </si>
  <si>
    <t>Hydro Pump</t>
  </si>
  <si>
    <t>Solar PV</t>
  </si>
  <si>
    <t>Hydro Pump-Turb</t>
  </si>
  <si>
    <t>Wind</t>
  </si>
  <si>
    <t>Exportacion Francia</t>
  </si>
  <si>
    <t>Importacion Francia</t>
  </si>
  <si>
    <t>Biomass</t>
  </si>
  <si>
    <t>Other renewables</t>
  </si>
  <si>
    <t>Exportacion Andorra</t>
  </si>
  <si>
    <t>Genericas</t>
  </si>
  <si>
    <t>Solar Thermal</t>
  </si>
  <si>
    <t>Exportacion Marruecos</t>
  </si>
  <si>
    <t>Importacion Marruecos</t>
  </si>
  <si>
    <t>Sum of Power MW</t>
  </si>
  <si>
    <t>Column Labels</t>
  </si>
  <si>
    <t>Row Labels</t>
  </si>
  <si>
    <t>Grand Total</t>
  </si>
  <si>
    <t>ALPIQ</t>
  </si>
  <si>
    <t>MRA</t>
  </si>
  <si>
    <t>Supply Share %</t>
  </si>
  <si>
    <t>Supply GWh 2023</t>
  </si>
  <si>
    <t>Biomass + Cogen</t>
  </si>
  <si>
    <t>CCGT + Coal</t>
  </si>
  <si>
    <t>Others</t>
  </si>
  <si>
    <t>Generación</t>
  </si>
  <si>
    <t>Derivados del petróleo ó carbón</t>
  </si>
  <si>
    <t>Energía residual</t>
  </si>
  <si>
    <t>Hidráulica UGH</t>
  </si>
  <si>
    <t>ABOÑO 1</t>
  </si>
  <si>
    <t>C.T. ABOÑO 1</t>
  </si>
  <si>
    <t>ACCIÓN COORDINADA DE BALANCE ES A FR</t>
  </si>
  <si>
    <t>ACCIÓN COORDINADA DE BALANCE FR A ES</t>
  </si>
  <si>
    <t>ACCIÓN COORDINADA DE BALANCE ES A PT</t>
  </si>
  <si>
    <t>ACCIÓN COORDINADA DE BALANCE PT A ES</t>
  </si>
  <si>
    <t>NTG</t>
  </si>
  <si>
    <t>Gas Natural Cogeneración</t>
  </si>
  <si>
    <t>Storage</t>
  </si>
  <si>
    <t>AFIBHEC</t>
  </si>
  <si>
    <t>HIBRIDACION EOLICA BATERIA COMPRA</t>
  </si>
  <si>
    <t>18W000000000Q0TV</t>
  </si>
  <si>
    <t>AGUAS DE BARBASTRO ENERGÍA, S.L</t>
  </si>
  <si>
    <t>Hydro Pump-Pump</t>
  </si>
  <si>
    <t>Turbinación bombeo</t>
  </si>
  <si>
    <t>AIZEC01</t>
  </si>
  <si>
    <t>UP AIZEN</t>
  </si>
  <si>
    <t>UPROGRAMACIN AIZEN</t>
  </si>
  <si>
    <t>18W000000000R019</t>
  </si>
  <si>
    <t>AIZEE</t>
  </si>
  <si>
    <t>AIZEN ENERGIA SOSTENIBLE RENOVABLE</t>
  </si>
  <si>
    <t>ALARCOS</t>
  </si>
  <si>
    <t>FV ALARCOS</t>
  </si>
  <si>
    <t>18W000000000RB0F</t>
  </si>
  <si>
    <t>Eólica terrestre</t>
  </si>
  <si>
    <t>AXP2</t>
  </si>
  <si>
    <t>APRESTOS DE LANERIA SA</t>
  </si>
  <si>
    <t>ARGI</t>
  </si>
  <si>
    <t>CEP</t>
  </si>
  <si>
    <t>END</t>
  </si>
  <si>
    <t>ASIAGU</t>
  </si>
  <si>
    <t>HIDRO REG ORD CUENCA AGUERA</t>
  </si>
  <si>
    <t>18W000000000Q46S</t>
  </si>
  <si>
    <t>ASIDUE</t>
  </si>
  <si>
    <t>ASIDUERO</t>
  </si>
  <si>
    <t>HYDRO REG ORDINARIO CH DUERO</t>
  </si>
  <si>
    <t>18W000000000N3IJ</t>
  </si>
  <si>
    <t>ASIEBR2</t>
  </si>
  <si>
    <t>ASIEBRO2</t>
  </si>
  <si>
    <t>CUENCA EBRO REG ORDINARIO</t>
  </si>
  <si>
    <t>18W000000000Q1GH</t>
  </si>
  <si>
    <t>ASIEBRO</t>
  </si>
  <si>
    <t>HYDRO REG ORDINARIO CH EBRO</t>
  </si>
  <si>
    <t>18W000000000N3JH</t>
  </si>
  <si>
    <t>ASITAJ</t>
  </si>
  <si>
    <t>HYDRO REG ORDINARIO CH TAJO</t>
  </si>
  <si>
    <t>18W000000000N3HL</t>
  </si>
  <si>
    <t>ASSEN ENERGY, S.L.</t>
  </si>
  <si>
    <t>Exportación Francia</t>
  </si>
  <si>
    <t>Importación Francia</t>
  </si>
  <si>
    <t>BBE</t>
  </si>
  <si>
    <t>UP ADQUISICIÓN SSAA BAHIAB</t>
  </si>
  <si>
    <t>BAÑARES</t>
  </si>
  <si>
    <t>BAYWA1</t>
  </si>
  <si>
    <t>ALHENDIN 1</t>
  </si>
  <si>
    <t>UP FV ALHENDIN I</t>
  </si>
  <si>
    <t>18W000000000ROEM</t>
  </si>
  <si>
    <t>BAYWA3</t>
  </si>
  <si>
    <t>FV ALHEND3</t>
  </si>
  <si>
    <t>UP FV ALHENDIN III</t>
  </si>
  <si>
    <t>18W000000000ROGI</t>
  </si>
  <si>
    <t>BASSOLS ENERGÍA COMERCIAL, S.L.</t>
  </si>
  <si>
    <t>Hidráulica no UGH</t>
  </si>
  <si>
    <t>VENDA HIDRAULICA MOLI CARLOT</t>
  </si>
  <si>
    <t>IGR</t>
  </si>
  <si>
    <t>BIOC01</t>
  </si>
  <si>
    <t>BIODIESEL</t>
  </si>
  <si>
    <t>BIODIESEL ARAGON</t>
  </si>
  <si>
    <t>18W000000000RL3G</t>
  </si>
  <si>
    <t>BIODI</t>
  </si>
  <si>
    <t>Biogás</t>
  </si>
  <si>
    <t>UP BREÑA B</t>
  </si>
  <si>
    <t>UP BOMBEO BREÑA 2</t>
  </si>
  <si>
    <t>CANTI44</t>
  </si>
  <si>
    <t>CANTILLANA44</t>
  </si>
  <si>
    <t>18W000000000RB2B</t>
  </si>
  <si>
    <t>ELÉCTRICA CATRALENSE, SLU</t>
  </si>
  <si>
    <t>COOP. ELÉCT. CATRALENSE UP</t>
  </si>
  <si>
    <t>COMPAÑÍA ESCANDINAVA DE ELECTRICIDAD EN ESPAÑA, S.L</t>
  </si>
  <si>
    <t>CENTRICA EXPORTACIÓN DE ENERGÍA A FRANCIA (AGENTE EXTERNO)</t>
  </si>
  <si>
    <t>CENTRICA IMPORTACIÓN DE ENERGÍA DESDE FRANCIA (AGENTE EXTERNO)</t>
  </si>
  <si>
    <t>CIDE HCENERGÍA, S.A.</t>
  </si>
  <si>
    <t>ACC</t>
  </si>
  <si>
    <t>COGBORG</t>
  </si>
  <si>
    <t>18W000000000RCN3</t>
  </si>
  <si>
    <t>CRISOL</t>
  </si>
  <si>
    <t>CRISOL FV</t>
  </si>
  <si>
    <t>CRISOL FOTOVOLTAICA</t>
  </si>
  <si>
    <t>18W000000000RGLW</t>
  </si>
  <si>
    <t>C.C. CASTEJÓN ELEREBRO (GRUPO I)</t>
  </si>
  <si>
    <t>TOTENERG</t>
  </si>
  <si>
    <t>C.C. CASTEJÓN IBERDROLA</t>
  </si>
  <si>
    <t>C.C. CASTEJÓN ELEREBRO (GRUPO II)</t>
  </si>
  <si>
    <t>CC CASTELLÓN GRUPO 4</t>
  </si>
  <si>
    <t>ELB</t>
  </si>
  <si>
    <t>UP ADQUISICIÓN SSAA CTNUX</t>
  </si>
  <si>
    <t>CUNTIENSE</t>
  </si>
  <si>
    <t>DETIC CO</t>
  </si>
  <si>
    <t>DIRGC01</t>
  </si>
  <si>
    <t>DIRECTGREE</t>
  </si>
  <si>
    <t>DIRECTGREEN</t>
  </si>
  <si>
    <t>18W000000000QTG7</t>
  </si>
  <si>
    <t>DIREA</t>
  </si>
  <si>
    <t>DIRECT GREEN S.L</t>
  </si>
  <si>
    <t>DOL</t>
  </si>
  <si>
    <t>FOENER COMERCIALIZCIÓN SLU</t>
  </si>
  <si>
    <t>EVM2</t>
  </si>
  <si>
    <t>PARQUE EOLICO DE ADRAÑO</t>
  </si>
  <si>
    <t>PROMOCIONES EÓLICAS DEL ALTIPLANO,S.A.</t>
  </si>
  <si>
    <t>ELECTRA ALTO MIÑO COMERCIALIZADORA DE ENEGÍA, SLU</t>
  </si>
  <si>
    <t>Unidades hibridas</t>
  </si>
  <si>
    <t>EÓLICA LA BRÚJULA (E)</t>
  </si>
  <si>
    <t>DISTRIBUIDORA ELÉCTRICA DE CATOIRA, S.A</t>
  </si>
  <si>
    <t>COMPAÑIA EOLICA GRANADINA</t>
  </si>
  <si>
    <t>CENTRO NACIONAL DE ENERGÍAS RENOVABLES</t>
  </si>
  <si>
    <t>ECINCA</t>
  </si>
  <si>
    <t>CINCA</t>
  </si>
  <si>
    <t>18W000000000RG6P</t>
  </si>
  <si>
    <t>CC PEAKER ESCATRÓN</t>
  </si>
  <si>
    <t>CC ESCATRÓN</t>
  </si>
  <si>
    <t>EDF EXPORTACIÓN (ESPAÑA A FRANCIA)</t>
  </si>
  <si>
    <t>EDF IMPORTACIÓN (FRANCIA A ESPAÑA)</t>
  </si>
  <si>
    <t>Comercializadores último recurso</t>
  </si>
  <si>
    <t>Enlace península baleares</t>
  </si>
  <si>
    <t>PARQUE ELICO CAÑACOLOMA</t>
  </si>
  <si>
    <t>EEGPE1</t>
  </si>
  <si>
    <t>18W000000000RIE3</t>
  </si>
  <si>
    <t>EOLICA</t>
  </si>
  <si>
    <t>EÓLICA TARIFA= Ó &gt; DE 10 MW</t>
  </si>
  <si>
    <t>ENDESA GENERACIÓN, S.A.</t>
  </si>
  <si>
    <t>ELEKTRIZITATS-GESELLSHAFT LAUFENBURG ESPAÑA S.L</t>
  </si>
  <si>
    <t>ELECTRIZITÄTS-GESELLSCHAFT LAUFENBURG ESPAÑA, S.L., EXPORTACIÓN A FRANCIA (CON DERECHOS)</t>
  </si>
  <si>
    <t>ELECTRIZITÄTS-GESELLSCHAFT LAUFENBURG ESPAÑA, S.L., IMPORTACIÓN DESDE FRANCIA (CON DERECHOS)</t>
  </si>
  <si>
    <t>ACC2</t>
  </si>
  <si>
    <t>EGREEN2</t>
  </si>
  <si>
    <t>18W000000000P9SA</t>
  </si>
  <si>
    <t>EIBGEBU</t>
  </si>
  <si>
    <t>18W000000000RI0V</t>
  </si>
  <si>
    <t>ELECTRA CALDENSE ENERGÍA, S.A.</t>
  </si>
  <si>
    <t>ELCOTOR</t>
  </si>
  <si>
    <t>EL COTO</t>
  </si>
  <si>
    <t>18W000000000R8T3</t>
  </si>
  <si>
    <t>ENERGÍAS RENOVABLES MEDITERRÁNEAS, S.A. ( E)</t>
  </si>
  <si>
    <t>ENARA UNIDAD DE PROGRAMACIÓN</t>
  </si>
  <si>
    <t>Exportación Andorra</t>
  </si>
  <si>
    <t>ENDESA ENTREGA DE ENERGÍA EN FRANCIA (AGENTE EXTERNO)</t>
  </si>
  <si>
    <t>ENDRE02</t>
  </si>
  <si>
    <t>REPREFVAC2</t>
  </si>
  <si>
    <t>REPRESENTACION AUTOCONSUMO EE PENINSULA 1MW</t>
  </si>
  <si>
    <t>18W000000000RGNS</t>
  </si>
  <si>
    <t>ENEC01</t>
  </si>
  <si>
    <t>ENERGIA UN</t>
  </si>
  <si>
    <t>ENERGIA UNICA SOLUCIONES INTEGRALES</t>
  </si>
  <si>
    <t>18W000000000R2L0</t>
  </si>
  <si>
    <t>ENEDG</t>
  </si>
  <si>
    <t>ENERGIA UNICA SOLUCIONES INTEGRALES SL</t>
  </si>
  <si>
    <t>ENERE01</t>
  </si>
  <si>
    <t>UP VENTA</t>
  </si>
  <si>
    <t>UP REPRESENTANTE PRODUCTORES</t>
  </si>
  <si>
    <t>18W000000000R0PZ</t>
  </si>
  <si>
    <t>ENERTIA GROUP, S. L.</t>
  </si>
  <si>
    <t>ENGEL COMERCIALIZADORA SL</t>
  </si>
  <si>
    <t>ENUFV16</t>
  </si>
  <si>
    <t>CASTELLANA DE ELECTRICIDAD</t>
  </si>
  <si>
    <t>18W000000000R2TL</t>
  </si>
  <si>
    <t>EÓLICO ALDESA EOLICO PALOMAREJO, S.A.U.</t>
  </si>
  <si>
    <t>EVM</t>
  </si>
  <si>
    <t>ENDESA CUR ( EÓLICA, PRUEBAS)</t>
  </si>
  <si>
    <t>E.ON CUR ( EÓLICA, PRUEBAS)</t>
  </si>
  <si>
    <t>EPERTO</t>
  </si>
  <si>
    <t>UP ELICA DEL PUERTO SL</t>
  </si>
  <si>
    <t>18W000000000RG9J</t>
  </si>
  <si>
    <t>HIDROCANTABRICO CUR ( EÓLICA, PRUEBAS)</t>
  </si>
  <si>
    <t>IBERDROLA CUR ( EÓLICA, PRUEBAS)</t>
  </si>
  <si>
    <t>EROCH</t>
  </si>
  <si>
    <t>ROCHA</t>
  </si>
  <si>
    <t>18W000000000RG3V</t>
  </si>
  <si>
    <t>PARQUE EOLICO A RUÑA</t>
  </si>
  <si>
    <t>CAÑADA</t>
  </si>
  <si>
    <t>FV CAÑADA LENTISCO</t>
  </si>
  <si>
    <t>CCGT GDF SUEZ CARTAGENA ENERGÍA ESCOMBRERAS GRUPO I</t>
  </si>
  <si>
    <t>GDF</t>
  </si>
  <si>
    <t>UP ADQUISICIÓN SSAA ESCCC1</t>
  </si>
  <si>
    <t>CCGT GDF SUEZ CARTAGENA ENERGÍA ESCOMBRERAS GRUPO II</t>
  </si>
  <si>
    <t>UP ADQUISICIÓN SSAA ESCCC2</t>
  </si>
  <si>
    <t>CCGT GDF SUEZ CARTAGENA ENERGÍA ESCOMBRERAS GRUPO III</t>
  </si>
  <si>
    <t>UP ADQUISICIÓN SSAA ESCCC3</t>
  </si>
  <si>
    <t>S.E.SIERRA DEL ANDÉVALO ( E )</t>
  </si>
  <si>
    <t>EXPO CENTER BMC, SL</t>
  </si>
  <si>
    <t>ENDESA CUR ( TARIFA, EÓLICA, NO EXENTA)</t>
  </si>
  <si>
    <t>EGLE ( EÓLICA,TARIFA,NO EXENTO )</t>
  </si>
  <si>
    <t>E.ON CUR ( TARIFA, EÓLICA, NO EXENTA)</t>
  </si>
  <si>
    <t>GAS NATURAL SUR SDG ( TARIFA, EÓLICA, NO EXENTA)</t>
  </si>
  <si>
    <t>HIDROCANTABRICO CUR ( TARIFA, EÓLICA, NO EXENTA)</t>
  </si>
  <si>
    <t>IBERDROLA CUR ( TARIFA, EÓLICA, NO EXENTA)</t>
  </si>
  <si>
    <t>FAIRM1</t>
  </si>
  <si>
    <t>UP SOLAR AIRM1</t>
  </si>
  <si>
    <t>18W000000000R9R4</t>
  </si>
  <si>
    <t>FAIRM2</t>
  </si>
  <si>
    <t>UP SOLAR FAIRM2</t>
  </si>
  <si>
    <t>18W000000000R9S2</t>
  </si>
  <si>
    <t>UP SOLAR AZARA</t>
  </si>
  <si>
    <t>FBELME1</t>
  </si>
  <si>
    <t>UP SOLAR BELMEZ 1</t>
  </si>
  <si>
    <t>18W000000000RCFJ</t>
  </si>
  <si>
    <t>FBELME2</t>
  </si>
  <si>
    <t>UP SOLAR BELMEZ2</t>
  </si>
  <si>
    <t>18W000000000RCHF</t>
  </si>
  <si>
    <t>FBRVLS2</t>
  </si>
  <si>
    <t>UP SOLAR BROVALES 2</t>
  </si>
  <si>
    <t>18W000000000RM0J</t>
  </si>
  <si>
    <t>FBRVLS3</t>
  </si>
  <si>
    <t>UP SOLAR BROVALES3</t>
  </si>
  <si>
    <t>18W000000000RKLK</t>
  </si>
  <si>
    <t>FBURGO1</t>
  </si>
  <si>
    <t>UP FBURGO 1</t>
  </si>
  <si>
    <t>18W000000000RILQ</t>
  </si>
  <si>
    <t>FBURGO2</t>
  </si>
  <si>
    <t>UP FBURGO2</t>
  </si>
  <si>
    <t>18W000000000RIMO</t>
  </si>
  <si>
    <t>FCALASP</t>
  </si>
  <si>
    <t>18W000000000RL1K</t>
  </si>
  <si>
    <t>UP MAYOR 5MW CANAME</t>
  </si>
  <si>
    <t>CAÑAVEROSA</t>
  </si>
  <si>
    <t>FCIBANL</t>
  </si>
  <si>
    <t>CIBA</t>
  </si>
  <si>
    <t>CIBANAL</t>
  </si>
  <si>
    <t>18W000000000RBLA</t>
  </si>
  <si>
    <t>FCORVER</t>
  </si>
  <si>
    <t>UP SOLAR CORVERA</t>
  </si>
  <si>
    <t>18W000000000R9Q6</t>
  </si>
  <si>
    <t>FCPILLA</t>
  </si>
  <si>
    <t>UP SOLAR CAPILLA</t>
  </si>
  <si>
    <t>18W000000000RIU8</t>
  </si>
  <si>
    <t>FCTRAV2</t>
  </si>
  <si>
    <t>UP SOLAR CALATRAVA2</t>
  </si>
  <si>
    <t>18W000000000RJ3M</t>
  </si>
  <si>
    <t>FDUNAS</t>
  </si>
  <si>
    <t>UP DUNAS DF8 SLU</t>
  </si>
  <si>
    <t>18W000000000RHRH</t>
  </si>
  <si>
    <t>FEGPE4</t>
  </si>
  <si>
    <t>18W000000000PLIV</t>
  </si>
  <si>
    <t>FEGPE5</t>
  </si>
  <si>
    <t>18W000000000RHPL</t>
  </si>
  <si>
    <t>FELCAMP</t>
  </si>
  <si>
    <t>PSFV-EL CAMPILLO</t>
  </si>
  <si>
    <t>18W000000000RH6M</t>
  </si>
  <si>
    <t>FENERLN</t>
  </si>
  <si>
    <t>ENER</t>
  </si>
  <si>
    <t>ENERLAN</t>
  </si>
  <si>
    <t>18W000000000RI1T</t>
  </si>
  <si>
    <t>FGUZMAN</t>
  </si>
  <si>
    <t>UP SOLAR GUZMAN</t>
  </si>
  <si>
    <t>18W000000000RE7T</t>
  </si>
  <si>
    <t>FHRRERA</t>
  </si>
  <si>
    <t>UP SOLAR LA HERRERA</t>
  </si>
  <si>
    <t>18W000000000R9NC</t>
  </si>
  <si>
    <t>FINDINA</t>
  </si>
  <si>
    <t>UF SOLAR LA INDIANA</t>
  </si>
  <si>
    <t>18W000000000RN64</t>
  </si>
  <si>
    <t>FJUNEDA</t>
  </si>
  <si>
    <t>UP SOLAR JUNEDA</t>
  </si>
  <si>
    <t>18W000000000RCDN</t>
  </si>
  <si>
    <t>FLMULAS</t>
  </si>
  <si>
    <t>UP SOLAR MULAS</t>
  </si>
  <si>
    <t>18W000000000RIW4</t>
  </si>
  <si>
    <t>FLNTSCO</t>
  </si>
  <si>
    <t>UP SOLAR LENTISCO</t>
  </si>
  <si>
    <t>18W000000000RJ0S</t>
  </si>
  <si>
    <t>FMARTON</t>
  </si>
  <si>
    <t>MARTON</t>
  </si>
  <si>
    <t>18W000000000R8S5</t>
  </si>
  <si>
    <t>UP SOLAR CAÑADA MOLINO</t>
  </si>
  <si>
    <t>FMORALA</t>
  </si>
  <si>
    <t>18W000000000RFAK</t>
  </si>
  <si>
    <t>FNOBLEJ</t>
  </si>
  <si>
    <t>UP SOLAR NOBLEJAS</t>
  </si>
  <si>
    <t>18W000000000R9P8</t>
  </si>
  <si>
    <t>FOBISPO</t>
  </si>
  <si>
    <t>UP SOLAR LOSA DEL OBISPO</t>
  </si>
  <si>
    <t>18W000000000R9KI</t>
  </si>
  <si>
    <t>ENDESA CUR ( FOTOVOLTAICA, PRUEBAS)</t>
  </si>
  <si>
    <t>IBERDROLA CUR ( FOTOVOLTAICA, PRUEBAS)</t>
  </si>
  <si>
    <t>FPITIEG</t>
  </si>
  <si>
    <t>UP SOLAR PITIEGUA</t>
  </si>
  <si>
    <t>18W000000000R9OA</t>
  </si>
  <si>
    <t>FPSFSAX</t>
  </si>
  <si>
    <t>SAX</t>
  </si>
  <si>
    <t>PARQUESAX</t>
  </si>
  <si>
    <t>18W000000000RKNG</t>
  </si>
  <si>
    <t>FPZHON</t>
  </si>
  <si>
    <t>UP SOLAR POZOHONDO</t>
  </si>
  <si>
    <t>18W000000000R9ME</t>
  </si>
  <si>
    <t>FSPV10</t>
  </si>
  <si>
    <t>UP WATT DEVELOPMENT SPV 10 SL</t>
  </si>
  <si>
    <t>18W000000000RNVS</t>
  </si>
  <si>
    <t>FSPV3</t>
  </si>
  <si>
    <t>UP WATT DEVELOPMENT SPV 3 SL</t>
  </si>
  <si>
    <t>18W000000000RNXO</t>
  </si>
  <si>
    <t>FTALEGA</t>
  </si>
  <si>
    <t>18W000000000ROBS</t>
  </si>
  <si>
    <t>FTEQUI1</t>
  </si>
  <si>
    <t>UP SOLAR TEQUI1</t>
  </si>
  <si>
    <t>18W000000000RBN6</t>
  </si>
  <si>
    <t>FTLAYL1</t>
  </si>
  <si>
    <t>UP SOLAR TALAYUELA 1</t>
  </si>
  <si>
    <t>18W000000000R9IM</t>
  </si>
  <si>
    <t>FTLAYL2</t>
  </si>
  <si>
    <t>UP SOLAR TALAYUELA 2</t>
  </si>
  <si>
    <t>18W000000000R9JK</t>
  </si>
  <si>
    <t>FTOMI</t>
  </si>
  <si>
    <t>EL TOMILLAR</t>
  </si>
  <si>
    <t>18W000000000RM3D</t>
  </si>
  <si>
    <t>FTOTANA</t>
  </si>
  <si>
    <t>UP SOLAR TOTANA</t>
  </si>
  <si>
    <t>18W000000000RN56</t>
  </si>
  <si>
    <t>FTRDSL</t>
  </si>
  <si>
    <t>UP SOLAR TORDESILLAS</t>
  </si>
  <si>
    <t>18W000000000R9LG</t>
  </si>
  <si>
    <t>FTRUCHA</t>
  </si>
  <si>
    <t>UP SOLAR TRUCHA</t>
  </si>
  <si>
    <t>18W000000000RISC</t>
  </si>
  <si>
    <t>FVALMK</t>
  </si>
  <si>
    <t>FV ALAMAK</t>
  </si>
  <si>
    <t>UP SOLAR ALAMAK</t>
  </si>
  <si>
    <t>18W000000000RGF7</t>
  </si>
  <si>
    <t>FVALYA</t>
  </si>
  <si>
    <t>FV ALYA</t>
  </si>
  <si>
    <t>UP SOLAR ALYA</t>
  </si>
  <si>
    <t>18W000000000RGDB</t>
  </si>
  <si>
    <t>GNRA01</t>
  </si>
  <si>
    <t>FVEMINN</t>
  </si>
  <si>
    <t>18W000000000RAR1</t>
  </si>
  <si>
    <t>ENDESA CUR ( TARIFA, FOTOVOLTAICA, NO EXENTA)</t>
  </si>
  <si>
    <t>IBERDROLA CUR ( TARIFA, FOTOVOLTAICA, NO EXENTA)</t>
  </si>
  <si>
    <t>FZRPCOS</t>
  </si>
  <si>
    <t>UP SOLAR ZARAPICOS</t>
  </si>
  <si>
    <t>18W000000000RL4E</t>
  </si>
  <si>
    <t>Unidades genéricas</t>
  </si>
  <si>
    <t>Genéricas</t>
  </si>
  <si>
    <t>GALP ENERGÍA ESPAÑA, S.A.U.</t>
  </si>
  <si>
    <t>HAZAÑA SOL</t>
  </si>
  <si>
    <t>HAZAÑA SOLAR</t>
  </si>
  <si>
    <t>GALPS54</t>
  </si>
  <si>
    <t>18W000000000RGTG</t>
  </si>
  <si>
    <t>GALPS55</t>
  </si>
  <si>
    <t>18W000000000RGVC</t>
  </si>
  <si>
    <t>GANA ENERGÍA</t>
  </si>
  <si>
    <t>EGL ESPAÑA, S. L. ( G )</t>
  </si>
  <si>
    <t>ALP</t>
  </si>
  <si>
    <t>Solar térmica</t>
  </si>
  <si>
    <t>GAZPROM MARKETING &amp; TRADING (GENÉRICA)</t>
  </si>
  <si>
    <t>UNIDAD GENÉRICA GNCOM</t>
  </si>
  <si>
    <t>HISPAELEC ENERGÍA ( G )</t>
  </si>
  <si>
    <t>UNIDAD GENÉRICA</t>
  </si>
  <si>
    <t>GMT, EXPORTACIÓN A FRANCIA (CON DERECHOS)</t>
  </si>
  <si>
    <t>GMT, IMPORTACIÓN DESDE FRANCIA (CON DERECHOS)</t>
  </si>
  <si>
    <t>GNIDH1</t>
  </si>
  <si>
    <t>NIDHOG GENERAL</t>
  </si>
  <si>
    <t>18W000000000QUY5</t>
  </si>
  <si>
    <t>NIDHO</t>
  </si>
  <si>
    <t>NIDHOG APS</t>
  </si>
  <si>
    <t>ESPAÑA-FRANCIA COMPRA CON DERECHOS</t>
  </si>
  <si>
    <t>ESPAÑA-FRANCIA VENTA CON DERECHOS</t>
  </si>
  <si>
    <t>OFFICE NATIONAL DE L'ELECTRICITÉ ( G )</t>
  </si>
  <si>
    <t>IBERDROLA CUR ( GEOTÉRMICA-HIDR.MARINA, PRUEBAS)</t>
  </si>
  <si>
    <t>Oceano y geotérmica</t>
  </si>
  <si>
    <t>EEXXI (GEOTÉRMICA, NO EXENTA)</t>
  </si>
  <si>
    <t>IBERDROLA CUR ( GEOTÉRMICA-HIDR.MARINA, TARIFA NO EXENTA)</t>
  </si>
  <si>
    <t>HAFEC01</t>
  </si>
  <si>
    <t>HAFESA</t>
  </si>
  <si>
    <t>HAFESA MOBILITY ELC SL</t>
  </si>
  <si>
    <t>18W000000000RA66</t>
  </si>
  <si>
    <t>HAFES</t>
  </si>
  <si>
    <t>HAFESA MOBILITY ELC, S.L.</t>
  </si>
  <si>
    <t>UP HIDRO PEÑA DEL AGUILA</t>
  </si>
  <si>
    <t>HALTANO</t>
  </si>
  <si>
    <t>18W000000000RKT4</t>
  </si>
  <si>
    <t>HIDROELÉCTRICA DEL CANTÁBRICO, S.A.</t>
  </si>
  <si>
    <t>HC</t>
  </si>
  <si>
    <t>UP ZAMUÑON (PEÑALABRA)</t>
  </si>
  <si>
    <t>HIDROELÉCTRICA EL CARMEN ENERGÍA, S.L</t>
  </si>
  <si>
    <t>HIDRÁULICA&gt;5MW</t>
  </si>
  <si>
    <t>HIDROELÉCTRICA DE LA ONZA ( H )</t>
  </si>
  <si>
    <t>HILAC01</t>
  </si>
  <si>
    <t>HILAD</t>
  </si>
  <si>
    <t>SA HILADOS EGARFIL</t>
  </si>
  <si>
    <t>18W000000000RG8L</t>
  </si>
  <si>
    <t>HILADOS EGARFIL S.A.</t>
  </si>
  <si>
    <t>HILLTECH DIGITAL, S.L.</t>
  </si>
  <si>
    <t>HALLEY ENERGY, SOCIEDAD LIMITADA</t>
  </si>
  <si>
    <t>HMINI</t>
  </si>
  <si>
    <t>18W000000000RKU2</t>
  </si>
  <si>
    <t>HORN16</t>
  </si>
  <si>
    <t>HORNACHOS16</t>
  </si>
  <si>
    <t>18W000000000RB39</t>
  </si>
  <si>
    <t>HORN98</t>
  </si>
  <si>
    <t>HORNACHOS98</t>
  </si>
  <si>
    <t>18W000000000RKXX</t>
  </si>
  <si>
    <t>ENDESA CUR ( HIDRÁULICA, PRUEBAS)</t>
  </si>
  <si>
    <t>E.ON CUR ( HIDRÁULICA, PRUEBAS)</t>
  </si>
  <si>
    <t>HIDROCANTABRICO CUR ( HIDRÁULICA, PRUEBAS)</t>
  </si>
  <si>
    <t>IBERDROLA CUR ( HIDRÁULICA, PRUEBAS)</t>
  </si>
  <si>
    <t>SOCIEDAD ESPAÑOLA DE GENERACION ELECTRICA</t>
  </si>
  <si>
    <t>HSFERND</t>
  </si>
  <si>
    <t>SANFER</t>
  </si>
  <si>
    <t>INSTSANFER</t>
  </si>
  <si>
    <t>18W000000000RCXK</t>
  </si>
  <si>
    <t>HIDRO PEQUEÑA POT</t>
  </si>
  <si>
    <t>HYANOR UP</t>
  </si>
  <si>
    <t>ASIE (HIDRÁULICA TARIFA NO EXENTO)</t>
  </si>
  <si>
    <t>CEG ( HIDRÁULICA,TARIFA,NO EXENTO )</t>
  </si>
  <si>
    <t>DETIC (TARIFA, NO EXENTO, HIDRÁULICO)</t>
  </si>
  <si>
    <t>HYDROEXERGY S.L.</t>
  </si>
  <si>
    <t>ENDESA CUR ( TARIFA, HIDRÁULICA, NO EXENTA)</t>
  </si>
  <si>
    <t>EFG (TARIFA, NO EXENTO, HIDRÁULICO)</t>
  </si>
  <si>
    <t>EGLE (TARIFA, HIDRÁULICA, NO EXENTA)</t>
  </si>
  <si>
    <t>E.ON CUR ( TARIFA, HIDRÁULICA, NO EXENTA)</t>
  </si>
  <si>
    <t>GESTERNOVA (HIDRÁULICA, NO EXENTA, TARIFA)</t>
  </si>
  <si>
    <t>GNRA ( TARIFA, HIDRÁULICA,NO EXENTO)</t>
  </si>
  <si>
    <t>GAS NATURAL SUR SDG ( TARIFA, HIDRÁULICA, NO EXENTA)</t>
  </si>
  <si>
    <t>HIDROCANTABRICO CUR ( TARIFA, HIDRÁULICA, NO EXENTA)</t>
  </si>
  <si>
    <t>IBERDROLA CUR ( TARIFA, HIDRÁULICA, NO EXENTA)</t>
  </si>
  <si>
    <t>NEXU ( HIDRÁULICA,TARIFA,NO EXENTO )</t>
  </si>
  <si>
    <t>IBARC01</t>
  </si>
  <si>
    <t>IBAR</t>
  </si>
  <si>
    <t>IBAR ENERGIA SL</t>
  </si>
  <si>
    <t>18W000000000RC7Z</t>
  </si>
  <si>
    <t>IBARE</t>
  </si>
  <si>
    <t>IBAR ENERGIA S.L.</t>
  </si>
  <si>
    <t>IBERDROLA GENERACIÓN COMERCIALIZADORA</t>
  </si>
  <si>
    <t>IBEGC MAR</t>
  </si>
  <si>
    <t>IBERDROLA GEN ENTREGA DE ENERGÍA EN MARRUECOS (AGENTE (EXTERNO)</t>
  </si>
  <si>
    <t>Exportación Marruecos</t>
  </si>
  <si>
    <t>IBERDROLA GEN ENTREGA DE ENERGÍA EN FRANCIA (AGENTE EXTERNO)</t>
  </si>
  <si>
    <t>COMERCIALIZACIÓN</t>
  </si>
  <si>
    <t>UNID PORF IBCUR COMPRA</t>
  </si>
  <si>
    <t>UNID PORF IBCUR VENTA</t>
  </si>
  <si>
    <t>IBERDROLA GENERACION ESPAÑA</t>
  </si>
  <si>
    <t>ION ENERGÍA</t>
  </si>
  <si>
    <t>ISEO ENERGÍA S.L.</t>
  </si>
  <si>
    <t>J.ARON EXPORTACIÓN DE ENERGÍA</t>
  </si>
  <si>
    <t>J.ARON IMPORTACIÓN DE ENERGÍA</t>
  </si>
  <si>
    <t>KARMA ALIMUR S.L.</t>
  </si>
  <si>
    <t>LANDS</t>
  </si>
  <si>
    <t>LA UNIÓN ELECTRO INDUSTRIAL, S.L.U</t>
  </si>
  <si>
    <t>LINK ENERGIA</t>
  </si>
  <si>
    <t>LONJAS TECNOLOGÍA, S.A</t>
  </si>
  <si>
    <t>LUBALOO ENERGÍA</t>
  </si>
  <si>
    <t>LUCIFERASA-2 ENERGIA, S.L.</t>
  </si>
  <si>
    <t>LUCIFERASA-1 ENERGIA, S.L.</t>
  </si>
  <si>
    <t>HIDROELÉCTRICA LUMYMEY, S.L</t>
  </si>
  <si>
    <t>MALAKA ENERGIA SL</t>
  </si>
  <si>
    <t>MEGARA</t>
  </si>
  <si>
    <t>MIRAN01</t>
  </si>
  <si>
    <t>LAMIRANDA</t>
  </si>
  <si>
    <t>18W000000000RB1D</t>
  </si>
  <si>
    <t>MOLAC01</t>
  </si>
  <si>
    <t>18W000000000RLP9</t>
  </si>
  <si>
    <t>MOLAL</t>
  </si>
  <si>
    <t>MOLALUZ ENERGIA SL</t>
  </si>
  <si>
    <t>NEXUS ENERGÍA (COMERCIALIZADORA NACIONAL)</t>
  </si>
  <si>
    <t>NIDHCP3</t>
  </si>
  <si>
    <t>NIDHOG IMPORT RTE</t>
  </si>
  <si>
    <t>18W000000000QHY7</t>
  </si>
  <si>
    <t>NIDHVP3</t>
  </si>
  <si>
    <t>NIDHOG EXP RTE</t>
  </si>
  <si>
    <t>18W000000000QUZ3</t>
  </si>
  <si>
    <t>UNIDAD DE PROGRAMACIÓN DE NOBE</t>
  </si>
  <si>
    <t>RONDA OESTE ENERGÍA, S.L.</t>
  </si>
  <si>
    <t>OLIVE23</t>
  </si>
  <si>
    <t>OLIVEN23</t>
  </si>
  <si>
    <t>OLIVENZA23</t>
  </si>
  <si>
    <t>18W000000000RB47</t>
  </si>
  <si>
    <t>OLIVE24</t>
  </si>
  <si>
    <t>OLIVEN24</t>
  </si>
  <si>
    <t>OLIVENZA24</t>
  </si>
  <si>
    <t>18W000000000RBIG</t>
  </si>
  <si>
    <t>OLVEN22</t>
  </si>
  <si>
    <t>OLIVEN22</t>
  </si>
  <si>
    <t>OLIVENZA22</t>
  </si>
  <si>
    <t>18W000000000RBJE</t>
  </si>
  <si>
    <t>ONEC MAR</t>
  </si>
  <si>
    <t>ONEV MAR</t>
  </si>
  <si>
    <t>Importación Marruecos</t>
  </si>
  <si>
    <t>OXPERTA</t>
  </si>
  <si>
    <t>PINDO ELECTRICIDAD Y GAS</t>
  </si>
  <si>
    <t>PLLANO</t>
  </si>
  <si>
    <t>18W000000000RKWZ</t>
  </si>
  <si>
    <t>POSOC01</t>
  </si>
  <si>
    <t>ES-POWERSO</t>
  </si>
  <si>
    <t>POWER SOLAR TRADE SL</t>
  </si>
  <si>
    <t>18W000000000R3XA</t>
  </si>
  <si>
    <t>POWED</t>
  </si>
  <si>
    <t>POTENZIA</t>
  </si>
  <si>
    <t>POWEN IBERIA, S.L.</t>
  </si>
  <si>
    <t>PREAL1</t>
  </si>
  <si>
    <t>PREAL01</t>
  </si>
  <si>
    <t>PUERTO REAL</t>
  </si>
  <si>
    <t>18W000000000QZQ6</t>
  </si>
  <si>
    <t>PSFREGE</t>
  </si>
  <si>
    <t>ERG SOLAR FREGENAL DE LA SIERRA</t>
  </si>
  <si>
    <t>18W000000000RKHS</t>
  </si>
  <si>
    <t>AUDAX TER REN</t>
  </si>
  <si>
    <t>BIOELÉCTRICA DE LINARES, S.L.</t>
  </si>
  <si>
    <t>Residuos domésticos y similares</t>
  </si>
  <si>
    <t>RECOBAR</t>
  </si>
  <si>
    <t>UP ECOPARC BARCELONA</t>
  </si>
  <si>
    <t>18W000000000RA4A</t>
  </si>
  <si>
    <t>RFUENP</t>
  </si>
  <si>
    <t>UP NEOE SC BIOASA FDP</t>
  </si>
  <si>
    <t>18W000000000RB71</t>
  </si>
  <si>
    <t>ENDESA CUR ( TERMICA RENOVABLE, PRUEBAS)</t>
  </si>
  <si>
    <t>IBERDROLA CUR ( TERMICA RENOVABLE, PRUEBAS)</t>
  </si>
  <si>
    <t>TÉRMICA RENOVABLE</t>
  </si>
  <si>
    <t>RVGARR</t>
  </si>
  <si>
    <t>RE-3886 1</t>
  </si>
  <si>
    <t>18W000000000RC52</t>
  </si>
  <si>
    <t>ENDESA CUR ( TARIFA, TERMICA RENOVABLE, NO EXENTA)</t>
  </si>
  <si>
    <t>TÉRMI. REN</t>
  </si>
  <si>
    <t>UNIDAD PROGRAMACIÓN TÉRMICA RENOVABLE</t>
  </si>
  <si>
    <t>IBERDROLA CUR ( TARIFA, TERMICA RENOVABLE, NO EXENTA)</t>
  </si>
  <si>
    <t>SAIMC01</t>
  </si>
  <si>
    <t>IMPERIO</t>
  </si>
  <si>
    <t>18W000000000OYSD</t>
  </si>
  <si>
    <t>SAIMP</t>
  </si>
  <si>
    <t>SAT N9888 IMPERIO</t>
  </si>
  <si>
    <t>ALVAR ( SOLAR TÉRMICA,TARIFA,NO EXENTO )</t>
  </si>
  <si>
    <t>SASKI BASKONIA SAD</t>
  </si>
  <si>
    <t>SEELC01</t>
  </si>
  <si>
    <t>COMERCIALIZADORA SHEEN</t>
  </si>
  <si>
    <t>18W000000000RIJU</t>
  </si>
  <si>
    <t>SERVICIOS ENERGÉTICOS AVANZADOS SL</t>
  </si>
  <si>
    <t>SHELL ESPAÑA, S.A.</t>
  </si>
  <si>
    <t>SERVICIO EXTREMEÑO DE SALUD</t>
  </si>
  <si>
    <t>SHEEN EXPORTACIÓN DE ENERGÍA A FRANCIA (CON DERECHOS)</t>
  </si>
  <si>
    <t>SHEEN IMPORTACIÓN DE ENERGÍA DESDE FRANCIA (CON DERECHOS)</t>
  </si>
  <si>
    <t>SMG ENTREGA DE ENERGÍA EN FRANCIA (AGENTE EXTERNO)</t>
  </si>
  <si>
    <t>SMG INCORPORACIÓN DE ENERGÍA DESDE FRANCIA (AGENTE EXTERNO)</t>
  </si>
  <si>
    <t>SOMENFV</t>
  </si>
  <si>
    <t>SOMEN FV P</t>
  </si>
  <si>
    <t>SOMEN FOTOVOLTAICA MENOR 1MW</t>
  </si>
  <si>
    <t>18W000000000RFSL</t>
  </si>
  <si>
    <t>SPCKC01</t>
  </si>
  <si>
    <t>SPK_CM_PEN</t>
  </si>
  <si>
    <t>SPOCK COMERCIALIZADORA PENINSULA</t>
  </si>
  <si>
    <t>18W000000000QWZY</t>
  </si>
  <si>
    <t>SPOCK</t>
  </si>
  <si>
    <t>SPOCK P2P, S.L.</t>
  </si>
  <si>
    <t>ENDESA CUR ( SOLAR TERMICA, PRUEBAS)</t>
  </si>
  <si>
    <t>IBERDROLA CUR ( SOLAR TERMICA, PRUEBAS)</t>
  </si>
  <si>
    <t>STOCKFIL S.L.</t>
  </si>
  <si>
    <t>ENDESA CUR ( TARIFA, SOLAR TERMICA, NO EXENTA)</t>
  </si>
  <si>
    <t>IBERDROLA CUR ( TARIFA, SOLAR TERMICA, NO EXENTA)</t>
  </si>
  <si>
    <t>UP ACABADOS BAÑERES</t>
  </si>
  <si>
    <t>COMPAÑIA ENERGÉTICA DE LINARES, S.L.</t>
  </si>
  <si>
    <t>COMPAÑIA ENERGÉTICA DE LAS VILLAS, S.L.</t>
  </si>
  <si>
    <t>COMPAÑIA ENERGÉTICA PATA DE MULO, S.L.</t>
  </si>
  <si>
    <t>COMPAÑIA ENERGÉTICA PUENTE DEL OBISPO, S.L.</t>
  </si>
  <si>
    <t>TDONOST</t>
  </si>
  <si>
    <t>HOSPITAL DE DONOSTIA</t>
  </si>
  <si>
    <t>18W000000000RC8X</t>
  </si>
  <si>
    <t>UNIDAD DE PROGRMACIÓN DE EMSSA</t>
  </si>
  <si>
    <t>TECONAV</t>
  </si>
  <si>
    <t>UP NEOEL ECOENERGA NAVARRA</t>
  </si>
  <si>
    <t>18W000000000RA2E</t>
  </si>
  <si>
    <t>EMPRESA MUNICIPAL DE AGUAS DE MÁLAGA ( T )</t>
  </si>
  <si>
    <t>NEXUS ENERGÍA</t>
  </si>
  <si>
    <t>GECASA - AÑARBE GN AE 1MW</t>
  </si>
  <si>
    <t>TOTAL GAS Y ELECTRICIDAD ESPAÑA</t>
  </si>
  <si>
    <t>THELC01</t>
  </si>
  <si>
    <t>UP THE ELECTRICTY</t>
  </si>
  <si>
    <t>18W000000000QZNC</t>
  </si>
  <si>
    <t>THELE</t>
  </si>
  <si>
    <t>TH ELECTRICITY GAS SL</t>
  </si>
  <si>
    <t>Subproductos minería</t>
  </si>
  <si>
    <t>TICO</t>
  </si>
  <si>
    <t>18W000000000RCL7</t>
  </si>
  <si>
    <t>COMPAÑIA ENERGETICA LA RODA, S.L.</t>
  </si>
  <si>
    <t>MOVIALSA COGENERACIÓN</t>
  </si>
  <si>
    <t>UNIDAD DE PROGRAMACIÓN NESTLE LA PENILLA</t>
  </si>
  <si>
    <t>UNIDAD DE PROGRAMACIÓN NESTLE GIRONA</t>
  </si>
  <si>
    <t>TORTOSA ENERGÍA - C. CUALIFICADO</t>
  </si>
  <si>
    <t>BAZAR TOTEMOI S.L.</t>
  </si>
  <si>
    <t>ENDESA CUR ( TERMICA NO RENOVABLE, PRUEBAS)</t>
  </si>
  <si>
    <t>IBERDROLA CUR ( TERMICA NO RENOVABLE, PRUEBAS)</t>
  </si>
  <si>
    <t>UNIDAD DE PROGRMACIÓN PLASTIVERD</t>
  </si>
  <si>
    <t>SERVEI DINCINERACIÓ DELS RESIDUS URBANS ( T )</t>
  </si>
  <si>
    <t>UNIDAD DE PROGRMACIÓN DE SULQUISA</t>
  </si>
  <si>
    <t>TECNICAS DE COGENERACIÓN DE QUART ( T )</t>
  </si>
  <si>
    <t>TTRACTA</t>
  </si>
  <si>
    <t>18W000000000RCTS</t>
  </si>
  <si>
    <t>TTRAJUN</t>
  </si>
  <si>
    <t>18W000000000RCVO</t>
  </si>
  <si>
    <t>UNIDAD DE PROGRAMACIÓN DE UFICSA</t>
  </si>
  <si>
    <t>TVGARR</t>
  </si>
  <si>
    <t>UP RE-3886 2</t>
  </si>
  <si>
    <t>18W000000000RC36</t>
  </si>
  <si>
    <t>ENDESA CUR ( TARIFA, TERMICA NO RENOVABLE, NO EXENTA)</t>
  </si>
  <si>
    <t>IBERDROLA CUR ( TARIFA, TERMICA NO RENOVABLE, NO EXENTA)</t>
  </si>
  <si>
    <t>NEXUS ENERGÍA ( TARIFA, NO RENOVABLE, NO EXENTO)</t>
  </si>
  <si>
    <t>GNF MIÑO</t>
  </si>
  <si>
    <t>UGH. GNF-MIÑO</t>
  </si>
  <si>
    <t>ULTREYA</t>
  </si>
  <si>
    <t>UPARRO</t>
  </si>
  <si>
    <t>ARROYADAS</t>
  </si>
  <si>
    <t>UP FV LAS ARROYADAS</t>
  </si>
  <si>
    <t>18W000000000RBP2</t>
  </si>
  <si>
    <t>UPBAYWA</t>
  </si>
  <si>
    <t>ALHENDIN 2</t>
  </si>
  <si>
    <t>UP FV ALHENDIN II</t>
  </si>
  <si>
    <t>18W000000000ROFK</t>
  </si>
  <si>
    <t>UPBEL3</t>
  </si>
  <si>
    <t>BELINCHON3</t>
  </si>
  <si>
    <t>BELINCHON III</t>
  </si>
  <si>
    <t>18W000000000RDTP</t>
  </si>
  <si>
    <t>UPBELII</t>
  </si>
  <si>
    <t>BELINCHON2</t>
  </si>
  <si>
    <t>BELINCHON II</t>
  </si>
  <si>
    <t>18W000000000RDSR</t>
  </si>
  <si>
    <t>UPCABEZ</t>
  </si>
  <si>
    <t>UP CABEZO</t>
  </si>
  <si>
    <t>18W000000000RDDK</t>
  </si>
  <si>
    <t>UPESC1</t>
  </si>
  <si>
    <t>ESCUDEROSI</t>
  </si>
  <si>
    <t>UP FV ESCUDEROS I</t>
  </si>
  <si>
    <t>18W000000000RDRT</t>
  </si>
  <si>
    <t>UPESC2</t>
  </si>
  <si>
    <t>ESCUDEROS2</t>
  </si>
  <si>
    <t>ELAWAN FOTOVOLTAICA ESCUDEROS 2 SL</t>
  </si>
  <si>
    <t>18W000000000RMES</t>
  </si>
  <si>
    <t>UPESC3</t>
  </si>
  <si>
    <t>ESCUDEROS</t>
  </si>
  <si>
    <t>ELAWAN FOTOVOLTAICA ESCUDEROS 3 SL</t>
  </si>
  <si>
    <t>18W000000000RMFQ</t>
  </si>
  <si>
    <t>UPESC5</t>
  </si>
  <si>
    <t>ELAWAN FOTOVOLTAICA ESCUDEROS 5 SL</t>
  </si>
  <si>
    <t>18W000000000RMGO</t>
  </si>
  <si>
    <t>UPFRAHI</t>
  </si>
  <si>
    <t>18W000000000RB55</t>
  </si>
  <si>
    <t>UPFVSER</t>
  </si>
  <si>
    <t>SERANTES</t>
  </si>
  <si>
    <t>PARQUE SOLAR SERANTES</t>
  </si>
  <si>
    <t>18W000000000RFCG</t>
  </si>
  <si>
    <t>UPGAN</t>
  </si>
  <si>
    <t>18W000000000RN0G</t>
  </si>
  <si>
    <t>UPGINES</t>
  </si>
  <si>
    <t>GINESTAR</t>
  </si>
  <si>
    <t>UP VENTA DEL GINESTAR</t>
  </si>
  <si>
    <t>18W000000000RDCM</t>
  </si>
  <si>
    <t>UPGUICO</t>
  </si>
  <si>
    <t>18W000000000RB63</t>
  </si>
  <si>
    <t>LA GUITA</t>
  </si>
  <si>
    <t>UP COMPAÑA ENERGTICA PARA EL TABLERO INLOSAN</t>
  </si>
  <si>
    <t>UPLUBIA</t>
  </si>
  <si>
    <t>ALTOSLUBIA</t>
  </si>
  <si>
    <t>UP ALTOS DE LUBIA</t>
  </si>
  <si>
    <t>18W000000000QEPY</t>
  </si>
  <si>
    <t>MADERUELO</t>
  </si>
  <si>
    <t>UPMAJAS</t>
  </si>
  <si>
    <t>LAS MAJAS</t>
  </si>
  <si>
    <t>UP LAS MAJAS</t>
  </si>
  <si>
    <t>18W000000000RDHC</t>
  </si>
  <si>
    <t>MALABRIGO</t>
  </si>
  <si>
    <t>UPMANZ1</t>
  </si>
  <si>
    <t>MANZANARES I</t>
  </si>
  <si>
    <t>18W000000000RDUN</t>
  </si>
  <si>
    <t>UPMUGA2</t>
  </si>
  <si>
    <t>LA MUGA II</t>
  </si>
  <si>
    <t>UP LA MUGA II</t>
  </si>
  <si>
    <t>18W000000000RDAQ</t>
  </si>
  <si>
    <t>UPMUGA3</t>
  </si>
  <si>
    <t>LA MUGA 3</t>
  </si>
  <si>
    <t>UP LA MUGA III</t>
  </si>
  <si>
    <t>18W000000000RDBO</t>
  </si>
  <si>
    <t>UPMUGAI</t>
  </si>
  <si>
    <t>LA MUGA I</t>
  </si>
  <si>
    <t>UP LA MUGA I</t>
  </si>
  <si>
    <t>18W000000000RD9S</t>
  </si>
  <si>
    <t>UPPORTI</t>
  </si>
  <si>
    <t>PORTILLO</t>
  </si>
  <si>
    <t>UP PORTILLO</t>
  </si>
  <si>
    <t>18W000000000RDEI</t>
  </si>
  <si>
    <t>UPQLL</t>
  </si>
  <si>
    <t>18W000000000RN1E</t>
  </si>
  <si>
    <t>UPTAC</t>
  </si>
  <si>
    <t>18W000000000RMUX</t>
  </si>
  <si>
    <t>UPTALAF</t>
  </si>
  <si>
    <t>TALAFIZA I</t>
  </si>
  <si>
    <t>UP PFV TALAFIZA I</t>
  </si>
  <si>
    <t>18W000000000RBQ0</t>
  </si>
  <si>
    <t>UPVILA2</t>
  </si>
  <si>
    <t>UP VILLA 2</t>
  </si>
  <si>
    <t>UP - FOTOVOLTAICA ESCUDERO SL VILLANUEVA</t>
  </si>
  <si>
    <t>18W000000000R8ZS</t>
  </si>
  <si>
    <t>UPVIRG2</t>
  </si>
  <si>
    <t>VIRODANAS2</t>
  </si>
  <si>
    <t>UP VIRGEN DE RODANAS II</t>
  </si>
  <si>
    <t>18W000000000RDGE</t>
  </si>
  <si>
    <t>UPVIRGE</t>
  </si>
  <si>
    <t>VIRODANASI</t>
  </si>
  <si>
    <t>UP VIRGEN DE RODANAS I</t>
  </si>
  <si>
    <t>18W000000000RDFG</t>
  </si>
  <si>
    <t>UPVISCO</t>
  </si>
  <si>
    <t>UPVISCOFAN</t>
  </si>
  <si>
    <t>UP VISCOFAN</t>
  </si>
  <si>
    <t>18W000000000RCAT</t>
  </si>
  <si>
    <t>EL YARTE</t>
  </si>
  <si>
    <t>VESTA RENOVABLES S.L.L.</t>
  </si>
  <si>
    <t>WATFV14</t>
  </si>
  <si>
    <t>FV BURRIANA 2</t>
  </si>
  <si>
    <t>18W000000000RMYP</t>
  </si>
  <si>
    <t>YOURC01</t>
  </si>
  <si>
    <t>YOUAREENERGY</t>
  </si>
  <si>
    <t>18W000000000PXW4</t>
  </si>
  <si>
    <t>YOUAR</t>
  </si>
  <si>
    <t>YOU ARE ENERGU, S.L.</t>
  </si>
  <si>
    <t>ZARA1</t>
  </si>
  <si>
    <t>ZARATAN1</t>
  </si>
  <si>
    <t>18W000000000RBKC</t>
  </si>
  <si>
    <t>ZETAC01</t>
  </si>
  <si>
    <t>18W000000000R93F</t>
  </si>
  <si>
    <t>ZETAE</t>
  </si>
  <si>
    <t>ZETA ENERXIA GALEGA S.L.</t>
  </si>
  <si>
    <t>ATRIC01</t>
  </si>
  <si>
    <t>ATRIAUP01</t>
  </si>
  <si>
    <t>ATRIA ENERGA UNIDAD DE PROGRAMACION 01</t>
  </si>
  <si>
    <t>18W000000000RFTJ</t>
  </si>
  <si>
    <t>ATRES</t>
  </si>
  <si>
    <t>ATRIA INVERSIONES ENERGÍA SL</t>
  </si>
  <si>
    <t>CLIFV55</t>
  </si>
  <si>
    <t>18W000000000RP8V</t>
  </si>
  <si>
    <t>ETBLRES</t>
  </si>
  <si>
    <t>UP EOLICA TABLARES</t>
  </si>
  <si>
    <t>18W000000000RPZE</t>
  </si>
  <si>
    <t>FCAMPOS</t>
  </si>
  <si>
    <t>UP SOLAR CAMPOS DEL RIO</t>
  </si>
  <si>
    <t>18W000000000RPYG</t>
  </si>
  <si>
    <t>FLARRAL</t>
  </si>
  <si>
    <t>LARRAL</t>
  </si>
  <si>
    <t>UP SOLAR LARRAL</t>
  </si>
  <si>
    <t>18W000000000RPGF</t>
  </si>
  <si>
    <t>FPENAZA</t>
  </si>
  <si>
    <t>UP SOLAR LA PEÑAZA</t>
  </si>
  <si>
    <t>18W000000000RPIB</t>
  </si>
  <si>
    <t>FVINASG</t>
  </si>
  <si>
    <t>VIÑAS</t>
  </si>
  <si>
    <t>VIÑASGOMEZ</t>
  </si>
  <si>
    <t>18W000000000RP6Z</t>
  </si>
  <si>
    <t>FVLOREN</t>
  </si>
  <si>
    <t>FV LORENZO SOLAR</t>
  </si>
  <si>
    <t>18W000000000RQ31</t>
  </si>
  <si>
    <t>FYAGREN</t>
  </si>
  <si>
    <t>18W000000000ROL8</t>
  </si>
  <si>
    <t>GEOLC01</t>
  </si>
  <si>
    <t>GEO LUZ Y</t>
  </si>
  <si>
    <t>GEO LUZ Y GAS SLU</t>
  </si>
  <si>
    <t>18W000000000R1J7</t>
  </si>
  <si>
    <t>GEOLU</t>
  </si>
  <si>
    <t>GREEC01</t>
  </si>
  <si>
    <t>GREEC01UP</t>
  </si>
  <si>
    <t>GREEC01 UP</t>
  </si>
  <si>
    <t>18W000000000R3OS</t>
  </si>
  <si>
    <t>GRNSR</t>
  </si>
  <si>
    <t>GREENSUNRISE ENERGY, S.L.</t>
  </si>
  <si>
    <t>IDESC01</t>
  </si>
  <si>
    <t>IDESC01 UP</t>
  </si>
  <si>
    <t>18W000000000R896</t>
  </si>
  <si>
    <t>IDESE</t>
  </si>
  <si>
    <t>IDES ENERGÍA, S.L.</t>
  </si>
  <si>
    <t>INDAC01</t>
  </si>
  <si>
    <t>INDAREL</t>
  </si>
  <si>
    <t>INDAREL KUDEAKETA SLU</t>
  </si>
  <si>
    <t>18W000000000RAYO</t>
  </si>
  <si>
    <t>INDAR</t>
  </si>
  <si>
    <t>INDAREL KUDEAKETA, SLU</t>
  </si>
  <si>
    <t>LOKOH</t>
  </si>
  <si>
    <t>18W000000000RRDF</t>
  </si>
  <si>
    <t>METEV01</t>
  </si>
  <si>
    <t>UP V FV</t>
  </si>
  <si>
    <t>UP VENTA MET</t>
  </si>
  <si>
    <t>18W000000000RA74</t>
  </si>
  <si>
    <t>RIOANTI</t>
  </si>
  <si>
    <t>ELCTRICA RO ANTIGUO</t>
  </si>
  <si>
    <t>18W000000000QVLS</t>
  </si>
  <si>
    <t>UPANDEL</t>
  </si>
  <si>
    <t>UP ANDELLA</t>
  </si>
  <si>
    <t>UP PE ANDELLA</t>
  </si>
  <si>
    <t>18W000000000RQGC</t>
  </si>
  <si>
    <t>UPDOH</t>
  </si>
  <si>
    <t>18W000000000RPCN</t>
  </si>
  <si>
    <t>UPPICON</t>
  </si>
  <si>
    <t>UP PICON</t>
  </si>
  <si>
    <t>UP PSFV PICN</t>
  </si>
  <si>
    <t>18W000000000ROM6</t>
  </si>
  <si>
    <t>UPSRC</t>
  </si>
  <si>
    <t>SRC</t>
  </si>
  <si>
    <t>SANCHEZ ROMERO</t>
  </si>
  <si>
    <t>18W000000000QA6A</t>
  </si>
  <si>
    <t>VIMC01</t>
  </si>
  <si>
    <t>VIMCOMEL</t>
  </si>
  <si>
    <t>18W000000000RID5</t>
  </si>
  <si>
    <t>VIMCO</t>
  </si>
  <si>
    <t>VIMCOMEL SL</t>
  </si>
  <si>
    <t>AGUAV</t>
  </si>
  <si>
    <t>AGUASVIVAS</t>
  </si>
  <si>
    <t>UP SF AGUASVIVAS</t>
  </si>
  <si>
    <t>18W000000000RUAC</t>
  </si>
  <si>
    <t>AJENC01</t>
  </si>
  <si>
    <t>ESAJENEUP</t>
  </si>
  <si>
    <t>18W000000000RQDI</t>
  </si>
  <si>
    <t>AJENE</t>
  </si>
  <si>
    <t>A2J ENERGIA, S.L.</t>
  </si>
  <si>
    <t>ASIJUCA</t>
  </si>
  <si>
    <t>HYDRO REG ORDINARIO CH JUCAR</t>
  </si>
  <si>
    <t>18W000000000ROTT</t>
  </si>
  <si>
    <t>CR2FEN</t>
  </si>
  <si>
    <t>FOT 50MW</t>
  </si>
  <si>
    <t>FOT MAYOR 1MW</t>
  </si>
  <si>
    <t>18W000000000RS9K</t>
  </si>
  <si>
    <t>CR3FEN</t>
  </si>
  <si>
    <t>FOT MAYOR 50 MW</t>
  </si>
  <si>
    <t>18W000000000RSAI</t>
  </si>
  <si>
    <t>Hybrid</t>
  </si>
  <si>
    <t>ESEG</t>
  </si>
  <si>
    <t>SEGURA</t>
  </si>
  <si>
    <t>18W000000000RQ23</t>
  </si>
  <si>
    <t>FBENEIX</t>
  </si>
  <si>
    <t>BENEIXAMA</t>
  </si>
  <si>
    <t>PARQUE FV BENEIXAMA</t>
  </si>
  <si>
    <t>18W000000000RTX6</t>
  </si>
  <si>
    <t>FBRISAS</t>
  </si>
  <si>
    <t>UP SOLAR LAS BRISAS</t>
  </si>
  <si>
    <t>18W000000000RT0Z</t>
  </si>
  <si>
    <t>FBRVLS1</t>
  </si>
  <si>
    <t>UP SOLAR BROVALES 1</t>
  </si>
  <si>
    <t>18W000000000RQSP</t>
  </si>
  <si>
    <t>FCABZLA</t>
  </si>
  <si>
    <t>UP SOLAR CABEZUELAS</t>
  </si>
  <si>
    <t>18W000000000RQUL</t>
  </si>
  <si>
    <t>FDAGAC</t>
  </si>
  <si>
    <t>18W000000000RUQH</t>
  </si>
  <si>
    <t>FDBGAC</t>
  </si>
  <si>
    <t>18W000000000RURF</t>
  </si>
  <si>
    <t>FDCGAC</t>
  </si>
  <si>
    <t>18W000000000RUSD</t>
  </si>
  <si>
    <t>FDDGAC</t>
  </si>
  <si>
    <t>18W000000000RUTB</t>
  </si>
  <si>
    <t>FFGAC</t>
  </si>
  <si>
    <t>18W000000000RUIX</t>
  </si>
  <si>
    <t>FGST135</t>
  </si>
  <si>
    <t>TORRE</t>
  </si>
  <si>
    <t>TORRECILLA1</t>
  </si>
  <si>
    <t>18W000000000RSEA</t>
  </si>
  <si>
    <t>FGST136</t>
  </si>
  <si>
    <t>TORREC</t>
  </si>
  <si>
    <t>TORRECILLA2</t>
  </si>
  <si>
    <t>18W000000000RSG6</t>
  </si>
  <si>
    <t>FGST137</t>
  </si>
  <si>
    <t>18W000000000RSKZ</t>
  </si>
  <si>
    <t>FGST138</t>
  </si>
  <si>
    <t>18W000000000RSMV</t>
  </si>
  <si>
    <t>FGST139</t>
  </si>
  <si>
    <t>18W000000000RSOR</t>
  </si>
  <si>
    <t>FGST140</t>
  </si>
  <si>
    <t>18W000000000RSQN</t>
  </si>
  <si>
    <t>FGST141</t>
  </si>
  <si>
    <t>18W000000000RSSJ</t>
  </si>
  <si>
    <t>FGST142</t>
  </si>
  <si>
    <t>18W000000000RSUF</t>
  </si>
  <si>
    <t>FGST143</t>
  </si>
  <si>
    <t>18W000000000RSWB</t>
  </si>
  <si>
    <t>FGST144</t>
  </si>
  <si>
    <t>ALTOM</t>
  </si>
  <si>
    <t>ALTOMOMPLANETE</t>
  </si>
  <si>
    <t>18W000000000RTTE</t>
  </si>
  <si>
    <t>FIBGEAR</t>
  </si>
  <si>
    <t>18W000000000RHX5</t>
  </si>
  <si>
    <t>FIBGECE</t>
  </si>
  <si>
    <t>18W000000000RHZ1</t>
  </si>
  <si>
    <t>FIBGENB</t>
  </si>
  <si>
    <t>FV NUÑEZ DE BALBOA</t>
  </si>
  <si>
    <t>18W000000000RHW7</t>
  </si>
  <si>
    <t>FIBGEOR</t>
  </si>
  <si>
    <t>FOTOVOLTAICA ORIOL</t>
  </si>
  <si>
    <t>18W000000000RHY3</t>
  </si>
  <si>
    <t>FIBGEPI</t>
  </si>
  <si>
    <t>FV FRANCISCO PIZARRO</t>
  </si>
  <si>
    <t>18W000000000RHV9</t>
  </si>
  <si>
    <t>FLPENA1</t>
  </si>
  <si>
    <t>UP SOLAR LA PENA 1</t>
  </si>
  <si>
    <t>18W000000000RT2V</t>
  </si>
  <si>
    <t>FLPENA2</t>
  </si>
  <si>
    <t>UP SOLAR LA PENA 2</t>
  </si>
  <si>
    <t>18W000000000RT3T</t>
  </si>
  <si>
    <t>FPOLLOS</t>
  </si>
  <si>
    <t>UP SOLAR POLLOS</t>
  </si>
  <si>
    <t>18W000000000RTAF</t>
  </si>
  <si>
    <t>FRGAC</t>
  </si>
  <si>
    <t>18W000000000RUKT</t>
  </si>
  <si>
    <t>FVALLOB</t>
  </si>
  <si>
    <t>UP SOLAR VALLOBAR</t>
  </si>
  <si>
    <t>18W000000000RT1X</t>
  </si>
  <si>
    <t>FVHITA</t>
  </si>
  <si>
    <t>18W000000000RTVA</t>
  </si>
  <si>
    <t>FVITIGU</t>
  </si>
  <si>
    <t>VITIGUDINA</t>
  </si>
  <si>
    <t>PARQUE FV VITIGUDINA</t>
  </si>
  <si>
    <t>18W000000000P1EP</t>
  </si>
  <si>
    <t>GFORTI1</t>
  </si>
  <si>
    <t>FORTGEN</t>
  </si>
  <si>
    <t>FORTIA GENERICA</t>
  </si>
  <si>
    <t>18W000000000RS2Y</t>
  </si>
  <si>
    <t>HIBSHA2</t>
  </si>
  <si>
    <t>UP HIBRIDAS SIN HABILITAR 2</t>
  </si>
  <si>
    <t>18W000000000RV6H</t>
  </si>
  <si>
    <t>LOBOH</t>
  </si>
  <si>
    <t>18W000000000RRFB</t>
  </si>
  <si>
    <t>MODOH</t>
  </si>
  <si>
    <t>18W000000000RRED</t>
  </si>
  <si>
    <t>CCSR4</t>
  </si>
  <si>
    <t>UPACAMP</t>
  </si>
  <si>
    <t>UPACAMPO</t>
  </si>
  <si>
    <t>UP CF ACAMPO ESTREN 11498</t>
  </si>
  <si>
    <t>18W000000000RR9N</t>
  </si>
  <si>
    <t>UPAIRPO</t>
  </si>
  <si>
    <t>UPAIRPORT</t>
  </si>
  <si>
    <t>UP SOLAR AIRPORT FV 1133327</t>
  </si>
  <si>
    <t>18W000000000RR7R</t>
  </si>
  <si>
    <t>UPALTE2</t>
  </si>
  <si>
    <t>UP ALTER 2</t>
  </si>
  <si>
    <t>UP ALTER ENERSUN MRIDA DOS SL</t>
  </si>
  <si>
    <t>18W000000000RQFE</t>
  </si>
  <si>
    <t>UPALTE3</t>
  </si>
  <si>
    <t>UP ALTER 3</t>
  </si>
  <si>
    <t>UP ALTER ENERSUN CCERES TRES SL</t>
  </si>
  <si>
    <t>18W000000000RQEG</t>
  </si>
  <si>
    <t>UPRTD</t>
  </si>
  <si>
    <t>18W000000000RRUI</t>
  </si>
  <si>
    <t>UPRTT</t>
  </si>
  <si>
    <t>18W000000000RRXC</t>
  </si>
  <si>
    <t>UPRTU</t>
  </si>
  <si>
    <t>18W000000000RRZ8</t>
  </si>
  <si>
    <t>WATFV15</t>
  </si>
  <si>
    <t>FV LA MOCHA</t>
  </si>
  <si>
    <t>18W000000000ROVP</t>
  </si>
  <si>
    <t>AMPRC01</t>
  </si>
  <si>
    <t>AMPERE</t>
  </si>
  <si>
    <t>AMPERE ENERGY COMERCIALIZADORA Y SERVICIOS ENERGETICOS SRL</t>
  </si>
  <si>
    <t>18W000000000RTQK</t>
  </si>
  <si>
    <t>AMPEA</t>
  </si>
  <si>
    <t>AMPERE ENERGY COMERCIALIZADORA Y SERVICIOS ENERGETICOS, SRL</t>
  </si>
  <si>
    <t>BTRR1</t>
  </si>
  <si>
    <t>18W000000000RVD3</t>
  </si>
  <si>
    <t>BTRR2</t>
  </si>
  <si>
    <t>18W000000000RVB7</t>
  </si>
  <si>
    <t>BTRR3</t>
  </si>
  <si>
    <t>18W000000000RVGY</t>
  </si>
  <si>
    <t>EACIBER</t>
  </si>
  <si>
    <t>ACIBEROS</t>
  </si>
  <si>
    <t>18W000000000RXFU</t>
  </si>
  <si>
    <t>EAGON2</t>
  </si>
  <si>
    <t>18W000000000RPL5</t>
  </si>
  <si>
    <t>EEGPE2</t>
  </si>
  <si>
    <t>EOL REP100 NO_ZR NO_TER NO_SEC</t>
  </si>
  <si>
    <t>18W000000000RTF5</t>
  </si>
  <si>
    <t>EEGPES</t>
  </si>
  <si>
    <t>EEGPES EOL SEC</t>
  </si>
  <si>
    <t>18W000000000RVKQ</t>
  </si>
  <si>
    <t>EGST146</t>
  </si>
  <si>
    <t>18W000000000RV9B</t>
  </si>
  <si>
    <t>EGST147</t>
  </si>
  <si>
    <t>18W000000000RWKN</t>
  </si>
  <si>
    <t>EREGPES</t>
  </si>
  <si>
    <t>EREGPES EOL SEC</t>
  </si>
  <si>
    <t>18W000000000RVLO</t>
  </si>
  <si>
    <t>FALBET1</t>
  </si>
  <si>
    <t>UP SOLAR ALBETA 1</t>
  </si>
  <si>
    <t>18W000000000RXU0</t>
  </si>
  <si>
    <t>FALBET2</t>
  </si>
  <si>
    <t>ALBETA 2</t>
  </si>
  <si>
    <t>UP SOLAR ALBETA 2</t>
  </si>
  <si>
    <t>18W000000000RXWX</t>
  </si>
  <si>
    <t>FANSA</t>
  </si>
  <si>
    <t>UP ANSA VIGILANCE</t>
  </si>
  <si>
    <t>18W000000000RV7F</t>
  </si>
  <si>
    <t>FARBASL</t>
  </si>
  <si>
    <t>UP SOLAR ARBA SOLAR 1</t>
  </si>
  <si>
    <t>18W000000000RXYT</t>
  </si>
  <si>
    <t>FBADJOZ</t>
  </si>
  <si>
    <t>UP SOLAR BADAJOZ SOLAR 9</t>
  </si>
  <si>
    <t>18W000000000RXNE</t>
  </si>
  <si>
    <t>GST1</t>
  </si>
  <si>
    <t>FCONTR1</t>
  </si>
  <si>
    <t>UP SOLAR DE LA CONTRAVIESA 1</t>
  </si>
  <si>
    <t>18W000000000RTD9</t>
  </si>
  <si>
    <t>FCONTR2</t>
  </si>
  <si>
    <t>UP COLAR DE LA CONTRAVIESA 2 SL</t>
  </si>
  <si>
    <t>18W000000000RTG3</t>
  </si>
  <si>
    <t>FCTLINA</t>
  </si>
  <si>
    <t>UP SOLAR SANTA CATALINA</t>
  </si>
  <si>
    <t>18W000000000RWD0</t>
  </si>
  <si>
    <t>FEGPE6</t>
  </si>
  <si>
    <t>FV REP100 SI_ZR HAB_TER NO_RA</t>
  </si>
  <si>
    <t>18W000000000RTJY</t>
  </si>
  <si>
    <t>FGST145</t>
  </si>
  <si>
    <t>18W000000000RV2P</t>
  </si>
  <si>
    <t>FGST150</t>
  </si>
  <si>
    <t>18W000000000RX3H</t>
  </si>
  <si>
    <t>FGST151</t>
  </si>
  <si>
    <t>18W000000000RX5D</t>
  </si>
  <si>
    <t>FGST152</t>
  </si>
  <si>
    <t>18W000000000RX79</t>
  </si>
  <si>
    <t>FLEMAZR</t>
  </si>
  <si>
    <t>UP SOLAR LEYRENE 2</t>
  </si>
  <si>
    <t>18W000000000RY84</t>
  </si>
  <si>
    <t>FLENOEZ</t>
  </si>
  <si>
    <t>UP SOLAR LEYRENE</t>
  </si>
  <si>
    <t>18W000000000RY68</t>
  </si>
  <si>
    <t>FMERI19</t>
  </si>
  <si>
    <t>UF SOLAR MERIDA SOLAR 19</t>
  </si>
  <si>
    <t>18W000000000RXS4</t>
  </si>
  <si>
    <t>FPCSTRO</t>
  </si>
  <si>
    <t>UP SOLAR PUEBLA DE CASTRO</t>
  </si>
  <si>
    <t>18W000000000RT4R</t>
  </si>
  <si>
    <t>FPELEAS</t>
  </si>
  <si>
    <t>UP SOLAR PELEAS 14</t>
  </si>
  <si>
    <t>18W000000000RXPA</t>
  </si>
  <si>
    <t>FVGALAZ</t>
  </si>
  <si>
    <t>GALAZOCAN SOLAR</t>
  </si>
  <si>
    <t>18W000000000RWR9</t>
  </si>
  <si>
    <t>GALPS61</t>
  </si>
  <si>
    <t>MONTEGORDO</t>
  </si>
  <si>
    <t>18W000000000RVSA</t>
  </si>
  <si>
    <t>GALPS62</t>
  </si>
  <si>
    <t>CARBAS</t>
  </si>
  <si>
    <t>18W000000000RVT8</t>
  </si>
  <si>
    <t>GALPS63</t>
  </si>
  <si>
    <t>CALDERA</t>
  </si>
  <si>
    <t>18W000000000RVU6</t>
  </si>
  <si>
    <t>GALPS64</t>
  </si>
  <si>
    <t>TESOSANTO</t>
  </si>
  <si>
    <t>18W000000000RVV4</t>
  </si>
  <si>
    <t>GALPS65</t>
  </si>
  <si>
    <t>EXTRESOL 1</t>
  </si>
  <si>
    <t>18W000000000RVW2</t>
  </si>
  <si>
    <t>IM3V01</t>
  </si>
  <si>
    <t>18W000000000NC1Q</t>
  </si>
  <si>
    <t>ISAEC01</t>
  </si>
  <si>
    <t>ISAEC</t>
  </si>
  <si>
    <t>ISAE COMERCIALIZACION SL</t>
  </si>
  <si>
    <t>18W000000000QZOA</t>
  </si>
  <si>
    <t>ISAE COMERCIALIZACION S.L.</t>
  </si>
  <si>
    <t>JMFEC01</t>
  </si>
  <si>
    <t>18W000000000R0ZF</t>
  </si>
  <si>
    <t>JMFEN</t>
  </si>
  <si>
    <t>JMF ENERGIAS RENOVABLES, S.L</t>
  </si>
  <si>
    <t>KIRIC01</t>
  </si>
  <si>
    <t>KIRIN RENOVABLES</t>
  </si>
  <si>
    <t>18W000000000RQNZ</t>
  </si>
  <si>
    <t>KIRIN</t>
  </si>
  <si>
    <t>KIRIN RENOVABLES, SOCIEDAD LIMITADA</t>
  </si>
  <si>
    <t>LEONC01</t>
  </si>
  <si>
    <t>LECOMUP</t>
  </si>
  <si>
    <t>ESLECOMUP</t>
  </si>
  <si>
    <t>18W000000000RNCT</t>
  </si>
  <si>
    <t>LEONC</t>
  </si>
  <si>
    <t>LEON COMERCIALIZADORA DE ENERGIA</t>
  </si>
  <si>
    <t>PVVIDAL</t>
  </si>
  <si>
    <t>18W000000000PGYE</t>
  </si>
  <si>
    <t>SAMAC01</t>
  </si>
  <si>
    <t>18W000000000RQOX</t>
  </si>
  <si>
    <t>SAMAR</t>
  </si>
  <si>
    <t>SAMARA ENERGIA VPP, S.L.</t>
  </si>
  <si>
    <t>TAZUCA2</t>
  </si>
  <si>
    <t>UP INST ALTA EFICIENCIA</t>
  </si>
  <si>
    <t>18W000000000RTMS</t>
  </si>
  <si>
    <t>TAZUCAR</t>
  </si>
  <si>
    <t>UP INST NO ALTA EFICIENCIA</t>
  </si>
  <si>
    <t>18W000000000RTNQ</t>
  </si>
  <si>
    <t>TGST148</t>
  </si>
  <si>
    <t>18W000000000RWMJ</t>
  </si>
  <si>
    <t>TGST149</t>
  </si>
  <si>
    <t>18W000000000RWPD</t>
  </si>
  <si>
    <t>UPBRAZO</t>
  </si>
  <si>
    <t>BRAZOINVES</t>
  </si>
  <si>
    <t>UP BRAZOINVES I</t>
  </si>
  <si>
    <t>18W000000000RYR3</t>
  </si>
  <si>
    <t>IGE</t>
  </si>
  <si>
    <t>UPCUCO</t>
  </si>
  <si>
    <t>UF EL CUCO</t>
  </si>
  <si>
    <t>UF PLANTA FOTOVOLTAICA EL CUCO</t>
  </si>
  <si>
    <t>18W000000000RYS1</t>
  </si>
  <si>
    <t>UPCUEYA</t>
  </si>
  <si>
    <t>UPCUELLAR</t>
  </si>
  <si>
    <t>UP ELICA CUELLAR DE LA SIERRA SLU</t>
  </si>
  <si>
    <t>18W000000000RVNK</t>
  </si>
  <si>
    <t>UPFCENT</t>
  </si>
  <si>
    <t>UP PLANTA FOTOVOLTAICA CENTURION</t>
  </si>
  <si>
    <t>18W000000000RATY</t>
  </si>
  <si>
    <t>UPMACHO</t>
  </si>
  <si>
    <t>UP MACHOS</t>
  </si>
  <si>
    <t>UP LOS MACHOS</t>
  </si>
  <si>
    <t>18W000000000RXB1</t>
  </si>
  <si>
    <t>UPMANZT</t>
  </si>
  <si>
    <t>MANZTIERRA</t>
  </si>
  <si>
    <t>UP MANZTIERRA I</t>
  </si>
  <si>
    <t>18W000000000RYQ5</t>
  </si>
  <si>
    <t>UPNIEST</t>
  </si>
  <si>
    <t>UPINIESTA</t>
  </si>
  <si>
    <t>UP PARQUE ELICO INIESTA SLU</t>
  </si>
  <si>
    <t>18W000000000RWEZ</t>
  </si>
  <si>
    <t>UPUSE</t>
  </si>
  <si>
    <t>18W000000000RWYW</t>
  </si>
  <si>
    <t>VECCC01</t>
  </si>
  <si>
    <t>UPVECTORC</t>
  </si>
  <si>
    <t>UP COMPRA VECTOR</t>
  </si>
  <si>
    <t>18W000000000RKZT</t>
  </si>
  <si>
    <t>VECTO</t>
  </si>
  <si>
    <t>VECTOR ENERGÍA S.L.</t>
  </si>
  <si>
    <t>WATFV16</t>
  </si>
  <si>
    <t>13ROELESNO</t>
  </si>
  <si>
    <t>13 ROELES NORTE</t>
  </si>
  <si>
    <t>18W000000000RXJM</t>
  </si>
  <si>
    <t>ADEIV01</t>
  </si>
  <si>
    <t>ADEINNOVA VENTA</t>
  </si>
  <si>
    <t>18W000000000S0AO</t>
  </si>
  <si>
    <t>Híbrida renovable-almacenamiento</t>
  </si>
  <si>
    <t>IGS</t>
  </si>
  <si>
    <t>Híbrida renovable</t>
  </si>
  <si>
    <t>ENUFV18</t>
  </si>
  <si>
    <t>MAS ROIG</t>
  </si>
  <si>
    <t>18W000000000RVQE</t>
  </si>
  <si>
    <t>FFCYEES</t>
  </si>
  <si>
    <t>FFCYE</t>
  </si>
  <si>
    <t>UP REPR RE FV AGRUP</t>
  </si>
  <si>
    <t>18W000000000QAQ7</t>
  </si>
  <si>
    <t>FGST153</t>
  </si>
  <si>
    <t>18W000000000S120</t>
  </si>
  <si>
    <t>FGST154</t>
  </si>
  <si>
    <t>18W000000000S1UI</t>
  </si>
  <si>
    <t>FIBGECA</t>
  </si>
  <si>
    <t>HIBRIDACION FV CAMPOARAÑUELO</t>
  </si>
  <si>
    <t>18W000000000RQXF</t>
  </si>
  <si>
    <t>FNOVELD</t>
  </si>
  <si>
    <t>UP SOLAR NOVELDA</t>
  </si>
  <si>
    <t>18W000000000S1NW</t>
  </si>
  <si>
    <t>FSEGRO</t>
  </si>
  <si>
    <t>SEGROGRAN</t>
  </si>
  <si>
    <t>FV SEGRO GRANOLLERS</t>
  </si>
  <si>
    <t>18W000000000RZ49</t>
  </si>
  <si>
    <t>FSEQUIN</t>
  </si>
  <si>
    <t>18W000000000RYO9</t>
  </si>
  <si>
    <t>HEALTOG</t>
  </si>
  <si>
    <t>SALTOS DE AGUA MAYORES</t>
  </si>
  <si>
    <t>18W000000000S1CH</t>
  </si>
  <si>
    <t>HENANSA</t>
  </si>
  <si>
    <t>SALTOS DEL NANSA I</t>
  </si>
  <si>
    <t>18W000000000S18P</t>
  </si>
  <si>
    <t>HESEGRE</t>
  </si>
  <si>
    <t>SALTOS Y CENTRALES DE CATALUNYA</t>
  </si>
  <si>
    <t>18W000000000S1BJ</t>
  </si>
  <si>
    <t>HESERRA</t>
  </si>
  <si>
    <t>18W0000000</t>
  </si>
  <si>
    <t>HIDROELECTRICA DEL SERRADO</t>
  </si>
  <si>
    <t>18W000000000S1AL</t>
  </si>
  <si>
    <t>HYECATA</t>
  </si>
  <si>
    <t>SALTOS DE AGUA</t>
  </si>
  <si>
    <t>18W000000000S19N</t>
  </si>
  <si>
    <t>POLAC01</t>
  </si>
  <si>
    <t>UP POLAR</t>
  </si>
  <si>
    <t>UP PEN POLAR</t>
  </si>
  <si>
    <t>18W000000000RUD6</t>
  </si>
  <si>
    <t>POLAR</t>
  </si>
  <si>
    <t>POLAR COMERCIALIZADORA ELÉCTRICA, S.L.</t>
  </si>
  <si>
    <t>SESPV05</t>
  </si>
  <si>
    <t>OLIVARES</t>
  </si>
  <si>
    <t>ENERPARC OLIVARES</t>
  </si>
  <si>
    <t>18W000000000S1TK</t>
  </si>
  <si>
    <t>SOLANAS</t>
  </si>
  <si>
    <t>FVSOLAN</t>
  </si>
  <si>
    <t>LAS SOLANAS FV</t>
  </si>
  <si>
    <t>18W000000000RZUV</t>
  </si>
  <si>
    <t>Híbrida renovable-térmica no renovable</t>
  </si>
  <si>
    <t>TOECC01</t>
  </si>
  <si>
    <t>TRISO</t>
  </si>
  <si>
    <t>TRISOLARIS</t>
  </si>
  <si>
    <t>18W000000000R1WI</t>
  </si>
  <si>
    <t>TRISOLARIS AG</t>
  </si>
  <si>
    <t>UPCIERZ</t>
  </si>
  <si>
    <t>UPCIERZO</t>
  </si>
  <si>
    <t>UP CIERZO AMARENCO</t>
  </si>
  <si>
    <t>18W000000000S0I8</t>
  </si>
  <si>
    <t>UPGUARD</t>
  </si>
  <si>
    <t>UPGUARDIAN</t>
  </si>
  <si>
    <t>UP GUARDIAN AMARENCO</t>
  </si>
  <si>
    <t>18W000000000S0J6</t>
  </si>
  <si>
    <t>WATFV17</t>
  </si>
  <si>
    <t>PSF TARRAGON</t>
  </si>
  <si>
    <t>18W000000000S0UL</t>
  </si>
  <si>
    <t>ATPC01</t>
  </si>
  <si>
    <t>COMPR COMERCIALIZADORA</t>
  </si>
  <si>
    <t>18W000000000R45Q</t>
  </si>
  <si>
    <t>ATPEN</t>
  </si>
  <si>
    <t>ATP ENERGIA SL</t>
  </si>
  <si>
    <t>BATTOS</t>
  </si>
  <si>
    <t>BATTOS FV</t>
  </si>
  <si>
    <t>FV BATTOS</t>
  </si>
  <si>
    <t>18W000000000S45M</t>
  </si>
  <si>
    <t>BESC01</t>
  </si>
  <si>
    <t>18W000000000R44S</t>
  </si>
  <si>
    <t>BESPI</t>
  </si>
  <si>
    <t>BESPIN ENERGIA SL</t>
  </si>
  <si>
    <t>BESTC01</t>
  </si>
  <si>
    <t>BEST OPTION COMPRA</t>
  </si>
  <si>
    <t>18W000000000RWJP</t>
  </si>
  <si>
    <t>BESTO</t>
  </si>
  <si>
    <t>BEST OPTION ENERGY, S.L.</t>
  </si>
  <si>
    <t>CD03R01</t>
  </si>
  <si>
    <t>18W000000000S47I</t>
  </si>
  <si>
    <t>CD05R01</t>
  </si>
  <si>
    <t>18W000000000S48G</t>
  </si>
  <si>
    <t>EALP1</t>
  </si>
  <si>
    <t>ALP1</t>
  </si>
  <si>
    <t>18W000000000S9AY</t>
  </si>
  <si>
    <t>EALP2</t>
  </si>
  <si>
    <t>ALP2</t>
  </si>
  <si>
    <t>18W000000000S9BW</t>
  </si>
  <si>
    <t>EALP3</t>
  </si>
  <si>
    <t>ALP3</t>
  </si>
  <si>
    <t>18W000000000S9CU</t>
  </si>
  <si>
    <t>EBLCR01</t>
  </si>
  <si>
    <t>UP SRAD</t>
  </si>
  <si>
    <t>18W000000000S1XC</t>
  </si>
  <si>
    <t>ECERRAT</t>
  </si>
  <si>
    <t>18W000000000S6ZU</t>
  </si>
  <si>
    <t>ECOMLIC</t>
  </si>
  <si>
    <t>UP EOLICA COMIOLICA</t>
  </si>
  <si>
    <t>18W000000000SD8Q</t>
  </si>
  <si>
    <t>EGREC01</t>
  </si>
  <si>
    <t>18W000000000HSZ8</t>
  </si>
  <si>
    <t>EGREN</t>
  </si>
  <si>
    <t>ENERGREEN MOBILITY S.L</t>
  </si>
  <si>
    <t>ENMEV01</t>
  </si>
  <si>
    <t>MENOS DE 1 MW</t>
  </si>
  <si>
    <t>18W000000000RZ0H</t>
  </si>
  <si>
    <t>ESRQE</t>
  </si>
  <si>
    <t>18W000000000S9FO</t>
  </si>
  <si>
    <t>ESTEV</t>
  </si>
  <si>
    <t>18W000000000SAKB</t>
  </si>
  <si>
    <t>ESTVNTO</t>
  </si>
  <si>
    <t>UP EOLICA SOTAVENTO</t>
  </si>
  <si>
    <t>18W000000000S07U</t>
  </si>
  <si>
    <t>FALIAGA</t>
  </si>
  <si>
    <t>FV ALIAGAR</t>
  </si>
  <si>
    <t>18W000000000S9LC</t>
  </si>
  <si>
    <t>FALP1</t>
  </si>
  <si>
    <t>18W000000000SC9R</t>
  </si>
  <si>
    <t>FALP10</t>
  </si>
  <si>
    <t>18W000000000SCSQ</t>
  </si>
  <si>
    <t>FALP2</t>
  </si>
  <si>
    <t>18W000000000SCBN</t>
  </si>
  <si>
    <t>FALP3</t>
  </si>
  <si>
    <t>18W000000000SCDJ</t>
  </si>
  <si>
    <t>FALP4</t>
  </si>
  <si>
    <t>18W000000000SCFF</t>
  </si>
  <si>
    <t>FALP5</t>
  </si>
  <si>
    <t>18W000000000SCHB</t>
  </si>
  <si>
    <t>FALP6</t>
  </si>
  <si>
    <t>18W000000000SCJ7</t>
  </si>
  <si>
    <t>FALP7</t>
  </si>
  <si>
    <t>18W000000000SCL3</t>
  </si>
  <si>
    <t>FALP8</t>
  </si>
  <si>
    <t>18W000000000SCOY</t>
  </si>
  <si>
    <t>FALP9</t>
  </si>
  <si>
    <t>18W000000000SCQU</t>
  </si>
  <si>
    <t>FAMORET</t>
  </si>
  <si>
    <t>ALDEAMORET</t>
  </si>
  <si>
    <t>PSF ALDEA MORET</t>
  </si>
  <si>
    <t>18W000000000S9R0</t>
  </si>
  <si>
    <t>FARCA</t>
  </si>
  <si>
    <t>UP SOLAR ARCA</t>
  </si>
  <si>
    <t>18W000000000SCZC</t>
  </si>
  <si>
    <t>FCANILS</t>
  </si>
  <si>
    <t>UP SOLAR CANILES</t>
  </si>
  <si>
    <t>18W000000000S7WX</t>
  </si>
  <si>
    <t>FGST155</t>
  </si>
  <si>
    <t>18W000000000S43Q</t>
  </si>
  <si>
    <t>FGST156</t>
  </si>
  <si>
    <t>18W000000000S4IX</t>
  </si>
  <si>
    <t>FGST157</t>
  </si>
  <si>
    <t>18W000000000S8BZ</t>
  </si>
  <si>
    <t>FGST158</t>
  </si>
  <si>
    <t>18W000000000SA54</t>
  </si>
  <si>
    <t>FGST159</t>
  </si>
  <si>
    <t>18W000000000SAAV</t>
  </si>
  <si>
    <t>FIBGETA</t>
  </si>
  <si>
    <t>FIEBGETA</t>
  </si>
  <si>
    <t>18W000000000S9TX</t>
  </si>
  <si>
    <t>FLUCA</t>
  </si>
  <si>
    <t>FV LUCAINENA</t>
  </si>
  <si>
    <t>18W000000000S5T8</t>
  </si>
  <si>
    <t>FMRTLLA</t>
  </si>
  <si>
    <t>UP SOLAR MORATALLA</t>
  </si>
  <si>
    <t>18W000000000S9DS</t>
  </si>
  <si>
    <t>FNOCTI6</t>
  </si>
  <si>
    <t>UP SOLAR SOLNOCTIS 6</t>
  </si>
  <si>
    <t>18W000000000S6XY</t>
  </si>
  <si>
    <t>FOBAGLS</t>
  </si>
  <si>
    <t>UP SOLAR OBAGOLS</t>
  </si>
  <si>
    <t>18W000000000S7NE</t>
  </si>
  <si>
    <t>FPGAC</t>
  </si>
  <si>
    <t>18W000000000S7R6</t>
  </si>
  <si>
    <t>FPIZAII</t>
  </si>
  <si>
    <t>PSF LA PIZARRA II</t>
  </si>
  <si>
    <t>18W000000000SC08</t>
  </si>
  <si>
    <t>FPSFAGA</t>
  </si>
  <si>
    <t>PSF AGATHA</t>
  </si>
  <si>
    <t>18W000000000SBWL</t>
  </si>
  <si>
    <t>FPSFART</t>
  </si>
  <si>
    <t>PSF ARTEMISA</t>
  </si>
  <si>
    <t>18W000000000SBXJ</t>
  </si>
  <si>
    <t>FPSFGES</t>
  </si>
  <si>
    <t>PSF GESTENIA</t>
  </si>
  <si>
    <t>18W000000000SBTR</t>
  </si>
  <si>
    <t>FPSFJAD</t>
  </si>
  <si>
    <t>PSF JADE</t>
  </si>
  <si>
    <t>18W000000000SBVN</t>
  </si>
  <si>
    <t>FPSFSES</t>
  </si>
  <si>
    <t>PSF SENEN</t>
  </si>
  <si>
    <t>18W000000000SBUP</t>
  </si>
  <si>
    <t>FRETA</t>
  </si>
  <si>
    <t>18W000000000SDMZ</t>
  </si>
  <si>
    <t>FRINCO</t>
  </si>
  <si>
    <t>18W000000000SDOV</t>
  </si>
  <si>
    <t>FRREGOS</t>
  </si>
  <si>
    <t>UP LOS BORREGOS</t>
  </si>
  <si>
    <t>18W000000000S7T2</t>
  </si>
  <si>
    <t>FTALTOS</t>
  </si>
  <si>
    <t>18W000000000SD13</t>
  </si>
  <si>
    <t>FVALD1</t>
  </si>
  <si>
    <t>18W000000000SDQR</t>
  </si>
  <si>
    <t>FVALD2</t>
  </si>
  <si>
    <t>18W000000000SDSN</t>
  </si>
  <si>
    <t>FVERDLS</t>
  </si>
  <si>
    <t>UP SOLAR VERDINALES</t>
  </si>
  <si>
    <t>18W000000000S6U3</t>
  </si>
  <si>
    <t>FVJADRA</t>
  </si>
  <si>
    <t>PSF JADRAQUE</t>
  </si>
  <si>
    <t>18W000000000S8GP</t>
  </si>
  <si>
    <t>FVPILA</t>
  </si>
  <si>
    <t>PILASTRA S</t>
  </si>
  <si>
    <t>PILASTRA SOLAR</t>
  </si>
  <si>
    <t>18W000000000S9ZL</t>
  </si>
  <si>
    <t>FVPOST</t>
  </si>
  <si>
    <t>POSTIGO SO</t>
  </si>
  <si>
    <t>POSTIGO SOLAR</t>
  </si>
  <si>
    <t>18W000000000SA1C</t>
  </si>
  <si>
    <t>GAL</t>
  </si>
  <si>
    <t>GALPS66</t>
  </si>
  <si>
    <t>FUEN</t>
  </si>
  <si>
    <t>FUENMAYOR</t>
  </si>
  <si>
    <t>18W000000000SAM7</t>
  </si>
  <si>
    <t>GALPS68</t>
  </si>
  <si>
    <t>MAGACELA</t>
  </si>
  <si>
    <t>18W000000000SAO3</t>
  </si>
  <si>
    <t>GALPS69</t>
  </si>
  <si>
    <t>VALDELOSA</t>
  </si>
  <si>
    <t>18W000000000SAP1</t>
  </si>
  <si>
    <t>GALPS70</t>
  </si>
  <si>
    <t>ARZOBISPO</t>
  </si>
  <si>
    <t>18W000000000SARY</t>
  </si>
  <si>
    <t>GALPS71</t>
  </si>
  <si>
    <t>BALDIO</t>
  </si>
  <si>
    <t>18W000000000SASW</t>
  </si>
  <si>
    <t>GALPS72</t>
  </si>
  <si>
    <t>TORDESILLA</t>
  </si>
  <si>
    <t>TORDESILLAS</t>
  </si>
  <si>
    <t>18W000000000SATU</t>
  </si>
  <si>
    <t>GALPS73</t>
  </si>
  <si>
    <t>AURIGA</t>
  </si>
  <si>
    <t>18W000000000SAUS</t>
  </si>
  <si>
    <t>GALPS74</t>
  </si>
  <si>
    <t>BELINCHON</t>
  </si>
  <si>
    <t>18W000000000SAVQ</t>
  </si>
  <si>
    <t>GALPS75</t>
  </si>
  <si>
    <t>CEPHEUS</t>
  </si>
  <si>
    <t>18W000000000SAWO</t>
  </si>
  <si>
    <t>GALPS76</t>
  </si>
  <si>
    <t>MEDINA</t>
  </si>
  <si>
    <t>18W000000000SAXM</t>
  </si>
  <si>
    <t>GALPS77</t>
  </si>
  <si>
    <t>HERCUL</t>
  </si>
  <si>
    <t>18W000000000SAYK</t>
  </si>
  <si>
    <t>GUAAS01</t>
  </si>
  <si>
    <t>UP GUASCOR</t>
  </si>
  <si>
    <t>18W000000000SDK2</t>
  </si>
  <si>
    <t>HIBFUTU</t>
  </si>
  <si>
    <t>HIBFUTUCER</t>
  </si>
  <si>
    <t>HIBRIDACIFUTUCERN</t>
  </si>
  <si>
    <t>18W000000000S9O6</t>
  </si>
  <si>
    <t>HIBHELI</t>
  </si>
  <si>
    <t>HIBHELIOS</t>
  </si>
  <si>
    <t>18W000000000SDCI</t>
  </si>
  <si>
    <t>HYINDIG</t>
  </si>
  <si>
    <t>18W000000000S71L</t>
  </si>
  <si>
    <t>IM3V02</t>
  </si>
  <si>
    <t>18W000000000S4KT</t>
  </si>
  <si>
    <t>MARFRAE</t>
  </si>
  <si>
    <t>MARFRA EXP</t>
  </si>
  <si>
    <t>INTERCAMBIO TRANSFRONTERIZO DE MARI ES A FR</t>
  </si>
  <si>
    <t>18WMARFRAE-123-2</t>
  </si>
  <si>
    <t>MARFRAI</t>
  </si>
  <si>
    <t>MARFRA IMP</t>
  </si>
  <si>
    <t>INTERCAMBIO TRANSFRONTERIZO DE MARI FR A ES</t>
  </si>
  <si>
    <t>18WMARFRAI-123-B</t>
  </si>
  <si>
    <t>MARPORE</t>
  </si>
  <si>
    <t>MARPOR EXP</t>
  </si>
  <si>
    <t>INTERCAMBIO TRANSFRONTERIZO DE MARI ES A PT</t>
  </si>
  <si>
    <t>18WMARPORE-123-F</t>
  </si>
  <si>
    <t>MARPORI</t>
  </si>
  <si>
    <t>MARPOR IMP</t>
  </si>
  <si>
    <t>INTERCAMBIO TRANSFRONTERIZO DE MARI PT A ES</t>
  </si>
  <si>
    <t>18WMARPORI-123-O</t>
  </si>
  <si>
    <t>NUFRR01</t>
  </si>
  <si>
    <t>NUFRI SRAD</t>
  </si>
  <si>
    <t>18W000000000S80K</t>
  </si>
  <si>
    <t>RBIORAY</t>
  </si>
  <si>
    <t>UP BIOELECTRICA DE GARAY</t>
  </si>
  <si>
    <t>18W000000000S74F</t>
  </si>
  <si>
    <t>RENUC01</t>
  </si>
  <si>
    <t>RENU ENERGY</t>
  </si>
  <si>
    <t>18W000000000RZ3B</t>
  </si>
  <si>
    <t>RENUE</t>
  </si>
  <si>
    <t>RENU ENERGY, S.L.</t>
  </si>
  <si>
    <t>RESOLAR</t>
  </si>
  <si>
    <t>SOLARPLANT</t>
  </si>
  <si>
    <t>SOLAR PLANT PORTFOLIO 1</t>
  </si>
  <si>
    <t>18W000000000S4C8</t>
  </si>
  <si>
    <t>SAMEC01</t>
  </si>
  <si>
    <t>18W000000000RZ81</t>
  </si>
  <si>
    <t>SAMA2</t>
  </si>
  <si>
    <t>SAMA2 ENERGY, S.L.</t>
  </si>
  <si>
    <t>SASTE1A</t>
  </si>
  <si>
    <t>UP TERMOSOLAR ARIES 1</t>
  </si>
  <si>
    <t>18W000000000SE02</t>
  </si>
  <si>
    <t>SASTE1B</t>
  </si>
  <si>
    <t>UP TERMOSOLAR ARIES 2</t>
  </si>
  <si>
    <t>18W000000000SE10</t>
  </si>
  <si>
    <t>SASTEXO</t>
  </si>
  <si>
    <t>UP TERMOSOLAR DIOXIPE</t>
  </si>
  <si>
    <t>18W000000000SE2Z</t>
  </si>
  <si>
    <t>SESAR01</t>
  </si>
  <si>
    <t>SESA SRAD</t>
  </si>
  <si>
    <t>18W000000000S1SM</t>
  </si>
  <si>
    <t>TFERRE</t>
  </si>
  <si>
    <t>COG FERRE</t>
  </si>
  <si>
    <t>18W000000000S66E</t>
  </si>
  <si>
    <t>TGYER01</t>
  </si>
  <si>
    <t>TGYE SRAD</t>
  </si>
  <si>
    <t>18W000000000S3D9</t>
  </si>
  <si>
    <t>TOMMC01</t>
  </si>
  <si>
    <t>TOMMI</t>
  </si>
  <si>
    <t>TOMMI ENERGY SL</t>
  </si>
  <si>
    <t>18W000000000RW5G</t>
  </si>
  <si>
    <t>TOMMY</t>
  </si>
  <si>
    <t>TOMMY ENERGY, S.L.</t>
  </si>
  <si>
    <t>UPANT</t>
  </si>
  <si>
    <t>18W000000000S8MD</t>
  </si>
  <si>
    <t>UPARCH2</t>
  </si>
  <si>
    <t>UPARCHO II</t>
  </si>
  <si>
    <t>UP MATILDE SOLAR SL</t>
  </si>
  <si>
    <t>18W000000000S7A3</t>
  </si>
  <si>
    <t>UPARCHI</t>
  </si>
  <si>
    <t>UP ARCHO I</t>
  </si>
  <si>
    <t>UP IRINEO INERGIA SL</t>
  </si>
  <si>
    <t>18W000000000S787</t>
  </si>
  <si>
    <t>UPBRAZA</t>
  </si>
  <si>
    <t>UP BRAZATO</t>
  </si>
  <si>
    <t>UP ELAWAN FOTOVOLTAICA BRAZATORTAS 220 SL</t>
  </si>
  <si>
    <t>18W000000000S7FU</t>
  </si>
  <si>
    <t>UPCORAC</t>
  </si>
  <si>
    <t>CORACHA SO</t>
  </si>
  <si>
    <t>CORACHA SOLAR SLU</t>
  </si>
  <si>
    <t>18W000000000SE5T</t>
  </si>
  <si>
    <t>UPENE01</t>
  </si>
  <si>
    <t>UP ENER 01</t>
  </si>
  <si>
    <t>18W000000000S5C5</t>
  </si>
  <si>
    <t>UPENE02</t>
  </si>
  <si>
    <t>UP ENER 02</t>
  </si>
  <si>
    <t>18W000000000S5D3</t>
  </si>
  <si>
    <t>UPERI</t>
  </si>
  <si>
    <t>18W000000000S6A6</t>
  </si>
  <si>
    <t>UPGARNA</t>
  </si>
  <si>
    <t>UPGARNACHA</t>
  </si>
  <si>
    <t>UP GARNACHA SOLAR SL</t>
  </si>
  <si>
    <t>18W000000000S8ET</t>
  </si>
  <si>
    <t>UPMRA</t>
  </si>
  <si>
    <t>18W000000000S5W2</t>
  </si>
  <si>
    <t>UPSFR</t>
  </si>
  <si>
    <t>18W000000000S63K</t>
  </si>
  <si>
    <t>UPVIL</t>
  </si>
  <si>
    <t>18W000000000S8O9</t>
  </si>
  <si>
    <t>URVIC01</t>
  </si>
  <si>
    <t>URANOVI</t>
  </si>
  <si>
    <t>URANOSCOPIDAE ENERGIA VI SL</t>
  </si>
  <si>
    <t>18W000000000QV7J</t>
  </si>
  <si>
    <t>URANB</t>
  </si>
  <si>
    <t>URANOSCOPIDAE ENERGIA VI, S.L.</t>
  </si>
  <si>
    <t>VISFV18</t>
  </si>
  <si>
    <t>LOGIFASHION SOLAR</t>
  </si>
  <si>
    <t>18W000000000SD4Y</t>
  </si>
  <si>
    <t>VISFV19</t>
  </si>
  <si>
    <t>ENERVALL MERCED</t>
  </si>
  <si>
    <t>18W000000000SD6U</t>
  </si>
  <si>
    <t>ECNR</t>
  </si>
  <si>
    <t>18W000000000SETI</t>
  </si>
  <si>
    <t>EPRADA3</t>
  </si>
  <si>
    <t>UP INS SAN CEBRIAN PRADA</t>
  </si>
  <si>
    <t>18W000000000SF6O</t>
  </si>
  <si>
    <t>FCARMON</t>
  </si>
  <si>
    <t>UP SOLAR CARMONA</t>
  </si>
  <si>
    <t>18W000000000SEWC</t>
  </si>
  <si>
    <t>FCERRAT</t>
  </si>
  <si>
    <t>18W000000000SEDD</t>
  </si>
  <si>
    <t>FCMONA1</t>
  </si>
  <si>
    <t>UP SOLAR CARMONA 1</t>
  </si>
  <si>
    <t>18W000000000SEY8</t>
  </si>
  <si>
    <t>FPSFESM</t>
  </si>
  <si>
    <t>PSF ESMERALDA</t>
  </si>
  <si>
    <t>18W000000000SBYH</t>
  </si>
  <si>
    <t>FPSFHER</t>
  </si>
  <si>
    <t>PSF HERACLES</t>
  </si>
  <si>
    <t>18W000000000SBZF</t>
  </si>
  <si>
    <t>UPALAMB</t>
  </si>
  <si>
    <t>ALAMBOR SO</t>
  </si>
  <si>
    <t>ALAMBOR SOLAR SLU</t>
  </si>
  <si>
    <t>18W000000000SE7P</t>
  </si>
  <si>
    <t>UPCIMER</t>
  </si>
  <si>
    <t>CIMERA SOL</t>
  </si>
  <si>
    <t>CIMERA SOLAR SLU</t>
  </si>
  <si>
    <t>18W000000000SE8N</t>
  </si>
  <si>
    <t>UPTREG1</t>
  </si>
  <si>
    <t>UPTREVAGO1</t>
  </si>
  <si>
    <t>UP PLANTA SOLAR OPDE 42 SL</t>
  </si>
  <si>
    <t>18W000000000SBEK</t>
  </si>
  <si>
    <t>UPTREG2</t>
  </si>
  <si>
    <t>UPTREVAGO2</t>
  </si>
  <si>
    <t>UP PLANTA SOLAR OPDE 47 SL</t>
  </si>
  <si>
    <t>18W000000000SBFI</t>
  </si>
  <si>
    <t>ASRIHCC</t>
  </si>
  <si>
    <t>UP COMPRA BATERIA SRI</t>
  </si>
  <si>
    <t>18W000000000S58D</t>
  </si>
  <si>
    <t>ASRIHCV</t>
  </si>
  <si>
    <t>UP VENTA BATERIA SOTO DE RIBERA</t>
  </si>
  <si>
    <t>18W000000000S59B</t>
  </si>
  <si>
    <t>CHENC01</t>
  </si>
  <si>
    <t>CHURCH</t>
  </si>
  <si>
    <t>CHURCH ENERGY SL</t>
  </si>
  <si>
    <t>18W000000000RZ73</t>
  </si>
  <si>
    <t>CHURCH ENERGY, S.L.</t>
  </si>
  <si>
    <t>CUVEC01</t>
  </si>
  <si>
    <t>CUVER DESTELLA ENERGIA SL</t>
  </si>
  <si>
    <t>18W000000000S5HW</t>
  </si>
  <si>
    <t>CUVER</t>
  </si>
  <si>
    <t>CUVER DESTELLA ENERGIA, SL.</t>
  </si>
  <si>
    <t>CWCMC01</t>
  </si>
  <si>
    <t>PEN_UP_COM</t>
  </si>
  <si>
    <t>ES-PEN_FUTGR_COM</t>
  </si>
  <si>
    <t>18W000000000S91F</t>
  </si>
  <si>
    <t>ECERRA</t>
  </si>
  <si>
    <t>UP CERRATO EOLICA</t>
  </si>
  <si>
    <t>18W000000000SEG7</t>
  </si>
  <si>
    <t>ERPCHI1</t>
  </si>
  <si>
    <t>UPHMENOR1</t>
  </si>
  <si>
    <t>UP PER H MENOR 1</t>
  </si>
  <si>
    <t>18W000000000SI6F</t>
  </si>
  <si>
    <t>FASTC01</t>
  </si>
  <si>
    <t>FASTL COMERCIALIZADORA</t>
  </si>
  <si>
    <t>18W000000000S6QB</t>
  </si>
  <si>
    <t>FASTL</t>
  </si>
  <si>
    <t>FASTLIGHT S.L</t>
  </si>
  <si>
    <t>FBRCNES</t>
  </si>
  <si>
    <t>UP SOLAR BARCONES</t>
  </si>
  <si>
    <t>18W000000000SDAM</t>
  </si>
  <si>
    <t>FCELEO</t>
  </si>
  <si>
    <t>UP SOLAR CELEO</t>
  </si>
  <si>
    <t>18W000000000SIU4</t>
  </si>
  <si>
    <t>FCNVIA1</t>
  </si>
  <si>
    <t>UP SOLAR CENTROVIA 1</t>
  </si>
  <si>
    <t>18W000000000SGKU</t>
  </si>
  <si>
    <t>FCNVIA2</t>
  </si>
  <si>
    <t>UP SOLAR CENTROVIA 2</t>
  </si>
  <si>
    <t>18W000000000SGLS</t>
  </si>
  <si>
    <t>FCNVIA3</t>
  </si>
  <si>
    <t>UP SOLAR CENTROVIA 3</t>
  </si>
  <si>
    <t>18W000000000SGMQ</t>
  </si>
  <si>
    <t>FCRUZ</t>
  </si>
  <si>
    <t>18W000000000SIA7</t>
  </si>
  <si>
    <t>FCUBI</t>
  </si>
  <si>
    <t>18W000000000SJT3</t>
  </si>
  <si>
    <t>FEGPE1</t>
  </si>
  <si>
    <t>18W0000000005EQ5</t>
  </si>
  <si>
    <t>FENRIOS</t>
  </si>
  <si>
    <t>UP SOLAR FENRIOS</t>
  </si>
  <si>
    <t>18W000000000SG6L</t>
  </si>
  <si>
    <t>FESPARR</t>
  </si>
  <si>
    <t>FESPARR PPA</t>
  </si>
  <si>
    <t>18W000000000SH1S</t>
  </si>
  <si>
    <t>FFUNDI</t>
  </si>
  <si>
    <t>UP FUNDICI HIVE SLU</t>
  </si>
  <si>
    <t>18W000000000SF4S</t>
  </si>
  <si>
    <t>FGST160</t>
  </si>
  <si>
    <t>18W000000000SFF6</t>
  </si>
  <si>
    <t>FGST161</t>
  </si>
  <si>
    <t>18W000000000SFH2</t>
  </si>
  <si>
    <t>FGST162</t>
  </si>
  <si>
    <t>18W000000000SIHU</t>
  </si>
  <si>
    <t>FKELLY</t>
  </si>
  <si>
    <t>UP KELLY SOLAR SL</t>
  </si>
  <si>
    <t>18W000000000SG3R</t>
  </si>
  <si>
    <t>FOITURA</t>
  </si>
  <si>
    <t>UP SOLAR OITURA</t>
  </si>
  <si>
    <t>18W000000000SIFY</t>
  </si>
  <si>
    <t>FSIBERI</t>
  </si>
  <si>
    <t>UP SOLAR SIBERI</t>
  </si>
  <si>
    <t>18W000000000SIT6</t>
  </si>
  <si>
    <t>FTOLLO1</t>
  </si>
  <si>
    <t>UP SOLAR TOLLO 1</t>
  </si>
  <si>
    <t>18W000000000SG7J</t>
  </si>
  <si>
    <t>FTOLLO2</t>
  </si>
  <si>
    <t>UP SOLAR TOLLO 2</t>
  </si>
  <si>
    <t>18W000000000SG8H</t>
  </si>
  <si>
    <t>FTOLLO3</t>
  </si>
  <si>
    <t>UP SOLAR TOLLO 3</t>
  </si>
  <si>
    <t>18W000000000SG9F</t>
  </si>
  <si>
    <t>FTREVAG</t>
  </si>
  <si>
    <t>FTREVAGO Y FTREVEU PPA</t>
  </si>
  <si>
    <t>18W000000000SH0U</t>
  </si>
  <si>
    <t>FTRI</t>
  </si>
  <si>
    <t>FTRILLO</t>
  </si>
  <si>
    <t>18W000000000S76B</t>
  </si>
  <si>
    <t>FV_RETA</t>
  </si>
  <si>
    <t>FV_RETAMAR</t>
  </si>
  <si>
    <t>DESARROLLO PROYECTO FOTOVOLTAICO I</t>
  </si>
  <si>
    <t>18W000000000SJHR</t>
  </si>
  <si>
    <t>FVARBO</t>
  </si>
  <si>
    <t>ARBOTANTE</t>
  </si>
  <si>
    <t>ARBOTANTE SOLAR</t>
  </si>
  <si>
    <t>18W000000000SBRV</t>
  </si>
  <si>
    <t>FVCAR</t>
  </si>
  <si>
    <t>CARRASCOSA</t>
  </si>
  <si>
    <t>LA CARRASCOSA</t>
  </si>
  <si>
    <t>18W000000000SDFC</t>
  </si>
  <si>
    <t>FVNORI</t>
  </si>
  <si>
    <t>LA NORIA</t>
  </si>
  <si>
    <t>FV LA NORIA</t>
  </si>
  <si>
    <t>18W000000000SDGA</t>
  </si>
  <si>
    <t>FVVAL1</t>
  </si>
  <si>
    <t>VALIENTES</t>
  </si>
  <si>
    <t>VALIENTES 1</t>
  </si>
  <si>
    <t>18W000000000SBIC</t>
  </si>
  <si>
    <t>FVVAL2</t>
  </si>
  <si>
    <t>VALIENTES2</t>
  </si>
  <si>
    <t>FV VALIENTES 2</t>
  </si>
  <si>
    <t>18W000000000SBN2</t>
  </si>
  <si>
    <t>GREAL</t>
  </si>
  <si>
    <t>GREEN ENERGY 360, S.L.</t>
  </si>
  <si>
    <t>INARC01</t>
  </si>
  <si>
    <t>INARGY</t>
  </si>
  <si>
    <t>INARGY SPOT</t>
  </si>
  <si>
    <t>18W000000000RU7I</t>
  </si>
  <si>
    <t>INARG</t>
  </si>
  <si>
    <t>INARGY SPOT S.L.U.</t>
  </si>
  <si>
    <t>LUXIC01</t>
  </si>
  <si>
    <t>18W000000000SFVB</t>
  </si>
  <si>
    <t>LUXIA</t>
  </si>
  <si>
    <t>LUXIA ENERGIA Y CONSULTORES, S.L.</t>
  </si>
  <si>
    <t>NEUCCX1</t>
  </si>
  <si>
    <t>18W000000000SKCY</t>
  </si>
  <si>
    <t>NEUCVX1</t>
  </si>
  <si>
    <t>18W000000000SK93</t>
  </si>
  <si>
    <t>NWENC01</t>
  </si>
  <si>
    <t>18W000000000R6KR</t>
  </si>
  <si>
    <t>NORDW</t>
  </si>
  <si>
    <t>NORDWESTEN ENERGIE SL</t>
  </si>
  <si>
    <t>PISUC01</t>
  </si>
  <si>
    <t>PISUE UP</t>
  </si>
  <si>
    <t>18W000000000RR5V</t>
  </si>
  <si>
    <t>PISUE</t>
  </si>
  <si>
    <t>PISUERGA INFRAESTRUCTURAS ENERGETICAS SL</t>
  </si>
  <si>
    <t>RALDENG</t>
  </si>
  <si>
    <t>ALDEBARAN ENERGIA DEL GUADALQUIVIR</t>
  </si>
  <si>
    <t>18W000000000SG0X</t>
  </si>
  <si>
    <t>RSPAC01</t>
  </si>
  <si>
    <t>18W000000000RTKW</t>
  </si>
  <si>
    <t>RESPA</t>
  </si>
  <si>
    <t>RESPIRA ENERGIA ATLANTICA S.L.</t>
  </si>
  <si>
    <t>SAHKC01</t>
  </si>
  <si>
    <t>SAHKOA PEN</t>
  </si>
  <si>
    <t>18W000000000S5JS</t>
  </si>
  <si>
    <t>SAHKO</t>
  </si>
  <si>
    <t>SAHKOA SMART ENERGY SL</t>
  </si>
  <si>
    <t>SENFV1</t>
  </si>
  <si>
    <t>SEFVMAJ1</t>
  </si>
  <si>
    <t>SOMEN FV MAJOR 1MW</t>
  </si>
  <si>
    <t>18W000000000S6GV</t>
  </si>
  <si>
    <t>SOLWEJU</t>
  </si>
  <si>
    <t>SOLWE JUND</t>
  </si>
  <si>
    <t>SOLWE JUNDESOL</t>
  </si>
  <si>
    <t>18W000000000SFAG</t>
  </si>
  <si>
    <t>SOLWESO</t>
  </si>
  <si>
    <t>SOLWESOLCA</t>
  </si>
  <si>
    <t>SOLWE SOLCASTEL</t>
  </si>
  <si>
    <t>18W000000000SF9I</t>
  </si>
  <si>
    <t>SRVIC01</t>
  </si>
  <si>
    <t>SRVI</t>
  </si>
  <si>
    <t>SERVINERGIA</t>
  </si>
  <si>
    <t>18W000000000RLFT</t>
  </si>
  <si>
    <t>SERV</t>
  </si>
  <si>
    <t>SERVIENERGIA ELECTRICA SL</t>
  </si>
  <si>
    <t>UPAGA</t>
  </si>
  <si>
    <t>18W000000000SIJQ</t>
  </si>
  <si>
    <t>UPAGB</t>
  </si>
  <si>
    <t>18W000000000SIQC</t>
  </si>
  <si>
    <t>UPARCKG</t>
  </si>
  <si>
    <t>18W000000000SGIY</t>
  </si>
  <si>
    <t>UPCAM1</t>
  </si>
  <si>
    <t>18W000000000SILM</t>
  </si>
  <si>
    <t>UPCAM5</t>
  </si>
  <si>
    <t>18W000000000SIMK</t>
  </si>
  <si>
    <t>UPCERR</t>
  </si>
  <si>
    <t>FV EL CERR</t>
  </si>
  <si>
    <t>FV EL CERRO</t>
  </si>
  <si>
    <t>18W000000000SI8B</t>
  </si>
  <si>
    <t>UPCOV1</t>
  </si>
  <si>
    <t>18W000000000SJLJ</t>
  </si>
  <si>
    <t>UPCOV5</t>
  </si>
  <si>
    <t>18W000000000SIYX</t>
  </si>
  <si>
    <t>UPCOV6</t>
  </si>
  <si>
    <t>18W000000000SIW0</t>
  </si>
  <si>
    <t>UPCUE</t>
  </si>
  <si>
    <t>18W000000000SINI</t>
  </si>
  <si>
    <t>UPIER1</t>
  </si>
  <si>
    <t>18W000000000SIPE</t>
  </si>
  <si>
    <t>UPIER2</t>
  </si>
  <si>
    <t>18W000000000SIRA</t>
  </si>
  <si>
    <t>UPLUZ1</t>
  </si>
  <si>
    <t>LA LUZ I</t>
  </si>
  <si>
    <t>ALTER ENERSUN SA LA LUZ I</t>
  </si>
  <si>
    <t>18W000000000SH3O</t>
  </si>
  <si>
    <t>UPLUZ2</t>
  </si>
  <si>
    <t>LA LUZ II</t>
  </si>
  <si>
    <t>ALTER ENERSUN SA LA LUZ II</t>
  </si>
  <si>
    <t>18W000000000SH4M</t>
  </si>
  <si>
    <t>UPLUZ3</t>
  </si>
  <si>
    <t>LA LUZ III</t>
  </si>
  <si>
    <t>ALTER ENERSUN V</t>
  </si>
  <si>
    <t>18W000000000SH6I</t>
  </si>
  <si>
    <t>UPLUZ4</t>
  </si>
  <si>
    <t>LA LUZ IV</t>
  </si>
  <si>
    <t>ALTER ENERSUN LA LUZ IV</t>
  </si>
  <si>
    <t>18W000000000SH5K</t>
  </si>
  <si>
    <t>UPLUZ5</t>
  </si>
  <si>
    <t>LA LUZ V</t>
  </si>
  <si>
    <t>ALTER ENERSUN LA LUZ V</t>
  </si>
  <si>
    <t>18W000000000SH7G</t>
  </si>
  <si>
    <t>UPLUZ6</t>
  </si>
  <si>
    <t>LA LUZ VI</t>
  </si>
  <si>
    <t>ALTER ENERSUN LA LUZ VI</t>
  </si>
  <si>
    <t>18W000000000SH8E</t>
  </si>
  <si>
    <t>UPLUZ7</t>
  </si>
  <si>
    <t>LALUZVII</t>
  </si>
  <si>
    <t>ALTER ENERSUN LA LUZ VII</t>
  </si>
  <si>
    <t>18W000000000SH9C</t>
  </si>
  <si>
    <t>UPLUZ8</t>
  </si>
  <si>
    <t>ALTER ENER</t>
  </si>
  <si>
    <t>ALTER ENERSUN SA</t>
  </si>
  <si>
    <t>18W000000000SH2Q</t>
  </si>
  <si>
    <t>UPVENAT</t>
  </si>
  <si>
    <t>UP VENATOR</t>
  </si>
  <si>
    <t>UP VENATOR PA SPAIN SL</t>
  </si>
  <si>
    <t>18W000000000SDVH</t>
  </si>
  <si>
    <t>VINAS</t>
  </si>
  <si>
    <t>VINAS FV</t>
  </si>
  <si>
    <t>VINAS FOTOVOLTAICA</t>
  </si>
  <si>
    <t>18W000000000SDYB</t>
  </si>
  <si>
    <t>RZ</t>
  </si>
  <si>
    <t>IMA</t>
  </si>
  <si>
    <t>GN</t>
  </si>
  <si>
    <t>AX2</t>
  </si>
  <si>
    <t>GNE</t>
  </si>
  <si>
    <t>TTE</t>
  </si>
  <si>
    <t>EV</t>
  </si>
  <si>
    <t>VM2</t>
  </si>
  <si>
    <t>NEX</t>
  </si>
  <si>
    <t>AXP</t>
  </si>
  <si>
    <t>ECANTE</t>
  </si>
  <si>
    <t>UP ELICA CASCANTE SL</t>
  </si>
  <si>
    <t>18W000000000SKVX</t>
  </si>
  <si>
    <t>ECOTC01</t>
  </si>
  <si>
    <t>ECOT</t>
  </si>
  <si>
    <t>ECOTHERMIC</t>
  </si>
  <si>
    <t>18W000000000RLGR</t>
  </si>
  <si>
    <t>ECOTH</t>
  </si>
  <si>
    <t>ECOTHERMIC XXI, SOCIEDAD LIMITADA</t>
  </si>
  <si>
    <t>IGN</t>
  </si>
  <si>
    <t>EDRIBGE</t>
  </si>
  <si>
    <t>EOLICAS DESARROLLO RIOJA</t>
  </si>
  <si>
    <t>18W000000000SNHF</t>
  </si>
  <si>
    <t>ENC</t>
  </si>
  <si>
    <t>AC2</t>
  </si>
  <si>
    <t>EMCIBGE</t>
  </si>
  <si>
    <t>EOLICAS MOLINOS CIDACOS</t>
  </si>
  <si>
    <t>18W000000000SNEL</t>
  </si>
  <si>
    <t>EMRIBGE</t>
  </si>
  <si>
    <t>EOLICAS MOLINO RIOJA</t>
  </si>
  <si>
    <t>18W000000000SNFJ</t>
  </si>
  <si>
    <t>ERRIBGE</t>
  </si>
  <si>
    <t>EOLICAS RENOVABLES RIOJA</t>
  </si>
  <si>
    <t>18W000000000SNGH</t>
  </si>
  <si>
    <t>FALDER</t>
  </si>
  <si>
    <t>UP ALDENER EXTREMADURA</t>
  </si>
  <si>
    <t>18W000000000SFKX</t>
  </si>
  <si>
    <t>FCDSNOS</t>
  </si>
  <si>
    <t>UP SOLAR CANDASNOS</t>
  </si>
  <si>
    <t>18W000000000SLQ3</t>
  </si>
  <si>
    <t>FDREU10</t>
  </si>
  <si>
    <t>FV CHINEST</t>
  </si>
  <si>
    <t>FV CHINESTRA</t>
  </si>
  <si>
    <t>18W000000000SLWS</t>
  </si>
  <si>
    <t>FDREU11</t>
  </si>
  <si>
    <t>FV VILANOV</t>
  </si>
  <si>
    <t>FV VILANOVA II</t>
  </si>
  <si>
    <t>18W000000000SM2B</t>
  </si>
  <si>
    <t>FDREU13</t>
  </si>
  <si>
    <t>ALMANSA1</t>
  </si>
  <si>
    <t>FV ALMANSA I</t>
  </si>
  <si>
    <t>18W000000000SMAW</t>
  </si>
  <si>
    <t>FGROMAN</t>
  </si>
  <si>
    <t>UP SOLAR GUARROMAN 81</t>
  </si>
  <si>
    <t>18W000000000SKT0</t>
  </si>
  <si>
    <t>FGST167</t>
  </si>
  <si>
    <t>18W000000000SMIG</t>
  </si>
  <si>
    <t>FMOJADO</t>
  </si>
  <si>
    <t>18W000000000SKLG</t>
  </si>
  <si>
    <t>FRIGAL1</t>
  </si>
  <si>
    <t>UP SOLAR MADRIGAL 1</t>
  </si>
  <si>
    <t>18W000000000SMEO</t>
  </si>
  <si>
    <t>FRIGAL2</t>
  </si>
  <si>
    <t>UP SOLAR MADRIGAL 2</t>
  </si>
  <si>
    <t>18W000000000SMFM</t>
  </si>
  <si>
    <t>FVAFROD</t>
  </si>
  <si>
    <t>PSF AFRODITA</t>
  </si>
  <si>
    <t>18W000000000SN52</t>
  </si>
  <si>
    <t>FVANUBI</t>
  </si>
  <si>
    <t>PSF ANUBIS</t>
  </si>
  <si>
    <t>18W000000000SN36</t>
  </si>
  <si>
    <t>FVDEMET</t>
  </si>
  <si>
    <t>PSF DEMETER</t>
  </si>
  <si>
    <t>18W000000000SN44</t>
  </si>
  <si>
    <t>FYEGUAS</t>
  </si>
  <si>
    <t>18W000000000SKNC</t>
  </si>
  <si>
    <t>GRENC01</t>
  </si>
  <si>
    <t>GREEN360</t>
  </si>
  <si>
    <t>GREENENERGY360</t>
  </si>
  <si>
    <t>18W000000000SL82</t>
  </si>
  <si>
    <t>GVISA1</t>
  </si>
  <si>
    <t>UP GENERICA VISALIA</t>
  </si>
  <si>
    <t>18W000000000SHMN</t>
  </si>
  <si>
    <t>GN4</t>
  </si>
  <si>
    <t>HIBENAA</t>
  </si>
  <si>
    <t>ES-HIBENAA</t>
  </si>
  <si>
    <t>HIBRIDACION ENAGAS ALMENDRALEJO</t>
  </si>
  <si>
    <t>18W000000000SL90</t>
  </si>
  <si>
    <t>JOVEC01</t>
  </si>
  <si>
    <t>UP JOVE</t>
  </si>
  <si>
    <t>UPROGRAMACION JOVE</t>
  </si>
  <si>
    <t>18W000000000RG7N</t>
  </si>
  <si>
    <t>JOVE</t>
  </si>
  <si>
    <t>JOVE ENERGÍA RENOVABLE SL</t>
  </si>
  <si>
    <t>RDGAC01</t>
  </si>
  <si>
    <t>18W000000000SD21</t>
  </si>
  <si>
    <t>RDGCO</t>
  </si>
  <si>
    <t>RDG COMERCIALIZADORA GALEGA DE ENERXIA, S.A.</t>
  </si>
  <si>
    <t>TECLAS</t>
  </si>
  <si>
    <t>FVTECLAS</t>
  </si>
  <si>
    <t>18W000000000SJWY</t>
  </si>
  <si>
    <t>UPALMAN</t>
  </si>
  <si>
    <t>UP ALMANSO</t>
  </si>
  <si>
    <t>ERG SOLAR ALMANSA SLU</t>
  </si>
  <si>
    <t>18W000000000SMUT</t>
  </si>
  <si>
    <t>UPBARR</t>
  </si>
  <si>
    <t>UP BARRAN</t>
  </si>
  <si>
    <t>UP PSF BARRANQUILLA</t>
  </si>
  <si>
    <t>18W000000000SKJK</t>
  </si>
  <si>
    <t>UPCASTA</t>
  </si>
  <si>
    <t>UP CASTAÑO</t>
  </si>
  <si>
    <t>UP CASTAÑO SOLAR</t>
  </si>
  <si>
    <t>18W000000000SNID</t>
  </si>
  <si>
    <t>UPENE03</t>
  </si>
  <si>
    <t>ES-UPENE03</t>
  </si>
  <si>
    <t>18W000000000SKHO</t>
  </si>
  <si>
    <t>UPREBEN</t>
  </si>
  <si>
    <t>UPREBENTO</t>
  </si>
  <si>
    <t>18W000000000SNSU</t>
  </si>
  <si>
    <t>UPSALI2</t>
  </si>
  <si>
    <t>UPSALINET2</t>
  </si>
  <si>
    <t>UPSALINETES</t>
  </si>
  <si>
    <t>18W000000000SNN3</t>
  </si>
  <si>
    <t>UPSERBA</t>
  </si>
  <si>
    <t>UP SERBAL</t>
  </si>
  <si>
    <t>UP SERBAL SOLAR</t>
  </si>
  <si>
    <t>18W000000000SNK9</t>
  </si>
  <si>
    <t>UPTABER</t>
  </si>
  <si>
    <t>UP TABERNA</t>
  </si>
  <si>
    <t>UP ERG SOLAR TABERNAS SLU</t>
  </si>
  <si>
    <t>18W000000000SMVR</t>
  </si>
  <si>
    <t>UPVALLE</t>
  </si>
  <si>
    <t>PSF VALLE DEL SOL</t>
  </si>
  <si>
    <t>18W000000000SLIJ</t>
  </si>
  <si>
    <t>AHTC01</t>
  </si>
  <si>
    <t>18W000000000RL94</t>
  </si>
  <si>
    <t>COMED</t>
  </si>
  <si>
    <t>COMERCIALIZADORA ELECTRICA DE TENERIFE SL</t>
  </si>
  <si>
    <t>BERLC01</t>
  </si>
  <si>
    <t>BERLC01 CO</t>
  </si>
  <si>
    <t>BERLC01 COMPRA</t>
  </si>
  <si>
    <t>18W000000000R4KX</t>
  </si>
  <si>
    <t>LUZYG</t>
  </si>
  <si>
    <t>LUZYGAS IBERIA SL</t>
  </si>
  <si>
    <t>CAPTC01</t>
  </si>
  <si>
    <t>CAPTURC01</t>
  </si>
  <si>
    <t>18W000000000QT9L</t>
  </si>
  <si>
    <t>CAPTA</t>
  </si>
  <si>
    <t>CAPTURA ENERGIA SL</t>
  </si>
  <si>
    <t>CATRAL1</t>
  </si>
  <si>
    <t>CATRAL1UP</t>
  </si>
  <si>
    <t>CATRAL 01 UP</t>
  </si>
  <si>
    <t>18W000000000SLBX</t>
  </si>
  <si>
    <t>CEMEC01</t>
  </si>
  <si>
    <t>CEMENTO PE</t>
  </si>
  <si>
    <t>CEMENTO PENINSULA</t>
  </si>
  <si>
    <t>18W000000000SJQ9</t>
  </si>
  <si>
    <t>CEMEK</t>
  </si>
  <si>
    <t>CEMENTO SOLAR SPAIN S.L</t>
  </si>
  <si>
    <t>CINCOVI</t>
  </si>
  <si>
    <t>CINCOVILLA</t>
  </si>
  <si>
    <t>CINCO VILLAS BIOMASA</t>
  </si>
  <si>
    <t>18W000000000SOFG</t>
  </si>
  <si>
    <t>COMTC01</t>
  </si>
  <si>
    <t>18W000000000S6IR</t>
  </si>
  <si>
    <t>COMEE</t>
  </si>
  <si>
    <t>COMERCIALIZADORA DE ENERGÍA TRANSPARENTE, S.L.</t>
  </si>
  <si>
    <t>EDENCA</t>
  </si>
  <si>
    <t>UP DESA ENERG DEL CANT</t>
  </si>
  <si>
    <t>18W000000000SPOW</t>
  </si>
  <si>
    <t>EELCAMP</t>
  </si>
  <si>
    <t>PE EL CAMP</t>
  </si>
  <si>
    <t>PE EL CAMPILLO</t>
  </si>
  <si>
    <t>18W000000000SPK3</t>
  </si>
  <si>
    <t>EINDC01</t>
  </si>
  <si>
    <t>18W000000000SF8K</t>
  </si>
  <si>
    <t>EINDE</t>
  </si>
  <si>
    <t>ENERGY INDEX SL</t>
  </si>
  <si>
    <t>EROME</t>
  </si>
  <si>
    <t>18W000000000SP06</t>
  </si>
  <si>
    <t>FALCNCH</t>
  </si>
  <si>
    <t>UP SOLAR ALCONCHEL</t>
  </si>
  <si>
    <t>18W000000000SQLZ</t>
  </si>
  <si>
    <t>FALP11</t>
  </si>
  <si>
    <t>18W000000000SQ4W</t>
  </si>
  <si>
    <t>FARASU1</t>
  </si>
  <si>
    <t>PSF ARASUR</t>
  </si>
  <si>
    <t>PSF ARASUR 1</t>
  </si>
  <si>
    <t>18W000000000SQQP</t>
  </si>
  <si>
    <t>FARASU2</t>
  </si>
  <si>
    <t>PSF ARASUR 2</t>
  </si>
  <si>
    <t>18W000000000SQSL</t>
  </si>
  <si>
    <t>FBASIR</t>
  </si>
  <si>
    <t>UP SOLAR BASIR</t>
  </si>
  <si>
    <t>18W000000000SR7N</t>
  </si>
  <si>
    <t>FCAMPIR</t>
  </si>
  <si>
    <t>SOLAR CAMP</t>
  </si>
  <si>
    <t>SOLAR CAMPINA CORDOBESA</t>
  </si>
  <si>
    <t>18W000000000SQRN</t>
  </si>
  <si>
    <t>FCLMNTE</t>
  </si>
  <si>
    <t>UP SOLAR SAN CLEMENTE</t>
  </si>
  <si>
    <t>18W000000000SQFA</t>
  </si>
  <si>
    <t>FCONSTA</t>
  </si>
  <si>
    <t>PS CONSTAN</t>
  </si>
  <si>
    <t>PS CONSTANTI 42</t>
  </si>
  <si>
    <t>18W000000000SQUH</t>
  </si>
  <si>
    <t>FDREU14</t>
  </si>
  <si>
    <t>ALMANSA2</t>
  </si>
  <si>
    <t>FV ALMANSA II</t>
  </si>
  <si>
    <t>18W000000000SMCS</t>
  </si>
  <si>
    <t>FERNOSO</t>
  </si>
  <si>
    <t>UP SOLAR EL PEDERNOSO</t>
  </si>
  <si>
    <t>18W000000000SQDE</t>
  </si>
  <si>
    <t>FERUELA</t>
  </si>
  <si>
    <t>UP SOLAR ERUELA</t>
  </si>
  <si>
    <t>18W000000000SQBI</t>
  </si>
  <si>
    <t>FNVELOS</t>
  </si>
  <si>
    <t>UP SOLAR NAVELOS</t>
  </si>
  <si>
    <t>18W000000000SR8L</t>
  </si>
  <si>
    <t>FOLIVA</t>
  </si>
  <si>
    <t>UP SOLAR OLIVA</t>
  </si>
  <si>
    <t>18W000000000SR9J</t>
  </si>
  <si>
    <t>FPLMCND</t>
  </si>
  <si>
    <t>FPMLCND</t>
  </si>
  <si>
    <t>UP SOLAR PALMA CONDADO</t>
  </si>
  <si>
    <t>18W000000000SO33</t>
  </si>
  <si>
    <t>FQUEMA2</t>
  </si>
  <si>
    <t>ES-QUEMAD2</t>
  </si>
  <si>
    <t>18W000000000SQTJ</t>
  </si>
  <si>
    <t>GN3</t>
  </si>
  <si>
    <t>FVECOSO</t>
  </si>
  <si>
    <t>FV ECOSOLA</t>
  </si>
  <si>
    <t>FV ECOSOLAR</t>
  </si>
  <si>
    <t>18W000000000SRY6</t>
  </si>
  <si>
    <t>FVMAYOR</t>
  </si>
  <si>
    <t>UP SOLAR VILLAMAYOR</t>
  </si>
  <si>
    <t>18W000000000SR6P</t>
  </si>
  <si>
    <t>FZNCONE</t>
  </si>
  <si>
    <t>UP SOLAR ZANCONES</t>
  </si>
  <si>
    <t>18W000000000SQMX</t>
  </si>
  <si>
    <t>FZORITA</t>
  </si>
  <si>
    <t>18W000000000SPVI</t>
  </si>
  <si>
    <t>INICC01</t>
  </si>
  <si>
    <t>18W000000000SE3X</t>
  </si>
  <si>
    <t>INICB</t>
  </si>
  <si>
    <t>INICIATIVAS ENERGÉTICAS O3, S.L.</t>
  </si>
  <si>
    <t>JOLCA</t>
  </si>
  <si>
    <t>JOLCAFV</t>
  </si>
  <si>
    <t>18W000000000SFY5</t>
  </si>
  <si>
    <t>LADYC01</t>
  </si>
  <si>
    <t>ES-LADYWAR</t>
  </si>
  <si>
    <t>LADY WARSAW INVESTMENT SL</t>
  </si>
  <si>
    <t>18W000000000SERM</t>
  </si>
  <si>
    <t>LADYW</t>
  </si>
  <si>
    <t>MASAC01</t>
  </si>
  <si>
    <t>18W000000000SHLP</t>
  </si>
  <si>
    <t>MASAL</t>
  </si>
  <si>
    <t>MAS ALLA PRODUCTOS ENERGETICOS, S.L.</t>
  </si>
  <si>
    <t>MASNC01</t>
  </si>
  <si>
    <t>MASNORTEGL</t>
  </si>
  <si>
    <t>MASNORTE GLOBAL UP</t>
  </si>
  <si>
    <t>18W000000000SKP8</t>
  </si>
  <si>
    <t>MASNA</t>
  </si>
  <si>
    <t>MASNORTE GLOBAL POWER, SOCIEDAD LIMITADA</t>
  </si>
  <si>
    <t>MORTC01</t>
  </si>
  <si>
    <t>MORTERO PE</t>
  </si>
  <si>
    <t>MORTERO PENINSULA</t>
  </si>
  <si>
    <t>18W000000000SJR7</t>
  </si>
  <si>
    <t>MORTE</t>
  </si>
  <si>
    <t>MORTERO SOLAR SPAIN S.L</t>
  </si>
  <si>
    <t>NEXTC01</t>
  </si>
  <si>
    <t>NEXT</t>
  </si>
  <si>
    <t>NEXT ENERGY PLUS SL</t>
  </si>
  <si>
    <t>18W000000000SHE2</t>
  </si>
  <si>
    <t>NEXAP</t>
  </si>
  <si>
    <t>NEXT ENERGY PLUS, S.L.</t>
  </si>
  <si>
    <t>PLIAC01</t>
  </si>
  <si>
    <t>UP SIMPLIA</t>
  </si>
  <si>
    <t>18W000000000S8HN</t>
  </si>
  <si>
    <t>SIMP</t>
  </si>
  <si>
    <t>SIMPLIA ENERGIA S.L</t>
  </si>
  <si>
    <t>RVJEREZ</t>
  </si>
  <si>
    <t>UP RESIDUOS VERJERE</t>
  </si>
  <si>
    <t>18W000000000SLP5</t>
  </si>
  <si>
    <t>SHEPV34</t>
  </si>
  <si>
    <t>PE AIRAS</t>
  </si>
  <si>
    <t>18W000000000SRKY</t>
  </si>
  <si>
    <t>SOLGEN</t>
  </si>
  <si>
    <t>SOLGENERA</t>
  </si>
  <si>
    <t>18W000000000SLDT</t>
  </si>
  <si>
    <t>UPBAOB</t>
  </si>
  <si>
    <t>UPBAOBAB</t>
  </si>
  <si>
    <t>UP BAOBAB SOLAR</t>
  </si>
  <si>
    <t>18W000000000SOTP</t>
  </si>
  <si>
    <t>UPBLAN</t>
  </si>
  <si>
    <t>18W000000000SQJ2</t>
  </si>
  <si>
    <t>UPCOV2</t>
  </si>
  <si>
    <t>UPCOVA2</t>
  </si>
  <si>
    <t>UP COVATILLAS 2</t>
  </si>
  <si>
    <t>18W000000000SOXH</t>
  </si>
  <si>
    <t>UPCOV3</t>
  </si>
  <si>
    <t>UPCOVA3</t>
  </si>
  <si>
    <t>UP COVATILLAS 3</t>
  </si>
  <si>
    <t>18W000000000SOZD</t>
  </si>
  <si>
    <t>UPCOV4</t>
  </si>
  <si>
    <t>UPCOVA4</t>
  </si>
  <si>
    <t>UP COVATILLAS 4</t>
  </si>
  <si>
    <t>18W000000000SP22</t>
  </si>
  <si>
    <t>UPGAZ1</t>
  </si>
  <si>
    <t>UPGAZULES1</t>
  </si>
  <si>
    <t>UP GAZULES 1</t>
  </si>
  <si>
    <t>18W000000000SPXE</t>
  </si>
  <si>
    <t>UPGAZ2</t>
  </si>
  <si>
    <t>UPGAZULES2</t>
  </si>
  <si>
    <t>UP GAZULES 2</t>
  </si>
  <si>
    <t>18W000000000SPYC</t>
  </si>
  <si>
    <t>UPPATO</t>
  </si>
  <si>
    <t>UP PATO</t>
  </si>
  <si>
    <t>UP PATO SOLAR</t>
  </si>
  <si>
    <t>18W000000000SOVL</t>
  </si>
  <si>
    <t>UPSOLI</t>
  </si>
  <si>
    <t>UPSOLIEDRA</t>
  </si>
  <si>
    <t>UP PE SOLIEDRA</t>
  </si>
  <si>
    <t>18W000000000SRNS</t>
  </si>
  <si>
    <t>UPTORR</t>
  </si>
  <si>
    <t>UPTORRUBIA</t>
  </si>
  <si>
    <t>UP PS TORRUBIAS</t>
  </si>
  <si>
    <t>18W000000000SRRK</t>
  </si>
  <si>
    <t>VISFV21</t>
  </si>
  <si>
    <t>PSFV OLIVARES</t>
  </si>
  <si>
    <t>18W000000000SKXT</t>
  </si>
  <si>
    <t>VISFV22</t>
  </si>
  <si>
    <t>INVERSIONES FERNANDEZ HIGUERA- IFV TORRECILLA</t>
  </si>
  <si>
    <t>18W000000000SQVF</t>
  </si>
  <si>
    <t>AMAZC01</t>
  </si>
  <si>
    <t>AMAZON C</t>
  </si>
  <si>
    <t>AMAZON COMPRA</t>
  </si>
  <si>
    <t>18W000000000SLHL</t>
  </si>
  <si>
    <t>COMEF</t>
  </si>
  <si>
    <t>COMERCIALIZADORA DE ENERGIAS RENOVABLES Y DE SERVICIOS DE LUZ AMA Y GAS ZON, SOCIEDAD LIMITADA</t>
  </si>
  <si>
    <t>CYIGNI</t>
  </si>
  <si>
    <t>GENE COGEN</t>
  </si>
  <si>
    <t>GENERICA DE COGENERADORAS</t>
  </si>
  <si>
    <t>18W000000000SVJO</t>
  </si>
  <si>
    <t>DONBC01</t>
  </si>
  <si>
    <t>DONBECO</t>
  </si>
  <si>
    <t>18W000000000SQXB</t>
  </si>
  <si>
    <t>DONBE</t>
  </si>
  <si>
    <t>DON BELTRAN MARKET, S.L.</t>
  </si>
  <si>
    <t>EAGUAS</t>
  </si>
  <si>
    <t>P PE DE SIERRA DE AGUAS</t>
  </si>
  <si>
    <t>18W000000000ST7H</t>
  </si>
  <si>
    <t>EAMV02</t>
  </si>
  <si>
    <t>GRAFENO</t>
  </si>
  <si>
    <t>18W000000000SV0P</t>
  </si>
  <si>
    <t>FATQINS</t>
  </si>
  <si>
    <t>UP SOLAR ATAQUINES</t>
  </si>
  <si>
    <t>18W000000000SUYY</t>
  </si>
  <si>
    <t>FBETULA</t>
  </si>
  <si>
    <t>UP SOLAR BETULA</t>
  </si>
  <si>
    <t>18W000000000SUU5</t>
  </si>
  <si>
    <t>FCABLDO</t>
  </si>
  <si>
    <t>UP SOLAR CABILDO</t>
  </si>
  <si>
    <t>18W000000000SUW1</t>
  </si>
  <si>
    <t>FCOLON</t>
  </si>
  <si>
    <t>18W000000000SRPO</t>
  </si>
  <si>
    <t>FCRYLUS</t>
  </si>
  <si>
    <t>UP SOLAR CORYLUS</t>
  </si>
  <si>
    <t>18W000000000SUT7</t>
  </si>
  <si>
    <t>FCTANEA</t>
  </si>
  <si>
    <t>UP SOLAR CATANEA</t>
  </si>
  <si>
    <t>18W000000000SUS9</t>
  </si>
  <si>
    <t>FGALERA</t>
  </si>
  <si>
    <t>UP SOLAR LA GALERA</t>
  </si>
  <si>
    <t>18W000000000SUB6</t>
  </si>
  <si>
    <t>FGAMNSA</t>
  </si>
  <si>
    <t>UP SOLAR</t>
  </si>
  <si>
    <t>18W000000000SUV3</t>
  </si>
  <si>
    <t>FMANZQE</t>
  </si>
  <si>
    <t>UP SOLAR MANZANEQUE</t>
  </si>
  <si>
    <t>18W000000000SU3M</t>
  </si>
  <si>
    <t>FPALO</t>
  </si>
  <si>
    <t>18W000000000SVXX</t>
  </si>
  <si>
    <t>FPFAGUS</t>
  </si>
  <si>
    <t>UP SOLAR FAGUS</t>
  </si>
  <si>
    <t>18W000000000SURB</t>
  </si>
  <si>
    <t>FSANCTE</t>
  </si>
  <si>
    <t>18W000000000SUPF</t>
  </si>
  <si>
    <t>FSOLRC</t>
  </si>
  <si>
    <t>18W000000000SOOZ</t>
  </si>
  <si>
    <t>SOLRC</t>
  </si>
  <si>
    <t>FSONDAA</t>
  </si>
  <si>
    <t>UF SOLAR CUBIERTA ONDA A</t>
  </si>
  <si>
    <t>18W000000000SUOH</t>
  </si>
  <si>
    <t>FSOVAL</t>
  </si>
  <si>
    <t>UP SOLEN ENERGA VALDELAFUENTE</t>
  </si>
  <si>
    <t>18W000000000SSNP</t>
  </si>
  <si>
    <t>FSTATON</t>
  </si>
  <si>
    <t>UP SOLAR STATION</t>
  </si>
  <si>
    <t>18W000000000SSJX</t>
  </si>
  <si>
    <t>FULCONA</t>
  </si>
  <si>
    <t>UP SOLAR ULLDECONA</t>
  </si>
  <si>
    <t>18W000000000SU9A</t>
  </si>
  <si>
    <t>FYUNQUE</t>
  </si>
  <si>
    <t>UP SOLAR YUNQUERAS</t>
  </si>
  <si>
    <t>18W000000000SUQD</t>
  </si>
  <si>
    <t>MFUSTE</t>
  </si>
  <si>
    <t>MAS FUSTE</t>
  </si>
  <si>
    <t>MAS FUSTE 1</t>
  </si>
  <si>
    <t>18W000000000SVC1</t>
  </si>
  <si>
    <t>ONDC01</t>
  </si>
  <si>
    <t>ONDARE</t>
  </si>
  <si>
    <t>ONDARE UNIVERSIDAD</t>
  </si>
  <si>
    <t>18W000000000SPDH</t>
  </si>
  <si>
    <t>ONDAR</t>
  </si>
  <si>
    <t>ONDARE UNIVERSIDAD SLU</t>
  </si>
  <si>
    <t>PENAS3</t>
  </si>
  <si>
    <t>UP PENAS3</t>
  </si>
  <si>
    <t>18W000000000ST5L</t>
  </si>
  <si>
    <t>RBIORE</t>
  </si>
  <si>
    <t>UP BIORE</t>
  </si>
  <si>
    <t>UP BIORECICLAJE DE CADIZ</t>
  </si>
  <si>
    <t>18W000000000SIC3</t>
  </si>
  <si>
    <t>RECARRE</t>
  </si>
  <si>
    <t>CARRE</t>
  </si>
  <si>
    <t>CARRE UP</t>
  </si>
  <si>
    <t>18W000000000SRTG</t>
  </si>
  <si>
    <t>REROQUE</t>
  </si>
  <si>
    <t>CABEZO</t>
  </si>
  <si>
    <t>CABEZO UP</t>
  </si>
  <si>
    <t>18W000000000SRUE</t>
  </si>
  <si>
    <t>SCRUC01</t>
  </si>
  <si>
    <t>CD ALUMINA</t>
  </si>
  <si>
    <t>CONSUMIDOR DIRECTO ALUMINA</t>
  </si>
  <si>
    <t>18WALCOASPREFUCO</t>
  </si>
  <si>
    <t>SHEPV32</t>
  </si>
  <si>
    <t>CASA VIEJA</t>
  </si>
  <si>
    <t>18W000000000SSPL</t>
  </si>
  <si>
    <t>TATLROS</t>
  </si>
  <si>
    <t>ATLAS ROSELLO</t>
  </si>
  <si>
    <t>18W000000000SSX5</t>
  </si>
  <si>
    <t>TEOTC01</t>
  </si>
  <si>
    <t>TORNA</t>
  </si>
  <si>
    <t>TORNAENER</t>
  </si>
  <si>
    <t>18W000000000RS7O</t>
  </si>
  <si>
    <t>TORNADIZOS ENERGY SL</t>
  </si>
  <si>
    <t>TRIPCX1</t>
  </si>
  <si>
    <t>18W000000000STZZ</t>
  </si>
  <si>
    <t>TRIPVX1</t>
  </si>
  <si>
    <t>18W000000000SU1Q</t>
  </si>
  <si>
    <t>UPBAD7</t>
  </si>
  <si>
    <t>UPBADAJOZ7</t>
  </si>
  <si>
    <t>UP BADAJOZ 7</t>
  </si>
  <si>
    <t>18W000000000SUFZ</t>
  </si>
  <si>
    <t>UPCERN</t>
  </si>
  <si>
    <t>CERNEG</t>
  </si>
  <si>
    <t>UP CERNEGULA</t>
  </si>
  <si>
    <t>18W000000000SKZP</t>
  </si>
  <si>
    <t>UPLLA</t>
  </si>
  <si>
    <t>18W000000000SUHV</t>
  </si>
  <si>
    <t>UPPEP3</t>
  </si>
  <si>
    <t>UPPEPINO3</t>
  </si>
  <si>
    <t>UP PEPINO 3</t>
  </si>
  <si>
    <t>18W000000000SS9G</t>
  </si>
  <si>
    <t>UPYEN</t>
  </si>
  <si>
    <t>18W000000000SUKP</t>
  </si>
  <si>
    <t>ABO2G</t>
  </si>
  <si>
    <t>ABOÑO2 GAS</t>
  </si>
  <si>
    <t>18W000000000T2JX</t>
  </si>
  <si>
    <t>Natural gas</t>
  </si>
  <si>
    <t>Gas Natural</t>
  </si>
  <si>
    <t>ABOX</t>
  </si>
  <si>
    <t>COMPRA SSAA ABOÑO</t>
  </si>
  <si>
    <t>18W000000000R1YE</t>
  </si>
  <si>
    <t>AEQC01</t>
  </si>
  <si>
    <t>AEQ</t>
  </si>
  <si>
    <t>AEQ COMER</t>
  </si>
  <si>
    <t>18W000000000SPNY</t>
  </si>
  <si>
    <t>AEQ W2M</t>
  </si>
  <si>
    <t>ALBOLOT</t>
  </si>
  <si>
    <t>UP_ALBOLOT</t>
  </si>
  <si>
    <t>UP_ALBOLOTE_FV</t>
  </si>
  <si>
    <t>18W000000000T22U</t>
  </si>
  <si>
    <t>BSOUP01</t>
  </si>
  <si>
    <t>BSOUPTAL01</t>
  </si>
  <si>
    <t>UP BASSOLS SOLAR ORION TALAVERA</t>
  </si>
  <si>
    <t>18W000000000SV97</t>
  </si>
  <si>
    <t>CATRAL2</t>
  </si>
  <si>
    <t>CATRAL 2</t>
  </si>
  <si>
    <t>UP CATRAL 2</t>
  </si>
  <si>
    <t>18W000000000T12X</t>
  </si>
  <si>
    <t>CLIFV58</t>
  </si>
  <si>
    <t>18W000000000T1RK</t>
  </si>
  <si>
    <t>COGINPE</t>
  </si>
  <si>
    <t>18W000000000T48C</t>
  </si>
  <si>
    <t>CR4FEN</t>
  </si>
  <si>
    <t>FOT50</t>
  </si>
  <si>
    <t>FOR MAYOR 1MW</t>
  </si>
  <si>
    <t>18W000000000T55F</t>
  </si>
  <si>
    <t>DFERC01</t>
  </si>
  <si>
    <t>DUFERCO ENERGIA SPA</t>
  </si>
  <si>
    <t>18W000000000Q43Y</t>
  </si>
  <si>
    <t>DUFEA</t>
  </si>
  <si>
    <t>DUFERCO ENERGIA S.P.A.</t>
  </si>
  <si>
    <t>ECABELL</t>
  </si>
  <si>
    <t>PE CABELLO</t>
  </si>
  <si>
    <t>PE CERRO CABELLO</t>
  </si>
  <si>
    <t>18W000000000SWLH</t>
  </si>
  <si>
    <t>EFIBGES</t>
  </si>
  <si>
    <t>18WEFIBGES-123-J</t>
  </si>
  <si>
    <t>EGST174</t>
  </si>
  <si>
    <t>18W000000000SZKA</t>
  </si>
  <si>
    <t>EGST175</t>
  </si>
  <si>
    <t>18W000000000SZM6</t>
  </si>
  <si>
    <t>WM1</t>
  </si>
  <si>
    <t>EPATRON</t>
  </si>
  <si>
    <t>PE PATRON</t>
  </si>
  <si>
    <t>PARQUE EOLICO EL PATRON</t>
  </si>
  <si>
    <t>18W000000000SWMF</t>
  </si>
  <si>
    <t>EPRADA4</t>
  </si>
  <si>
    <t>UP PE LAS ATALAYAS</t>
  </si>
  <si>
    <t>18W000000000T24Q</t>
  </si>
  <si>
    <t>FABACUS</t>
  </si>
  <si>
    <t>UP SOLAR ABACUS</t>
  </si>
  <si>
    <t>18W000000000T31T</t>
  </si>
  <si>
    <t>FALBESA</t>
  </si>
  <si>
    <t>UP SOLAR ALBESA</t>
  </si>
  <si>
    <t>18W000000000SZRX</t>
  </si>
  <si>
    <t>FALONDE</t>
  </si>
  <si>
    <t>UP SOLAR FALONDE</t>
  </si>
  <si>
    <t>18W000000000SZ9W</t>
  </si>
  <si>
    <t>FALP12</t>
  </si>
  <si>
    <t>18W000000000SVFW</t>
  </si>
  <si>
    <t>FALP13</t>
  </si>
  <si>
    <t>18W000000000SVGU</t>
  </si>
  <si>
    <t>FARPAL</t>
  </si>
  <si>
    <t>UP SOLAR ARPAL</t>
  </si>
  <si>
    <t>18W000000000SYSY</t>
  </si>
  <si>
    <t>FCANES</t>
  </si>
  <si>
    <t>UP SOLAR CANES</t>
  </si>
  <si>
    <t>18W000000000T1AH</t>
  </si>
  <si>
    <t>FCEN121</t>
  </si>
  <si>
    <t>CENTAURUS</t>
  </si>
  <si>
    <t>CENTUARUS SOLAR FV121</t>
  </si>
  <si>
    <t>18W000000000T63G</t>
  </si>
  <si>
    <t>FCLASA</t>
  </si>
  <si>
    <t>UP SOLAR CLASA</t>
  </si>
  <si>
    <t>18W000000000T32R</t>
  </si>
  <si>
    <t>FCUBLA</t>
  </si>
  <si>
    <t>UP SOLAR CUBLA</t>
  </si>
  <si>
    <t>18W000000000SZO2</t>
  </si>
  <si>
    <t>FEKIOLA</t>
  </si>
  <si>
    <t>UP SOLAR EKIOLA</t>
  </si>
  <si>
    <t>18W000000000SYTW</t>
  </si>
  <si>
    <t>FELTOLL</t>
  </si>
  <si>
    <t>18W000000000T3Y0</t>
  </si>
  <si>
    <t>FGFBAR</t>
  </si>
  <si>
    <t>UP GENERACIN FOTOVOLTAICA DE BARGAS SL</t>
  </si>
  <si>
    <t>18W000000000SXP6</t>
  </si>
  <si>
    <t>FGST168</t>
  </si>
  <si>
    <t>18W000000000SXR2</t>
  </si>
  <si>
    <t>FGST169</t>
  </si>
  <si>
    <t>18W000000000SYFN</t>
  </si>
  <si>
    <t>FGST170</t>
  </si>
  <si>
    <t>18W000000000SYHJ</t>
  </si>
  <si>
    <t>FGST171</t>
  </si>
  <si>
    <t>18W000000000SYKD</t>
  </si>
  <si>
    <t>FGST176</t>
  </si>
  <si>
    <t>18W000000000T3JU</t>
  </si>
  <si>
    <t>FGST177</t>
  </si>
  <si>
    <t>18W000000000T3LQ</t>
  </si>
  <si>
    <t>FGST178</t>
  </si>
  <si>
    <t>18W000000000T3QG</t>
  </si>
  <si>
    <t>FGST179</t>
  </si>
  <si>
    <t>18W000000000T4OH</t>
  </si>
  <si>
    <t>FGST180</t>
  </si>
  <si>
    <t>18W000000000T4QD</t>
  </si>
  <si>
    <t>FGST181</t>
  </si>
  <si>
    <t>18W000000000T4S9</t>
  </si>
  <si>
    <t>FGST182</t>
  </si>
  <si>
    <t>18W000000000T4W1</t>
  </si>
  <si>
    <t>FIBGEVE</t>
  </si>
  <si>
    <t>18W000000000S9UV</t>
  </si>
  <si>
    <t>FMAMAQ</t>
  </si>
  <si>
    <t>UP MAMA QUILLA SOLAR SL</t>
  </si>
  <si>
    <t>18W000000000T2KV</t>
  </si>
  <si>
    <t>FMBAIDA</t>
  </si>
  <si>
    <t>UP SOLAR MIRALBAIDA 15</t>
  </si>
  <si>
    <t>18W000000000SYUU</t>
  </si>
  <si>
    <t>FNUMAN</t>
  </si>
  <si>
    <t>18W000000000T1WA</t>
  </si>
  <si>
    <t>FPARED3</t>
  </si>
  <si>
    <t>UP SOLAR PARED 3</t>
  </si>
  <si>
    <t>18W000000000SYO5</t>
  </si>
  <si>
    <t>FPARED4</t>
  </si>
  <si>
    <t>UP SOLAR PARED 4</t>
  </si>
  <si>
    <t>18W000000000SYN7</t>
  </si>
  <si>
    <t>FPARED5</t>
  </si>
  <si>
    <t>UP SOLAR PARED 5</t>
  </si>
  <si>
    <t>18W000000000SYQ1</t>
  </si>
  <si>
    <t>FPARED6</t>
  </si>
  <si>
    <t>UP SOLAR PARED 6</t>
  </si>
  <si>
    <t>18W000000000SYM9</t>
  </si>
  <si>
    <t>FPARED7</t>
  </si>
  <si>
    <t>UP SOLAR PARED 7</t>
  </si>
  <si>
    <t>18W000000000SYP3</t>
  </si>
  <si>
    <t>FPEDROL</t>
  </si>
  <si>
    <t>UP SOLAR PEDROLA</t>
  </si>
  <si>
    <t>18W000000000T0J2</t>
  </si>
  <si>
    <t>FPHLIPS</t>
  </si>
  <si>
    <t>UP SOLAR FPHLIPS</t>
  </si>
  <si>
    <t>18W000000000SZP0</t>
  </si>
  <si>
    <t>FPRQUE2</t>
  </si>
  <si>
    <t>UP SOLAR PARQUE2</t>
  </si>
  <si>
    <t>18W000000000SW78</t>
  </si>
  <si>
    <t>FROZAS</t>
  </si>
  <si>
    <t>18W000000000T2SF</t>
  </si>
  <si>
    <t>FRULAOR</t>
  </si>
  <si>
    <t>UP SOLAR RULAOR</t>
  </si>
  <si>
    <t>18W000000000SZSV</t>
  </si>
  <si>
    <t>FSONAV</t>
  </si>
  <si>
    <t>UP SOLEN ENERGA LA NAVA</t>
  </si>
  <si>
    <t>18W000000000SXNA</t>
  </si>
  <si>
    <t>FTAUSTE</t>
  </si>
  <si>
    <t>UP SOLAR TAUSTE</t>
  </si>
  <si>
    <t>18W000000000SZAU</t>
  </si>
  <si>
    <t>FTEBAR</t>
  </si>
  <si>
    <t>UP SOLAR TEBAR</t>
  </si>
  <si>
    <t>18W000000000SZBS</t>
  </si>
  <si>
    <t>FUKAC01</t>
  </si>
  <si>
    <t>18W000000000RRBJ</t>
  </si>
  <si>
    <t>FUKA</t>
  </si>
  <si>
    <t>FUKAMI S.L.</t>
  </si>
  <si>
    <t>FVIENTO</t>
  </si>
  <si>
    <t>UP SOLAR VIENTO</t>
  </si>
  <si>
    <t>18W000000000SZQZ</t>
  </si>
  <si>
    <t>FVSANMI</t>
  </si>
  <si>
    <t>FV SAN MIG</t>
  </si>
  <si>
    <t>FV SAN MIGUEL D</t>
  </si>
  <si>
    <t>18W000000000T41Q</t>
  </si>
  <si>
    <t>GBPG1</t>
  </si>
  <si>
    <t>UNIDAD GENERICA BP</t>
  </si>
  <si>
    <t>18W000000000T20Y</t>
  </si>
  <si>
    <t>GENAH</t>
  </si>
  <si>
    <t>18W000000000T1Y6</t>
  </si>
  <si>
    <t>GSSEEN1</t>
  </si>
  <si>
    <t>GENERICA_F</t>
  </si>
  <si>
    <t>GENERICA_FRANCIA</t>
  </si>
  <si>
    <t>18W000000000R3J1</t>
  </si>
  <si>
    <t>SSEEN</t>
  </si>
  <si>
    <t>SSE ENERGY SUPPLY LIMITED</t>
  </si>
  <si>
    <t>HCAMPOS</t>
  </si>
  <si>
    <t>18W000000000QRL3</t>
  </si>
  <si>
    <t>HCASAR</t>
  </si>
  <si>
    <t>18W000000000QRM1</t>
  </si>
  <si>
    <t>HCERRAT</t>
  </si>
  <si>
    <t>18W000000000QRK5</t>
  </si>
  <si>
    <t>HFCEREG</t>
  </si>
  <si>
    <t>UP HBRIDACION H-FV</t>
  </si>
  <si>
    <t>18W000000000SYJF</t>
  </si>
  <si>
    <t>HHYDRO2</t>
  </si>
  <si>
    <t>UP HYDRO BLUE RO</t>
  </si>
  <si>
    <t>18W000000000STC7</t>
  </si>
  <si>
    <t>HIBIBER</t>
  </si>
  <si>
    <t>HIBIBERFRU</t>
  </si>
  <si>
    <t>HIBIBERFRUTA</t>
  </si>
  <si>
    <t>18W000000000SXCW</t>
  </si>
  <si>
    <t>HLEIRA</t>
  </si>
  <si>
    <t>UP HIDRO LEIRA</t>
  </si>
  <si>
    <t>18W000000000T1CD</t>
  </si>
  <si>
    <t>HPOZOS</t>
  </si>
  <si>
    <t>18W000000000T1TG</t>
  </si>
  <si>
    <t>HYISLA</t>
  </si>
  <si>
    <t>18W000000000QRHB</t>
  </si>
  <si>
    <t>HYPAMSA</t>
  </si>
  <si>
    <t>18W000000000QRFF</t>
  </si>
  <si>
    <t>INDLC01</t>
  </si>
  <si>
    <t>UP INDALO</t>
  </si>
  <si>
    <t>18W000000000SOEI</t>
  </si>
  <si>
    <t>INDA</t>
  </si>
  <si>
    <t>INDALO ENERGÍA, S.L.</t>
  </si>
  <si>
    <t>INEMC01</t>
  </si>
  <si>
    <t>INEMA</t>
  </si>
  <si>
    <t>INER MADRID</t>
  </si>
  <si>
    <t>18W000000000STE3</t>
  </si>
  <si>
    <t>INERM</t>
  </si>
  <si>
    <t>INER MADRID SL</t>
  </si>
  <si>
    <t>LINAC01</t>
  </si>
  <si>
    <t>LINAMAR</t>
  </si>
  <si>
    <t>18W000000000SOSR</t>
  </si>
  <si>
    <t>LINAM</t>
  </si>
  <si>
    <t>LINAMAR LIGHT METALS ZARAGOZA S.A.U</t>
  </si>
  <si>
    <t>LUCKC01</t>
  </si>
  <si>
    <t>UP LUCKY</t>
  </si>
  <si>
    <t>UP LUCKY LUZ</t>
  </si>
  <si>
    <t>18W000000000RMBY</t>
  </si>
  <si>
    <t>LUCK</t>
  </si>
  <si>
    <t>LUCKY LUZ ENERGIA SL</t>
  </si>
  <si>
    <t>MUDEJAR</t>
  </si>
  <si>
    <t>CSF MUDEJA</t>
  </si>
  <si>
    <t>CSF MUDEJAR 1</t>
  </si>
  <si>
    <t>18W000000000T46G</t>
  </si>
  <si>
    <t>NOCTC01</t>
  </si>
  <si>
    <t>NOCTILUCA</t>
  </si>
  <si>
    <t>NOCTILUCA ENERGIA SL</t>
  </si>
  <si>
    <t>18W000000000SYEP</t>
  </si>
  <si>
    <t>NOCTI</t>
  </si>
  <si>
    <t>NOCTILUCA ENERGIA, S.L.</t>
  </si>
  <si>
    <t>PECANTI</t>
  </si>
  <si>
    <t>PE CANTERA</t>
  </si>
  <si>
    <t>PE CANTERAS III</t>
  </si>
  <si>
    <t>18W000000000T3OK</t>
  </si>
  <si>
    <t>PEVER2</t>
  </si>
  <si>
    <t>18W000000000T0I4</t>
  </si>
  <si>
    <t>POWRC01</t>
  </si>
  <si>
    <t>18W000000000S17R</t>
  </si>
  <si>
    <t>POWEE</t>
  </si>
  <si>
    <t>POWER PULSE IBERIA SL</t>
  </si>
  <si>
    <t>RARTIGA</t>
  </si>
  <si>
    <t>18W000000000T1UE</t>
  </si>
  <si>
    <t>RMERU</t>
  </si>
  <si>
    <t>18W000000000T1VC</t>
  </si>
  <si>
    <t>RNSAC01</t>
  </si>
  <si>
    <t>REGANOSA</t>
  </si>
  <si>
    <t>UP REGANOSA</t>
  </si>
  <si>
    <t>18W000000000SJYU</t>
  </si>
  <si>
    <t>SHEPV33</t>
  </si>
  <si>
    <t>PEDREJONES</t>
  </si>
  <si>
    <t>PE PEDREJONES</t>
  </si>
  <si>
    <t>18W000000000T5PC</t>
  </si>
  <si>
    <t>SSEECP3</t>
  </si>
  <si>
    <t>COMPRA_F</t>
  </si>
  <si>
    <t>COMPRA_FRANCIA</t>
  </si>
  <si>
    <t>18W000000000R3MW</t>
  </si>
  <si>
    <t>SSEEVP3</t>
  </si>
  <si>
    <t>VENTA_F</t>
  </si>
  <si>
    <t>VENTA_FRANCIA</t>
  </si>
  <si>
    <t>18W000000000R3NU</t>
  </si>
  <si>
    <t>TLATINF</t>
  </si>
  <si>
    <t>UP LATIN</t>
  </si>
  <si>
    <t>UP LATINFOODS</t>
  </si>
  <si>
    <t>18W000000000T0FA</t>
  </si>
  <si>
    <t>TRICC01</t>
  </si>
  <si>
    <t>TRICLINIUM</t>
  </si>
  <si>
    <t>TRICLINIUM INVERSIONES SL</t>
  </si>
  <si>
    <t>18W000000000SESK</t>
  </si>
  <si>
    <t>TRICL</t>
  </si>
  <si>
    <t>UPALC1</t>
  </si>
  <si>
    <t>18W000000000SY1E</t>
  </si>
  <si>
    <t>UPALC2</t>
  </si>
  <si>
    <t>18W000000000SY2C</t>
  </si>
  <si>
    <t>UPALDEA</t>
  </si>
  <si>
    <t>18W000000000SY0G</t>
  </si>
  <si>
    <t>UPALME</t>
  </si>
  <si>
    <t>UPALMENDRO</t>
  </si>
  <si>
    <t>UP ALMENDRO SOLAR</t>
  </si>
  <si>
    <t>18W000000000T4ZW</t>
  </si>
  <si>
    <t>UPARN1</t>
  </si>
  <si>
    <t>18W000000000T0TJ</t>
  </si>
  <si>
    <t>UPARN2</t>
  </si>
  <si>
    <t>18W000000000T0UH</t>
  </si>
  <si>
    <t>UPARN3</t>
  </si>
  <si>
    <t>18W000000000T0QP</t>
  </si>
  <si>
    <t>UPARN4</t>
  </si>
  <si>
    <t>18W000000000T0SL</t>
  </si>
  <si>
    <t>UPBAD2</t>
  </si>
  <si>
    <t>UPBADAJOZ2</t>
  </si>
  <si>
    <t>UP BADAJOZ 2</t>
  </si>
  <si>
    <t>18W000000000SWA2</t>
  </si>
  <si>
    <t>UPBAD4</t>
  </si>
  <si>
    <t>UPBADAJOZ4</t>
  </si>
  <si>
    <t>UP BADAJOZ 4</t>
  </si>
  <si>
    <t>18W000000000SWYS</t>
  </si>
  <si>
    <t>UPBUS</t>
  </si>
  <si>
    <t>18W000000000T08O</t>
  </si>
  <si>
    <t>UPCHAM</t>
  </si>
  <si>
    <t>UPCHAMORRO</t>
  </si>
  <si>
    <t>UP CHAMORRO</t>
  </si>
  <si>
    <t>18W000000000SZ37</t>
  </si>
  <si>
    <t>UPEJO</t>
  </si>
  <si>
    <t>18W000000000T0LZ</t>
  </si>
  <si>
    <t>UPERES</t>
  </si>
  <si>
    <t>UP ERESMA</t>
  </si>
  <si>
    <t>UP ERESMA SOLAR</t>
  </si>
  <si>
    <t>18W000000000SW4E</t>
  </si>
  <si>
    <t>UPETE</t>
  </si>
  <si>
    <t>18W000000000T0PR</t>
  </si>
  <si>
    <t>UPFED</t>
  </si>
  <si>
    <t>18W000000000T04W</t>
  </si>
  <si>
    <t>UPGER2</t>
  </si>
  <si>
    <t>UPGERENA2</t>
  </si>
  <si>
    <t>UP GERENA 2</t>
  </si>
  <si>
    <t>18W000000000SZ53</t>
  </si>
  <si>
    <t>UPGR030</t>
  </si>
  <si>
    <t>18W000000000SPI7</t>
  </si>
  <si>
    <t>UPGR031</t>
  </si>
  <si>
    <t>18W000000000SVU2</t>
  </si>
  <si>
    <t>UPGR032</t>
  </si>
  <si>
    <t>18W000000000SVV0</t>
  </si>
  <si>
    <t>UPHOY</t>
  </si>
  <si>
    <t>18W000000000T0WD</t>
  </si>
  <si>
    <t>UPJAB</t>
  </si>
  <si>
    <t>18W000000000T3HY</t>
  </si>
  <si>
    <t>UPLIT</t>
  </si>
  <si>
    <t>18W000000000T011</t>
  </si>
  <si>
    <t>UPLMP</t>
  </si>
  <si>
    <t>18W000000000T07Q</t>
  </si>
  <si>
    <t>UPRETA</t>
  </si>
  <si>
    <t>UPRETAMA</t>
  </si>
  <si>
    <t>UP RETAMA SOLAR</t>
  </si>
  <si>
    <t>18W000000000T52L</t>
  </si>
  <si>
    <t>UPSLN</t>
  </si>
  <si>
    <t>18W000000000T06S</t>
  </si>
  <si>
    <t>UPSOCO</t>
  </si>
  <si>
    <t>UPSOCOVOS</t>
  </si>
  <si>
    <t>UP SOCOVOS</t>
  </si>
  <si>
    <t>18W000000000T3SC</t>
  </si>
  <si>
    <t>UPSOT</t>
  </si>
  <si>
    <t>18W000000000SZXL</t>
  </si>
  <si>
    <t>UPTORJ</t>
  </si>
  <si>
    <t>UPTORRIJ</t>
  </si>
  <si>
    <t>UP TORRIJOS RJE</t>
  </si>
  <si>
    <t>18W000000000T3U8</t>
  </si>
  <si>
    <t>UPTREV1</t>
  </si>
  <si>
    <t>18W000000000T678</t>
  </si>
  <si>
    <t>UPTREV2</t>
  </si>
  <si>
    <t>18W000000000T66A</t>
  </si>
  <si>
    <t>UPZOR</t>
  </si>
  <si>
    <t>18W000000000SZZH</t>
  </si>
  <si>
    <t>VIOLC01</t>
  </si>
  <si>
    <t>VINAOLIVA</t>
  </si>
  <si>
    <t>VINAOLIVA SDAD COOP</t>
  </si>
  <si>
    <t>18W000000000SKGQ</t>
  </si>
  <si>
    <t>VINAO</t>
  </si>
  <si>
    <t>VIÑAOLIVA SOCIEDDAD COOPERATIVA</t>
  </si>
  <si>
    <t>ECNRG</t>
  </si>
  <si>
    <t>18W000000000SO17</t>
  </si>
  <si>
    <t>FALP14</t>
  </si>
  <si>
    <t>18W000000000T6DX</t>
  </si>
  <si>
    <t>FALP15</t>
  </si>
  <si>
    <t>18W000000000T6EV</t>
  </si>
  <si>
    <t>FBOLAR1</t>
  </si>
  <si>
    <t>18W000000000T7R2</t>
  </si>
  <si>
    <t>FBOLAR2</t>
  </si>
  <si>
    <t>18W000000000T7TZ</t>
  </si>
  <si>
    <t>FBOLAR3</t>
  </si>
  <si>
    <t>18W000000000T7VV</t>
  </si>
  <si>
    <t>FCLUGAR</t>
  </si>
  <si>
    <t>UP SOLAR CAMPO LUGAR</t>
  </si>
  <si>
    <t>18W000000000T35L</t>
  </si>
  <si>
    <t>AXC</t>
  </si>
  <si>
    <t>FGORBEI</t>
  </si>
  <si>
    <t>UP SOLAR GORBEIALDEKO</t>
  </si>
  <si>
    <t>18W000000000T70J</t>
  </si>
  <si>
    <t>FGST183</t>
  </si>
  <si>
    <t>18W000000000T6Q7</t>
  </si>
  <si>
    <t>FGST184</t>
  </si>
  <si>
    <t>18W000000000T6S3</t>
  </si>
  <si>
    <t>FGST185</t>
  </si>
  <si>
    <t>18W000000000T6VY</t>
  </si>
  <si>
    <t>FGST186</t>
  </si>
  <si>
    <t>18W000000000T791</t>
  </si>
  <si>
    <t>FGST187</t>
  </si>
  <si>
    <t>18W000000000T7CW</t>
  </si>
  <si>
    <t>FLEAIKO</t>
  </si>
  <si>
    <t>UP SOLAR LEA ARTIBAIKO</t>
  </si>
  <si>
    <t>18W000000000T6ZQ</t>
  </si>
  <si>
    <t>FMBUENA</t>
  </si>
  <si>
    <t>UP SOLAR MIRABUENA</t>
  </si>
  <si>
    <t>18W000000000T72F</t>
  </si>
  <si>
    <t>FPRUELA</t>
  </si>
  <si>
    <t>UP SOLAR PALLERUELA</t>
  </si>
  <si>
    <t>18W000000000T71H</t>
  </si>
  <si>
    <t>FRBDLAG</t>
  </si>
  <si>
    <t>RIBADELAGO</t>
  </si>
  <si>
    <t>UP SOLAR RIBADELAGO</t>
  </si>
  <si>
    <t>18W000000000T6YS</t>
  </si>
  <si>
    <t>FSNBRIA</t>
  </si>
  <si>
    <t>SANABRIA</t>
  </si>
  <si>
    <t>UP SOLAR SANABRIA</t>
  </si>
  <si>
    <t>18W000000000T6XU</t>
  </si>
  <si>
    <t>FTZNETA</t>
  </si>
  <si>
    <t>UP SOLAR ATZENETA</t>
  </si>
  <si>
    <t>18W000000000T33P</t>
  </si>
  <si>
    <t>HBBONAR</t>
  </si>
  <si>
    <t>18W000000000T5ZT</t>
  </si>
  <si>
    <t>HGORGOL</t>
  </si>
  <si>
    <t>18W000000000QRJ7</t>
  </si>
  <si>
    <t>PINOSO</t>
  </si>
  <si>
    <t>PINOSO UP</t>
  </si>
  <si>
    <t>18W000000000T5R8</t>
  </si>
  <si>
    <t>RFBILOG</t>
  </si>
  <si>
    <t>UP BILOGR</t>
  </si>
  <si>
    <t>UP BIO EXTREMADURA 1</t>
  </si>
  <si>
    <t>18W000000000T6CZ</t>
  </si>
  <si>
    <t>VEGFEN</t>
  </si>
  <si>
    <t>FOT 5 MW</t>
  </si>
  <si>
    <t>FOT MAYOR DE 1 MW</t>
  </si>
  <si>
    <t>18W000000000T4U5</t>
  </si>
  <si>
    <t>ECERRA2</t>
  </si>
  <si>
    <t>18W000000000T929</t>
  </si>
  <si>
    <t>ECERRAG</t>
  </si>
  <si>
    <t>18W000000000TE1X</t>
  </si>
  <si>
    <t>ESEGC01</t>
  </si>
  <si>
    <t>UP_SEGE</t>
  </si>
  <si>
    <t>18W000000000R9HO</t>
  </si>
  <si>
    <t>SOCIN</t>
  </si>
  <si>
    <t>SOCIÉTÉ EUROPÉENNE DE GESTION DE L'ENERGIE S.A.</t>
  </si>
  <si>
    <t>FALMO1</t>
  </si>
  <si>
    <t>18W000000000T64E</t>
  </si>
  <si>
    <t>FALMUGE</t>
  </si>
  <si>
    <t>UP SOLAR ALMORAUGE</t>
  </si>
  <si>
    <t>18W000000000TBZB</t>
  </si>
  <si>
    <t>FBLOPR2</t>
  </si>
  <si>
    <t>UP SOLAR PR2</t>
  </si>
  <si>
    <t>18W000000000T856</t>
  </si>
  <si>
    <t>FBLOPR3</t>
  </si>
  <si>
    <t>UP SOLAR PR3</t>
  </si>
  <si>
    <t>18W000000000T864</t>
  </si>
  <si>
    <t>FCBROVA</t>
  </si>
  <si>
    <t>UP SOLAR CABROVALES</t>
  </si>
  <si>
    <t>18W000000000T83A</t>
  </si>
  <si>
    <t>FERGON</t>
  </si>
  <si>
    <t>UP SOLAR ERGON</t>
  </si>
  <si>
    <t>18W000000000TBBM</t>
  </si>
  <si>
    <t>FGIL1</t>
  </si>
  <si>
    <t>18W000000000TB9Q</t>
  </si>
  <si>
    <t>FGST189</t>
  </si>
  <si>
    <t>18W000000000T90D</t>
  </si>
  <si>
    <t>FGST193</t>
  </si>
  <si>
    <t>18W000000000TAAR</t>
  </si>
  <si>
    <t>FGST194</t>
  </si>
  <si>
    <t>18W000000000TADL</t>
  </si>
  <si>
    <t>FGST196</t>
  </si>
  <si>
    <t>18W000000000TAK7</t>
  </si>
  <si>
    <t>FGST197</t>
  </si>
  <si>
    <t>18W000000000TAPY</t>
  </si>
  <si>
    <t>FGST198</t>
  </si>
  <si>
    <t>18W000000000TARU</t>
  </si>
  <si>
    <t>FGST199</t>
  </si>
  <si>
    <t>18W000000000TATQ</t>
  </si>
  <si>
    <t>FGST204</t>
  </si>
  <si>
    <t>18W000000000TCI5</t>
  </si>
  <si>
    <t>FGST206</t>
  </si>
  <si>
    <t>18W000000000TCNW</t>
  </si>
  <si>
    <t>FHOTEI</t>
  </si>
  <si>
    <t>UP HOTEI SOLAR SL</t>
  </si>
  <si>
    <t>18W000000000T4D2</t>
  </si>
  <si>
    <t>FNAVA2</t>
  </si>
  <si>
    <t>18W000000000TB7U</t>
  </si>
  <si>
    <t>FPRQUE1</t>
  </si>
  <si>
    <t>UP SOLAR PARQUE1</t>
  </si>
  <si>
    <t>18W000000000TAWK</t>
  </si>
  <si>
    <t>HAPHIG</t>
  </si>
  <si>
    <t>UP APROVECHAMIENTOS HIDRAULICOS GALLEGOS</t>
  </si>
  <si>
    <t>18W000000000TAHD</t>
  </si>
  <si>
    <t>HGST200</t>
  </si>
  <si>
    <t>18W000000000TC9N</t>
  </si>
  <si>
    <t>HGST201</t>
  </si>
  <si>
    <t>18W000000000TCBJ</t>
  </si>
  <si>
    <t>HGST203</t>
  </si>
  <si>
    <t>18W000000000TCFB</t>
  </si>
  <si>
    <t>HGST208</t>
  </si>
  <si>
    <t>18W000000000TCSM</t>
  </si>
  <si>
    <t>HGST209</t>
  </si>
  <si>
    <t>18W000000000TCUI</t>
  </si>
  <si>
    <t>HHERRG</t>
  </si>
  <si>
    <t>UP HIDROELECTRICA HERREROS</t>
  </si>
  <si>
    <t>18W000000000TCZ8</t>
  </si>
  <si>
    <t>HRIEAG</t>
  </si>
  <si>
    <t>UP RIESGOS DEL AA</t>
  </si>
  <si>
    <t>18W000000000T945</t>
  </si>
  <si>
    <t>HVILLA</t>
  </si>
  <si>
    <t>UP ACEQUIA CINCO VILLAS</t>
  </si>
  <si>
    <t>18W000000000TCXC</t>
  </si>
  <si>
    <t>HYAGUER</t>
  </si>
  <si>
    <t>18W000000000T9GI</t>
  </si>
  <si>
    <t>HYBERGA</t>
  </si>
  <si>
    <t>18W000000000T28I</t>
  </si>
  <si>
    <t>HYBRUTI</t>
  </si>
  <si>
    <t>18W000000000T9FK</t>
  </si>
  <si>
    <t>HYCABIS</t>
  </si>
  <si>
    <t>18W000000000T9DO</t>
  </si>
  <si>
    <t>HYCANBA</t>
  </si>
  <si>
    <t>18W000000000T9O2</t>
  </si>
  <si>
    <t>HYCAUXA</t>
  </si>
  <si>
    <t>18W000000000T9N4</t>
  </si>
  <si>
    <t>HYLAMUE</t>
  </si>
  <si>
    <t>18W000000000T9M6</t>
  </si>
  <si>
    <t>HYMALPA</t>
  </si>
  <si>
    <t>18W000000000T9KA</t>
  </si>
  <si>
    <t>HYMONTE</t>
  </si>
  <si>
    <t>18W000000000T9L8</t>
  </si>
  <si>
    <t>HYPARDI</t>
  </si>
  <si>
    <t>18W000000000T9EM</t>
  </si>
  <si>
    <t>HYPIEDR</t>
  </si>
  <si>
    <t>18W000000000T9IE</t>
  </si>
  <si>
    <t>HYVALLE</t>
  </si>
  <si>
    <t>18W000000000T9JC</t>
  </si>
  <si>
    <t>HYVALLF</t>
  </si>
  <si>
    <t>18W000000000T9CQ</t>
  </si>
  <si>
    <t>LOVIC01</t>
  </si>
  <si>
    <t>UP LOVILUZ</t>
  </si>
  <si>
    <t>18W000000000S9N8</t>
  </si>
  <si>
    <t>LOVIL</t>
  </si>
  <si>
    <t>LOVILUZ ENERGIA, S.L</t>
  </si>
  <si>
    <t>MAZEC01</t>
  </si>
  <si>
    <t>MAZE ENERG</t>
  </si>
  <si>
    <t>MAZE ENERGY</t>
  </si>
  <si>
    <t>18W000000000S06W</t>
  </si>
  <si>
    <t>MAZEE</t>
  </si>
  <si>
    <t>MAZE ENERGY S.L.</t>
  </si>
  <si>
    <t>SESBIO9</t>
  </si>
  <si>
    <t>GADOR</t>
  </si>
  <si>
    <t>18W000000000M78V</t>
  </si>
  <si>
    <t>SHEPV30</t>
  </si>
  <si>
    <t>BENACAZON</t>
  </si>
  <si>
    <t>18W000000000T8P3</t>
  </si>
  <si>
    <t>TERMOAR</t>
  </si>
  <si>
    <t>FV MAZ TMA</t>
  </si>
  <si>
    <t>FV MAZARRN TERMOARCILLA</t>
  </si>
  <si>
    <t>18W000000000T7XR</t>
  </si>
  <si>
    <t>TGST188</t>
  </si>
  <si>
    <t>18W000000000T89Z</t>
  </si>
  <si>
    <t>UPACAC</t>
  </si>
  <si>
    <t>UPCOMPRA</t>
  </si>
  <si>
    <t>UP ACADIEMS COMPRA</t>
  </si>
  <si>
    <t>18W000000000T7ZN</t>
  </si>
  <si>
    <t>UPACAV</t>
  </si>
  <si>
    <t>UPACADIEMV</t>
  </si>
  <si>
    <t>UP ACADIEMS VENTA</t>
  </si>
  <si>
    <t>18W000000000T81E</t>
  </si>
  <si>
    <t>UPADEL</t>
  </si>
  <si>
    <t>UPADELFA</t>
  </si>
  <si>
    <t>UP ADELFA SOLAR</t>
  </si>
  <si>
    <t>18W000000000TBM0</t>
  </si>
  <si>
    <t>UPALG1</t>
  </si>
  <si>
    <t>UPGUADA1</t>
  </si>
  <si>
    <t>UP ALCALA GUADAIRA 1</t>
  </si>
  <si>
    <t>18W000000000T4FZ</t>
  </si>
  <si>
    <t>UPALG2</t>
  </si>
  <si>
    <t>UPGUADA2</t>
  </si>
  <si>
    <t>UP ALCALA GUADAIRA 2</t>
  </si>
  <si>
    <t>18W000000000T4HV</t>
  </si>
  <si>
    <t>UPAMB</t>
  </si>
  <si>
    <t>18W000000000T8FN</t>
  </si>
  <si>
    <t>UPGRIE1</t>
  </si>
  <si>
    <t>18W000000000TBJ6</t>
  </si>
  <si>
    <t>UPGRIE2</t>
  </si>
  <si>
    <t>18W000000000TBHA</t>
  </si>
  <si>
    <t>UPLAGU</t>
  </si>
  <si>
    <t>UPLAGUARD</t>
  </si>
  <si>
    <t>UP LA GUARDIA</t>
  </si>
  <si>
    <t>18W000000000T2V9</t>
  </si>
  <si>
    <t>AEIDGEN</t>
  </si>
  <si>
    <t>AEROGENERA</t>
  </si>
  <si>
    <t>18W000000000TEH1</t>
  </si>
  <si>
    <t>AMPEACI</t>
  </si>
  <si>
    <t>AMP HEDRO</t>
  </si>
  <si>
    <t>AMP HEDROSO-ACIBEROS</t>
  </si>
  <si>
    <t>18W000000000TEJY</t>
  </si>
  <si>
    <t>ANGLC01</t>
  </si>
  <si>
    <t>ANGLER</t>
  </si>
  <si>
    <t>ANGLER ENERGIA SL</t>
  </si>
  <si>
    <t>18W000000000TDPP</t>
  </si>
  <si>
    <t>ANGLB</t>
  </si>
  <si>
    <t>ANGLER ENERGIA, S.L.</t>
  </si>
  <si>
    <t>CCONC01</t>
  </si>
  <si>
    <t>CREARA</t>
  </si>
  <si>
    <t>CREARA CONSULTORES</t>
  </si>
  <si>
    <t>18W000000000TB31</t>
  </si>
  <si>
    <t>CREAR</t>
  </si>
  <si>
    <t>CONSUMIDOR DIRECTO DE MERCADO</t>
  </si>
  <si>
    <t>EBLPCX1</t>
  </si>
  <si>
    <t>18W000000000TI4F</t>
  </si>
  <si>
    <t>EBLPVX1</t>
  </si>
  <si>
    <t>18W000000000TI2J</t>
  </si>
  <si>
    <t>EFGNRAM</t>
  </si>
  <si>
    <t>18W000000000TF1U</t>
  </si>
  <si>
    <t>Eólica marina</t>
  </si>
  <si>
    <t>EHIBRI2</t>
  </si>
  <si>
    <t>UP HIBRIDA RIOEBRO AMPLIACION</t>
  </si>
  <si>
    <t>18W000000000THA6</t>
  </si>
  <si>
    <t>EHIBRIO</t>
  </si>
  <si>
    <t>UP HIBRIDA RIO EBRO</t>
  </si>
  <si>
    <t>18W000000000TFOL</t>
  </si>
  <si>
    <t>ENRKC01</t>
  </si>
  <si>
    <t>EKORE ADQ</t>
  </si>
  <si>
    <t>18W000000000T6ND</t>
  </si>
  <si>
    <t>EKORE</t>
  </si>
  <si>
    <t>ENERKORE S COOP PEQUEÃ‘A</t>
  </si>
  <si>
    <t>FALP18</t>
  </si>
  <si>
    <t>18W000000000TGQE</t>
  </si>
  <si>
    <t>FALP19</t>
  </si>
  <si>
    <t>18W000000000TGRC</t>
  </si>
  <si>
    <t>FALP20</t>
  </si>
  <si>
    <t>18W000000000TGSA</t>
  </si>
  <si>
    <t>FBLMER2</t>
  </si>
  <si>
    <t>UP SOLAR MER2</t>
  </si>
  <si>
    <t>18W000000000TEQK</t>
  </si>
  <si>
    <t>FBLMER3</t>
  </si>
  <si>
    <t>UP SOLAR MER3</t>
  </si>
  <si>
    <t>18W000000000TERI</t>
  </si>
  <si>
    <t>FCRTBAL</t>
  </si>
  <si>
    <t>UP SOLAR SAN CRISTOBAL</t>
  </si>
  <si>
    <t>18W000000000SQ7Q</t>
  </si>
  <si>
    <t>FGST205</t>
  </si>
  <si>
    <t>18W000000000TCK1</t>
  </si>
  <si>
    <t>FGST210</t>
  </si>
  <si>
    <t>18W000000000TFRF</t>
  </si>
  <si>
    <t>FGST211</t>
  </si>
  <si>
    <t>18W000000000TFTB</t>
  </si>
  <si>
    <t>FGST212</t>
  </si>
  <si>
    <t>18W000000000TFV7</t>
  </si>
  <si>
    <t>FIBGECP</t>
  </si>
  <si>
    <t>18W000000000TGOI</t>
  </si>
  <si>
    <t>FJALON1</t>
  </si>
  <si>
    <t>18W000000000TB5Y</t>
  </si>
  <si>
    <t>FMYRTE1</t>
  </si>
  <si>
    <t>18W000000000TEX6</t>
  </si>
  <si>
    <t>FNAVA1</t>
  </si>
  <si>
    <t>18W000000000TDQN</t>
  </si>
  <si>
    <t>FPFLOR</t>
  </si>
  <si>
    <t>FOTOVOLTAICA PEÑAFLOR</t>
  </si>
  <si>
    <t>18W000000000TCRO</t>
  </si>
  <si>
    <t>FSOL14</t>
  </si>
  <si>
    <t>UP SOL20120014</t>
  </si>
  <si>
    <t>18W000000000TFBA</t>
  </si>
  <si>
    <t>FSOL16</t>
  </si>
  <si>
    <t>UP SOL20120016</t>
  </si>
  <si>
    <t>18W000000000TFD6</t>
  </si>
  <si>
    <t>FTALIA1</t>
  </si>
  <si>
    <t>18W000000000TH2M</t>
  </si>
  <si>
    <t>FTALIA2</t>
  </si>
  <si>
    <t>18W000000000TH3K</t>
  </si>
  <si>
    <t>FTERRER</t>
  </si>
  <si>
    <t>UP SOLAR TERRER</t>
  </si>
  <si>
    <t>18W000000000TGB7</t>
  </si>
  <si>
    <t>FVALCAI</t>
  </si>
  <si>
    <t>FVALCAII</t>
  </si>
  <si>
    <t>FV LOS ALCAZARES II</t>
  </si>
  <si>
    <t>18W000000000TE4R</t>
  </si>
  <si>
    <t>FVALCAZ</t>
  </si>
  <si>
    <t>FVALCAZI</t>
  </si>
  <si>
    <t>FV LOS ALCAZARES I</t>
  </si>
  <si>
    <t>18W000000000TE5P</t>
  </si>
  <si>
    <t>FVCOTI2</t>
  </si>
  <si>
    <t>TORRECOT2</t>
  </si>
  <si>
    <t>TORRES COTILLAS II</t>
  </si>
  <si>
    <t>18W000000000TEKW</t>
  </si>
  <si>
    <t>FVCOTIL</t>
  </si>
  <si>
    <t>FVCOTILL</t>
  </si>
  <si>
    <t>FVCOTILLAS</t>
  </si>
  <si>
    <t>18W000000000TE6N</t>
  </si>
  <si>
    <t>FVDNR</t>
  </si>
  <si>
    <t>PFV DNR</t>
  </si>
  <si>
    <t>PFV DEHESA NUEVA DEL REY</t>
  </si>
  <si>
    <t>18W000000000SPAN</t>
  </si>
  <si>
    <t>FVESCAN</t>
  </si>
  <si>
    <t>FVESCANOR</t>
  </si>
  <si>
    <t>ESCALONILLA NORTE</t>
  </si>
  <si>
    <t>18W000000000TE9H</t>
  </si>
  <si>
    <t>FVESCAS</t>
  </si>
  <si>
    <t>FVESCASUR</t>
  </si>
  <si>
    <t>ESCALONILLA SUR</t>
  </si>
  <si>
    <t>18W000000000TEAF</t>
  </si>
  <si>
    <t>FVHIBRC</t>
  </si>
  <si>
    <t>UFI COMPRA BATERIA EXTREM3</t>
  </si>
  <si>
    <t>18W000000000SNAT</t>
  </si>
  <si>
    <t>FVITEC2</t>
  </si>
  <si>
    <t>FV MAYOR 1</t>
  </si>
  <si>
    <t>18W000000000TH0Q</t>
  </si>
  <si>
    <t>FVPEDRA</t>
  </si>
  <si>
    <t>FVPEDRAJ</t>
  </si>
  <si>
    <t>LA PEDRAJA I</t>
  </si>
  <si>
    <t>18W000000000TE8J</t>
  </si>
  <si>
    <t>FVTORRN</t>
  </si>
  <si>
    <t>FVTORRNOR</t>
  </si>
  <si>
    <t>TORRIJOS NORTE</t>
  </si>
  <si>
    <t>18W000000000TEBD</t>
  </si>
  <si>
    <t>FVTORRS</t>
  </si>
  <si>
    <t>FVTORRSUR</t>
  </si>
  <si>
    <t>TORRIJOS SUR</t>
  </si>
  <si>
    <t>18W000000000TECB</t>
  </si>
  <si>
    <t>FYATENC</t>
  </si>
  <si>
    <t>18W000000000TH1O</t>
  </si>
  <si>
    <t>GALPS78</t>
  </si>
  <si>
    <t>ALMARAZ</t>
  </si>
  <si>
    <t>18W000000000TBPV</t>
  </si>
  <si>
    <t>GALPS79</t>
  </si>
  <si>
    <t>TOLEDO</t>
  </si>
  <si>
    <t>18W000000000TBQT</t>
  </si>
  <si>
    <t>GALPS80</t>
  </si>
  <si>
    <t>AHIN</t>
  </si>
  <si>
    <t>18W000000000TBRR</t>
  </si>
  <si>
    <t>HYMARIN</t>
  </si>
  <si>
    <t>18W000000000T9HG</t>
  </si>
  <si>
    <t>IBHEACI</t>
  </si>
  <si>
    <t>HEDROSO-ACIBEROS</t>
  </si>
  <si>
    <t>18W000000000TEF5</t>
  </si>
  <si>
    <t>IBPADOR</t>
  </si>
  <si>
    <t>PADORNELO</t>
  </si>
  <si>
    <t>18W000000000TEE7</t>
  </si>
  <si>
    <t>LAGAV01</t>
  </si>
  <si>
    <t>LAGAVARRA</t>
  </si>
  <si>
    <t>LAGAVARRA VENTA</t>
  </si>
  <si>
    <t>18W000000000T2PL</t>
  </si>
  <si>
    <t>LUBIAN</t>
  </si>
  <si>
    <t>18W000000000TEG3</t>
  </si>
  <si>
    <t>NUKIC01</t>
  </si>
  <si>
    <t>NUKIK COM</t>
  </si>
  <si>
    <t>18W000000000T7ES</t>
  </si>
  <si>
    <t>NUKIK</t>
  </si>
  <si>
    <t>NUKIK ENERGY, SL</t>
  </si>
  <si>
    <t>PEPCUER</t>
  </si>
  <si>
    <t>PEPCUERVO</t>
  </si>
  <si>
    <t>18W000000000TED9</t>
  </si>
  <si>
    <t>PLAZA1</t>
  </si>
  <si>
    <t>FV PLAZA 1</t>
  </si>
  <si>
    <t>FOTOVOLTAICA PLAZA1</t>
  </si>
  <si>
    <t>18W000000000THC2</t>
  </si>
  <si>
    <t>PLAZA2</t>
  </si>
  <si>
    <t>PLAZA2 FV</t>
  </si>
  <si>
    <t>PLAZA2 FOTOVOLTAICA</t>
  </si>
  <si>
    <t>18W000000000THEZ</t>
  </si>
  <si>
    <t>PRAEC01</t>
  </si>
  <si>
    <t>PRAETIUM</t>
  </si>
  <si>
    <t>PRAETIUM ENERGY</t>
  </si>
  <si>
    <t>18W000000000T8HJ</t>
  </si>
  <si>
    <t>PRAET</t>
  </si>
  <si>
    <t>PRAETIUM ENERGY SOCIEDAD LIMITADA</t>
  </si>
  <si>
    <t>NADARA</t>
  </si>
  <si>
    <t>RPREZO</t>
  </si>
  <si>
    <t>UP PREZERO ESPAÑA</t>
  </si>
  <si>
    <t>18W000000000TF9E</t>
  </si>
  <si>
    <t>RUCESP</t>
  </si>
  <si>
    <t>UP UTE CESPA-CESPA GR</t>
  </si>
  <si>
    <t>18W000000000TF7I</t>
  </si>
  <si>
    <t>SHEPV29</t>
  </si>
  <si>
    <t>JEREZ</t>
  </si>
  <si>
    <t>18W000000000TF3Q</t>
  </si>
  <si>
    <t>UPBONPR</t>
  </si>
  <si>
    <t>18W000000000SK85</t>
  </si>
  <si>
    <t>UPCENS</t>
  </si>
  <si>
    <t>18W000000000TGYZ</t>
  </si>
  <si>
    <t>UPEBROH</t>
  </si>
  <si>
    <t>UPEBROHIBR</t>
  </si>
  <si>
    <t>UP EBRO HIBRIDADA</t>
  </si>
  <si>
    <t>18W000000000TGE1</t>
  </si>
  <si>
    <t>UPMAY</t>
  </si>
  <si>
    <t>18W000000000TI6B</t>
  </si>
  <si>
    <t>UPSERRE</t>
  </si>
  <si>
    <t>18W000000000TH7C</t>
  </si>
  <si>
    <t>URUSC01</t>
  </si>
  <si>
    <t>URUS</t>
  </si>
  <si>
    <t>URUS ENERGY SORIA SL</t>
  </si>
  <si>
    <t>18W000000000SXUX</t>
  </si>
  <si>
    <t>URUSE</t>
  </si>
  <si>
    <t>URUS ENERGY SORIA SLNE</t>
  </si>
  <si>
    <t>AMIC01</t>
  </si>
  <si>
    <t>AMI</t>
  </si>
  <si>
    <t>AMI ELECTRUM</t>
  </si>
  <si>
    <t>18W000000000SFE8</t>
  </si>
  <si>
    <t>FORZA</t>
  </si>
  <si>
    <t>FORZAVSUNAIR</t>
  </si>
  <si>
    <t>COGPOR1</t>
  </si>
  <si>
    <t>18W000000000TP6R</t>
  </si>
  <si>
    <t>COGPOR2</t>
  </si>
  <si>
    <t>18W000000000TP7P</t>
  </si>
  <si>
    <t>COMPC01</t>
  </si>
  <si>
    <t>18W000000000LKFJ</t>
  </si>
  <si>
    <t>COMPA</t>
  </si>
  <si>
    <t>COMPAÑÍA CASTELLANA DE COMERCIALIZACION ELECTRICA</t>
  </si>
  <si>
    <t>DUERC01</t>
  </si>
  <si>
    <t>DUEROLUZ</t>
  </si>
  <si>
    <t>DUEROLUZ ENERGIA SL</t>
  </si>
  <si>
    <t>18W000000000TDOR</t>
  </si>
  <si>
    <t>DUERO</t>
  </si>
  <si>
    <t>DUEROLUZ ENERGIA</t>
  </si>
  <si>
    <t>ECINCAG</t>
  </si>
  <si>
    <t>18W000000000TLHH</t>
  </si>
  <si>
    <t>EDEREN</t>
  </si>
  <si>
    <t>UP DESARROLLOS RENOVABLES</t>
  </si>
  <si>
    <t>18W000000000TJZO</t>
  </si>
  <si>
    <t>EGASN0U</t>
  </si>
  <si>
    <t>18W000000000TMDM</t>
  </si>
  <si>
    <t>EGST228</t>
  </si>
  <si>
    <t>18W000000000TP10</t>
  </si>
  <si>
    <t>EIBGECA</t>
  </si>
  <si>
    <t>18W000000000TGIU</t>
  </si>
  <si>
    <t>EJAUFIL</t>
  </si>
  <si>
    <t>PARQUE EOLICO JAUFIL</t>
  </si>
  <si>
    <t>18W000000000TPBH</t>
  </si>
  <si>
    <t>EN1</t>
  </si>
  <si>
    <t>EOLIADO</t>
  </si>
  <si>
    <t>UP PE OLIADO MTORG</t>
  </si>
  <si>
    <t>18W000000000TQ1Y</t>
  </si>
  <si>
    <t>EREA</t>
  </si>
  <si>
    <t>18W000000000P1LB</t>
  </si>
  <si>
    <t>FALP21</t>
  </si>
  <si>
    <t>18W000000000TN8T</t>
  </si>
  <si>
    <t>FCASTU</t>
  </si>
  <si>
    <t>18W000000000TPWC</t>
  </si>
  <si>
    <t>SOLARIA</t>
  </si>
  <si>
    <t>FDREU17</t>
  </si>
  <si>
    <t>TOBOSO 1</t>
  </si>
  <si>
    <t>FV TOBOSO 1</t>
  </si>
  <si>
    <t>18W000000000TN08</t>
  </si>
  <si>
    <t>FGASN2U</t>
  </si>
  <si>
    <t>18W000000000TMCO</t>
  </si>
  <si>
    <t>FGST213</t>
  </si>
  <si>
    <t>18W000000000THLL</t>
  </si>
  <si>
    <t>FGST214</t>
  </si>
  <si>
    <t>18W000000000TJ68</t>
  </si>
  <si>
    <t>FIBGECR</t>
  </si>
  <si>
    <t>FV CIUDAD RODRIGO</t>
  </si>
  <si>
    <t>18W000000000THNH</t>
  </si>
  <si>
    <t>FIBGEMS</t>
  </si>
  <si>
    <t>18W000000000TGJS</t>
  </si>
  <si>
    <t>FIBGEPE</t>
  </si>
  <si>
    <t>18W000000000TGNK</t>
  </si>
  <si>
    <t>FIBGEVI</t>
  </si>
  <si>
    <t>18W000000000TGMM</t>
  </si>
  <si>
    <t>FIBGT12</t>
  </si>
  <si>
    <t>18W000000000TGKQ</t>
  </si>
  <si>
    <t>FIBGT34</t>
  </si>
  <si>
    <t>18W000000000TGLO</t>
  </si>
  <si>
    <t>FNEOSOL</t>
  </si>
  <si>
    <t>18W000000000TEOO</t>
  </si>
  <si>
    <t>FPALMRA</t>
  </si>
  <si>
    <t>UP SOLAR PALOMERA</t>
  </si>
  <si>
    <t>18W000000000TNYE</t>
  </si>
  <si>
    <t>FRODEO</t>
  </si>
  <si>
    <t>UP SOLAR EL RODEO</t>
  </si>
  <si>
    <t>18W000000000TMXJ</t>
  </si>
  <si>
    <t>FSOCO2</t>
  </si>
  <si>
    <t>18W000000000TIWX</t>
  </si>
  <si>
    <t>FVALENT</t>
  </si>
  <si>
    <t>UP SOLAR ELS VALENTINS</t>
  </si>
  <si>
    <t>18W000000000TNSQ</t>
  </si>
  <si>
    <t>FVHIBRV</t>
  </si>
  <si>
    <t>UP HIBRIDA VENTA EXTREMADURA 3</t>
  </si>
  <si>
    <t>18W000000000TNUM</t>
  </si>
  <si>
    <t>FZRATAN</t>
  </si>
  <si>
    <t>UP SOLAR ZARATAN</t>
  </si>
  <si>
    <t>18W000000000TIA3</t>
  </si>
  <si>
    <t>GALPS81</t>
  </si>
  <si>
    <t>CBLANCA</t>
  </si>
  <si>
    <t>18W000000000TL9X</t>
  </si>
  <si>
    <t>GALPS82</t>
  </si>
  <si>
    <t>ABUELA</t>
  </si>
  <si>
    <t>18W000000000TLAV</t>
  </si>
  <si>
    <t>GALPS83</t>
  </si>
  <si>
    <t>COLMENAR</t>
  </si>
  <si>
    <t>18W000000000TLBT</t>
  </si>
  <si>
    <t>GALPS84</t>
  </si>
  <si>
    <t>NOGUERA</t>
  </si>
  <si>
    <t>18W000000000TLCR</t>
  </si>
  <si>
    <t>GALPS85</t>
  </si>
  <si>
    <t>VEGAS</t>
  </si>
  <si>
    <t>18W000000000TLDP</t>
  </si>
  <si>
    <t>GALPS86</t>
  </si>
  <si>
    <t>SERON1</t>
  </si>
  <si>
    <t>18W000000000TLEN</t>
  </si>
  <si>
    <t>GALPS87</t>
  </si>
  <si>
    <t>SERON2</t>
  </si>
  <si>
    <t>18W000000000TLFL</t>
  </si>
  <si>
    <t>GALPS88</t>
  </si>
  <si>
    <t>TIJOLA</t>
  </si>
  <si>
    <t>18W000000000TLGJ</t>
  </si>
  <si>
    <t>GSMARC1</t>
  </si>
  <si>
    <t>SMARCGENER</t>
  </si>
  <si>
    <t>SMARCGENERICA</t>
  </si>
  <si>
    <t>18W000000000SWGR</t>
  </si>
  <si>
    <t>SMARC</t>
  </si>
  <si>
    <t>SMARTESTENERGY</t>
  </si>
  <si>
    <t>HBAUSEN</t>
  </si>
  <si>
    <t>UP HIDRAULICA BAUSEN</t>
  </si>
  <si>
    <t>18W000000000TKJG</t>
  </si>
  <si>
    <t>HESDIG</t>
  </si>
  <si>
    <t>UP ELECTRO SAN DIEGO</t>
  </si>
  <si>
    <t>18W000000000TH8A</t>
  </si>
  <si>
    <t>HGRCUG</t>
  </si>
  <si>
    <t>UP HIDROELECTRICA DE CUERVA</t>
  </si>
  <si>
    <t>18W000000000THXY</t>
  </si>
  <si>
    <t>HPOBLA1</t>
  </si>
  <si>
    <t>UP HIDRO POBLA 1</t>
  </si>
  <si>
    <t>18W000000000SLN9</t>
  </si>
  <si>
    <t>PEMONDI</t>
  </si>
  <si>
    <t>PE MONDIGO</t>
  </si>
  <si>
    <t>18W000000000TL54</t>
  </si>
  <si>
    <t>RCOGRVO</t>
  </si>
  <si>
    <t>UP RESIDUOS RESIDVO</t>
  </si>
  <si>
    <t>18W000000000TJUY</t>
  </si>
  <si>
    <t>RPSQC01</t>
  </si>
  <si>
    <t>18W000000000SMKC</t>
  </si>
  <si>
    <t>REPQ</t>
  </si>
  <si>
    <t>RRENDIJ</t>
  </si>
  <si>
    <t>UP RESIDUOS RENDIJA</t>
  </si>
  <si>
    <t>18W000000000TJR3</t>
  </si>
  <si>
    <t>RVACARI</t>
  </si>
  <si>
    <t>UP RESIDUOS VACARISSES</t>
  </si>
  <si>
    <t>18W000000000TJQ5</t>
  </si>
  <si>
    <t>RVERALC</t>
  </si>
  <si>
    <t>UP RESIDUOS ALCALA</t>
  </si>
  <si>
    <t>18W000000000TJS1</t>
  </si>
  <si>
    <t>SMARCP3</t>
  </si>
  <si>
    <t>SMAR_C</t>
  </si>
  <si>
    <t>SMARD_COMPRA</t>
  </si>
  <si>
    <t>18W000000000SWEV</t>
  </si>
  <si>
    <t>SMARVP3</t>
  </si>
  <si>
    <t>SMARV</t>
  </si>
  <si>
    <t>SMARD-VENTA</t>
  </si>
  <si>
    <t>18W000000000SWFT</t>
  </si>
  <si>
    <t>SONEC01</t>
  </si>
  <si>
    <t>SONESTA L</t>
  </si>
  <si>
    <t>SONESTA LUZ</t>
  </si>
  <si>
    <t>18W000000000TFG0</t>
  </si>
  <si>
    <t>SOLUZ</t>
  </si>
  <si>
    <t>TGST229</t>
  </si>
  <si>
    <t>18W000000000TOSN</t>
  </si>
  <si>
    <t>TINROKO</t>
  </si>
  <si>
    <t>UP INDUSTRIAS ROKO</t>
  </si>
  <si>
    <t>18W000000000THZU</t>
  </si>
  <si>
    <t>UPAYM</t>
  </si>
  <si>
    <t>18W000000000TMST</t>
  </si>
  <si>
    <t>UPBAD1</t>
  </si>
  <si>
    <t>UPBADAJOZ1</t>
  </si>
  <si>
    <t>UP BADAJOZ 1</t>
  </si>
  <si>
    <t>18W000000000TIS4</t>
  </si>
  <si>
    <t>UPBAD3</t>
  </si>
  <si>
    <t>UPBADAJOZ3</t>
  </si>
  <si>
    <t>UP BADAJOZ 3</t>
  </si>
  <si>
    <t>18W000000000TMGG</t>
  </si>
  <si>
    <t>UPBAD5</t>
  </si>
  <si>
    <t>UPBADAJOZ5</t>
  </si>
  <si>
    <t>UP BADAJOZ 5</t>
  </si>
  <si>
    <t>18W000000000TMIC</t>
  </si>
  <si>
    <t>UPBAD6</t>
  </si>
  <si>
    <t>UPBADAJOZ6</t>
  </si>
  <si>
    <t>UP BADAJOZ 6</t>
  </si>
  <si>
    <t>18W000000000TIU0</t>
  </si>
  <si>
    <t>UPKEN1</t>
  </si>
  <si>
    <t>UP KENIA 1</t>
  </si>
  <si>
    <t>UP KENIA SOLAR 1</t>
  </si>
  <si>
    <t>18W000000000T8SY</t>
  </si>
  <si>
    <t>UPKEN3</t>
  </si>
  <si>
    <t>UP KENIA 3</t>
  </si>
  <si>
    <t>UP KENIA SOLAR 3</t>
  </si>
  <si>
    <t>18W000000000T8WQ</t>
  </si>
  <si>
    <t>UPKEN4</t>
  </si>
  <si>
    <t>UP KENIA 4</t>
  </si>
  <si>
    <t>UP KENIA SOLAR 4</t>
  </si>
  <si>
    <t>18W000000000T8YM</t>
  </si>
  <si>
    <t>UPNIEB</t>
  </si>
  <si>
    <t>18W000000000TPF9</t>
  </si>
  <si>
    <t>UPXENC</t>
  </si>
  <si>
    <t>18W000000000TJ3E</t>
  </si>
  <si>
    <t>UPXENV</t>
  </si>
  <si>
    <t>18W000000000TJ1I</t>
  </si>
  <si>
    <t>VMANGM</t>
  </si>
  <si>
    <t>18W000000000TB07</t>
  </si>
  <si>
    <t>MANUE</t>
  </si>
  <si>
    <t>MANUEL GALLEGO MUDARRA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</si>
</sst>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"/>
    <numFmt numFmtId="166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E1F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left"/>
    </xf>
    <xf numFmtId="0" fontId="16" fillId="33" borderId="10" xfId="0" applyFont="1" applyFill="1" applyBorder="1" applyAlignment="1">
      <alignment horizontal="center" vertical="top" wrapText="1"/>
    </xf>
    <xf numFmtId="164" fontId="0" fillId="0" borderId="0" xfId="42" applyNumberFormat="1" applyFont="1" applyAlignment="1">
      <alignment horizontal="center"/>
    </xf>
    <xf numFmtId="3" fontId="0" fillId="0" borderId="0" xfId="42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0" fillId="0" borderId="0" xfId="42" applyFont="1"/>
    <xf numFmtId="0" fontId="0" fillId="0" borderId="0" xfId="0" pivotButton="1"/>
    <xf numFmtId="0" fontId="0" fillId="0" borderId="0" xfId="0" applyNumberFormat="1"/>
    <xf numFmtId="166" fontId="0" fillId="0" borderId="0" xfId="0" applyNumberFormat="1"/>
    <xf numFmtId="0" fontId="16" fillId="34" borderId="10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18" fillId="0" borderId="0" xfId="0" applyFont="1" applyAlignment="1">
      <alignment wrapText="1"/>
    </xf>
    <xf numFmtId="4" fontId="18" fillId="0" borderId="0" xfId="0" applyNumberFormat="1" applyFont="1" applyAlignment="1">
      <alignment wrapText="1"/>
    </xf>
    <xf numFmtId="0" fontId="0" fillId="0" borderId="0" xfId="0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 2" xfId="42" xr:uid="{00000000-0005-0000-0000-000027000000}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9E1F2"/>
      <color rgb="FF43B184"/>
      <color rgb="FFF19B61"/>
      <color rgb="FF2644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5448801308522239E-2"/>
          <c:y val="0.12262604070588179"/>
          <c:w val="0.97455119869147777"/>
          <c:h val="0.78680251604332385"/>
        </c:manualLayout>
      </c:layout>
      <c:barChart>
        <c:barDir val="col"/>
        <c:grouping val="stacked"/>
        <c:varyColors val="0"/>
        <c:ser>
          <c:idx val="7"/>
          <c:order val="0"/>
          <c:tx>
            <c:strRef>
              <c:f>RESUMEN!$AE$1</c:f>
              <c:strCache>
                <c:ptCount val="1"/>
                <c:pt idx="0">
                  <c:v>Others</c:v>
                </c:pt>
              </c:strCache>
            </c:strRef>
          </c:tx>
          <c:spPr>
            <a:pattFill prst="dkUpDiag">
              <a:fgClr>
                <a:schemeClr val="bg1">
                  <a:lumMod val="75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RESUMEN!$AD$2:$AD$16</c:f>
              <c:strCache>
                <c:ptCount val="15"/>
                <c:pt idx="0">
                  <c:v>IGNIS</c:v>
                </c:pt>
                <c:pt idx="1">
                  <c:v>AXPO</c:v>
                </c:pt>
                <c:pt idx="2">
                  <c:v>NEXUS</c:v>
                </c:pt>
                <c:pt idx="3">
                  <c:v>REPSOL</c:v>
                </c:pt>
                <c:pt idx="4">
                  <c:v>GNERA</c:v>
                </c:pt>
                <c:pt idx="5">
                  <c:v>ACCIONA</c:v>
                </c:pt>
                <c:pt idx="6">
                  <c:v>ENGIE</c:v>
                </c:pt>
                <c:pt idx="7">
                  <c:v>GESTERNOVA</c:v>
                </c:pt>
                <c:pt idx="8">
                  <c:v>ENERGYA</c:v>
                </c:pt>
                <c:pt idx="9">
                  <c:v>W2M</c:v>
                </c:pt>
                <c:pt idx="10">
                  <c:v>ALPIQ</c:v>
                </c:pt>
                <c:pt idx="11">
                  <c:v>GALP</c:v>
                </c:pt>
                <c:pt idx="12">
                  <c:v>SHELL</c:v>
                </c:pt>
                <c:pt idx="13">
                  <c:v>CEPSA</c:v>
                </c:pt>
                <c:pt idx="14">
                  <c:v>HOLALUZ</c:v>
                </c:pt>
              </c:strCache>
            </c:strRef>
          </c:cat>
          <c:val>
            <c:numRef>
              <c:f>RESUMEN!$AE$2:$AE$16</c:f>
              <c:numCache>
                <c:formatCode>0.0</c:formatCode>
                <c:ptCount val="15"/>
                <c:pt idx="0">
                  <c:v>1.6000000000000001E-3</c:v>
                </c:pt>
                <c:pt idx="1">
                  <c:v>0.19340000000000002</c:v>
                </c:pt>
                <c:pt idx="2">
                  <c:v>4.9599999999999998E-2</c:v>
                </c:pt>
                <c:pt idx="3">
                  <c:v>1.2199999999999999E-2</c:v>
                </c:pt>
                <c:pt idx="4">
                  <c:v>2.5899999999999999E-2</c:v>
                </c:pt>
                <c:pt idx="5">
                  <c:v>0</c:v>
                </c:pt>
                <c:pt idx="6">
                  <c:v>0</c:v>
                </c:pt>
                <c:pt idx="7">
                  <c:v>1.8E-3</c:v>
                </c:pt>
                <c:pt idx="8">
                  <c:v>2.6099999999999998E-2</c:v>
                </c:pt>
                <c:pt idx="9">
                  <c:v>0.15609999999999999</c:v>
                </c:pt>
                <c:pt idx="10">
                  <c:v>0</c:v>
                </c:pt>
                <c:pt idx="11">
                  <c:v>0</c:v>
                </c:pt>
                <c:pt idx="12">
                  <c:v>1.7600000000000001E-2</c:v>
                </c:pt>
                <c:pt idx="13">
                  <c:v>2.8299999999999999E-2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095-423D-8BDA-2D8F02DF56DE}"/>
            </c:ext>
          </c:extLst>
        </c:ser>
        <c:ser>
          <c:idx val="0"/>
          <c:order val="1"/>
          <c:tx>
            <c:strRef>
              <c:f>RESUMEN!$AF$1</c:f>
              <c:strCache>
                <c:ptCount val="1"/>
                <c:pt idx="0">
                  <c:v>Biomass + Cogen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RESUMEN!$AD$2:$AD$16</c:f>
              <c:strCache>
                <c:ptCount val="15"/>
                <c:pt idx="0">
                  <c:v>IGNIS</c:v>
                </c:pt>
                <c:pt idx="1">
                  <c:v>AXPO</c:v>
                </c:pt>
                <c:pt idx="2">
                  <c:v>NEXUS</c:v>
                </c:pt>
                <c:pt idx="3">
                  <c:v>REPSOL</c:v>
                </c:pt>
                <c:pt idx="4">
                  <c:v>GNERA</c:v>
                </c:pt>
                <c:pt idx="5">
                  <c:v>ACCIONA</c:v>
                </c:pt>
                <c:pt idx="6">
                  <c:v>ENGIE</c:v>
                </c:pt>
                <c:pt idx="7">
                  <c:v>GESTERNOVA</c:v>
                </c:pt>
                <c:pt idx="8">
                  <c:v>ENERGYA</c:v>
                </c:pt>
                <c:pt idx="9">
                  <c:v>W2M</c:v>
                </c:pt>
                <c:pt idx="10">
                  <c:v>ALPIQ</c:v>
                </c:pt>
                <c:pt idx="11">
                  <c:v>GALP</c:v>
                </c:pt>
                <c:pt idx="12">
                  <c:v>SHELL</c:v>
                </c:pt>
                <c:pt idx="13">
                  <c:v>CEPSA</c:v>
                </c:pt>
                <c:pt idx="14">
                  <c:v>HOLALUZ</c:v>
                </c:pt>
              </c:strCache>
            </c:strRef>
          </c:cat>
          <c:val>
            <c:numRef>
              <c:f>RESUMEN!$AF$2:$AF$16</c:f>
              <c:numCache>
                <c:formatCode>0.0</c:formatCode>
                <c:ptCount val="15"/>
                <c:pt idx="0">
                  <c:v>0.19400000000000001</c:v>
                </c:pt>
                <c:pt idx="1">
                  <c:v>0.8837999999999997</c:v>
                </c:pt>
                <c:pt idx="2">
                  <c:v>0.4274</c:v>
                </c:pt>
                <c:pt idx="3">
                  <c:v>0.49470000000000003</c:v>
                </c:pt>
                <c:pt idx="4">
                  <c:v>0.21639999999999998</c:v>
                </c:pt>
                <c:pt idx="5">
                  <c:v>0.11569999999999998</c:v>
                </c:pt>
                <c:pt idx="6">
                  <c:v>3.4299999999999997E-2</c:v>
                </c:pt>
                <c:pt idx="7">
                  <c:v>2.2000000000000001E-3</c:v>
                </c:pt>
                <c:pt idx="8">
                  <c:v>0.2266</c:v>
                </c:pt>
                <c:pt idx="9">
                  <c:v>0.1391</c:v>
                </c:pt>
                <c:pt idx="10">
                  <c:v>9.1900000000000009E-2</c:v>
                </c:pt>
                <c:pt idx="11">
                  <c:v>0</c:v>
                </c:pt>
                <c:pt idx="12">
                  <c:v>0</c:v>
                </c:pt>
                <c:pt idx="13">
                  <c:v>0.42290000000000005</c:v>
                </c:pt>
                <c:pt idx="14">
                  <c:v>2.2800000000000001E-2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95-423D-8BDA-2D8F02DF56DE}"/>
            </c:ext>
          </c:extLst>
        </c:ser>
        <c:ser>
          <c:idx val="1"/>
          <c:order val="2"/>
          <c:tx>
            <c:strRef>
              <c:f>RESUMEN!$AG$1</c:f>
              <c:strCache>
                <c:ptCount val="1"/>
                <c:pt idx="0">
                  <c:v>CCGT + Coal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RESUMEN!$AD$2:$AD$16</c:f>
              <c:strCache>
                <c:ptCount val="15"/>
                <c:pt idx="0">
                  <c:v>IGNIS</c:v>
                </c:pt>
                <c:pt idx="1">
                  <c:v>AXPO</c:v>
                </c:pt>
                <c:pt idx="2">
                  <c:v>NEXUS</c:v>
                </c:pt>
                <c:pt idx="3">
                  <c:v>REPSOL</c:v>
                </c:pt>
                <c:pt idx="4">
                  <c:v>GNERA</c:v>
                </c:pt>
                <c:pt idx="5">
                  <c:v>ACCIONA</c:v>
                </c:pt>
                <c:pt idx="6">
                  <c:v>ENGIE</c:v>
                </c:pt>
                <c:pt idx="7">
                  <c:v>GESTERNOVA</c:v>
                </c:pt>
                <c:pt idx="8">
                  <c:v>ENERGYA</c:v>
                </c:pt>
                <c:pt idx="9">
                  <c:v>W2M</c:v>
                </c:pt>
                <c:pt idx="10">
                  <c:v>ALPIQ</c:v>
                </c:pt>
                <c:pt idx="11">
                  <c:v>GALP</c:v>
                </c:pt>
                <c:pt idx="12">
                  <c:v>SHELL</c:v>
                </c:pt>
                <c:pt idx="13">
                  <c:v>CEPSA</c:v>
                </c:pt>
                <c:pt idx="14">
                  <c:v>HOLALUZ</c:v>
                </c:pt>
              </c:strCache>
            </c:strRef>
          </c:cat>
          <c:val>
            <c:numRef>
              <c:f>RESUMEN!$AG$2:$AG$16</c:f>
              <c:numCache>
                <c:formatCode>0.0</c:formatCode>
                <c:ptCount val="15"/>
                <c:pt idx="0">
                  <c:v>0.30160000000000003</c:v>
                </c:pt>
                <c:pt idx="1">
                  <c:v>0.16189999999999999</c:v>
                </c:pt>
                <c:pt idx="2">
                  <c:v>1.21E-2</c:v>
                </c:pt>
                <c:pt idx="3">
                  <c:v>1.8498999999999999</c:v>
                </c:pt>
                <c:pt idx="4">
                  <c:v>9.1999999999999998E-3</c:v>
                </c:pt>
                <c:pt idx="5">
                  <c:v>0</c:v>
                </c:pt>
                <c:pt idx="6">
                  <c:v>1.9897</c:v>
                </c:pt>
                <c:pt idx="7">
                  <c:v>0</c:v>
                </c:pt>
                <c:pt idx="8">
                  <c:v>5.3000000000000005E-2</c:v>
                </c:pt>
                <c:pt idx="9">
                  <c:v>3.95E-2</c:v>
                </c:pt>
                <c:pt idx="10">
                  <c:v>0.41399999999999998</c:v>
                </c:pt>
                <c:pt idx="11">
                  <c:v>0</c:v>
                </c:pt>
                <c:pt idx="12">
                  <c:v>0</c:v>
                </c:pt>
                <c:pt idx="13">
                  <c:v>9.5400000000000013E-2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95-423D-8BDA-2D8F02DF56DE}"/>
            </c:ext>
          </c:extLst>
        </c:ser>
        <c:ser>
          <c:idx val="2"/>
          <c:order val="3"/>
          <c:tx>
            <c:strRef>
              <c:f>RESUMEN!$AH$1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RESUMEN!$AD$2:$AD$16</c:f>
              <c:strCache>
                <c:ptCount val="15"/>
                <c:pt idx="0">
                  <c:v>IGNIS</c:v>
                </c:pt>
                <c:pt idx="1">
                  <c:v>AXPO</c:v>
                </c:pt>
                <c:pt idx="2">
                  <c:v>NEXUS</c:v>
                </c:pt>
                <c:pt idx="3">
                  <c:v>REPSOL</c:v>
                </c:pt>
                <c:pt idx="4">
                  <c:v>GNERA</c:v>
                </c:pt>
                <c:pt idx="5">
                  <c:v>ACCIONA</c:v>
                </c:pt>
                <c:pt idx="6">
                  <c:v>ENGIE</c:v>
                </c:pt>
                <c:pt idx="7">
                  <c:v>GESTERNOVA</c:v>
                </c:pt>
                <c:pt idx="8">
                  <c:v>ENERGYA</c:v>
                </c:pt>
                <c:pt idx="9">
                  <c:v>W2M</c:v>
                </c:pt>
                <c:pt idx="10">
                  <c:v>ALPIQ</c:v>
                </c:pt>
                <c:pt idx="11">
                  <c:v>GALP</c:v>
                </c:pt>
                <c:pt idx="12">
                  <c:v>SHELL</c:v>
                </c:pt>
                <c:pt idx="13">
                  <c:v>CEPSA</c:v>
                </c:pt>
                <c:pt idx="14">
                  <c:v>HOLALUZ</c:v>
                </c:pt>
              </c:strCache>
            </c:strRef>
          </c:cat>
          <c:val>
            <c:numRef>
              <c:f>RESUMEN!$AH$2:$AH$16</c:f>
              <c:numCache>
                <c:formatCode>0.0</c:formatCode>
                <c:ptCount val="15"/>
                <c:pt idx="0">
                  <c:v>0.21509999999999999</c:v>
                </c:pt>
                <c:pt idx="1">
                  <c:v>0.36430000000000007</c:v>
                </c:pt>
                <c:pt idx="2">
                  <c:v>0.14240000000000003</c:v>
                </c:pt>
                <c:pt idx="3">
                  <c:v>0.33380000000000004</c:v>
                </c:pt>
                <c:pt idx="4">
                  <c:v>0.24869999999999995</c:v>
                </c:pt>
                <c:pt idx="5">
                  <c:v>0.24280000000000002</c:v>
                </c:pt>
                <c:pt idx="6">
                  <c:v>7.7299999999999994E-2</c:v>
                </c:pt>
                <c:pt idx="7">
                  <c:v>4.6599999999999996E-2</c:v>
                </c:pt>
                <c:pt idx="8">
                  <c:v>0.14030000000000001</c:v>
                </c:pt>
                <c:pt idx="9">
                  <c:v>6.3700000000000007E-2</c:v>
                </c:pt>
                <c:pt idx="10">
                  <c:v>0</c:v>
                </c:pt>
                <c:pt idx="11">
                  <c:v>0</c:v>
                </c:pt>
                <c:pt idx="12">
                  <c:v>1.3900000000000001E-2</c:v>
                </c:pt>
                <c:pt idx="13">
                  <c:v>6.1100000000000002E-2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95-423D-8BDA-2D8F02DF56DE}"/>
            </c:ext>
          </c:extLst>
        </c:ser>
        <c:ser>
          <c:idx val="3"/>
          <c:order val="4"/>
          <c:tx>
            <c:strRef>
              <c:f>RESUMEN!$AI$1</c:f>
              <c:strCache>
                <c:ptCount val="1"/>
                <c:pt idx="0">
                  <c:v>Hydro Pump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RESUMEN!$AD$2:$AD$16</c:f>
              <c:strCache>
                <c:ptCount val="15"/>
                <c:pt idx="0">
                  <c:v>IGNIS</c:v>
                </c:pt>
                <c:pt idx="1">
                  <c:v>AXPO</c:v>
                </c:pt>
                <c:pt idx="2">
                  <c:v>NEXUS</c:v>
                </c:pt>
                <c:pt idx="3">
                  <c:v>REPSOL</c:v>
                </c:pt>
                <c:pt idx="4">
                  <c:v>GNERA</c:v>
                </c:pt>
                <c:pt idx="5">
                  <c:v>ACCIONA</c:v>
                </c:pt>
                <c:pt idx="6">
                  <c:v>ENGIE</c:v>
                </c:pt>
                <c:pt idx="7">
                  <c:v>GESTERNOVA</c:v>
                </c:pt>
                <c:pt idx="8">
                  <c:v>ENERGYA</c:v>
                </c:pt>
                <c:pt idx="9">
                  <c:v>W2M</c:v>
                </c:pt>
                <c:pt idx="10">
                  <c:v>ALPIQ</c:v>
                </c:pt>
                <c:pt idx="11">
                  <c:v>GALP</c:v>
                </c:pt>
                <c:pt idx="12">
                  <c:v>SHELL</c:v>
                </c:pt>
                <c:pt idx="13">
                  <c:v>CEPSA</c:v>
                </c:pt>
                <c:pt idx="14">
                  <c:v>HOLALUZ</c:v>
                </c:pt>
              </c:strCache>
            </c:strRef>
          </c:cat>
          <c:val>
            <c:numRef>
              <c:f>RESUMEN!$AI$2:$AI$16</c:f>
              <c:numCache>
                <c:formatCode>0.0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0.3604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95-423D-8BDA-2D8F02DF56DE}"/>
            </c:ext>
          </c:extLst>
        </c:ser>
        <c:ser>
          <c:idx val="4"/>
          <c:order val="5"/>
          <c:tx>
            <c:strRef>
              <c:f>RESUMEN!$AJ$1</c:f>
              <c:strCache>
                <c:ptCount val="1"/>
                <c:pt idx="0">
                  <c:v>Solar Thermal</c:v>
                </c:pt>
              </c:strCache>
            </c:strRef>
          </c:tx>
          <c:spPr>
            <a:solidFill>
              <a:srgbClr val="F19B61"/>
            </a:solidFill>
            <a:ln>
              <a:noFill/>
            </a:ln>
            <a:effectLst/>
          </c:spPr>
          <c:invertIfNegative val="0"/>
          <c:cat>
            <c:strRef>
              <c:f>RESUMEN!$AD$2:$AD$16</c:f>
              <c:strCache>
                <c:ptCount val="15"/>
                <c:pt idx="0">
                  <c:v>IGNIS</c:v>
                </c:pt>
                <c:pt idx="1">
                  <c:v>AXPO</c:v>
                </c:pt>
                <c:pt idx="2">
                  <c:v>NEXUS</c:v>
                </c:pt>
                <c:pt idx="3">
                  <c:v>REPSOL</c:v>
                </c:pt>
                <c:pt idx="4">
                  <c:v>GNERA</c:v>
                </c:pt>
                <c:pt idx="5">
                  <c:v>ACCIONA</c:v>
                </c:pt>
                <c:pt idx="6">
                  <c:v>ENGIE</c:v>
                </c:pt>
                <c:pt idx="7">
                  <c:v>GESTERNOVA</c:v>
                </c:pt>
                <c:pt idx="8">
                  <c:v>ENERGYA</c:v>
                </c:pt>
                <c:pt idx="9">
                  <c:v>W2M</c:v>
                </c:pt>
                <c:pt idx="10">
                  <c:v>ALPIQ</c:v>
                </c:pt>
                <c:pt idx="11">
                  <c:v>GALP</c:v>
                </c:pt>
                <c:pt idx="12">
                  <c:v>SHELL</c:v>
                </c:pt>
                <c:pt idx="13">
                  <c:v>CEPSA</c:v>
                </c:pt>
                <c:pt idx="14">
                  <c:v>HOLALUZ</c:v>
                </c:pt>
              </c:strCache>
            </c:strRef>
          </c:cat>
          <c:val>
            <c:numRef>
              <c:f>RESUMEN!$AJ$2:$AJ$16</c:f>
              <c:numCache>
                <c:formatCode>0.0</c:formatCode>
                <c:ptCount val="15"/>
                <c:pt idx="0">
                  <c:v>9.98E-2</c:v>
                </c:pt>
                <c:pt idx="1">
                  <c:v>1.0102999999999998</c:v>
                </c:pt>
                <c:pt idx="2">
                  <c:v>0.2495</c:v>
                </c:pt>
                <c:pt idx="3">
                  <c:v>0</c:v>
                </c:pt>
                <c:pt idx="4">
                  <c:v>0.3669</c:v>
                </c:pt>
                <c:pt idx="5">
                  <c:v>0</c:v>
                </c:pt>
                <c:pt idx="6">
                  <c:v>0</c:v>
                </c:pt>
                <c:pt idx="7">
                  <c:v>0.2702</c:v>
                </c:pt>
                <c:pt idx="8">
                  <c:v>9.98E-2</c:v>
                </c:pt>
                <c:pt idx="9">
                  <c:v>0</c:v>
                </c:pt>
                <c:pt idx="10">
                  <c:v>0</c:v>
                </c:pt>
                <c:pt idx="11">
                  <c:v>0.14980000000000002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95-423D-8BDA-2D8F02DF56DE}"/>
            </c:ext>
          </c:extLst>
        </c:ser>
        <c:ser>
          <c:idx val="5"/>
          <c:order val="6"/>
          <c:tx>
            <c:strRef>
              <c:f>RESUMEN!$AK$1</c:f>
              <c:strCache>
                <c:ptCount val="1"/>
                <c:pt idx="0">
                  <c:v>Solar PV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095-423D-8BDA-2D8F02DF56DE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C095-423D-8BDA-2D8F02DF56DE}"/>
                </c:ext>
              </c:extLst>
            </c:dLbl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ln>
                      <a:noFill/>
                    </a:ln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RESUMEN!$AD$2:$AD$16</c:f>
              <c:strCache>
                <c:ptCount val="15"/>
                <c:pt idx="0">
                  <c:v>IGNIS</c:v>
                </c:pt>
                <c:pt idx="1">
                  <c:v>AXPO</c:v>
                </c:pt>
                <c:pt idx="2">
                  <c:v>NEXUS</c:v>
                </c:pt>
                <c:pt idx="3">
                  <c:v>REPSOL</c:v>
                </c:pt>
                <c:pt idx="4">
                  <c:v>GNERA</c:v>
                </c:pt>
                <c:pt idx="5">
                  <c:v>ACCIONA</c:v>
                </c:pt>
                <c:pt idx="6">
                  <c:v>ENGIE</c:v>
                </c:pt>
                <c:pt idx="7">
                  <c:v>GESTERNOVA</c:v>
                </c:pt>
                <c:pt idx="8">
                  <c:v>ENERGYA</c:v>
                </c:pt>
                <c:pt idx="9">
                  <c:v>W2M</c:v>
                </c:pt>
                <c:pt idx="10">
                  <c:v>ALPIQ</c:v>
                </c:pt>
                <c:pt idx="11">
                  <c:v>GALP</c:v>
                </c:pt>
                <c:pt idx="12">
                  <c:v>SHELL</c:v>
                </c:pt>
                <c:pt idx="13">
                  <c:v>CEPSA</c:v>
                </c:pt>
                <c:pt idx="14">
                  <c:v>HOLALUZ</c:v>
                </c:pt>
              </c:strCache>
            </c:strRef>
          </c:cat>
          <c:val>
            <c:numRef>
              <c:f>RESUMEN!$AK$2:$AK$16</c:f>
              <c:numCache>
                <c:formatCode>0.0</c:formatCode>
                <c:ptCount val="15"/>
                <c:pt idx="0">
                  <c:v>4.3797000000000015</c:v>
                </c:pt>
                <c:pt idx="1">
                  <c:v>1.7943999999999996</c:v>
                </c:pt>
                <c:pt idx="2">
                  <c:v>4.6002000000000018</c:v>
                </c:pt>
                <c:pt idx="3">
                  <c:v>0.74690000000000012</c:v>
                </c:pt>
                <c:pt idx="4">
                  <c:v>3.4017999999999993</c:v>
                </c:pt>
                <c:pt idx="5">
                  <c:v>0.21110000000000001</c:v>
                </c:pt>
                <c:pt idx="6">
                  <c:v>0.17699999999999999</c:v>
                </c:pt>
                <c:pt idx="7">
                  <c:v>2.6078000000000006</c:v>
                </c:pt>
                <c:pt idx="8">
                  <c:v>1.1410000000000005</c:v>
                </c:pt>
                <c:pt idx="9">
                  <c:v>0.7924000000000001</c:v>
                </c:pt>
                <c:pt idx="10">
                  <c:v>1.0831</c:v>
                </c:pt>
                <c:pt idx="11">
                  <c:v>1.4169000000000005</c:v>
                </c:pt>
                <c:pt idx="12">
                  <c:v>1.2165999999999999</c:v>
                </c:pt>
                <c:pt idx="13">
                  <c:v>8.199999999999999E-3</c:v>
                </c:pt>
                <c:pt idx="14">
                  <c:v>0.25690000000000002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95-423D-8BDA-2D8F02DF56DE}"/>
            </c:ext>
          </c:extLst>
        </c:ser>
        <c:ser>
          <c:idx val="6"/>
          <c:order val="7"/>
          <c:tx>
            <c:strRef>
              <c:f>RESUMEN!$AL$1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43B184"/>
            </a:solidFill>
            <a:ln>
              <a:noFill/>
            </a:ln>
            <a:effectLst/>
          </c:spPr>
          <c:invertIfNegative val="0"/>
          <c:dLbls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095-423D-8BDA-2D8F02DF56DE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095-423D-8BDA-2D8F02DF56DE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C095-423D-8BDA-2D8F02DF56DE}"/>
                </c:ext>
              </c:extLst>
            </c:dLbl>
            <c:spPr>
              <a:solidFill>
                <a:srgbClr val="43B184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ln>
                      <a:noFill/>
                    </a:ln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RESUMEN!$AD$2:$AD$16</c:f>
              <c:strCache>
                <c:ptCount val="15"/>
                <c:pt idx="0">
                  <c:v>IGNIS</c:v>
                </c:pt>
                <c:pt idx="1">
                  <c:v>AXPO</c:v>
                </c:pt>
                <c:pt idx="2">
                  <c:v>NEXUS</c:v>
                </c:pt>
                <c:pt idx="3">
                  <c:v>REPSOL</c:v>
                </c:pt>
                <c:pt idx="4">
                  <c:v>GNERA</c:v>
                </c:pt>
                <c:pt idx="5">
                  <c:v>ACCIONA</c:v>
                </c:pt>
                <c:pt idx="6">
                  <c:v>ENGIE</c:v>
                </c:pt>
                <c:pt idx="7">
                  <c:v>GESTERNOVA</c:v>
                </c:pt>
                <c:pt idx="8">
                  <c:v>ENERGYA</c:v>
                </c:pt>
                <c:pt idx="9">
                  <c:v>W2M</c:v>
                </c:pt>
                <c:pt idx="10">
                  <c:v>ALPIQ</c:v>
                </c:pt>
                <c:pt idx="11">
                  <c:v>GALP</c:v>
                </c:pt>
                <c:pt idx="12">
                  <c:v>SHELL</c:v>
                </c:pt>
                <c:pt idx="13">
                  <c:v>CEPSA</c:v>
                </c:pt>
                <c:pt idx="14">
                  <c:v>HOLALUZ</c:v>
                </c:pt>
              </c:strCache>
            </c:strRef>
          </c:cat>
          <c:val>
            <c:numRef>
              <c:f>RESUMEN!$AL$2:$AL$16</c:f>
              <c:numCache>
                <c:formatCode>0.0</c:formatCode>
                <c:ptCount val="15"/>
                <c:pt idx="0">
                  <c:v>2.5478000000000005</c:v>
                </c:pt>
                <c:pt idx="1">
                  <c:v>2.6975000000000011</c:v>
                </c:pt>
                <c:pt idx="2">
                  <c:v>1.0480999999999998</c:v>
                </c:pt>
                <c:pt idx="3">
                  <c:v>1.4339</c:v>
                </c:pt>
                <c:pt idx="4">
                  <c:v>0.67839999999999989</c:v>
                </c:pt>
                <c:pt idx="5">
                  <c:v>4.3443000000000023</c:v>
                </c:pt>
                <c:pt idx="6">
                  <c:v>1.4110999999999998</c:v>
                </c:pt>
                <c:pt idx="7">
                  <c:v>0.22449999999999998</c:v>
                </c:pt>
                <c:pt idx="8">
                  <c:v>1.0655999999999999</c:v>
                </c:pt>
                <c:pt idx="9">
                  <c:v>1.2683000000000002</c:v>
                </c:pt>
                <c:pt idx="10">
                  <c:v>0.8217000000000001</c:v>
                </c:pt>
                <c:pt idx="11">
                  <c:v>0.1605</c:v>
                </c:pt>
                <c:pt idx="12">
                  <c:v>0.12539999999999998</c:v>
                </c:pt>
                <c:pt idx="13">
                  <c:v>2.5999999999999999E-3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95-423D-8BDA-2D8F02DF5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481303424"/>
        <c:axId val="1171793408"/>
      </c:barChart>
      <c:lineChart>
        <c:grouping val="standard"/>
        <c:varyColors val="0"/>
        <c:ser>
          <c:idx val="8"/>
          <c:order val="8"/>
          <c:tx>
            <c:strRef>
              <c:f>RESUMEN!$AM$1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1">
                <a:spAutoFit/>
              </a:bodyPr>
              <a:lstStyle/>
              <a:p>
                <a:pPr>
                  <a:defRPr sz="1400" b="1" i="0" u="none" strike="noStrike" kern="1200" baseline="0">
                    <a:ln>
                      <a:noFill/>
                    </a:ln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RESUMEN!$AD$2:$AD$16</c:f>
              <c:strCache>
                <c:ptCount val="15"/>
                <c:pt idx="0">
                  <c:v>IGNIS</c:v>
                </c:pt>
                <c:pt idx="1">
                  <c:v>AXPO</c:v>
                </c:pt>
                <c:pt idx="2">
                  <c:v>NEXUS</c:v>
                </c:pt>
                <c:pt idx="3">
                  <c:v>REPSOL</c:v>
                </c:pt>
                <c:pt idx="4">
                  <c:v>GNERA</c:v>
                </c:pt>
                <c:pt idx="5">
                  <c:v>ACCIONA</c:v>
                </c:pt>
                <c:pt idx="6">
                  <c:v>ENGIE</c:v>
                </c:pt>
                <c:pt idx="7">
                  <c:v>GESTERNOVA</c:v>
                </c:pt>
                <c:pt idx="8">
                  <c:v>ENERGYA</c:v>
                </c:pt>
                <c:pt idx="9">
                  <c:v>W2M</c:v>
                </c:pt>
                <c:pt idx="10">
                  <c:v>ALPIQ</c:v>
                </c:pt>
                <c:pt idx="11">
                  <c:v>GALP</c:v>
                </c:pt>
                <c:pt idx="12">
                  <c:v>SHELL</c:v>
                </c:pt>
                <c:pt idx="13">
                  <c:v>CEPSA</c:v>
                </c:pt>
                <c:pt idx="14">
                  <c:v>HOLALUZ</c:v>
                </c:pt>
              </c:strCache>
            </c:strRef>
          </c:cat>
          <c:val>
            <c:numRef>
              <c:f>RESUMEN!$AM$2:$AM$16</c:f>
              <c:numCache>
                <c:formatCode>0.0</c:formatCode>
                <c:ptCount val="15"/>
                <c:pt idx="0">
                  <c:v>7.739600000000002</c:v>
                </c:pt>
                <c:pt idx="1">
                  <c:v>7.105599999999999</c:v>
                </c:pt>
                <c:pt idx="2">
                  <c:v>6.5293000000000028</c:v>
                </c:pt>
                <c:pt idx="3">
                  <c:v>5.2317999999999998</c:v>
                </c:pt>
                <c:pt idx="4">
                  <c:v>4.9472999999999985</c:v>
                </c:pt>
                <c:pt idx="5">
                  <c:v>4.9139000000000026</c:v>
                </c:pt>
                <c:pt idx="6">
                  <c:v>3.6894</c:v>
                </c:pt>
                <c:pt idx="7">
                  <c:v>3.1531000000000007</c:v>
                </c:pt>
                <c:pt idx="8">
                  <c:v>2.7524000000000002</c:v>
                </c:pt>
                <c:pt idx="9">
                  <c:v>2.4590999999999998</c:v>
                </c:pt>
                <c:pt idx="10">
                  <c:v>2.4106999999999998</c:v>
                </c:pt>
                <c:pt idx="11">
                  <c:v>1.7272000000000005</c:v>
                </c:pt>
                <c:pt idx="12">
                  <c:v>1.3734999999999999</c:v>
                </c:pt>
                <c:pt idx="13">
                  <c:v>0.61850000000000016</c:v>
                </c:pt>
                <c:pt idx="14">
                  <c:v>0.27970000000000006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095-423D-8BDA-2D8F02DF5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1303424"/>
        <c:axId val="1171793408"/>
      </c:lineChart>
      <c:catAx>
        <c:axId val="1481303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1400" b="0" i="0" u="none" strike="noStrike" kern="1200" baseline="0">
                <a:ln>
                  <a:noFill/>
                </a:ln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793408"/>
        <c:crosses val="autoZero"/>
        <c:auto val="1"/>
        <c:lblAlgn val="ctr"/>
        <c:lblOffset val="100"/>
        <c:noMultiLvlLbl val="0"/>
      </c:catAx>
      <c:valAx>
        <c:axId val="1171793408"/>
        <c:scaling>
          <c:orientation val="minMax"/>
        </c:scaling>
        <c:delete val="0"/>
        <c:axPos val="l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30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8"/>
        <c:delete val="1"/>
      </c:legendEntry>
      <c:layout>
        <c:manualLayout>
          <c:xMode val="edge"/>
          <c:yMode val="edge"/>
          <c:x val="0.7354609654665154"/>
          <c:y val="0.242916104977039"/>
          <c:w val="0.22869536451112887"/>
          <c:h val="0.2168034702021104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000" baseline="0">
              <a:ln>
                <a:noFill/>
              </a:ln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17318</xdr:colOff>
      <xdr:row>26</xdr:row>
      <xdr:rowOff>98697</xdr:rowOff>
    </xdr:from>
    <xdr:to>
      <xdr:col>26</xdr:col>
      <xdr:colOff>333885</xdr:colOff>
      <xdr:row>49</xdr:row>
      <xdr:rowOff>62301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640F10-D849-8B6B-6AE9-436AA1B11B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a Prieto Miguel" refreshedDate="46000.706360185184" createdVersion="8" refreshedVersion="8" minRefreshableVersion="3" recordCount="3520" xr:uid="{53301858-C921-41D9-8E84-0B1B7EB104DC}">
  <cacheSource type="worksheet">
    <worksheetSource ref="A2:M3522" sheet="export_unidades-de-programacion"/>
  </cacheSource>
  <cacheFields count="13">
    <cacheField name="UP" numFmtId="0">
      <sharedItems count="3520">
        <s v="A2GAME2"/>
        <s v="ABA1"/>
        <s v="ABA2"/>
        <s v="ABASC01"/>
        <s v="ABO1"/>
        <s v="ABO2G"/>
        <s v="ABOUC01"/>
        <s v="ABOX"/>
        <s v="ACAPC01"/>
        <s v="ACBFRAE"/>
        <s v="ACBFRAI"/>
        <s v="ACBPORE"/>
        <s v="ACBPORI"/>
        <s v="ACE3"/>
        <s v="ACE4"/>
        <s v="ACENC01"/>
        <s v="ACHEC01"/>
        <s v="ACNHC01"/>
        <s v="ACSOC01"/>
        <s v="ACTIC01"/>
        <s v="ADEIC01"/>
        <s v="ADEIV01"/>
        <s v="ADELC01"/>
        <s v="ADSEC01"/>
        <s v="ADSNC01"/>
        <s v="ADURC01"/>
        <s v="ADXC01"/>
        <s v="AE10COG"/>
        <s v="AE11COG"/>
        <s v="AE12COG"/>
        <s v="AEDEC01"/>
        <s v="AEIDGEN"/>
        <s v="AENEC01"/>
        <s v="AEQC01"/>
        <s v="AFIBGEC"/>
        <s v="AFIBGEV"/>
        <s v="AFIBHEC"/>
        <s v="AFIBHFC"/>
        <s v="AGENC01"/>
        <s v="AGMAC01"/>
        <s v="AGRIC01"/>
        <s v="AGUAV"/>
        <s v="AGUB"/>
        <s v="AGUG"/>
        <s v="AHOEC01"/>
        <s v="AHORC01"/>
        <s v="AHTC01"/>
        <s v="AIREC01"/>
        <s v="AIREV01"/>
        <s v="AIREV02"/>
        <s v="AIZEC01"/>
        <s v="AJENC01"/>
        <s v="ALAHC01"/>
        <s v="ALARCOS"/>
        <s v="ALBCC01"/>
        <s v="ALBOLOT"/>
        <s v="ALCAC01"/>
        <s v="ALDDC01"/>
        <s v="ALDEC01"/>
        <s v="ALDEHU"/>
        <s v="ALDRC01"/>
        <s v="ALDRV01"/>
        <s v="ALG3"/>
        <s v="ALGICA1"/>
        <s v="ALHAM"/>
        <s v="ALIOC01"/>
        <s v="ALMAC01"/>
        <s v="ALPXC01"/>
        <s v="ALQSC01"/>
        <s v="ALSEC01"/>
        <s v="ALUEC01"/>
        <s v="ALUZC01"/>
        <s v="ALZ1"/>
        <s v="ALZ2"/>
        <s v="AMAZC01"/>
        <s v="AMBIETA"/>
        <s v="AMBIETX"/>
        <s v="AMEC01"/>
        <s v="AMIC01"/>
        <s v="AMPEACI"/>
        <s v="AMPEC01"/>
        <s v="AMPRC01"/>
        <s v="ANGLC01"/>
        <s v="ANIMC01"/>
        <s v="ANTEC01"/>
        <s v="ANTUC01"/>
        <s v="APOANDE"/>
        <s v="APOANDI"/>
        <s v="APOFRAE"/>
        <s v="APOFRAI"/>
        <s v="APOLC01"/>
        <s v="APOMARE"/>
        <s v="APOMARI"/>
        <s v="APOPORE"/>
        <s v="APOPORI"/>
        <s v="APRC01"/>
        <s v="APRIC01"/>
        <s v="ARACC01"/>
        <s v="ARAIC01"/>
        <s v="ARASC01"/>
        <s v="ARCH"/>
        <s v="ARCOS1"/>
        <s v="ARCOS2"/>
        <s v="ARCOS3"/>
        <s v="ARGC01"/>
        <s v="ARGUC01"/>
        <s v="ARRU1"/>
        <s v="ARRU1X"/>
        <s v="ARRU2"/>
        <s v="ARRU2X"/>
        <s v="ASC1"/>
        <s v="ASC2"/>
        <s v="ASIAGU"/>
        <s v="ASIDUE"/>
        <s v="ASIEBR2"/>
        <s v="ASIEBRO"/>
        <s v="ASIEC01"/>
        <s v="ASIJUCA"/>
        <s v="ASITAJ"/>
        <s v="ASRIHCC"/>
        <s v="ASRIHCV"/>
        <s v="ASSEC01"/>
        <s v="ASTC01"/>
        <s v="ASTCP3"/>
        <s v="ASTRC01"/>
        <s v="ASTVP3"/>
        <s v="ATEEC01"/>
        <s v="ATLSC01"/>
        <s v="ATOMCEC"/>
        <s v="ATOMICO"/>
        <s v="ATPC01"/>
        <s v="ATRIC01"/>
        <s v="AUDAC01"/>
        <s v="AUNGNR"/>
        <s v="AVILC01"/>
        <s v="AXPOR01"/>
        <s v="AYLUC01"/>
        <s v="AYPGNR"/>
        <s v="AZULIB"/>
        <s v="BACAC01"/>
        <s v="BAHIAB"/>
        <s v="BAHIABX"/>
        <s v="BAKC01"/>
        <s v="BALEC01"/>
        <s v="BALFRAE"/>
        <s v="BALFRAI"/>
        <s v="BALKC01"/>
        <s v="BALPORE"/>
        <s v="BALPORI"/>
        <s v="BANARES"/>
        <s v="BATTOS"/>
        <s v="BAYWA1"/>
        <s v="BAYWA3"/>
        <s v="BEBE"/>
        <s v="BECOC01"/>
        <s v="BECVH01"/>
        <s v="BECVH02"/>
        <s v="BECVS01"/>
        <s v="BELIN1"/>
        <s v="BENOC01"/>
        <s v="BERC01"/>
        <s v="BEREBRO"/>
        <s v="BERJUCA"/>
        <s v="BERLC01"/>
        <s v="BERR1"/>
        <s v="BERR2"/>
        <s v="BES3"/>
        <s v="BES4"/>
        <s v="BES5"/>
        <s v="BESC01"/>
        <s v="BESTC01"/>
        <s v="BEYOC01"/>
        <s v="BIOC01"/>
        <s v="BIROC01"/>
        <s v="BIRSPRA"/>
        <s v="BLAGAR"/>
        <s v="BLANC"/>
        <s v="BNPRC01"/>
        <s v="BNPRV01"/>
        <s v="BOAEC01"/>
        <s v="BOLI"/>
        <s v="BPC01"/>
        <s v="BREIC01"/>
        <s v="BRENB"/>
        <s v="BRR1"/>
        <s v="BRR1X"/>
        <s v="BRUC"/>
        <s v="BSGEC01"/>
        <s v="BSOUP01"/>
        <s v="BTN"/>
        <s v="BTRR1"/>
        <s v="BTRR2"/>
        <s v="BTRR3"/>
        <s v="BYDETIC"/>
        <s v="BYENC01"/>
        <s v="CADLC01"/>
        <s v="CALEC01"/>
        <s v="CAMCC01"/>
        <s v="CAMG20X"/>
        <s v="CAMGI10"/>
        <s v="CAMGI20"/>
        <s v="CANTI44"/>
        <s v="CANTL"/>
        <s v="CANXC01"/>
        <s v="CAPTC01"/>
        <s v="CASAC01"/>
        <s v="CASMON"/>
        <s v="CATGC01"/>
        <s v="CATRAL1"/>
        <s v="CATRAL2"/>
        <s v="CATRC01"/>
        <s v="CCASC01"/>
        <s v="CCATC01"/>
        <s v="CCONC01"/>
        <s v="CD02R01"/>
        <s v="CD03R01"/>
        <s v="CD04R01"/>
        <s v="CD05R01"/>
        <s v="CEBAC01"/>
        <s v="CECAC01"/>
        <s v="CEDC01"/>
        <s v="CEEEC01"/>
        <s v="CEESC01"/>
        <s v="CEGC01"/>
        <s v="CELC01"/>
        <s v="CELSC01"/>
        <s v="CELSC02"/>
        <s v="CEMEC01"/>
        <s v="CENG01"/>
        <s v="CENTC01"/>
        <s v="CENTCP3"/>
        <s v="CENTVP3"/>
        <s v="CEPEC01"/>
        <s v="CERVUP"/>
        <s v="CESOC01"/>
        <s v="CETAC01"/>
        <s v="CGGRABI"/>
        <s v="CGINDU"/>
        <s v="CGLAM"/>
        <s v="CGLAV"/>
        <s v="CGTOP"/>
        <s v="CGYEL"/>
        <s v="CHANC01"/>
        <s v="CHBAO"/>
        <s v="CHCC01"/>
        <s v="CHCOC01"/>
        <s v="CHENC01"/>
        <s v="CHERC01"/>
        <s v="CHIPB"/>
        <s v="CHIPG"/>
        <s v="CHISC01"/>
        <s v="CHURC"/>
        <s v="CHURC01"/>
        <s v="CHURD"/>
        <s v="CHVADOM"/>
        <s v="CHVN"/>
        <s v="CILCOR"/>
        <s v="CIMAC01"/>
        <s v="CINCOVI"/>
        <s v="CJON3X"/>
        <s v="CLEAC01"/>
        <s v="CLIDC01"/>
        <s v="CLIFV10"/>
        <s v="CLIFV21"/>
        <s v="CLIFV30"/>
        <s v="CLIFV31"/>
        <s v="CLIFV32"/>
        <s v="CLIFV35"/>
        <s v="CLIFV45"/>
        <s v="CLIFV53"/>
        <s v="CLIFV54"/>
        <s v="CLIFV55"/>
        <s v="CLIFV58"/>
        <s v="CLIPCX1"/>
        <s v="CLIPVX1"/>
        <s v="CLIWI11"/>
        <s v="CMILLAS"/>
        <s v="CNTLC01"/>
        <s v="COALC01"/>
        <s v="CODOC01"/>
        <s v="COELC01"/>
        <s v="COF1"/>
        <s v="COG75RQ"/>
        <s v="COGAIAD"/>
        <s v="COGAJ"/>
        <s v="COGAJ5"/>
        <s v="COGAMYL"/>
        <s v="COGATOM"/>
        <s v="COGAYME"/>
        <s v="COGAZEB"/>
        <s v="COGBARR"/>
        <s v="COGBECO"/>
        <s v="COGBERN"/>
        <s v="COGBOOR"/>
        <s v="COGBORG"/>
        <s v="COGBORJ"/>
        <s v="COGBRIK"/>
        <s v="COGCDAM"/>
        <s v="COGCHOV"/>
        <s v="COGCIPR"/>
        <s v="COGCLIM"/>
        <s v="COGCORE"/>
        <s v="COGDAMM"/>
        <s v="COGDERC"/>
        <s v="COGEC01"/>
        <s v="COGESPU"/>
        <s v="COGESTA"/>
        <s v="COGFBAC"/>
        <s v="COGFOMP"/>
        <s v="COGFORE"/>
        <s v="COGFRIM"/>
        <s v="COGFUST"/>
        <s v="COGFUTG"/>
        <s v="COGGAIK"/>
        <s v="COGGESB"/>
        <s v="COGHIJO"/>
        <s v="COGINC2"/>
        <s v="COGINCU"/>
        <s v="COGINPE"/>
        <s v="COGJUMS"/>
        <s v="COGLINA"/>
        <s v="COGLOSR"/>
        <s v="COGMARQ"/>
        <s v="COGMENG"/>
        <s v="COGMIGA"/>
        <s v="COGMIMS"/>
        <s v="COGMOLT"/>
        <s v="COGMORA"/>
        <s v="COGNOVA"/>
        <s v="COGNULE"/>
        <s v="COGOBLA"/>
        <s v="COGORUJ"/>
        <s v="COGPACH"/>
        <s v="COGPOR1"/>
        <s v="COGPOR2"/>
        <s v="COGRENS"/>
        <s v="COGSEFR"/>
        <s v="COGSMON"/>
        <s v="COGSORI"/>
        <s v="COGTABL"/>
        <s v="COGTAN2"/>
        <s v="COGTANG"/>
        <s v="COGTECN"/>
        <s v="COGTRIV"/>
        <s v="COGTROV"/>
        <s v="COGUCHE"/>
        <s v="COGUNIO"/>
        <s v="COGUREN"/>
        <s v="COGUTZ2"/>
        <s v="COGUTZU"/>
        <s v="COGVECO"/>
        <s v="COL4"/>
        <s v="COMPC01"/>
        <s v="COMTC01"/>
        <s v="CONEC01"/>
        <s v="CONEFV0"/>
        <s v="CONSC01"/>
        <s v="CONTC01"/>
        <s v="COPIC01"/>
        <s v="CORPC01"/>
        <s v="CR2FEN"/>
        <s v="CR3FEN"/>
        <s v="CR4FEN"/>
        <s v="CRCEC01"/>
        <s v="CREEC01"/>
        <s v="CREOC01"/>
        <s v="CRISOL"/>
        <s v="CSMP"/>
        <s v="CTGN1"/>
        <s v="CTGN2"/>
        <s v="CTGN3"/>
        <s v="CTJON1"/>
        <s v="CTJON1X"/>
        <s v="CTJON2"/>
        <s v="CTJON3"/>
        <s v="CTN3"/>
        <s v="CTN4"/>
        <s v="CTNU"/>
        <s v="CTNUX"/>
        <s v="CTUDEL"/>
        <s v="CUNCC01"/>
        <s v="CUPAC01"/>
        <s v="CUPBC01"/>
        <s v="CUVEC01"/>
        <s v="CWCMC01"/>
        <s v="CYDAC01"/>
        <s v="CYEC01"/>
        <s v="CYIGNI"/>
        <s v="CZFVC01"/>
        <s v="DAIMC01"/>
        <s v="DANNZN"/>
        <s v="DANSZN"/>
        <s v="DARUC01"/>
        <s v="DEBAC01"/>
        <s v="DEESA"/>
        <s v="DEPOC01"/>
        <s v="DETCD01"/>
        <s v="DETCD02"/>
        <s v="DETCD16"/>
        <s v="DETIC01"/>
        <s v="DETIR01"/>
        <s v="DETSSAA"/>
        <s v="DFERC01"/>
        <s v="DIELC01"/>
        <s v="DILUC01"/>
        <s v="DIPBC01"/>
        <s v="DIRGC01"/>
        <s v="DIVIC01"/>
        <s v="DLSTC01"/>
        <s v="DOLVC01"/>
        <s v="DONBC01"/>
        <s v="DPDETIC"/>
        <s v="DPKEC01"/>
        <s v="DREAC01"/>
        <s v="DREDC01"/>
        <s v="DRKFC01"/>
        <s v="DSMAC01"/>
        <s v="DUEB"/>
        <s v="DUER"/>
        <s v="DUERC01"/>
        <s v="DUFEC01"/>
        <s v="DUFECP3"/>
        <s v="DUFEVP3"/>
        <s v="DXDC01"/>
        <s v="DYNFC01"/>
        <s v="E1CEG"/>
        <s v="E1VENTU"/>
        <s v="EABARA"/>
        <s v="EABILI"/>
        <s v="EACCIT"/>
        <s v="EACIBER"/>
        <s v="EACROA1"/>
        <s v="EACROA2"/>
        <s v="EADRAG"/>
        <s v="EAGON2"/>
        <s v="EAGUAS"/>
        <s v="EAGUILA"/>
        <s v="EAGUILI"/>
        <s v="EALBC01"/>
        <s v="EALENTI"/>
        <s v="EALIJA2"/>
        <s v="EALMC01"/>
        <s v="EALMERI"/>
        <s v="EALP1"/>
        <s v="EALP2"/>
        <s v="EALP3"/>
        <s v="EALTAN"/>
        <s v="EALTIPL"/>
        <s v="EAM0C01"/>
        <s v="EAMC01"/>
        <s v="EAMV02"/>
        <s v="EANTONI"/>
        <s v="EARNO"/>
        <s v="EARTIG"/>
        <s v="EASCOI"/>
        <s v="EAUSIN"/>
        <s v="EBARBER"/>
        <s v="EBECERR"/>
        <s v="EBHIBHV"/>
        <s v="EBIACA1"/>
        <s v="EBLCO01"/>
        <s v="EBLCR01"/>
        <s v="EBLPCX1"/>
        <s v="EBLPVX1"/>
        <s v="EBOREA"/>
        <s v="EBRA"/>
        <s v="EBRACC1"/>
        <s v="EBRACC2"/>
        <s v="EBREC01"/>
        <s v="EBRERZ"/>
        <s v="EBRFEN"/>
        <s v="EBROF"/>
        <s v="EBRUJUL"/>
        <s v="EBRULL"/>
        <s v="EBSISG"/>
        <s v="EBURGE"/>
        <s v="ECABELL"/>
        <s v="ECACOND"/>
        <s v="ECALZAD"/>
        <s v="ECANTE"/>
        <s v="ECARCLN"/>
        <s v="ECARRA2"/>
        <s v="ECARRAI"/>
        <s v="ECARRER"/>
        <s v="ECARRG"/>
        <s v="ECASAR"/>
        <s v="ECASTI"/>
        <s v="ECATC01"/>
        <s v="ECATER"/>
        <s v="ECAZC01"/>
        <s v="ECEC01"/>
        <s v="ECEGRG"/>
        <s v="ECENDER"/>
        <s v="ECERAD2"/>
        <s v="ECERADI"/>
        <s v="ECERRA"/>
        <s v="ECERRA2"/>
        <s v="ECERRAG"/>
        <s v="ECERRAT"/>
        <s v="ECHO"/>
        <s v="ECIERZO"/>
        <s v="ECINCA"/>
        <s v="ECINCAG"/>
        <s v="ECIRZOS"/>
        <s v="ECMOREN"/>
        <s v="ECMTA"/>
        <s v="ECNDC01"/>
        <s v="ECNR"/>
        <s v="ECNRG"/>
        <s v="ECOFC01"/>
        <s v="ECOFREN"/>
        <s v="ECOL"/>
        <s v="ECOLC01"/>
        <s v="ECOLIVA"/>
        <s v="ECOMES"/>
        <s v="ECOMLIC"/>
        <s v="ECONC01"/>
        <s v="ECONJUR"/>
        <s v="ECOR"/>
        <s v="ECORTG"/>
        <s v="ECOSJAR"/>
        <s v="ECOTC01"/>
        <s v="ECOVC01"/>
        <s v="ECSCCA1"/>
        <s v="ECT2"/>
        <s v="ECT2X"/>
        <s v="ECT3"/>
        <s v="ECURRAG"/>
        <s v="ECYLEO"/>
        <s v="ECYRREX"/>
        <s v="EDALOBA"/>
        <s v="EDEHCO"/>
        <s v="EDENCA"/>
        <s v="EDEPON"/>
        <s v="EDEREN"/>
        <s v="EDERR"/>
        <s v="EDEVAG"/>
        <s v="EDFAC01"/>
        <s v="EDFSC01"/>
        <s v="EDFTC01"/>
        <s v="EDFTCP3"/>
        <s v="EDFTVP3"/>
        <s v="EDPCC01"/>
        <s v="EDPCOX"/>
        <s v="EDPCR01"/>
        <s v="EDRIBGE"/>
        <s v="EE21C01"/>
        <s v="EE21CEB"/>
        <s v="EEBAJOZ"/>
        <s v="EEBAN"/>
        <s v="EEBLC10"/>
        <s v="EEBLC11"/>
        <s v="EEBLC12"/>
        <s v="EEBLC13"/>
        <s v="EEBLC14"/>
        <s v="EEBLC15"/>
        <s v="EEBLC16"/>
        <s v="EEBLC17"/>
        <s v="EEBLC19"/>
        <s v="EEBLC20"/>
        <s v="EEBLCO1"/>
        <s v="EEBLCO2"/>
        <s v="EEBLCO3"/>
        <s v="EEBLCO4"/>
        <s v="EEBLCO5"/>
        <s v="EEBLCO6"/>
        <s v="EEBLCO7"/>
        <s v="EEBLCO8"/>
        <s v="EEBLCO9"/>
        <s v="EECAB"/>
        <s v="EECAP"/>
        <s v="EECARAM"/>
        <s v="EEEC01"/>
        <s v="EEGPE1"/>
        <s v="EEGPE2"/>
        <s v="EEGPEM"/>
        <s v="EEGPES"/>
        <s v="EEHORN"/>
        <s v="EEHU2"/>
        <s v="EEJEREZ"/>
        <s v="EELCAMP"/>
        <s v="EELEZU"/>
        <s v="EELPINO"/>
        <s v="EENC01"/>
        <s v="EENEC01"/>
        <s v="EENECO"/>
        <s v="EENGAS"/>
        <s v="EENRES"/>
        <s v="EENRO"/>
        <s v="EENRO2"/>
        <s v="EEOBRO"/>
        <s v="EEOBRO2"/>
        <s v="EEOLEX"/>
        <s v="EEOMAR"/>
        <s v="EEPARAM"/>
        <s v="EEPESLO"/>
        <s v="EEPLLG"/>
        <s v="EERUYA"/>
        <s v="EESBGG"/>
        <s v="EESQUI"/>
        <s v="EESTELO"/>
        <s v="EETAHUN"/>
        <s v="EEVOLD"/>
        <s v="EEWING"/>
        <s v="EEZORRE"/>
        <s v="EFACINA"/>
        <s v="EFALA"/>
        <s v="EFEGED"/>
        <s v="EFEGEL1"/>
        <s v="EFEGEL2"/>
        <s v="EFERSA"/>
        <s v="EFGAVE"/>
        <s v="EFGC01"/>
        <s v="EFGNRA"/>
        <s v="EFGNRA2"/>
        <s v="EFGNRAM"/>
        <s v="EFGVDO"/>
        <s v="EFIBGES"/>
        <s v="EFIDC01"/>
        <s v="EFIDC02"/>
        <s v="EFNEXU"/>
        <s v="EFONTA"/>
        <s v="EFPART"/>
        <s v="EFRON"/>
        <s v="EFWMARK"/>
        <s v="EGALC01"/>
        <s v="EGALLE"/>
        <s v="EGASN0U"/>
        <s v="EGASNE0"/>
        <s v="EGASNE1"/>
        <s v="EGASNE2"/>
        <s v="EGASUR"/>
        <s v="EGAZC01"/>
        <s v="EGCMC01"/>
        <s v="EGEAMG"/>
        <s v="EGECAM"/>
        <s v="EGEDC01"/>
        <s v="EGEDCP3"/>
        <s v="EGEDCX"/>
        <s v="EGEDR01"/>
        <s v="EGEDVP3"/>
        <s v="EGENC01"/>
        <s v="EGFEN"/>
        <s v="EGLCCX1"/>
        <s v="EGLCVX1"/>
        <s v="EGLEC01"/>
        <s v="EGLECP3"/>
        <s v="EGLEVP3"/>
        <s v="EGLEX"/>
        <s v="EGLPCX1"/>
        <s v="EGLPVX1"/>
        <s v="EGMALP"/>
        <s v="EGRAIA"/>
        <s v="EGREC01"/>
        <s v="EGREEN"/>
        <s v="EGREEN1"/>
        <s v="EGREEN2"/>
        <s v="EGST146"/>
        <s v="EGST147"/>
        <s v="EGST174"/>
        <s v="EGST175"/>
        <s v="EGST228"/>
        <s v="EGVENTO"/>
        <s v="EHERRER"/>
        <s v="EHIBGES"/>
        <s v="EHIBRI2"/>
        <s v="EHIBRIO"/>
        <s v="EHILC01"/>
        <s v="EHINOJ"/>
        <s v="EIBGEBU"/>
        <s v="EIBGECA"/>
        <s v="EINDC01"/>
        <s v="EINTC01"/>
        <s v="EINVER"/>
        <s v="EIRIXO"/>
        <s v="EJANCOL"/>
        <s v="EJANDAP"/>
        <s v="EJANDSU"/>
        <s v="EJAUFIL"/>
        <s v="EKHIC01"/>
        <s v="ELALC01"/>
        <s v="ELASMAJ"/>
        <s v="ELAVC01"/>
        <s v="ELBEC01"/>
        <s v="ELBOGA"/>
        <s v="ELCAC01"/>
        <s v="ELCNC01"/>
        <s v="ELCOTOR"/>
        <s v="ELEAUX"/>
        <s v="ELEIC01"/>
        <s v="ELEKC01"/>
        <s v="ELEPCX1"/>
        <s v="ELEPVX1"/>
        <s v="ELESC01"/>
        <s v="ELESROT"/>
        <s v="ELGUIJ1"/>
        <s v="ELITC01"/>
        <s v="ELMOC01"/>
        <s v="ELODOS"/>
        <s v="ELOMILA"/>
        <s v="ELPOC01"/>
        <s v="ELPOLEO"/>
        <s v="ELTEC01"/>
        <s v="ELUZC01"/>
        <s v="ELV2C01"/>
        <s v="ELVAC01"/>
        <s v="EMAJOGA"/>
        <s v="EMAMUT"/>
        <s v="EMANZAN"/>
        <s v="EMARME"/>
        <s v="EMCIBGE"/>
        <s v="EMDAUG"/>
        <s v="EMEDI"/>
        <s v="EMEDI1"/>
        <s v="EMELC01"/>
        <s v="EMESC01"/>
        <s v="EMFEN"/>
        <s v="EMGALLN"/>
        <s v="EMIAC01"/>
        <s v="EMINON"/>
        <s v="EMIRASI"/>
        <s v="EMOARG"/>
        <s v="EMONCLU"/>
        <s v="EMONJAS"/>
        <s v="EMONTOU"/>
        <s v="EMORAL1"/>
        <s v="EMORELL"/>
        <s v="EMORPC2"/>
        <s v="EMORPER"/>
        <s v="EMORRA"/>
        <s v="EMOSTAZ"/>
        <s v="EMRIBGE"/>
        <s v="EMTORR"/>
        <s v="EMTOURD"/>
        <s v="EMUELA"/>
        <s v="ENABAR"/>
        <s v="ENARC01"/>
        <s v="ENAVA"/>
        <s v="ENCECP3"/>
        <s v="ENCEVP3"/>
        <s v="ENCIC01"/>
        <s v="ENDE01"/>
        <s v="ENDEC01"/>
        <s v="ENDEC04"/>
        <s v="ENDER01"/>
        <s v="ENDGCP3"/>
        <s v="ENDGVP3"/>
        <s v="ENDIC01"/>
        <s v="ENDKC01"/>
        <s v="ENDPC01"/>
        <s v="ENDPRB"/>
        <s v="ENDRE01"/>
        <s v="ENDRE02"/>
        <s v="ENEC01"/>
        <s v="ENEDC01"/>
        <s v="ENEGRED"/>
        <s v="ENEIC01"/>
        <s v="ENEPC01"/>
        <s v="ENERE01"/>
        <s v="ENESC01"/>
        <s v="ENETC01"/>
        <s v="ENEXC01"/>
        <s v="ENEYC01"/>
        <s v="ENFDC01"/>
        <s v="ENGLC01"/>
        <s v="ENMEC01"/>
        <s v="ENMEV01"/>
        <s v="ENORVE"/>
        <s v="ENOUTA"/>
        <s v="ENPEC01"/>
        <s v="ENPHC01"/>
        <s v="ENRKC01"/>
        <s v="ENRNC01"/>
        <s v="ENRPC01"/>
        <s v="ENSAC01"/>
        <s v="ENTXC01"/>
        <s v="ENUFC01"/>
        <s v="ENUFRV1"/>
        <s v="ENUFRV4"/>
        <s v="ENUFRV5"/>
        <s v="ENUFRV6"/>
        <s v="ENUFRV7"/>
        <s v="ENUFRV8"/>
        <s v="ENUFRV9"/>
        <s v="ENUFV10"/>
        <s v="ENUFV11"/>
        <s v="ENUFV12"/>
        <s v="ENUFV14"/>
        <s v="ENUFV15"/>
        <s v="ENUFV16"/>
        <s v="ENUFV18"/>
        <s v="ENUPCX1"/>
        <s v="ENUPVX1"/>
        <s v="ENVEC01"/>
        <s v="ENXXC01"/>
        <s v="ENZIC01"/>
        <s v="EOITAV"/>
        <s v="EOLIADO"/>
        <s v="EONUC01"/>
        <s v="EOP2C01"/>
        <s v="EORKO"/>
        <s v="EORTIV"/>
        <s v="EOTMR"/>
        <s v="EOUROL"/>
        <s v="EPACC01"/>
        <s v="EPALOM"/>
        <s v="EPARIDE"/>
        <s v="EPATRON"/>
        <s v="EPBUIO"/>
        <s v="EPBUIO1"/>
        <s v="EPDERAS"/>
        <s v="EPEAFG"/>
        <s v="EPEBAN"/>
        <s v="EPEBECE"/>
        <s v="EPEBRE"/>
        <s v="EPECOTE"/>
        <s v="EPEDROL"/>
        <s v="EPEEXXI"/>
        <s v="EPEGLE"/>
        <s v="EPENUCA"/>
        <s v="EPEONUR"/>
        <s v="EPEPUR"/>
        <s v="EPERTO"/>
        <s v="EPEVIG"/>
        <s v="EPHCCUR"/>
        <s v="EPI"/>
        <s v="EPIBCUR"/>
        <s v="EPILC01"/>
        <s v="EPLATA"/>
        <s v="EPLEN1"/>
        <s v="EPLOMAS"/>
        <s v="EPMULTI"/>
        <s v="EPOUROL"/>
        <s v="EPOZAL"/>
        <s v="EPPJAR"/>
        <s v="EPPOZA"/>
        <s v="EPRADA"/>
        <s v="EPRADA2"/>
        <s v="EPRADA3"/>
        <s v="EPRADA4"/>
        <s v="EPROTO"/>
        <s v="EPRSC01"/>
        <s v="EPTRIZ"/>
        <s v="EPU50"/>
        <s v="EPUEYO"/>
        <s v="ERALTA"/>
        <s v="ERANCHO"/>
        <s v="EREA"/>
        <s v="EREDON"/>
        <s v="EREGPEM"/>
        <s v="EREGPES"/>
        <s v="ERENC01"/>
        <s v="EREPSOL"/>
        <s v="ERIANSA"/>
        <s v="EROCH"/>
        <s v="EROME"/>
        <s v="ERONDA"/>
        <s v="EROUCP3"/>
        <s v="EROUVP3"/>
        <s v="ERPCC01"/>
        <s v="ERPCFV0"/>
        <s v="ERPCFV1"/>
        <s v="ERPCHI0"/>
        <s v="ERPCHI1"/>
        <s v="ERRIBGE"/>
        <s v="ERUNAG"/>
        <s v="ES-EYPP"/>
        <s v="ES-FGEN"/>
        <s v="ES-FINV"/>
        <s v="ES-HCAB"/>
        <s v="ES-RCAB"/>
        <s v="ES-SROC"/>
        <s v="ESANCHO"/>
        <s v="ESARDON"/>
        <s v="ESASDON"/>
        <s v="ESAV"/>
        <s v="ESBUC01"/>
        <s v="ESC6"/>
        <s v="ESCANDE"/>
        <s v="ESCCC1"/>
        <s v="ESCCC1X"/>
        <s v="ESCCC2"/>
        <s v="ESCCC2X"/>
        <s v="ESCCC3"/>
        <s v="ESCCC3X"/>
        <s v="ESCU4"/>
        <s v="ESDCAND"/>
        <s v="ESDOC01"/>
        <s v="ESEG"/>
        <s v="ESEGC01"/>
        <s v="ESEIXO"/>
        <s v="ESEOUR"/>
        <s v="ESERC01"/>
        <s v="ESHAC01"/>
        <s v="ESHIC01"/>
        <s v="ESIAM"/>
        <s v="ESIEMIN"/>
        <s v="ESIERAR"/>
        <s v="ESLA"/>
        <s v="ESOLANS"/>
        <s v="ESOMERS"/>
        <s v="ESRQE"/>
        <s v="ESTEC01"/>
        <s v="ESTEV"/>
        <s v="ESTEVE"/>
        <s v="ESTVNTO"/>
        <s v="ETASA"/>
        <s v="ETBLRES"/>
        <s v="ETEJONE"/>
        <s v="ETMA"/>
        <s v="ETNEC01"/>
        <s v="ETO1"/>
        <s v="ETRIGO"/>
        <s v="ETSOC01"/>
        <s v="EUCDR01"/>
        <s v="EUEUZA"/>
        <s v="EUJARAL"/>
        <s v="EULAYAL"/>
        <s v="EUNION"/>
        <s v="EUNTAL"/>
        <s v="EUNZUE"/>
        <s v="EURCC01"/>
        <s v="EUW3VIL"/>
        <s v="EVALDET"/>
        <s v="EVALDLU"/>
        <s v="EVALLE"/>
        <s v="EVAR"/>
        <s v="EVDCONE"/>
        <s v="EVDMOG"/>
        <s v="EVECIA"/>
        <s v="EVESTA"/>
        <s v="EVIENG"/>
        <s v="EVILLAN"/>
        <s v="EVIVC01"/>
        <s v="EVIVV01"/>
        <s v="EVMER01"/>
        <s v="EVOLTOR"/>
        <s v="EWIESRB"/>
        <s v="EXPC01"/>
        <s v="EXUNQUE"/>
        <s v="EYCEC01"/>
        <s v="EYDETIC"/>
        <s v="EYEEXXI"/>
        <s v="EYEFG"/>
        <s v="EYEGLE"/>
        <s v="EYEONUR"/>
        <s v="EYGESTE"/>
        <s v="EYGNSUR"/>
        <s v="EYHCCUR"/>
        <s v="EYIBCUR"/>
        <s v="EYNEXU"/>
        <s v="EYOLPOP"/>
        <s v="EYPC01"/>
        <s v="EYPPV1"/>
        <s v="EYWMARK"/>
        <s v="EZENET"/>
        <s v="EZKAC01"/>
        <s v="F1CEG"/>
        <s v="F1DREUA"/>
        <s v="FAAVYC"/>
        <s v="FABACUS"/>
        <s v="FABENOJ"/>
        <s v="FABLITA"/>
        <s v="FAGAC"/>
        <s v="FAGENOR"/>
        <s v="FAGROB1"/>
        <s v="FAGROB2"/>
        <s v="FAGROB3"/>
        <s v="FAGUDO"/>
        <s v="FAIELO"/>
        <s v="FAIRM1"/>
        <s v="FAIRM2"/>
        <s v="FALAM"/>
        <s v="FALAMIL"/>
        <s v="FALARCO"/>
        <s v="FALBESA"/>
        <s v="FALBET1"/>
        <s v="FALBET2"/>
        <s v="FALCNCH"/>
        <s v="FALCNOR"/>
        <s v="FALCNRA"/>
        <s v="FALCON1"/>
        <s v="FALCONC"/>
        <s v="FALCORE"/>
        <s v="FALCSUR"/>
        <s v="FALDER"/>
        <s v="FALIAGA"/>
        <s v="FALIWN"/>
        <s v="FALIZAR"/>
        <s v="FALJORR"/>
        <s v="FALMANS"/>
        <s v="FALMO1"/>
        <s v="FALMUGE"/>
        <s v="FALNERA"/>
        <s v="FALNGE"/>
        <s v="FALONDE"/>
        <s v="FALP1"/>
        <s v="FALP10"/>
        <s v="FALP11"/>
        <s v="FALP12"/>
        <s v="FALP13"/>
        <s v="FALP14"/>
        <s v="FALP15"/>
        <s v="FALP18"/>
        <s v="FALP19"/>
        <s v="FALP2"/>
        <s v="FALP20"/>
        <s v="FALP21"/>
        <s v="FALP3"/>
        <s v="FALP4"/>
        <s v="FALP5"/>
        <s v="FALP6"/>
        <s v="FALP7"/>
        <s v="FALP8"/>
        <s v="FALP9"/>
        <s v="FALQRIA"/>
        <s v="FALTCO"/>
        <s v="FAMORET"/>
        <s v="FANGES1"/>
        <s v="FANOVR"/>
        <s v="FANPU"/>
        <s v="FANSA"/>
        <s v="FANTU"/>
        <s v="FARASU1"/>
        <s v="FARASU2"/>
        <s v="FARBASL"/>
        <s v="FARBYON"/>
        <s v="FARCA"/>
        <s v="FARCICR"/>
        <s v="FARCOS"/>
        <s v="FARGASL"/>
        <s v="FAROBO"/>
        <s v="FARPAL"/>
        <s v="FASETYM"/>
        <s v="FASSENE"/>
        <s v="FASSEST"/>
        <s v="FASSLOG"/>
        <s v="FASTC01"/>
        <s v="FATALAY"/>
        <s v="FATQINS"/>
        <s v="FAUDAX"/>
        <s v="FAZARA"/>
        <s v="FAZUER1"/>
        <s v="FAZUER2"/>
        <s v="FBADJOZ"/>
        <s v="FBARAD"/>
        <s v="FBARCI"/>
        <s v="FBARGSN"/>
        <s v="FBARGSS"/>
        <s v="FBASIR"/>
        <s v="FBELCH1"/>
        <s v="FBELCH2"/>
        <s v="FBELCH3"/>
        <s v="FBELME1"/>
        <s v="FBELME2"/>
        <s v="FBELOS"/>
        <s v="FBENEIX"/>
        <s v="FBETULA"/>
        <s v="FBHIBHV"/>
        <s v="FBLANCA"/>
        <s v="FBLCON1"/>
        <s v="FBLCON2"/>
        <s v="FBLCON3"/>
        <s v="FBLDIO2"/>
        <s v="FBLMER2"/>
        <s v="FBLMER3"/>
        <s v="FBLOPR2"/>
        <s v="FBLOPR3"/>
        <s v="FBOLAR1"/>
        <s v="FBOLAR2"/>
        <s v="FBOLAR3"/>
        <s v="FBRCNES"/>
        <s v="FBRDENA"/>
        <s v="FBRDENS"/>
        <s v="FBRERAS"/>
        <s v="FBRGAS"/>
        <s v="FBRISAS"/>
        <s v="FBRVLS1"/>
        <s v="FBRVLS2"/>
        <s v="FBRVLS3"/>
        <s v="FBUIXEU"/>
        <s v="FBURGLL"/>
        <s v="FBURGO1"/>
        <s v="FBURGO2"/>
        <s v="FCABEZA"/>
        <s v="FCABLDO"/>
        <s v="FCABZLA"/>
        <s v="FCADIMA"/>
        <s v="FCALASP"/>
        <s v="FCALCAL"/>
        <s v="FCALERA"/>
        <s v="FCALIG"/>
        <s v="FCAMPAN"/>
        <s v="FCAMPIR"/>
        <s v="FCAMPOS"/>
        <s v="FCANAME"/>
        <s v="FCANAVE"/>
        <s v="FCANES"/>
        <s v="FCANILS"/>
        <s v="FCAPRI"/>
        <s v="FCARAVA"/>
        <s v="FCARMON"/>
        <s v="FCARRIL"/>
        <s v="FCARTU"/>
        <s v="FCARVAC"/>
        <s v="FCASAQ1"/>
        <s v="FCASAQ2"/>
        <s v="FCASTEJ"/>
        <s v="FCASTJA"/>
        <s v="FCASTOR"/>
        <s v="FCASTU"/>
        <s v="FCASTUR"/>
        <s v="FCBROVA"/>
        <s v="FCDSNOS"/>
        <s v="FCELEO"/>
        <s v="FCEN121"/>
        <s v="FCERRAT"/>
        <s v="FCIBANL"/>
        <s v="FCLASA"/>
        <s v="FCLMNTE"/>
        <s v="FCLUGAR"/>
        <s v="FCLVRON"/>
        <s v="FCMONA1"/>
        <s v="FCNTRAS"/>
        <s v="FCNVIA1"/>
        <s v="FCNVIA2"/>
        <s v="FCNVIA3"/>
        <s v="FCOLON"/>
        <s v="FCONSTA"/>
        <s v="FCONTR1"/>
        <s v="FCONTR2"/>
        <s v="FCONV61"/>
        <s v="FCORELA"/>
        <s v="FCORESE"/>
        <s v="FCORIA"/>
        <s v="FCORONI"/>
        <s v="FCORVER"/>
        <s v="FCOSENT"/>
        <s v="FCOTILL"/>
        <s v="FCPILLA"/>
        <s v="FCRJOS1"/>
        <s v="FCRJOS2"/>
        <s v="FCRONOS"/>
        <s v="FCRTBAL"/>
        <s v="FCRUZ"/>
        <s v="FCRYLUS"/>
        <s v="FCSERAS"/>
        <s v="FCSTEL1"/>
        <s v="FCSTEL2"/>
        <s v="FCTANEA"/>
        <s v="FCTLINA"/>
        <s v="FCTRAV2"/>
        <s v="FCTUERA"/>
        <s v="FCUARTI"/>
        <s v="FCUBI"/>
        <s v="FCUBLA"/>
        <s v="FCVALDE"/>
        <s v="FDAGAC"/>
        <s v="FDARRO"/>
        <s v="FDBGAC"/>
        <s v="FDCGAC"/>
        <s v="FDDGAC"/>
        <s v="FDERSC"/>
        <s v="FDESENE"/>
        <s v="FDEVAR"/>
        <s v="FDHSLA"/>
        <s v="FDRACOS"/>
        <s v="FDREU04"/>
        <s v="FDREU05"/>
        <s v="FDREU06"/>
        <s v="FDREU07"/>
        <s v="FDREU08"/>
        <s v="FDREU10"/>
        <s v="FDREU11"/>
        <s v="FDREU13"/>
        <s v="FDREU14"/>
        <s v="FDREU17"/>
        <s v="FDREUA"/>
        <s v="FDRODR2"/>
        <s v="FDRODRI"/>
        <s v="FDSERTO"/>
        <s v="FDULC5"/>
        <s v="FDULC6"/>
        <s v="FDUNAS"/>
        <s v="FEBISU"/>
        <s v="FEBLCO4"/>
        <s v="FECC01"/>
        <s v="FECOEX1"/>
        <s v="FECOEX2"/>
        <s v="FECOEX3"/>
        <s v="FEDAC04"/>
        <s v="FEEDC01"/>
        <s v="FEGA"/>
        <s v="FEGPE1"/>
        <s v="FEGPE2"/>
        <s v="FEGPE3"/>
        <s v="FEGPE4"/>
        <s v="FEGPE5"/>
        <s v="FEGPE6"/>
        <s v="FEGPEM"/>
        <s v="FEHIBHV"/>
        <s v="FEKIOLA"/>
        <s v="FELCAMP"/>
        <s v="FELLOM"/>
        <s v="FELTOLL"/>
        <s v="FEMCC01"/>
        <s v="FENC01"/>
        <s v="FENERL"/>
        <s v="FENERLN"/>
        <s v="FENPCX1"/>
        <s v="FENPVX1"/>
        <s v="FENRIOS"/>
        <s v="FERGON"/>
        <s v="FERNOSO"/>
        <s v="FERUELA"/>
        <s v="FESCALN"/>
        <s v="FESLAR1"/>
        <s v="FESPARR"/>
        <s v="FESTACN"/>
        <s v="FFALAMO"/>
        <s v="FFATFW"/>
        <s v="FFCYEES"/>
        <s v="FFEDE"/>
        <s v="FFEGED"/>
        <s v="FFERNAN"/>
        <s v="FFFGASN"/>
        <s v="FFGAC"/>
        <s v="FFGASN"/>
        <s v="FFIBGES"/>
        <s v="FFIRSTW"/>
        <s v="FFNEXU"/>
        <s v="FFRSPRA"/>
        <s v="FFRSPRE"/>
        <s v="FFUNDI"/>
        <s v="FFV124"/>
        <s v="FFV154"/>
        <s v="FFV155"/>
        <s v="FFWMARK"/>
        <s v="FFYECL1"/>
        <s v="FFYECL2"/>
        <s v="FFYECL3"/>
        <s v="FGALERA"/>
        <s v="FGAMNSA"/>
        <s v="FGAMONL"/>
        <s v="FGASN2U"/>
        <s v="FGASNE2"/>
        <s v="FGAZ1"/>
        <s v="FGAZ2"/>
        <s v="FGEFG"/>
        <s v="FGENIA"/>
        <s v="FGENIL1"/>
        <s v="FGENIL2"/>
        <s v="FGFBAR"/>
        <s v="FGIL1"/>
        <s v="FGILENA"/>
        <s v="FGMNRJ"/>
        <s v="FGORBEI"/>
        <s v="FGROMAN"/>
        <s v="FGST135"/>
        <s v="FGST136"/>
        <s v="FGST137"/>
        <s v="FGST138"/>
        <s v="FGST139"/>
        <s v="FGST140"/>
        <s v="FGST141"/>
        <s v="FGST142"/>
        <s v="FGST143"/>
        <s v="FGST144"/>
        <s v="FGST145"/>
        <s v="FGST150"/>
        <s v="FGST151"/>
        <s v="FGST152"/>
        <s v="FGST153"/>
        <s v="FGST154"/>
        <s v="FGST155"/>
        <s v="FGST156"/>
        <s v="FGST157"/>
        <s v="FGST158"/>
        <s v="FGST159"/>
        <s v="FGST160"/>
        <s v="FGST161"/>
        <s v="FGST162"/>
        <s v="FGST167"/>
        <s v="FGST168"/>
        <s v="FGST169"/>
        <s v="FGST170"/>
        <s v="FGST171"/>
        <s v="FGST176"/>
        <s v="FGST177"/>
        <s v="FGST178"/>
        <s v="FGST179"/>
        <s v="FGST180"/>
        <s v="FGST181"/>
        <s v="FGST182"/>
        <s v="FGST183"/>
        <s v="FGST184"/>
        <s v="FGST185"/>
        <s v="FGST186"/>
        <s v="FGST187"/>
        <s v="FGST189"/>
        <s v="FGST193"/>
        <s v="FGST194"/>
        <s v="FGST196"/>
        <s v="FGST197"/>
        <s v="FGST198"/>
        <s v="FGST199"/>
        <s v="FGST204"/>
        <s v="FGST205"/>
        <s v="FGST206"/>
        <s v="FGST210"/>
        <s v="FGST211"/>
        <s v="FGST212"/>
        <s v="FGST213"/>
        <s v="FGST214"/>
        <s v="FGUADA"/>
        <s v="FGUILLE"/>
        <s v="FGUZMAN"/>
        <s v="FHELIO1"/>
        <s v="FHELIO2"/>
        <s v="FHIBGES"/>
        <s v="FHOTEI"/>
        <s v="FHRRERA"/>
        <s v="FIBGEAR"/>
        <s v="FIBGECA"/>
        <s v="FIBGECE"/>
        <s v="FIBGECP"/>
        <s v="FIBGECR"/>
        <s v="FIBGEMS"/>
        <s v="FIBGENB"/>
        <s v="FIBGEOR"/>
        <s v="FIBGEPE"/>
        <s v="FIBGEPI"/>
        <s v="FIBGETA"/>
        <s v="FIBGEVE"/>
        <s v="FIBGEVI"/>
        <s v="FIBGT12"/>
        <s v="FIBGT34"/>
        <s v="FIGAC"/>
        <s v="FIIBGES"/>
        <s v="FIM2SLR"/>
        <s v="FINDINA"/>
        <s v="FINFREN"/>
        <s v="FJALON1"/>
        <s v="FJUNCAL"/>
        <s v="FJUNEDA"/>
        <s v="FKALEL"/>
        <s v="FKAPPA"/>
        <s v="FKAPPG"/>
        <s v="FKELLY"/>
        <s v="FKGAC"/>
        <s v="FLACAB"/>
        <s v="FLAISLA"/>
        <s v="FLAMC01"/>
        <s v="FLARRAL"/>
        <s v="FLASTR2"/>
        <s v="FLASTRA"/>
        <s v="FLASVAG"/>
        <s v="FLEAIKO"/>
        <s v="FLECC01"/>
        <s v="FLEMAZR"/>
        <s v="FLENOEZ"/>
        <s v="FLILLAN"/>
        <s v="FLLANO1"/>
        <s v="FLLANO2"/>
        <s v="FLLANO3"/>
        <s v="FLLANOS"/>
        <s v="FLMULAS"/>
        <s v="FLNTSCO"/>
        <s v="FLOBSIL"/>
        <s v="FLOCABA"/>
        <s v="FLOGROS"/>
        <s v="FLOMOS2"/>
        <s v="FLPENA1"/>
        <s v="FLPENA2"/>
        <s v="FLPICOS"/>
        <s v="FLSENIA"/>
        <s v="FLSOLAN"/>
        <s v="FLTORRE"/>
        <s v="FLUANDA"/>
        <s v="FLUCA"/>
        <s v="FMAGVE"/>
        <s v="FMAHOR"/>
        <s v="FMAMAQ"/>
        <s v="FMANDLA"/>
        <s v="FMANZAN"/>
        <s v="FMANZQE"/>
        <s v="FMARQUE"/>
        <s v="FMARTON"/>
        <s v="FMATAS"/>
        <s v="FMBAIDA"/>
        <s v="FMBUENA"/>
        <s v="FMERI19"/>
        <s v="FMFEN"/>
        <s v="FMILGRO"/>
        <s v="FMIRAMU"/>
        <s v="FMISTRA"/>
        <s v="FMNZARS"/>
        <s v="FMOJADO"/>
        <s v="FMOLINO"/>
        <s v="FMONTES"/>
        <s v="FMONTFV"/>
        <s v="FMORALA"/>
        <s v="FMRPANI"/>
        <s v="FMRTLLA"/>
        <s v="FMUDARA"/>
        <s v="FMUELLE"/>
        <s v="FMYRTE1"/>
        <s v="FNARGS"/>
        <s v="FNAVA1"/>
        <s v="FNAVA2"/>
        <s v="FNAVALM"/>
        <s v="FNAVAR"/>
        <s v="FNAVID"/>
        <s v="FNEFTI"/>
        <s v="FNEOSOL"/>
        <s v="FNOBLEJ"/>
        <s v="FNOCTI6"/>
        <s v="FNOVELD"/>
        <s v="FNTVERO"/>
        <s v="FNUMAN"/>
        <s v="FNVELOS"/>
        <s v="FOBAGLS"/>
        <s v="FOBISPO"/>
        <s v="FOGAC"/>
        <s v="FOITURA"/>
        <s v="FOLIVA"/>
        <s v="FOLIVR2"/>
        <s v="FOLIVR3"/>
        <s v="FOLIVR4"/>
        <s v="FOLIVRS"/>
        <s v="FOLMALC"/>
        <s v="FOLMEDA"/>
        <s v="FOLMFW"/>
        <s v="FOLVNZ"/>
        <s v="FOLVNZ1"/>
        <s v="FOLVNZ2"/>
        <s v="FONDAB"/>
        <s v="FOPPI"/>
        <s v="FORTC01"/>
        <s v="FORTR01"/>
        <s v="FOXC01"/>
        <s v="FPALMRA"/>
        <s v="FPALO"/>
        <s v="FPARADA"/>
        <s v="FPARCAS"/>
        <s v="FPARED3"/>
        <s v="FPARED4"/>
        <s v="FPARED5"/>
        <s v="FPARED6"/>
        <s v="FPARED7"/>
        <s v="FPCSTRO"/>
        <s v="FPEDROL"/>
        <s v="FPEEXXI"/>
        <s v="FPELEAS"/>
        <s v="FPENAZA"/>
        <s v="FPEONUR"/>
        <s v="FPEROGO"/>
        <s v="FPFAGUS"/>
        <s v="FPFLOR"/>
        <s v="FPGAC"/>
        <s v="FPHCCUR"/>
        <s v="FPHLIPS"/>
        <s v="FPIBCUR"/>
        <s v="FPINILA"/>
        <s v="FPITIEG"/>
        <s v="FPIZAII"/>
        <s v="FPJRTOS"/>
        <s v="FPLASE"/>
        <s v="FPLAZA"/>
        <s v="FPLMCND"/>
        <s v="FPLUNA1"/>
        <s v="FPLUNA2"/>
        <s v="FPLUNA3"/>
        <s v="FPOCICO"/>
        <s v="FPOLLOS"/>
        <s v="FPPIEDR"/>
        <s v="FPRQUE1"/>
        <s v="FPRQUE2"/>
        <s v="FPRUELA"/>
        <s v="FPSFAGA"/>
        <s v="FPSFART"/>
        <s v="FPSFESM"/>
        <s v="FPSFGES"/>
        <s v="FPSFHER"/>
        <s v="FPSFJAD"/>
        <s v="FPSFSAX"/>
        <s v="FPSFSES"/>
        <s v="FPSJESO"/>
        <s v="FPSOL"/>
        <s v="FPTREAL"/>
        <s v="FPUCELA"/>
        <s v="FPZHON"/>
        <s v="FQIJOT3"/>
        <s v="FQIJOTE"/>
        <s v="FQUEMA2"/>
        <s v="FRANC01"/>
        <s v="FRBDLAG"/>
        <s v="FREGANT"/>
        <s v="FREGP3"/>
        <s v="FREGPEM"/>
        <s v="FRENEDO"/>
        <s v="FRETA"/>
        <s v="FRGAC"/>
        <s v="FRIGAL1"/>
        <s v="FRIGAL2"/>
        <s v="FRINCO"/>
        <s v="FRIXRAB"/>
        <s v="FROBLA3"/>
        <s v="FROBLA5"/>
        <s v="FRODEO"/>
        <s v="FROTON1"/>
        <s v="FROTON2"/>
        <s v="FROTON3"/>
        <s v="FROZAS"/>
        <s v="FRREGOS"/>
        <s v="FRSIGMA"/>
        <s v="FRTS1"/>
        <s v="FRULAOR"/>
        <s v="FSACIMP"/>
        <s v="FSALOB"/>
        <s v="FSANCTE"/>
        <s v="FSARDA"/>
        <s v="FSARIUM"/>
        <s v="FSCALN2"/>
        <s v="FSCALNA"/>
        <s v="FSCASTU"/>
        <s v="FSEGRO"/>
        <s v="FSEQUIN"/>
        <s v="FSERRZL"/>
        <s v="FSERVN3"/>
        <s v="FSERVN4"/>
        <s v="FSERVN5"/>
        <s v="FSERXXI"/>
        <s v="FSEVILL"/>
        <s v="FSIBERI"/>
        <s v="FSIGMA"/>
        <s v="FSIRIUS"/>
        <s v="FSJORGE"/>
        <s v="FSLINAS"/>
        <s v="FSLNOC1"/>
        <s v="FSLOBON"/>
        <s v="FSMURC"/>
        <s v="FSNBRIA"/>
        <s v="FSOCO2"/>
        <s v="FSOL14"/>
        <s v="FSOL16"/>
        <s v="FSOLANG"/>
        <s v="FSOLARG"/>
        <s v="FSOLLAN"/>
        <s v="FSOLMA"/>
        <s v="FSOLRC"/>
        <s v="FSONAV"/>
        <s v="FSONDAA"/>
        <s v="FSOVAL"/>
        <s v="FSPARRA"/>
        <s v="FSPELYO"/>
        <s v="FSPV10"/>
        <s v="FSPV3"/>
        <s v="FSRRANA"/>
        <s v="FSTATON"/>
        <s v="FSTOMAS"/>
        <s v="FTABRNS"/>
        <s v="FTALAR1"/>
        <s v="FTALAR2"/>
        <s v="FTALARR"/>
        <s v="FTALEGA"/>
        <s v="FTALIA1"/>
        <s v="FTALIA2"/>
        <s v="FTALTOS"/>
        <s v="FTALYEL"/>
        <s v="FTARACN"/>
        <s v="FTARACS"/>
        <s v="FTASOL"/>
        <s v="FTAUSTE"/>
        <s v="FTEBAR"/>
        <s v="FTEJEDA"/>
        <s v="FTEQUI1"/>
        <s v="FTERC01"/>
        <s v="FTERRER"/>
        <s v="FTFAPRO"/>
        <s v="FTINJR1"/>
        <s v="FTINJR2"/>
        <s v="FTLAYL1"/>
        <s v="FTLAYL2"/>
        <s v="FTOLLO1"/>
        <s v="FTOLLO2"/>
        <s v="FTOLLO3"/>
        <s v="FTOMI"/>
        <s v="FTORDE1"/>
        <s v="FTORIJ2"/>
        <s v="FTORIJ3"/>
        <s v="FTORIJ4"/>
        <s v="FTORRIJ"/>
        <s v="FTORRJ"/>
        <s v="FTOTANA"/>
        <s v="FTRDESI"/>
        <s v="FTRDSL"/>
        <s v="FTREVAG"/>
        <s v="FTRI"/>
        <s v="FTRUCHA"/>
        <s v="FTULC01"/>
        <s v="FTURBIN"/>
        <s v="FTURRON"/>
        <s v="FTZNETA"/>
        <s v="FUEPA"/>
        <s v="FUKAC01"/>
        <s v="FULCONA"/>
        <s v="FURSAMA"/>
        <s v="FUTETEM"/>
        <s v="FV_RETA"/>
        <s v="FVAFROD"/>
        <s v="FVALAMO"/>
        <s v="FVALCAI"/>
        <s v="FVALCAZ"/>
        <s v="FVALD1"/>
        <s v="FVALD2"/>
        <s v="FVALDEC"/>
        <s v="FVALDES"/>
        <s v="FVALENT"/>
        <s v="FVALFW"/>
        <s v="FVALLKA"/>
        <s v="FVALLOB"/>
        <s v="FVALMK"/>
        <s v="FVALYA"/>
        <s v="FVANUBI"/>
        <s v="FVARBO"/>
        <s v="FVASIE5"/>
        <s v="FVBOTOA"/>
        <s v="FVCAR"/>
        <s v="FVCARR"/>
        <s v="FVCOTI2"/>
        <s v="FVCOTIL"/>
        <s v="FVDEMET"/>
        <s v="FVDNR"/>
        <s v="FVECOIB"/>
        <s v="FVECOSO"/>
        <s v="FVEIBC1"/>
        <s v="FVEMINN"/>
        <s v="FVENZA"/>
        <s v="FVERDLS"/>
        <s v="FVESCAN"/>
        <s v="FVESCAS"/>
        <s v="FVFRA"/>
        <s v="FVFUENT"/>
        <s v="FVGALAZ"/>
        <s v="FVGNRA"/>
        <s v="FVGREEN"/>
        <s v="FVHIBRC"/>
        <s v="FVHIBRV"/>
        <s v="FVHITA"/>
        <s v="FVIENTO"/>
        <s v="FVILLAV"/>
        <s v="FVINASG"/>
        <s v="FVITEC"/>
        <s v="FVITEC2"/>
        <s v="FVITIGU"/>
        <s v="FVIVAL"/>
        <s v="FVJADRA"/>
        <s v="FVLAUEI"/>
        <s v="FVLNEVA"/>
        <s v="FVLOREN"/>
        <s v="FVLVERD"/>
        <s v="FVMAYOR"/>
        <s v="FVMAZO"/>
        <s v="FVNORI"/>
        <s v="FVNSER"/>
        <s v="FVPEDRA"/>
        <s v="FVPILA"/>
        <s v="FVPON"/>
        <s v="FVPOSA"/>
        <s v="FVPOST"/>
        <s v="FVRIOJA"/>
        <s v="FVSANMI"/>
        <s v="FVSESAN"/>
        <s v="FVSSVAN"/>
        <s v="FVTABA"/>
        <s v="FVTEJES"/>
        <s v="FVTORRN"/>
        <s v="FVTORRS"/>
        <s v="FVVAL1"/>
        <s v="FVVAL2"/>
        <s v="FXRSPRE"/>
        <s v="FYAGENT"/>
        <s v="FYAGREN"/>
        <s v="FYALBA1"/>
        <s v="FYALBA2"/>
        <s v="FYAME"/>
        <s v="FYASIE"/>
        <s v="FYATENC"/>
        <s v="FYATLAS"/>
        <s v="FYBSG"/>
        <s v="FYCEG"/>
        <s v="FYCESOS"/>
        <s v="FYCEXXI"/>
        <s v="FYCLIDM"/>
        <s v="FYCYE"/>
        <s v="FYDETIC"/>
        <s v="FYEBEN"/>
        <s v="FYEBLCO"/>
        <s v="FYEEXXI"/>
        <s v="FYEFG"/>
        <s v="FYEGED"/>
        <s v="FYEGLE"/>
        <s v="FYEGUAS"/>
        <s v="FYENDG"/>
        <s v="FYEONUR"/>
        <s v="FYEPES"/>
        <s v="FYESERA"/>
        <s v="FYFEN"/>
        <s v="FYFUTGR"/>
        <s v="FYGAC"/>
        <s v="FYGEMSL"/>
        <s v="FYGENER"/>
        <s v="FYGESTE"/>
        <s v="FYGNRA"/>
        <s v="FYGNSUR"/>
        <s v="FYGSETT"/>
        <s v="FYHCCUR"/>
        <s v="FYHCG"/>
        <s v="FYHELIO"/>
        <s v="FYIBCUR"/>
        <s v="FYIBGES"/>
        <s v="FYIGNI"/>
        <s v="FYLAUEI"/>
        <s v="FYLMER"/>
        <s v="FYNEXU"/>
        <s v="FYNRENO"/>
        <s v="FYREN2"/>
        <s v="FYRSPRA"/>
        <s v="FYSESPV"/>
        <s v="FYTERSA"/>
        <s v="FYUNQUE"/>
        <s v="FYWMARK"/>
        <s v="FZAFRA"/>
        <s v="FZARZMS"/>
        <s v="FZNCONE"/>
        <s v="FZORITA"/>
        <s v="FZRATAN"/>
        <s v="FZRPCOS"/>
        <s v="FZUERA2"/>
        <s v="FZUERAS"/>
        <s v="GABAC01"/>
        <s v="GACC01"/>
        <s v="GAENER1"/>
        <s v="GAIAC01"/>
        <s v="GALAC01"/>
        <s v="GALPC01"/>
        <s v="GALPR01"/>
        <s v="GALPS1"/>
        <s v="GALPS2"/>
        <s v="GALPS23"/>
        <s v="GALPS24"/>
        <s v="GALPS25"/>
        <s v="GALPS26"/>
        <s v="GALPS27"/>
        <s v="GALPS28"/>
        <s v="GALPS29"/>
        <s v="GALPS3"/>
        <s v="GALPS30"/>
        <s v="GALPS31"/>
        <s v="GALPS32"/>
        <s v="GALPS33"/>
        <s v="GALPS34"/>
        <s v="GALPS35"/>
        <s v="GALPS36"/>
        <s v="GALPS37"/>
        <s v="GALPS38"/>
        <s v="GALPS39"/>
        <s v="GALPS40"/>
        <s v="GALPS41"/>
        <s v="GALPS42"/>
        <s v="GALPS43"/>
        <s v="GALPS44"/>
        <s v="GALPS53"/>
        <s v="GALPS54"/>
        <s v="GALPS55"/>
        <s v="GALPS61"/>
        <s v="GALPS62"/>
        <s v="GALPS63"/>
        <s v="GALPS64"/>
        <s v="GALPS65"/>
        <s v="GALPS66"/>
        <s v="GALPS68"/>
        <s v="GALPS69"/>
        <s v="GALPS70"/>
        <s v="GALPS71"/>
        <s v="GALPS72"/>
        <s v="GALPS73"/>
        <s v="GALPS74"/>
        <s v="GALPS75"/>
        <s v="GALPS76"/>
        <s v="GALPS77"/>
        <s v="GALPS78"/>
        <s v="GALPS79"/>
        <s v="GALPS80"/>
        <s v="GALPS81"/>
        <s v="GALPS82"/>
        <s v="GALPS83"/>
        <s v="GALPS84"/>
        <s v="GALPS85"/>
        <s v="GALPS86"/>
        <s v="GALPS87"/>
        <s v="GALPS88"/>
        <s v="GAMBC01"/>
        <s v="GAMIC01"/>
        <s v="GAOLC01"/>
        <s v="GASRGAN"/>
        <s v="GASTU1"/>
        <s v="GAUDAX"/>
        <s v="GAVIAEG"/>
        <s v="GAVIC01"/>
        <s v="GBENC01"/>
        <s v="GBNPRV1"/>
        <s v="GBPG1"/>
        <s v="GC21C01"/>
        <s v="GCENES1"/>
        <s v="GCENTE1"/>
        <s v="GDETI1"/>
        <s v="GDIVC01"/>
        <s v="GDLQ"/>
        <s v="GDLQB"/>
        <s v="GDNA"/>
        <s v="GDREUA1"/>
        <s v="GDUFER1"/>
        <s v="GEBLCO1"/>
        <s v="GEDFT1"/>
        <s v="GEFG1"/>
        <s v="GEGC01"/>
        <s v="GEGED1"/>
        <s v="GEGLE1"/>
        <s v="GEISC01"/>
        <s v="GENAH"/>
        <s v="GENCEG1"/>
        <s v="GENDG1"/>
        <s v="GENGES3"/>
        <s v="GENGEST"/>
        <s v="GEOAC01"/>
        <s v="GEOLC01"/>
        <s v="GEPLAS"/>
        <s v="GEROUT1"/>
        <s v="GESIC01"/>
        <s v="GESLC01"/>
        <s v="GESPCX1"/>
        <s v="GESPVX1"/>
        <s v="GESSC01"/>
        <s v="GESTC01"/>
        <s v="GESTCOM"/>
        <s v="GEXTIII"/>
        <s v="GEXTRII"/>
        <s v="GFORTI1"/>
        <s v="GFRGS1"/>
        <s v="GGAC1"/>
        <s v="GGMT1"/>
        <s v="GGNCO1"/>
        <s v="GGNRA1"/>
        <s v="GGSLZ1"/>
        <s v="GGUNV1"/>
        <s v="GHCG1"/>
        <s v="GHISPE1"/>
        <s v="GIBEG1"/>
        <s v="GIBGES1"/>
        <s v="GIGNI1"/>
        <s v="GJARON1"/>
        <s v="GMARTB1"/>
        <s v="GMEC01"/>
        <s v="GMEEC01"/>
        <s v="GMERCU1"/>
        <s v="GMETEE1"/>
        <s v="GMTCP3"/>
        <s v="GMTVP3"/>
        <s v="GNCOC01"/>
        <s v="GNCOCP3"/>
        <s v="GNCOR01"/>
        <s v="GNCOVP3"/>
        <s v="GNCPCX1"/>
        <s v="GNCPVX1"/>
        <s v="GNEAS1"/>
        <s v="GNEXU1"/>
        <s v="GNFRC01"/>
        <s v="GNIDH1"/>
        <s v="GNOBLE1"/>
        <s v="GNRAC01"/>
        <s v="GNRACP3"/>
        <s v="GNRAVP3"/>
        <s v="GNRPCX1"/>
        <s v="GNRPVX1"/>
        <s v="GNSEC01"/>
        <s v="GNSUC01"/>
        <s v="GNSUCEB"/>
        <s v="GOENC01"/>
        <s v="GOICCX1"/>
        <s v="GOICVX1"/>
        <s v="GOIEC01"/>
        <s v="GOIEV01"/>
        <s v="GOIEV02"/>
        <s v="GOIEV03"/>
        <s v="GONE1"/>
        <s v="GPIBCUR"/>
        <s v="GPOWER1"/>
        <s v="GRAFC01"/>
        <s v="GRANA"/>
        <s v="GRDZ"/>
        <s v="GREEC01"/>
        <s v="GRENC01"/>
        <s v="GREPSB1"/>
        <s v="GRTEC01"/>
        <s v="GSAMP1"/>
        <s v="GSECOB1"/>
        <s v="GSETC01"/>
        <s v="GSHEEN1"/>
        <s v="GSLZC01"/>
        <s v="GSLZV02"/>
        <s v="GSLZV03"/>
        <s v="GSLZV04"/>
        <s v="GSLZV06"/>
        <s v="GSLZV07"/>
        <s v="GSLZV08"/>
        <s v="GSLZV09"/>
        <s v="GSMARC1"/>
        <s v="GSMG1"/>
        <s v="GSSEEN1"/>
        <s v="GSTCP3"/>
        <s v="GSTVP3"/>
        <s v="GTOTGA1"/>
        <s v="GTSRDE1"/>
        <s v="GUAAS01"/>
        <s v="GUADA"/>
        <s v="GUIB"/>
        <s v="GUIG"/>
        <s v="GUISC01"/>
        <s v="GUISC02"/>
        <s v="GUISGN"/>
        <s v="GUISR01"/>
        <s v="GUNEL01"/>
        <s v="GUNVCP3"/>
        <s v="GUNVVP3"/>
        <s v="GURBC01"/>
        <s v="GVIEG1"/>
        <s v="GVISA1"/>
        <s v="GVITOL1"/>
        <s v="GYEEXXI"/>
        <s v="GYGNRA"/>
        <s v="GYIBCUR"/>
        <s v="HABGN"/>
        <s v="HACUAM"/>
        <s v="HACUAVI"/>
        <s v="HAFEC01"/>
        <s v="HAGUI"/>
        <s v="HALANGE"/>
        <s v="HALCOL"/>
        <s v="HALTANO"/>
        <s v="HAMPC01"/>
        <s v="HAMPV01"/>
        <s v="HANARBE"/>
        <s v="HANTEL"/>
        <s v="HAPHIG"/>
        <s v="HAPOC01"/>
        <s v="HARENG"/>
        <s v="HARNO"/>
        <s v="HARXC01"/>
        <s v="HATJUG"/>
        <s v="HATUDEL"/>
        <s v="HAZANON"/>
        <s v="HBARCO"/>
        <s v="HBARDE"/>
        <s v="HBARLO"/>
        <s v="HBAUSEN"/>
        <s v="HBBONAR"/>
        <s v="HCADOS"/>
        <s v="HCALDA"/>
        <s v="HCAMPOS"/>
        <s v="HCASAR"/>
        <s v="HCAST"/>
        <s v="HCASTRO"/>
        <s v="HCENE01"/>
        <s v="HCERRAT"/>
        <s v="HCGC01"/>
        <s v="HCGCOX"/>
        <s v="HCGEORS"/>
        <s v="HCGFVSA"/>
        <s v="HCGSCSA"/>
        <s v="HCGSIHA"/>
        <s v="HCHI"/>
        <s v="HCHI2"/>
        <s v="HCHZAMU"/>
        <s v="HCMINE"/>
        <s v="HCNSC01"/>
        <s v="HCOGOTA"/>
        <s v="HCOHIG"/>
        <s v="HCORADA"/>
        <s v="HCUER"/>
        <s v="HCURC01"/>
        <s v="HCURCEB"/>
        <s v="HDOSA"/>
        <s v="HDUEROK"/>
        <s v="HEALTOG"/>
        <s v="HECEC01"/>
        <s v="HEEARG"/>
        <s v="HEGEDGS"/>
        <s v="HEGILLO"/>
        <s v="HEGPE"/>
        <s v="HEGPE3"/>
        <s v="HELEC01"/>
        <s v="HELIC01"/>
        <s v="HENANSA"/>
        <s v="HENGAG"/>
        <s v="HENREU"/>
        <s v="HESDIG"/>
        <s v="HESEGRE"/>
        <s v="HESERRA"/>
        <s v="HEUGI"/>
        <s v="HFASIE"/>
        <s v="HFCEREG"/>
        <s v="HFDETIC"/>
        <s v="HFEGED"/>
        <s v="HFGASN"/>
        <s v="HFGNRA"/>
        <s v="HFIBFZ"/>
        <s v="HFIBGES"/>
        <s v="HFITURB"/>
        <s v="HFNEXU"/>
        <s v="HFOHIS"/>
        <s v="HFPLANA"/>
        <s v="HFRESER"/>
        <s v="HFWMARK"/>
        <s v="HGALLU"/>
        <s v="HGAME"/>
        <s v="HGDALI"/>
        <s v="HGDF01"/>
        <s v="HGEFG"/>
        <s v="HGENHI"/>
        <s v="HGIES"/>
        <s v="HGORGOL"/>
        <s v="HGRCUG"/>
        <s v="HGST200"/>
        <s v="HGST201"/>
        <s v="HGST203"/>
        <s v="HGST208"/>
        <s v="HGST209"/>
        <s v="HGUADAL"/>
        <s v="HGUEJG"/>
        <s v="HHDESP"/>
        <s v="HHERRG"/>
        <s v="HHIAST"/>
        <s v="HHICAG"/>
        <s v="HHIDFR"/>
        <s v="HHIDGA"/>
        <s v="HHIFRE"/>
        <s v="HHIMEG"/>
        <s v="HHIPAL"/>
        <s v="HHIPIN"/>
        <s v="HHITOIZ"/>
        <s v="HHOJAM"/>
        <s v="HHONZA"/>
        <s v="HHRSPRA"/>
        <s v="HHTRAS"/>
        <s v="HHTTRIN"/>
        <s v="HHURONE"/>
        <s v="HHYDRO"/>
        <s v="HHYDRO2"/>
        <s v="HIBENAA"/>
        <s v="HIBFUTU"/>
        <s v="HIBHELI"/>
        <s v="HIBIBER"/>
        <s v="HIBSHA2"/>
        <s v="HIBSIHA"/>
        <s v="HIDAGST"/>
        <s v="HIDEUR"/>
        <s v="HIDRAUL"/>
        <s v="HIDSC01"/>
        <s v="HILAC01"/>
        <s v="HILTC01"/>
        <s v="HINOJ"/>
        <s v="HINTRA"/>
        <s v="HISPC01"/>
        <s v="HJERTE"/>
        <s v="HLACOBA"/>
        <s v="HLASJO"/>
        <s v="HLAVERN"/>
        <s v="HLEIRA"/>
        <s v="HLLOREN"/>
        <s v="HLOURG"/>
        <s v="HLRSPRE"/>
        <s v="HLYC01"/>
        <s v="HMERCA"/>
        <s v="HMICAN"/>
        <s v="HMINI"/>
        <s v="HMOLINO"/>
        <s v="HMPUNTE"/>
        <s v="HMSRO"/>
        <s v="HNIGUEL"/>
        <s v="HNORHI"/>
        <s v="HNRPGG"/>
        <s v="HNSMER"/>
        <s v="HONATIK"/>
        <s v="HOREC01"/>
        <s v="HORN16"/>
        <s v="HORN98"/>
        <s v="HOUROL"/>
        <s v="HOYEC01"/>
        <s v="HPARRA"/>
        <s v="HPCANAV"/>
        <s v="HPDRSA"/>
        <s v="HPEEXXI"/>
        <s v="HPEGLE"/>
        <s v="HPEONUR"/>
        <s v="HPERUC"/>
        <s v="HPEUSA"/>
        <s v="HPEUSA2"/>
        <s v="HPGNRA"/>
        <s v="HPHCCUR"/>
        <s v="HPIBCUR"/>
        <s v="HPOBLA"/>
        <s v="HPOBLA1"/>
        <s v="HPORMA"/>
        <s v="HPOZOS"/>
        <s v="HPTMR"/>
        <s v="HPUEYO"/>
        <s v="HREGPE"/>
        <s v="HRIEAG"/>
        <s v="HRPI"/>
        <s v="HRUMBLA"/>
        <s v="HRWMARK"/>
        <s v="HSAECH"/>
        <s v="HSAEDO"/>
        <s v="HSANMI"/>
        <s v="HSATC01"/>
        <s v="HSCOC01"/>
        <s v="HSEGEN"/>
        <s v="HSFERND"/>
        <s v="HSOLUE"/>
        <s v="HSTMARI"/>
        <s v="HSYEGU"/>
        <s v="HTAJUN"/>
        <s v="HVADOC"/>
        <s v="HVANGE"/>
        <s v="HVILLA"/>
        <s v="HVILLAR"/>
        <s v="HVLLNGO"/>
        <s v="HVVINAS"/>
        <s v="HXAL1"/>
        <s v="HXAL2"/>
        <s v="HXRSPRE"/>
        <s v="HYAGREN"/>
        <s v="HYAGUER"/>
        <s v="HYAME"/>
        <s v="HYANORF"/>
        <s v="HYANORH"/>
        <s v="HYASIE"/>
        <s v="HYBERGA"/>
        <s v="HYBRUTI"/>
        <s v="HYCABIS"/>
        <s v="HYCANBA"/>
        <s v="HYCAUXA"/>
        <s v="HYCEG"/>
        <s v="HYDETIC"/>
        <s v="HYDRC01"/>
        <s v="HYDRO1"/>
        <s v="HYDRO2"/>
        <s v="HYECATA"/>
        <s v="HYEDMUN"/>
        <s v="HYEEXXI"/>
        <s v="HYEFG"/>
        <s v="HYEGLE"/>
        <s v="HYEONUR"/>
        <s v="HYFEN"/>
        <s v="HYGESTE"/>
        <s v="HYGNRA"/>
        <s v="HYGNSUR"/>
        <s v="HYHCCUR"/>
        <s v="HYIBCUR"/>
        <s v="HYIBFZ"/>
        <s v="HYIGNI"/>
        <s v="HYINDIG"/>
        <s v="HYISLA"/>
        <s v="HYITURB"/>
        <s v="HYLAMUE"/>
        <s v="HYLAUE3"/>
        <s v="HYMALPA"/>
        <s v="HYMARIN"/>
        <s v="HYMONTE"/>
        <s v="HYNEXU"/>
        <s v="HYPAMSA"/>
        <s v="HYPARDI"/>
        <s v="HYPIEDR"/>
        <s v="HYRSPRA"/>
        <s v="HYSERRA"/>
        <s v="HYTLAVE"/>
        <s v="HYVALLE"/>
        <s v="HYVALLF"/>
        <s v="HYWMARK"/>
        <s v="HZORIT"/>
        <s v="IBARC01"/>
        <s v="IBCUC01"/>
        <s v="IBCUCEB"/>
        <s v="IBDSC01"/>
        <s v="IBEGC01"/>
        <s v="IBEGC05"/>
        <s v="IBEGCP3"/>
        <s v="IBEGVP3"/>
        <s v="IBGCCX1"/>
        <s v="IBGCVX1"/>
        <s v="IBGECP3"/>
        <s v="IBGESX"/>
        <s v="IBGEVP3"/>
        <s v="IBGPCX1"/>
        <s v="IBGPVX1"/>
        <s v="IBHEACI"/>
        <s v="IBPADOR"/>
        <s v="IBSEC01"/>
        <s v="IBSNC01"/>
        <s v="IBSUC01"/>
        <s v="IBTOC01"/>
        <s v="ICASC01"/>
        <s v="ICGAC01"/>
        <s v="ICLIC01"/>
        <s v="ICLIR01"/>
        <s v="ICUPCX1"/>
        <s v="ICUPVX1"/>
        <s v="IDESC01"/>
        <s v="IENOC01"/>
        <s v="IFAVG"/>
        <s v="IGESC01"/>
        <s v="IGNIC01"/>
        <s v="IGNIS7"/>
        <s v="IM3C01"/>
        <s v="IM3V01"/>
        <s v="IM3V02"/>
        <s v="IMPEC01"/>
        <s v="INARC01"/>
        <s v="INDAC01"/>
        <s v="INDEC01"/>
        <s v="INDLC01"/>
        <s v="INDXC01"/>
        <s v="INEMC01"/>
        <s v="INERC01"/>
        <s v="INGEC01"/>
        <s v="INICC01"/>
        <s v="INTEC01"/>
        <s v="INTRC01"/>
        <s v="INUSC01"/>
        <s v="IONC01"/>
        <s v="IRISC01"/>
        <s v="ISAEC01"/>
        <s v="ISEOC01"/>
        <s v="ISMCCX1"/>
        <s v="ISMCVX1"/>
        <s v="ISMPCX1"/>
        <s v="ISMPVX1"/>
        <s v="ISMSC01"/>
        <s v="ISYDC01"/>
        <s v="JMFEC01"/>
        <s v="JOINC01"/>
        <s v="JOLCA"/>
        <s v="JOSEC01"/>
        <s v="JOVEC01"/>
        <s v="JRONCP3"/>
        <s v="JRONVP3"/>
        <s v="JUANC01"/>
        <s v="JUCA"/>
        <s v="JUCAR2"/>
        <s v="JUSEC01"/>
        <s v="KARMC01"/>
        <s v="KAUNITE"/>
        <s v="KELC01"/>
        <s v="KILVC01"/>
        <s v="KINEC01"/>
        <s v="KIRIC01"/>
        <s v="KISHC01"/>
        <s v="KODLC01"/>
        <s v="KONYC01"/>
        <s v="KREAC01"/>
        <s v="KWFC01"/>
        <s v="LABOC01"/>
        <s v="LACOC01"/>
        <s v="LADYC01"/>
        <s v="LAFRV"/>
        <s v="LAGAV01"/>
        <s v="LANCA2"/>
        <s v="LANCAR"/>
        <s v="LANDC01"/>
        <s v="LAOBC01"/>
        <s v="LAPAC01"/>
        <s v="LAPEN"/>
        <s v="LAUCCX1"/>
        <s v="LAUCVX1"/>
        <s v="LAUEC01"/>
        <s v="LAVAC01"/>
        <s v="LBAT"/>
        <s v="LCOSC01"/>
        <s v="LDGIC01"/>
        <s v="LECDE"/>
        <s v="LEDCC01"/>
        <s v="LEGAC01"/>
        <s v="LEONC01"/>
        <s v="LERC01"/>
        <s v="LIDEC01"/>
        <s v="LIDEV01"/>
        <s v="LINAC01"/>
        <s v="LINKC01"/>
        <s v="LIUPC01"/>
        <s v="LLO1"/>
        <s v="LLO2"/>
        <s v="LLO3"/>
        <s v="LMA1"/>
        <s v="LMERC01"/>
        <s v="LMM1"/>
        <s v="LMM2"/>
        <s v="LNU1"/>
        <s v="LNU2"/>
        <s v="LOBOC01"/>
        <s v="LOBOH"/>
        <s v="LOKOH"/>
        <s v="LORC"/>
        <s v="LOVEC01"/>
        <s v="LOVIC01"/>
        <s v="LSINC01"/>
        <s v="LUBAC01"/>
        <s v="LUBIAN"/>
        <s v="LUCAC01"/>
        <s v="LUCFC01"/>
        <s v="LUCIC01"/>
        <s v="LUCKC01"/>
        <s v="LUM1C01"/>
        <s v="LUMEC01"/>
        <s v="LUMIC01"/>
        <s v="LUOJI"/>
        <s v="LUXC01"/>
        <s v="LUXIC01"/>
        <s v="LUZPC01"/>
        <s v="LUZSC01"/>
        <s v="LUZYC01"/>
        <s v="MACEC01"/>
        <s v="MALA1"/>
        <s v="MALAC01"/>
        <s v="MANUC01"/>
        <s v="MARFRAE"/>
        <s v="MARFRAI"/>
        <s v="MARPORE"/>
        <s v="MARPORI"/>
        <s v="MARTC01"/>
        <s v="MASAC01"/>
        <s v="MASIC01"/>
        <s v="MASIRP"/>
        <s v="MASNC01"/>
        <s v="MASQC01"/>
        <s v="MATAC01"/>
        <s v="MAXIC01"/>
        <s v="MAZEC01"/>
        <s v="MEGC01"/>
        <s v="MELUC01"/>
        <s v="MENEC01"/>
        <s v="MERC01"/>
        <s v="MERCCP3"/>
        <s v="MERCVP3"/>
        <s v="METEC01"/>
        <s v="METER01"/>
        <s v="METEV01"/>
        <s v="MFREC01"/>
        <s v="MFUSTE"/>
        <s v="MIBESFR"/>
        <s v="MIBESPT"/>
        <s v="MIBFRES"/>
        <s v="MIBPTES"/>
        <s v="MILII"/>
        <s v="MINAC01"/>
        <s v="MINIC01"/>
        <s v="MIRAN01"/>
        <s v="MLTB"/>
        <s v="MLTG"/>
        <s v="MODIC01"/>
        <s v="MODOH"/>
        <s v="MOIAC01"/>
        <s v="MOLAC01"/>
        <s v="MOLEC01"/>
        <s v="MOLIVI"/>
        <s v="MONTC01"/>
        <s v="MORTC01"/>
        <s v="MOTAC01"/>
        <s v="MOVHC01"/>
        <s v="MOVIC01"/>
        <s v="MSVSC01"/>
        <s v="MUDEJAR"/>
        <s v="MUEB"/>
        <s v="MUEL"/>
        <s v="MUESC01"/>
        <s v="MULTC01"/>
        <s v="MUTAC01"/>
        <s v="MXXIC01"/>
        <s v="MYENC01"/>
        <s v="MYENV01"/>
        <s v="MYENV02"/>
        <s v="MYLIC01"/>
        <s v="NABAC01"/>
        <s v="NAGAC01"/>
        <s v="NAGIC01"/>
        <s v="NAVAC01"/>
        <s v="NCEC01"/>
        <s v="NCEGE"/>
        <s v="NEASC01"/>
        <s v="NEASCP3"/>
        <s v="NEASVP3"/>
        <s v="NEMOC01"/>
        <s v="NEOEC01"/>
        <s v="NETOC01"/>
        <s v="NEUCCX1"/>
        <s v="NEUCVX1"/>
        <s v="NEURC01"/>
        <s v="NEWCC01"/>
        <s v="NEXAC01"/>
        <s v="NEXTC01"/>
        <s v="NEXUC01"/>
        <s v="NGORELL"/>
        <s v="NIDHCP3"/>
        <s v="NIDHVP3"/>
        <s v="NIVAC01"/>
        <s v="NOBEC01"/>
        <s v="NOBLCP3"/>
        <s v="NOBLVP3"/>
        <s v="NOCTC01"/>
        <s v="NOREC01"/>
        <s v="NORTC01"/>
        <s v="NOSAC01"/>
        <s v="NUFRR01"/>
        <s v="NUKIC01"/>
        <s v="NVLUC01"/>
        <s v="NWENC01"/>
        <s v="NYCLC01"/>
        <s v="ODFC01"/>
        <s v="OESTC01"/>
        <s v="OHMIC01"/>
        <s v="OKENC01"/>
        <s v="OLEC01"/>
        <s v="OLIVC01"/>
        <s v="OLIVE23"/>
        <s v="OLIVE24"/>
        <s v="OLLEC01"/>
        <s v="OLVEN22"/>
        <s v="OMHEC01"/>
        <s v="ONDC01"/>
        <s v="ONDEC01"/>
        <s v="ONEACH"/>
        <s v="ONEVEN"/>
        <s v="ONSEC01"/>
        <s v="OOPPC01"/>
        <s v="OPPIC01"/>
        <s v="ORWEC01"/>
        <s v="OSUNC01"/>
        <s v="OXPEC01"/>
        <s v="PAGRACU"/>
        <s v="PAGRUPA"/>
        <s v="PALOS1"/>
        <s v="PALOS2"/>
        <s v="PALOS3"/>
        <s v="PARMOC"/>
        <s v="PAVASFT"/>
        <s v="PBCN1"/>
        <s v="PBCN2"/>
        <s v="PECANTI"/>
        <s v="PECAST"/>
        <s v="PEMONDI"/>
        <s v="PENAS3"/>
        <s v="PENAV"/>
        <s v="PEPCUER"/>
        <s v="PESOTIL"/>
        <s v="PETABLA"/>
        <s v="PETRC01"/>
        <s v="PEVALB"/>
        <s v="PEVER"/>
        <s v="PEVER2"/>
        <s v="PGOM"/>
        <s v="PGR5"/>
        <s v="PINDC01"/>
        <s v="PINOSO"/>
        <s v="PISUC01"/>
        <s v="PIZR"/>
        <s v="PLASC01"/>
        <s v="PLATC01"/>
        <s v="PLAZA1"/>
        <s v="PLAZA2"/>
        <s v="PLENFV1"/>
        <s v="PLIAC01"/>
        <s v="PLLANO"/>
        <s v="POLAC01"/>
        <s v="PONCC01"/>
        <s v="PONXC01"/>
        <s v="PORVC01"/>
        <s v="POSOC01"/>
        <s v="POTEC01"/>
        <s v="POWCP3"/>
        <s v="POWEC01"/>
        <s v="POWNC01"/>
        <s v="POWRC01"/>
        <s v="POWVP3"/>
        <s v="POZOC01"/>
        <s v="PRADC01"/>
        <s v="PRAEC01"/>
        <s v="PREAL1"/>
        <s v="PROSC01"/>
        <s v="PROTC01"/>
        <s v="PSFREGE"/>
        <s v="PTENC01"/>
        <s v="PTROC01"/>
        <s v="PUERTOB"/>
        <s v="PUIC01"/>
        <s v="PULSC01"/>
        <s v="PVENT1"/>
        <s v="PVENT2"/>
        <s v="PVENT2X"/>
        <s v="PVVIDAL"/>
        <s v="PZCP"/>
        <s v="QENEC01"/>
        <s v="QUALC01"/>
        <s v="QUATC01"/>
        <s v="RABANIL"/>
        <s v="RABIDA2"/>
        <s v="RAFAP"/>
        <s v="RALBAD"/>
        <s v="RALDENG"/>
        <s v="RARTIGA"/>
        <s v="RAUDAX"/>
        <s v="RAUN"/>
        <s v="RBALMN"/>
        <s v="RBCESPA"/>
        <s v="RBESOS"/>
        <s v="RBIOCAN"/>
        <s v="RBIOLSI"/>
        <s v="RBIORAY"/>
        <s v="RBIORE"/>
        <s v="RBIOSAN"/>
        <s v="RBIOWA"/>
        <s v="RBIPU"/>
        <s v="RBOTARE"/>
        <s v="RCAMPEL"/>
        <s v="RCEASA"/>
        <s v="RCENER"/>
        <s v="RCESPA"/>
        <s v="RCESRE"/>
        <s v="RCMOVA"/>
        <s v="RCOGBIO"/>
        <s v="RCOGENA"/>
        <s v="RCOGRVO"/>
        <s v="RCONC01"/>
        <s v="RCOPAMP"/>
        <s v="RCUBILL"/>
        <s v="RCULEBR"/>
        <s v="RCURTIS"/>
        <s v="RDAKIN"/>
        <s v="RDGAC01"/>
        <s v="RDQ1"/>
        <s v="RDQ2"/>
        <s v="RECARRE"/>
        <s v="RECMED"/>
        <s v="RECOBAR"/>
        <s v="RECOC01"/>
        <s v="REEM20"/>
        <s v="REGBRE"/>
        <s v="REGPE3"/>
        <s v="RELUC01"/>
        <s v="REMIC01"/>
        <s v="RENCE"/>
        <s v="RENMAN"/>
        <s v="RENUC01"/>
        <s v="REPC01"/>
        <s v="REPEC01"/>
        <s v="REPFOTV"/>
        <s v="REPPLL"/>
        <s v="REPR"/>
        <s v="REPRC01"/>
        <s v="REROQUE"/>
        <s v="RESIAME"/>
        <s v="RESOLAR"/>
        <s v="RESSEC"/>
        <s v="REUSC01"/>
        <s v="REXTRA"/>
        <s v="REYSC01"/>
        <s v="RFBILOG"/>
        <s v="RFDETIC"/>
        <s v="RFEGED"/>
        <s v="RFNEXU"/>
        <s v="RFUENP"/>
        <s v="RFVALDE"/>
        <s v="RGAME"/>
        <s v="RGECASA"/>
        <s v="RGEDES"/>
        <s v="RIDAGST"/>
        <s v="RINUSA"/>
        <s v="RIOANTI"/>
        <s v="RISLON"/>
        <s v="RIVAC01"/>
        <s v="RIVAV01"/>
        <s v="RLALOM"/>
        <s v="RMARINA"/>
        <s v="RMERU"/>
        <s v="RMNEXU"/>
        <s v="RMSVGA"/>
        <s v="RMU1"/>
        <s v="RNAVARA"/>
        <s v="RNSAC01"/>
        <s v="ROFEC01"/>
        <s v="ROFENV1"/>
        <s v="ROFENV2"/>
        <s v="ROLEIC"/>
        <s v="RONDC01"/>
        <s v="RPAME"/>
        <s v="RPCABAN"/>
        <s v="RPEEXXI"/>
        <s v="RPEONUR"/>
        <s v="RPGUIZ"/>
        <s v="RPHCCUR"/>
        <s v="RPIBCUR"/>
        <s v="RPREZO"/>
        <s v="RPSQC01"/>
        <s v="RPTRTAR"/>
        <s v="RPUEBLA"/>
        <s v="RQUINA"/>
        <s v="RRBIOCO"/>
        <s v="RREBIOA"/>
        <s v="RRENDIJ"/>
        <s v="RRUICES"/>
        <s v="RSAICA"/>
        <s v="RSMUNAV"/>
        <s v="RSMURFT"/>
        <s v="RSOGAM"/>
        <s v="RSOGBI"/>
        <s v="RSPAC01"/>
        <s v="RSPEC01"/>
        <s v="RSPRC01"/>
        <s v="RTFTPZB"/>
        <s v="RTIRCA"/>
        <s v="RTIRMA"/>
        <s v="RUCBIO1"/>
        <s v="RUCBIO2"/>
        <s v="RUCESP"/>
        <s v="RURBA"/>
        <s v="RURBAS"/>
        <s v="RURBZA"/>
        <s v="RVACARI"/>
        <s v="RVERALC"/>
        <s v="RVGARR"/>
        <s v="RVGRECA"/>
        <s v="RVJEREZ"/>
        <s v="RVSEDAE"/>
        <s v="RWESZN"/>
        <s v="RYCEG"/>
        <s v="RYEEXXI"/>
        <s v="RYEGLE"/>
        <s v="RYEONUR"/>
        <s v="RYGEMSL"/>
        <s v="RYGENER"/>
        <s v="RYGESTE"/>
        <s v="RYGNRA"/>
        <s v="RYGNSUR"/>
        <s v="RYHCCUR"/>
        <s v="RYIBCUR"/>
        <s v="RYNEXU"/>
        <s v="RYTERSA"/>
        <s v="RYWMARK"/>
        <s v="RZABAL"/>
        <s v="SAGU1"/>
        <s v="SAGU2"/>
        <s v="SAGU3"/>
        <s v="SAHKC01"/>
        <s v="SAICA1"/>
        <s v="SAICA2"/>
        <s v="SAICA3"/>
        <s v="SAICA4"/>
        <s v="SAIMC01"/>
        <s v="SALPC01"/>
        <s v="SALVAR"/>
        <s v="SAMAC01"/>
        <s v="SAMEC01"/>
        <s v="SAMPC01"/>
        <s v="SAN1"/>
        <s v="SANDA2"/>
        <s v="SANDA3"/>
        <s v="SANDAS"/>
        <s v="SAPIC01"/>
        <s v="SARSOL"/>
        <s v="SASTE1A"/>
        <s v="SASTE1B"/>
        <s v="SASTEXO"/>
        <s v="SATSC01"/>
        <s v="SBC01"/>
        <s v="SBEU"/>
        <s v="SBO3"/>
        <s v="SCAMP1"/>
        <s v="SCAMP2"/>
        <s v="SCAMP3"/>
        <s v="SCAMP4"/>
        <s v="SCAMP5"/>
        <s v="SCRUC01"/>
        <s v="SECOCP3"/>
        <s v="SECOVP3"/>
        <s v="SECPCX1"/>
        <s v="SECPVX1"/>
        <s v="SEDAC01"/>
        <s v="SEELC01"/>
        <s v="SENEC01"/>
        <s v="SENFV1"/>
        <s v="SERVC01"/>
        <s v="SESAC01"/>
        <s v="SESAHID"/>
        <s v="SESAR01"/>
        <s v="SESAUX"/>
        <s v="SESAWIN"/>
        <s v="SESBIO4"/>
        <s v="SESBIO5"/>
        <s v="SESBIO7"/>
        <s v="SESBIO9"/>
        <s v="SESOL"/>
        <s v="SESPV04"/>
        <s v="SESPV05"/>
        <s v="SEXTC01"/>
        <s v="SEZUELA"/>
        <s v="SFA1"/>
        <s v="SFA2"/>
        <s v="SFADCA1"/>
        <s v="SFECAB"/>
        <s v="SFERA"/>
        <s v="SGCANO"/>
        <s v="SGTSMOR"/>
        <s v="SHEECP3"/>
        <s v="SHEENX"/>
        <s v="SHEEVP3"/>
        <s v="SHEPV01"/>
        <s v="SHEPV02"/>
        <s v="SHEPV03"/>
        <s v="SHEPV04"/>
        <s v="SHEPV05"/>
        <s v="SHEPV06"/>
        <s v="SHEPV07"/>
        <s v="SHEPV08"/>
        <s v="SHEPV09"/>
        <s v="SHEPV10"/>
        <s v="SHEPV11"/>
        <s v="SHEPV12"/>
        <s v="SHEPV13"/>
        <s v="SHEPV14"/>
        <s v="SHEPV15"/>
        <s v="SHEPV16"/>
        <s v="SHEPV17"/>
        <s v="SHEPV18"/>
        <s v="SHEPV19"/>
        <s v="SHEPV20"/>
        <s v="SHEPV21"/>
        <s v="SHEPV22"/>
        <s v="SHEPV23"/>
        <s v="SHEPV24"/>
        <s v="SHEPV25"/>
        <s v="SHEPV26"/>
        <s v="SHEPV27"/>
        <s v="SHEPV28"/>
        <s v="SHEPV29"/>
        <s v="SHEPV30"/>
        <s v="SHEPV32"/>
        <s v="SHEPV33"/>
        <s v="SHEPV34"/>
        <s v="SHIQIA"/>
        <s v="SIGMU"/>
        <s v="SIGNC01"/>
        <s v="SIL"/>
        <s v="SILB"/>
        <s v="SILOC01"/>
        <s v="SIMPV01"/>
        <s v="SISLA"/>
        <s v="SKISSO"/>
        <s v="SLTB"/>
        <s v="SLTG"/>
        <s v="SMAJADA"/>
        <s v="SMARCP3"/>
        <s v="SMARVP3"/>
        <s v="SMASOL1"/>
        <s v="SMGCP3"/>
        <s v="SMGVP3"/>
        <s v="SMILANO"/>
        <s v="SNARA"/>
        <s v="SNIAC01"/>
        <s v="SNICOG"/>
        <s v="SOECC01"/>
        <s v="SOL2"/>
        <s v="SOLANAS"/>
        <s v="SOLFC01"/>
        <s v="SOLGEN"/>
        <s v="SOLINZA"/>
        <s v="SOLLC01"/>
        <s v="SOLRED"/>
        <s v="SOLTC01"/>
        <s v="SOLVAYM"/>
        <s v="SOLWC01"/>
        <s v="SOLWEJU"/>
        <s v="SOLWESO"/>
        <s v="SOMEC01"/>
        <s v="SOMENFV"/>
        <s v="SOMRE_F"/>
        <s v="SOMRE_H"/>
        <s v="SONEC01"/>
        <s v="SONES"/>
        <s v="SOPAG"/>
        <s v="SOPRC01"/>
        <s v="SORXC01"/>
        <s v="SPBBC01"/>
        <s v="SPCKC01"/>
        <s v="SPEEXXI"/>
        <s v="SPEONUR"/>
        <s v="SPGGC01"/>
        <s v="SPHCCUR"/>
        <s v="SPIBCUR"/>
        <s v="SPINC01"/>
        <s v="SPLEX"/>
        <s v="SPRS5"/>
        <s v="SPRS6"/>
        <s v="SPRS7"/>
        <s v="SPRS8"/>
        <s v="SPRS9"/>
        <s v="SPSAETI"/>
        <s v="SREFV1"/>
        <s v="SRI3"/>
        <s v="SRI4"/>
        <s v="SRI5"/>
        <s v="SROQ1"/>
        <s v="SROQ2"/>
        <s v="SRVGC01"/>
        <s v="SRVIC01"/>
        <s v="SSEECP3"/>
        <s v="SSEEVP3"/>
        <s v="SSOMA"/>
        <s v="ST4"/>
        <s v="STAQC01"/>
        <s v="STC4"/>
        <s v="STHEEN1"/>
        <s v="STHEEN2"/>
        <s v="STHELI1"/>
        <s v="STHELI2"/>
        <s v="STINC01"/>
        <s v="STOC01"/>
        <s v="STROC01"/>
        <s v="STSANSO"/>
        <s v="STSLPRO"/>
        <s v="STSOLA1"/>
        <s v="STSOLA2"/>
        <s v="STSOLB1"/>
        <s v="STSOLB2"/>
        <s v="STSOLB3"/>
        <s v="STSOLB6"/>
        <s v="STSOLN1"/>
        <s v="STSOLN3"/>
        <s v="STSOLN4"/>
        <s v="STSOLUC"/>
        <s v="STUBOS"/>
        <s v="STVILLE"/>
        <s v="SUCAC01"/>
        <s v="SULAC01"/>
        <s v="SUMAC01"/>
        <s v="SUNAC01"/>
        <s v="SUNCC01"/>
        <s v="SUNFC01"/>
        <s v="SUNHC01"/>
        <s v="SUNPC01"/>
        <s v="SWAPC01"/>
        <s v="SYEEXXI"/>
        <s v="SYENC01"/>
        <s v="SYEONUR"/>
        <s v="SYGNSUR"/>
        <s v="SYHCCUR"/>
        <s v="SYIBCUR"/>
        <s v="T1CEG"/>
        <s v="TACOR"/>
        <s v="TAE2COG"/>
        <s v="TAE3COG"/>
        <s v="TAE4COG"/>
        <s v="TAE5COG"/>
        <s v="TAE6COG"/>
        <s v="TAE7COG"/>
        <s v="TAEEXXI"/>
        <s v="TAFRICA"/>
        <s v="TAJB"/>
        <s v="TAJO"/>
        <s v="TALEC01"/>
        <s v="TALGC01"/>
        <s v="TAMIZAL"/>
        <s v="TAMPOC"/>
        <s v="TANB"/>
        <s v="TANTEX"/>
        <s v="TAPOWER"/>
        <s v="TARATO"/>
        <s v="TARCILL"/>
        <s v="TARTABR"/>
        <s v="TATLROS"/>
        <s v="TATOM"/>
        <s v="TAUTC01"/>
        <s v="TAZGUAL"/>
        <s v="TAZUCA2"/>
        <s v="TAZUCAR"/>
        <s v="TAZULME"/>
        <s v="TBANER"/>
        <s v="TBANY"/>
        <s v="TBEFESA"/>
        <s v="TBESOS"/>
        <s v="TBIEMTE"/>
        <s v="TBIOBG"/>
        <s v="TBIOCL"/>
        <s v="TBIOEC"/>
        <s v="TBLANSA"/>
        <s v="TBOIRO"/>
        <s v="TBOREME"/>
        <s v="TBORGES"/>
        <s v="TBPREF1"/>
        <s v="TBPREF2"/>
        <s v="TBUNGE"/>
        <s v="TBUTARQ"/>
        <s v="TBUTETE"/>
        <s v="TCANAIS"/>
        <s v="TCAPSA"/>
        <s v="TCAVLO"/>
        <s v="TCELISI"/>
        <s v="TCELVSI"/>
        <s v="TCEMO"/>
        <s v="TCEPMSI"/>
        <s v="TCEPUSI"/>
        <s v="TCERMA"/>
        <s v="TCHAPEL"/>
        <s v="TCHPAGR"/>
        <s v="TCIBCUR"/>
        <s v="TCJVIL"/>
        <s v="TCOALSA"/>
        <s v="TCOBUR"/>
        <s v="TCOGNA"/>
        <s v="TCOLSEM"/>
        <s v="TCONOR"/>
        <s v="TCOOSU2"/>
        <s v="TCOOSUR"/>
        <s v="TCOPAQ"/>
        <s v="TCORCOG"/>
        <s v="TCOREY"/>
        <s v="TCOVAP"/>
        <s v="TCRNOR"/>
        <s v="TCRUCES"/>
        <s v="TCTAULE"/>
        <s v="TCUALIN"/>
        <s v="TCUTOLE"/>
        <s v="TDEDRE"/>
        <s v="TDEEXXI"/>
        <s v="TDERMO"/>
        <s v="TDIBCUR"/>
        <s v="TDNEXU"/>
        <s v="TDONOST"/>
        <s v="TEBLLRB"/>
        <s v="TECKER"/>
        <s v="TECLAS"/>
        <s v="TECONAV"/>
        <s v="TEDARUB"/>
        <s v="TEES"/>
        <s v="TEGASN"/>
        <s v="TEGBREN"/>
        <s v="TEITOL"/>
        <s v="TELPOZO"/>
        <s v="TEMASA"/>
        <s v="TENCRI"/>
        <s v="TENDC01"/>
        <s v="TENERCO"/>
        <s v="TEOTC01"/>
        <s v="TEPCSA"/>
        <s v="TERE"/>
        <s v="TERMLNO"/>
        <s v="TERMOAR"/>
        <s v="TERSC01"/>
        <s v="TESJOAN"/>
        <s v="TESNELA"/>
        <s v="TESTEL"/>
        <s v="TEUROAT"/>
        <s v="TEV2C01"/>
        <s v="TEVIC01"/>
        <s v="TEXZC01"/>
        <s v="TFARMHI"/>
        <s v="TFASESA"/>
        <s v="TFEGED"/>
        <s v="TFEIRA"/>
        <s v="TFENAMU"/>
        <s v="TFERRE"/>
        <s v="TFERT1"/>
        <s v="TFGASN"/>
        <s v="TFGEGS1"/>
        <s v="TFGEMAS"/>
        <s v="TFIBGES"/>
        <s v="TFIBR"/>
        <s v="TFINPEL"/>
        <s v="TFINS2"/>
        <s v="TFINSA"/>
        <s v="TFLUBRB"/>
        <s v="TFNEXU"/>
        <s v="TFOREST"/>
        <s v="TFREPP"/>
        <s v="TFREPP2"/>
        <s v="TFRIGN"/>
        <s v="TFSAMP"/>
        <s v="TFSEDAE"/>
        <s v="TFUDEP"/>
        <s v="TGALES"/>
        <s v="TGARFER"/>
        <s v="TGBSC01"/>
        <s v="TGCOOSU"/>
        <s v="TGEC"/>
        <s v="TGECAS"/>
        <s v="TGEMOT"/>
        <s v="TGIRCO"/>
        <s v="TGIRSA"/>
        <s v="TGRESP"/>
        <s v="TGRIFOL"/>
        <s v="TGST148"/>
        <s v="TGST149"/>
        <s v="TGST188"/>
        <s v="TGST229"/>
        <s v="TGYEC01"/>
        <s v="TGYER01"/>
        <s v="THARIM"/>
        <s v="THCTUDE"/>
        <s v="THELC01"/>
        <s v="THERC01"/>
        <s v="THUNOS"/>
        <s v="TICO"/>
        <s v="TIGALC"/>
        <s v="TIGALT"/>
        <s v="TIGCOR"/>
        <s v="TIGERE"/>
        <s v="TIGTUR"/>
        <s v="TIGVOL"/>
        <s v="TINDIP"/>
        <s v="TINGARO"/>
        <s v="TINMAL"/>
        <s v="TINROKO"/>
        <s v="TIRCC01"/>
        <s v="TJEB"/>
        <s v="TJEG"/>
        <s v="TKERAB"/>
        <s v="TLARODA"/>
        <s v="TLATINF"/>
        <s v="TLCMC01"/>
        <s v="TLCRC01"/>
        <s v="TLEITZA"/>
        <s v="TLLERPR"/>
        <s v="TMARDG"/>
        <s v="TMARE"/>
        <s v="TMARIG"/>
        <s v="TMARTIA"/>
        <s v="TMBPE"/>
        <s v="TMEH"/>
        <s v="TMGAL"/>
        <s v="TMIRALP"/>
        <s v="TMORON"/>
        <s v="TMOVIAL"/>
        <s v="TMOVIAS"/>
        <s v="TMOYGI"/>
        <s v="TNCA"/>
        <s v="TNEOFP"/>
        <s v="TNEORAN"/>
        <s v="TNEOROD"/>
        <s v="TNEOSC"/>
        <s v="TNESEP"/>
        <s v="TNESGI"/>
        <s v="TNOEL"/>
        <s v="TNPCE"/>
        <s v="TNSA"/>
        <s v="TNUCE"/>
        <s v="TOECC01"/>
        <s v="TOFGE"/>
        <s v="TOLEPU"/>
        <s v="TOLEXTR"/>
        <s v="TOMMC01"/>
        <s v="TOREC01"/>
        <s v="TOREMB"/>
        <s v="TORIA"/>
        <s v="TORTE01"/>
        <s v="TOTEC01"/>
        <s v="TOTGCP3"/>
        <s v="TOTGVP3"/>
        <s v="TPAARA"/>
        <s v="TPALAC"/>
        <s v="TPAMEC"/>
        <s v="TPANTA"/>
        <s v="TPAPRI"/>
        <s v="TPAPRI1"/>
        <s v="TPAYCA"/>
        <s v="TPCOGE"/>
        <s v="TPCOGEN"/>
        <s v="TPCOVI"/>
        <s v="TPEEXXI"/>
        <s v="TPEONUR"/>
        <s v="TPERSAN"/>
        <s v="TPFEN"/>
        <s v="TPGUIZ"/>
        <s v="TPHCCUR"/>
        <s v="TPIBCUR"/>
        <s v="TPIBGES"/>
        <s v="TPIERO"/>
        <s v="TPLACG"/>
        <s v="TPLAST"/>
        <s v="TPODEBO"/>
        <s v="TPYC2"/>
        <s v="TPYCE"/>
        <s v="TPYSA"/>
        <s v="TQUALI"/>
        <s v="TRADC01"/>
        <s v="TRC2"/>
        <s v="TRCD"/>
        <s v="TRECKIT"/>
        <s v="TRELECO"/>
        <s v="TREPP"/>
        <s v="TRICC01"/>
        <s v="TRIPCX1"/>
        <s v="TRIPVX1"/>
        <s v="TRL1"/>
        <s v="TRLE"/>
        <s v="TRLE1"/>
        <s v="TRODO2"/>
        <s v="TRODON"/>
        <s v="TRPCAR2"/>
        <s v="TSALIA"/>
        <s v="TSALONI"/>
        <s v="TSANTA"/>
        <s v="TSANTG"/>
        <s v="TSAVA"/>
        <s v="TSEAT"/>
        <s v="TSEPIOL"/>
        <s v="TSERVI"/>
        <s v="TSGNR"/>
        <s v="TSGNR2"/>
        <s v="TSGNR3"/>
        <s v="TSIBGES"/>
        <s v="TSIRUS"/>
        <s v="TSLQ"/>
        <s v="TSMURES"/>
        <s v="TSOGAM"/>
        <s v="TSOLC01"/>
        <s v="TSOLVAI"/>
        <s v="TSOLVAY"/>
        <s v="TSRDCP3"/>
        <s v="TSRDVP3"/>
        <s v="TSTENBA"/>
        <s v="TTABLER"/>
        <s v="TTARBA"/>
        <s v="TTBAYPO"/>
        <s v="TTCAYPA"/>
        <s v="TTECGA"/>
        <s v="TTECQU"/>
        <s v="TTFANOI"/>
        <s v="TTFCONF"/>
        <s v="TTFGALL"/>
        <s v="TTFMOTR"/>
        <s v="TTFTPSJ"/>
        <s v="TTFTPZG"/>
        <s v="TTFTREN"/>
        <s v="TTIBGES"/>
        <s v="TTINTS"/>
        <s v="TTIP"/>
        <s v="TTOLSA"/>
        <s v="TTOVAG"/>
        <s v="TTRACTA"/>
        <s v="TTRAJUN"/>
        <s v="TTROYO"/>
        <s v="TTUDELA"/>
        <s v="TUCAC01"/>
        <s v="TUELC01"/>
        <s v="TUEMADE"/>
        <s v="TUFICS"/>
        <s v="TUSARGO"/>
        <s v="TUTETEM"/>
        <s v="TUTISA"/>
        <s v="TVALPBA"/>
        <s v="TVCOMAT"/>
        <s v="TVGARR"/>
        <s v="TVGNRA2"/>
        <s v="TWAME"/>
        <s v="TWART2"/>
        <s v="TWARTS"/>
        <s v="TYAME"/>
        <s v="TYCEG"/>
        <s v="TYDETIC"/>
        <s v="TYEEXXI"/>
        <s v="TYEGLE"/>
        <s v="TYEONUR"/>
        <s v="TYESYF"/>
        <s v="TYGEMSL"/>
        <s v="TYGENER"/>
        <s v="TYGNRA"/>
        <s v="TYGNSUR"/>
        <s v="TYHCCUR"/>
        <s v="TYHCG"/>
        <s v="TYIBCUR"/>
        <s v="TYLAUE3"/>
        <s v="TYLMER"/>
        <s v="TYNEXU"/>
        <s v="TYTERSA"/>
        <s v="TYTRDB"/>
        <s v="TYWMARK"/>
        <s v="TZAME"/>
        <s v="TZAME2"/>
        <s v="UFBB"/>
        <s v="UFBG"/>
        <s v="UFGC"/>
        <s v="UFMI"/>
        <s v="UFTA"/>
        <s v="ULEA"/>
        <s v="ULSOC01"/>
        <s v="UMBRC01"/>
        <s v="UMEMC01"/>
        <s v="UNELC01"/>
        <s v="UP_COGF"/>
        <s v="UPACAC"/>
        <s v="UPACAMP"/>
        <s v="UPACAV"/>
        <s v="UPADEL"/>
        <s v="UPAGA"/>
        <s v="UPAGB"/>
        <s v="UPAIRPO"/>
        <s v="UPALAMB"/>
        <s v="UPALC1"/>
        <s v="UPALC2"/>
        <s v="UPALDEA"/>
        <s v="UPALFOZ"/>
        <s v="UPALG1"/>
        <s v="UPALG2"/>
        <s v="UPALMAN"/>
        <s v="UPALME"/>
        <s v="UPALTE2"/>
        <s v="UPALTE3"/>
        <s v="UPAMB"/>
        <s v="UPANDEL"/>
        <s v="UPANT"/>
        <s v="UPARCH2"/>
        <s v="UPARCHI"/>
        <s v="UPARCKG"/>
        <s v="UPARCOH"/>
        <s v="UPARENA"/>
        <s v="UPARN1"/>
        <s v="UPARN2"/>
        <s v="UPARN3"/>
        <s v="UPARN4"/>
        <s v="UPARRO"/>
        <s v="UPASERP"/>
        <s v="UPATOMI"/>
        <s v="UPAYM"/>
        <s v="UPBAD1"/>
        <s v="UPBAD2"/>
        <s v="UPBAD3"/>
        <s v="UPBAD4"/>
        <s v="UPBAD5"/>
        <s v="UPBAD6"/>
        <s v="UPBAD7"/>
        <s v="UPBAOB"/>
        <s v="UPBARR"/>
        <s v="UPBAYWA"/>
        <s v="UPBEL3"/>
        <s v="UPBELII"/>
        <s v="UPBELOR"/>
        <s v="UPBERRO"/>
        <s v="UPBLAN"/>
        <s v="UPBON2"/>
        <s v="UPBON3"/>
        <s v="UPBON4"/>
        <s v="UPBONPR"/>
        <s v="UPBRAZA"/>
        <s v="UPBRAZO"/>
        <s v="UPBRILE"/>
        <s v="UPBUS"/>
        <s v="UPCABEZ"/>
        <s v="UPCAM1"/>
        <s v="UPCAM5"/>
        <s v="UPCASTA"/>
        <s v="UPCENS"/>
        <s v="UPCERN"/>
        <s v="UPCERR"/>
        <s v="UPCHAM"/>
        <s v="UPCIERZ"/>
        <s v="UPCIMER"/>
        <s v="UPCONVA"/>
        <s v="UPCORAC"/>
        <s v="UPCOV1"/>
        <s v="UPCOV2"/>
        <s v="UPCOV3"/>
        <s v="UPCOV4"/>
        <s v="UPCOV5"/>
        <s v="UPCOV6"/>
        <s v="UPCUCO"/>
        <s v="UPCUE"/>
        <s v="UPCUEYA"/>
        <s v="UPDOH"/>
        <s v="UPDROS"/>
        <s v="UPDULCI"/>
        <s v="UPEBRO"/>
        <s v="UPEBROH"/>
        <s v="UPEJO"/>
        <s v="UPELVIS"/>
        <s v="UPENE01"/>
        <s v="UPENE02"/>
        <s v="UPENE03"/>
        <s v="UPERES"/>
        <s v="UPERI"/>
        <s v="UPESC1"/>
        <s v="UPESC2"/>
        <s v="UPESC3"/>
        <s v="UPESC5"/>
        <s v="UPESQUE"/>
        <s v="UPETE"/>
        <s v="UPFCENT"/>
        <s v="UPFED"/>
        <s v="UPFLOR"/>
        <s v="UPFLORI"/>
        <s v="UPFRAHI"/>
        <s v="UPFVSER"/>
        <s v="UPGAN"/>
        <s v="UPGARNA"/>
        <s v="UPGAZ1"/>
        <s v="UPGAZ2"/>
        <s v="UPGER2"/>
        <s v="UPGETES"/>
        <s v="UPGINES"/>
        <s v="UPGR025"/>
        <s v="UPGR026"/>
        <s v="UPGR027"/>
        <s v="UPGR028"/>
        <s v="UPGR029"/>
        <s v="UPGR030"/>
        <s v="UPGR031"/>
        <s v="UPGR032"/>
        <s v="UPGRIE1"/>
        <s v="UPGRIE2"/>
        <s v="UPGUARD"/>
        <s v="UPGUICO"/>
        <s v="UPGUITA"/>
        <s v="UPHOY"/>
        <s v="UPIER1"/>
        <s v="UPIER2"/>
        <s v="UPINLOS"/>
        <s v="UPJAB"/>
        <s v="UPJALON"/>
        <s v="UPJENAR"/>
        <s v="UPJORGE"/>
        <s v="UPKEN1"/>
        <s v="UPKEN3"/>
        <s v="UPKEN4"/>
        <s v="UPLAGU"/>
        <s v="UPLIT"/>
        <s v="UPLLA"/>
        <s v="UPLMP"/>
        <s v="UPLOSAN"/>
        <s v="UPLUBIA"/>
        <s v="UPLUZ1"/>
        <s v="UPLUZ2"/>
        <s v="UPLUZ3"/>
        <s v="UPLUZ4"/>
        <s v="UPLUZ5"/>
        <s v="UPLUZ6"/>
        <s v="UPLUZ7"/>
        <s v="UPLUZ8"/>
        <s v="UPMACHO"/>
        <s v="UPMADER"/>
        <s v="UPMAJAS"/>
        <s v="UPMALAB"/>
        <s v="UPMANZ1"/>
        <s v="UPMANZT"/>
        <s v="UPMAY"/>
        <s v="UPMONC"/>
        <s v="UPMONCA"/>
        <s v="UPMONEG"/>
        <s v="UPMRA"/>
        <s v="UPMUGA2"/>
        <s v="UPMUGA3"/>
        <s v="UPMUGAI"/>
        <s v="UPNAVIC"/>
        <s v="UPNIEB"/>
        <s v="UPNIEST"/>
        <s v="UPOLIVA"/>
        <s v="UPONDA"/>
        <s v="UPONDA1"/>
        <s v="UPOUBAS"/>
        <s v="UPPATO"/>
        <s v="UPPEP3"/>
        <s v="UPPICON"/>
        <s v="UPPINA"/>
        <s v="UPPINAS"/>
        <s v="UPPIRON"/>
        <s v="UPPORTI"/>
        <s v="UPPOWER"/>
        <s v="UPPRIOH"/>
        <s v="UPPTCHA"/>
        <s v="UPPTDIS"/>
        <s v="UPQLL"/>
        <s v="UPQUIJO"/>
        <s v="UPRADON"/>
        <s v="UPRASPO"/>
        <s v="UPRCIER"/>
        <s v="UPREAL3"/>
        <s v="UPREBEN"/>
        <s v="UPRETA"/>
        <s v="UPROCI1"/>
        <s v="UPROCI3"/>
        <s v="UPRODRI"/>
        <s v="UPRTD"/>
        <s v="UPRTT"/>
        <s v="UPRTU"/>
        <s v="UPSALI2"/>
        <s v="UPSERBA"/>
        <s v="UPSERRE"/>
        <s v="UPSFR"/>
        <s v="UPSJUCA"/>
        <s v="UPSLN"/>
        <s v="UPSOCO"/>
        <s v="UPSOLI"/>
        <s v="UPSOT"/>
        <s v="UPSRC"/>
        <s v="UPSSALI"/>
        <s v="UPTABER"/>
        <s v="UPTAC"/>
        <s v="UPTALAF"/>
        <s v="UPTOLOS"/>
        <s v="UPTORJ"/>
        <s v="UPTORR"/>
        <s v="UPTOSCA"/>
        <s v="UPTREG1"/>
        <s v="UPTREG2"/>
        <s v="UPTREV1"/>
        <s v="UPTREV2"/>
        <s v="UPTRUJI"/>
        <s v="UPUSE"/>
        <s v="UPVALD1"/>
        <s v="UPVALD2"/>
        <s v="UPVALD3"/>
        <s v="UPVALDE"/>
        <s v="UPVALLE"/>
        <s v="UPVENAT"/>
        <s v="UPVIL"/>
        <s v="UPVILA2"/>
        <s v="UPVIRG2"/>
        <s v="UPVIRGE"/>
        <s v="UPVISCO"/>
        <s v="UPVLEBR"/>
        <s v="UPVVILA"/>
        <s v="UPXENC"/>
        <s v="UPXENV"/>
        <s v="UPYARTE"/>
        <s v="UPYEN"/>
        <s v="UPZOR"/>
        <s v="URACC01"/>
        <s v="URAIC01"/>
        <s v="URBCC01"/>
        <s v="URBNC01"/>
        <s v="URUSC01"/>
        <s v="URVIC01"/>
        <s v="VALIC01"/>
        <s v="VALOC01"/>
        <s v="VALRC01"/>
        <s v="VAN2"/>
        <s v="VAQC01"/>
        <s v="VARAC01"/>
        <s v="VDLUC01"/>
        <s v="VECCC01"/>
        <s v="VEGFEN"/>
        <s v="VELTC01"/>
        <s v="VEMTR"/>
        <s v="VESTC01"/>
        <s v="VIEECA1"/>
        <s v="VIES"/>
        <s v="VIMC01"/>
        <s v="VINAS"/>
        <s v="VINIC01"/>
        <s v="VIOLC01"/>
        <s v="VIRGE02"/>
        <s v="VIRIC01"/>
        <s v="VIROC01"/>
        <s v="VIRTC01"/>
        <s v="VIRTGE"/>
        <s v="VIRUC01"/>
        <s v="VISC01"/>
        <s v="VISFV18"/>
        <s v="VISFV19"/>
        <s v="VISFV21"/>
        <s v="VISFV22"/>
        <s v="VISLC01"/>
        <s v="VITLC01"/>
        <s v="VITLCP3"/>
        <s v="VITLVP3"/>
        <s v="VIVOC01"/>
        <s v="VMANGM"/>
        <s v="VNLSC01"/>
        <s v="VPEL"/>
        <s v="VPFIC01"/>
        <s v="VVESC01"/>
        <s v="WATFV01"/>
        <s v="WATFV02"/>
        <s v="WATFV03"/>
        <s v="WATFV04"/>
        <s v="WATFV05"/>
        <s v="WATFV06"/>
        <s v="WATFV11"/>
        <s v="WATFV12"/>
        <s v="WATFV13"/>
        <s v="WATFV14"/>
        <s v="WATFV15"/>
        <s v="WATFV16"/>
        <s v="WATFV17"/>
        <s v="WATOC01"/>
        <s v="WAUDAX"/>
        <s v="WIBEC01"/>
        <s v="WKWC01"/>
        <s v="WMARC01"/>
        <s v="WMARCAX"/>
        <s v="YELLC01"/>
        <s v="YOURC01"/>
        <s v="ZABU"/>
        <s v="ZARA1"/>
        <s v="ZELTC01"/>
        <s v="ZERBI"/>
        <s v="ZERC01"/>
        <s v="ZEREC01"/>
        <s v="ZETAC01"/>
        <s v="ZJARVE"/>
        <s v="ZRMTC01"/>
        <s v="ZUGPC01"/>
        <s v="ZULUC01"/>
      </sharedItems>
    </cacheField>
    <cacheField name="Descrip Short" numFmtId="0">
      <sharedItems/>
    </cacheField>
    <cacheField name="Descrip Long" numFmtId="0">
      <sharedItems/>
    </cacheField>
    <cacheField name="Power MW" numFmtId="0">
      <sharedItems containsSemiMixedTypes="0" containsString="0" containsNumber="1" minValue="0" maxValue="16675.599999999999"/>
    </cacheField>
    <cacheField name="EIC Code" numFmtId="0">
      <sharedItems/>
    </cacheField>
    <cacheField name="Tech" numFmtId="0">
      <sharedItems count="31">
        <s v="Energia residual"/>
        <s v="Hydro"/>
        <s v="Supply"/>
        <s v="Coal"/>
        <s v="Natural gas"/>
        <s v="Consumo de Servicios Auxiliares"/>
        <s v="Consumos directos en mercado"/>
        <s v="Unidad instrumental internacional"/>
        <s v="CCGT"/>
        <s v="Solar PV"/>
        <s v="Cogeneration"/>
        <s v="Wind"/>
        <s v="Storage"/>
        <s v="Hydro Pump-Pump"/>
        <s v="Hydro Pump-Turb"/>
        <s v="Nuclear"/>
        <s v="Exportacion Francia"/>
        <s v="Importacion Francia"/>
        <s v="Other renewables"/>
        <s v="Biomass"/>
        <s v="Porfolio"/>
        <e v="#N/A"/>
        <s v="Hybrid"/>
        <s v="Enlace Baleares"/>
        <s v="Fuel"/>
        <s v="Exportacion Andorra"/>
        <s v="Genericas"/>
        <s v="Solar Thermal"/>
        <s v="Exportacion Marruecos"/>
        <s v="Saldo acoplamiento mercado"/>
        <s v="Importacion Marruecos"/>
      </sharedItems>
    </cacheField>
    <cacheField name="Buy-Sell" numFmtId="0">
      <sharedItems/>
    </cacheField>
    <cacheField name="Regulation Zone" numFmtId="0">
      <sharedItems/>
    </cacheField>
    <cacheField name="Sujeto del Mercado 2" numFmtId="0">
      <sharedItems/>
    </cacheField>
    <cacheField name="Tipo de UP" numFmtId="0">
      <sharedItems count="14">
        <s v="Generación"/>
        <s v="Comercializadores"/>
        <s v="Servicios auxiliares"/>
        <s v="Consum. directos a mercado"/>
        <s v="Unidad instrumental internacional"/>
        <s v="Unidades de almacenamiento"/>
        <s v="Consumo bombeo"/>
        <s v="Comercializador internacional"/>
        <s v="Unidades porfolio"/>
        <s v="Unidades hibridas"/>
        <s v="Comercializador de referencia"/>
        <s v="Enlace península baleares"/>
        <s v="Unidades genéricas"/>
        <s v="Saldo acoplamiento mercado"/>
      </sharedItems>
    </cacheField>
    <cacheField name="Sujeto del Mercado" numFmtId="0">
      <sharedItems containsMixedTypes="1" containsNumber="1" containsInteger="1" minValue="1" maxValue="1" count="703">
        <s v="AGENTE DEL MERCADO ELECTRICO"/>
        <s v="BARBO ENERGÃAS RENOVABLES S.A."/>
        <s v="ABASTE COMERCIALIZADORA"/>
        <s v="EDP"/>
        <s v="ABOUT WHITE SL"/>
        <s v="ACAPERSA 1997 SL"/>
        <s v="REE"/>
        <s v="IBERDROLA"/>
        <s v="NATURGY"/>
        <s v="ACENORCA"/>
        <s v="ELECTRICA DE CHERA"/>
        <s v="ACENHOL ENERGIA SOCIEDAD LIMITADA"/>
        <s v="ACSOL ENERGIA GLOBAL"/>
        <s v="ACTIVA ENERGIA"/>
        <s v="ADEINNOVA ENERGIA S.L"/>
        <s v="ADELFAS ENERGIA SL"/>
        <s v="ADS ENERGY 8.0 SL"/>
        <s v="ADS ENERGIA"/>
        <s v="ADURIZ ENERGIA"/>
        <s v="ADX RENOVABLES SL"/>
        <s v="ENERGY BY COGEN, S.L.U"/>
        <s v="AED ENERGÃA ELÃ‰CTRICA, S.L."/>
        <s v="W2M"/>
        <s v="COX ENERGIA COMERCIALIZADORA"/>
        <s v="AEQ W2M"/>
        <s v="AB ENERGIA 1903"/>
        <s v="AGUAS DEL MARQUESADO S.L"/>
        <s v="AGRI ENERGIA, S. A."/>
        <s v="IGNIS"/>
        <s v="REPSOL"/>
        <s v="AHORRA ENERGIA"/>
        <s v="AHORA LUZ ENERGÃA SL"/>
        <s v="COMERCIALIZADORA ELECTRICA DE TENERIFE SL"/>
        <s v="COMERCIALIZADOR"/>
        <s v="AIZEN ENERGIA SOSTENIBLE RENOVABLE"/>
        <s v="A2J ENERGIA, S.L."/>
        <s v="HIDROCARBUROS ALAHURÃN SL"/>
        <s v="AUDAX"/>
        <s v="COMERCIALIZADORA ELECTRICA DALBATARREC SLU"/>
        <s v="LIDERA COMERCIALIZADORA ENERGIA SL"/>
        <s v="ALCANZIA ENERGIA"/>
        <s v="ALRERAAN ENERGIA SLU"/>
        <s v="ALDEFE COMERCIALIZADORA DE ENE"/>
        <s v="ALPIQ"/>
        <s v="ALDROENERGIA Y SOLUCIONES SL"/>
        <s v="COMERCIALIZADORA SUMINISTRO ES"/>
        <s v="GNERA"/>
        <s v="ALIO ENERGIA S.L."/>
        <s v="ALUMINIOS DEL MAESTRE"/>
        <s v="ALPEX IBERICA DE ENERGIA SL"/>
        <s v="ALQUILER SEGURO ENERGIA SA"/>
        <s v="ALSET COMERCIALIZADORA"/>
        <s v="ALUZ ENERGIA ELECTRICA"/>
        <s v="AHORRELUZ"/>
        <s v="COMERCIALIZADORA DE ENERGIAS RENOVABLES Y DE SERVICIOS DE LUZ AMA Y GAS ZON, SOCIEDAD LIMITADA"/>
        <s v="BIZCAIA ENERGIA"/>
        <s v="FORZAVSUNAIR"/>
        <s v="AMPERIOS ENERGY TRADE"/>
        <s v="AMPERE ENERGY COMERCIALIZADORA Y SERVICIOS ENERGETICOS, SRL"/>
        <s v="ANGLER ENERGIA, S.L."/>
        <s v="ANIMA"/>
        <s v="ANTEA ENERGIA COMERCIALIZADORA"/>
        <s v="ANTUKO ENERGÃA, S.L"/>
        <s v="APOLO BUSINESS SL"/>
        <s v="APRESTOS DE LANERIA SA"/>
        <s v="AUSARTA PRIMA"/>
        <s v="ARACAN ENERGIA SL"/>
        <s v="CHPED"/>
        <s v="ARASOL"/>
        <s v="ARGIMODE SL"/>
        <s v="COLABORA ENERGIA-ARGUS"/>
        <s v="CEPSA"/>
        <s v="ENDESA"/>
        <s v="ASISTENCIA ENERGÃ‰TICA S.L."/>
        <s v="ASSEN ENERGY, S.L."/>
        <s v="ATURAGUA"/>
        <s v="ASTRALCAD ENERGIA S.L."/>
        <s v="ATENCO ENERGIA"/>
        <s v="ATLAS ENERGIA COMERCIAL"/>
        <s v="ATP ENERGIA SL"/>
        <s v="ATRIA INVERSIONES ENERGÍA SL"/>
        <s v="AYUNTAMIENTO DE AVILES"/>
        <s v="AXPO"/>
        <s v="AYLUZ COMERCIALIZADORA"/>
        <s v="BACAICOA"/>
        <s v="BBEL CCGT"/>
        <s v="BASKONIA KIROL HIRIA SLU"/>
        <s v="ELECBALEAR SL"/>
        <s v="BALEIKE"/>
        <s v="LONJAS TECNOLOGIA S.A."/>
        <s v="ELECTRICIDAD ELEIA SL"/>
        <s v="BASSOLS ENERGIA COMERCIAL,S.L."/>
        <s v="BEROIL ENERGIA ELECTRICA"/>
        <s v="HISPANO TEX"/>
        <s v="LUZYGAS IBERIA SL"/>
        <s v="HIDROJERTE"/>
        <s v="BESPIN ENERGIA SL"/>
        <s v="BEST OPTION ENERGY, S.L."/>
        <s v="COMERCIALIZADORA LUZIA ENERGIA"/>
        <s v="BIODIESEL ARAGON"/>
        <s v="BIROU GAS SL"/>
        <s v="RESPIRA ENERGIA"/>
        <s v="BON PREU SAU"/>
        <s v="BOAENERGETICA 2000, S.L."/>
        <s v="BP GAS EUROPE"/>
        <s v="IBERICA IMPULSA, S.L"/>
        <s v="BSG ENERGIA"/>
        <s v="BY ENERGYC ENERGIA EFICIENTE"/>
        <s v="CANDELA ENERGÃA SL"/>
        <s v="CALERA DE ALTZO"/>
        <s v="ENERGIAS DE LA VILLA DE CAMPO COMERCIALIZADORA SLU"/>
        <s v="MOLECOR CANALIZACIONES S.L"/>
        <s v="CAPTURA ENERGIA SL"/>
        <s v="CASAT"/>
        <s v="CATGAS ENERGIA S.A"/>
        <s v="TRISOLARIS AG"/>
        <s v="ELECTRICA CATRALENSE SLU"/>
        <s v="COMERCAST ENERGIAS, SL"/>
        <s v="COOP. ELECT. CATRALENSE"/>
        <s v="CONSUMIDOR DIRECTO DE MERCADO"/>
        <s v="COOPERATIVA ELÃ‰CTRICA-BENÃ‰FICA"/>
        <s v="COOP ELECTR DE CASTELLAR, S.CV"/>
        <s v="COMERCIALIZADORA DE ENERGIA DIRECTA SL"/>
        <s v="ESCANDINAVA DE ELECTRICIDAD"/>
        <s v="ENERGYA"/>
        <s v="CELLTECH S.L.U"/>
        <s v="CELSA"/>
        <s v="CEMENTO SOLAR SPAIN S.L"/>
        <s v="ELECTRACOMERCIAL CENTELLES"/>
        <s v="COMERCIALIZADORA ELECTRICA PENINSULAR"/>
        <s v="ZERMATT POWER, SL"/>
        <s v="COMERC ELECTRICA TALAYUELAS"/>
        <s v="RECICLAJES ECOLGICOS CHANDUY"/>
        <s v="CIDE HCENERGÃA, S.A."/>
        <s v="CHC COMERCIAL DE REFERENCIA"/>
        <s v="CHURCH ENERGY, S.L."/>
        <s v="E. DE SOT DE CHERA, SOC. COOP"/>
        <s v="COMERCIALIZADORA LA CHISTABINA"/>
        <s v="PRODUCTOS  CHURRUCA"/>
        <s v="STIN SA"/>
        <s v="CIMA ENERGIA COMERCIALIZADORA"/>
        <s v="TOTAL"/>
        <s v="CLEARVIEW ENERGY"/>
        <s v="HOLALUZ"/>
        <s v="ALTA COMERCIALIZADOR"/>
        <s v="ELECTRICA DE GUADASSUAR, S.C.V"/>
        <s v="FUTURA"/>
        <s v="COMPAÑÍA CASTELLANA DE COMERCIALIZACION ELECTRICA"/>
        <s v="COMERCIALIZADORA DE ENERGÍA TRANSPARENTE, S.L."/>
        <s v="CONECTA2"/>
        <s v="CONSULTING AND MANAGEMENT GREEN ENERGY"/>
        <s v="TUNERGIA"/>
        <s v="URANOSCOPIDAE V ENERGIA S.L."/>
        <s v="CORPOLUX"/>
        <s v="FENIE ENERGIA"/>
        <s v="CRCES"/>
        <s v="CREAENERGIA ECO, S.L.U"/>
        <s v="CRECE SOLUCIONES DE ENERGIA"/>
        <s v="ENGIE"/>
        <s v="CUNTIENSE COMERCIALIZADORA"/>
        <s v="CUPIRE PADESA S.L"/>
        <s v="CUVER DESTELLA ENERGIA, SL."/>
        <s v="CYDAE"/>
        <s v="CYE ENERGÃA S.L."/>
        <s v="CONSORCIO ZONA FRANCA DE VIGO"/>
        <s v="DAIMUZ ENERGIA SL"/>
        <s v="PIENSOS DARUZ"/>
        <s v="DEBARU"/>
        <s v="DEPOA"/>
        <s v="DUFERCO ENERGIA S.P.A."/>
        <s v="DISA ENERGIA ELECTRICA SL"/>
        <s v="DILUZ COMERCIALIZADORA DE ELECTRICIDAD S.L."/>
        <s v="DIPUTACION DE BADAJOZ"/>
        <s v="DIRECT GREEN S.L"/>
        <s v="DIVICONSULTING ENERGIA COMERCIALIZADORA"/>
        <s v="ENERGÃ‰TICA DEL ESTE SL"/>
        <s v="CALERA DOLOMITAS"/>
        <s v="DON BELTRAN MARKET, S.L."/>
        <s v="DEEPKI ESPAÃ‘A SL"/>
        <s v="DREUE AGRUPACION S L"/>
        <s v="DRK ENERGY COMERCIALIZADORA"/>
        <s v="3D SMART ENERGY SL"/>
        <s v="DUEROLUZ ENERGIA"/>
        <s v="DXT COMMODITIES SA"/>
        <s v="DX COMERCIALIZADORA"/>
        <s v="DYNEFF ESPAÃ‘A SL"/>
        <s v="ACCIONA"/>
        <s v="NEXUS"/>
        <s v="ELECTRICA DE ALBATERENSE, S.L"/>
        <s v="ELECTRICITAT DALMENAR SL."/>
        <s v="P. E. DEL ALTIPLANO"/>
        <s v="ELECTRA ALTO MIÃ‘O COMERCIALIZA"/>
        <s v="ELECTRICA ANTONIO MADRID"/>
        <s v="P.E. BECERRIL S.L."/>
        <s v="COOP. ELECT. NTRA. SRA. GRACIA"/>
        <s v="EBROENERGIA COMERCIALIZADORA SL"/>
        <s v="18XBURGE-1234--I"/>
        <s v="DISTRIBUIDORA ELÃ‰CTRICA DE CATOIRA, S.A"/>
        <s v="ELECTRICA DE CADIZ"/>
        <s v="ELECTRA DEL CARDENER ENERGIA"/>
        <s v="ECO NUEVOS DESARROLLOS"/>
        <s v="ECOFUTURA LUZ ENERGIA"/>
        <s v="ENERGÃA COLECTIVA"/>
        <s v="ECONACTIVA SCOOP. DE C-LM"/>
        <s v="ECOTHERMIC XXI, SOCIEDAD LIMITADA"/>
        <s v="ECOVERGY RENOVABLES"/>
        <s v="ELECTRICA DE CALLOSA DE SEGURA"/>
        <s v="EDFA CASABLANCA"/>
        <s v="COOP.ELECTRICA SERRALLO"/>
        <s v="EDF TRADING LTD"/>
        <s v="ENERGIA ELECTRICA EFICIENTE SL"/>
        <s v="ENCE"/>
        <s v="ELECTRA ENERGIA S.A.U."/>
        <s v="ENERGY FACTORY GROUP S.L."/>
        <s v="EFI-DUERO ENERGY SOCIEDAD COOPERATIVA EUROPEA LIMITADA"/>
        <s v="ENERXIA GALEGA MAIS"/>
        <s v="ENERGAZE"/>
        <s v="E GUIXES ENERGIA"/>
        <s v="ENERGREEN MOBILITY S.L"/>
        <s v="GESTERNOVA"/>
        <s v="HELIA COOPV"/>
        <s v="ENERGY INDEX SL"/>
        <s v="ENERGY INTERSOL 15"/>
        <s v="EKHIN"/>
        <s v="ELALG"/>
        <s v="ELECTRA AVELLANA COMERCIAL, S."/>
        <s v="ELECTRICA BENASQUE SL"/>
        <s v="ELECTRA CALDENSE ENERGÃA, S.A."/>
        <s v="ELECNOVA"/>
        <s v="ELEK COMERCIALIZADORA"/>
        <s v="COMERCIALIZADORA ELECTRICA SUD"/>
        <s v="ELITE BIOENERGÃA S.L."/>
        <s v="COM ELECTRICA MONTOLIU"/>
        <s v="ELECTRICA POPULAR, S. COOP."/>
        <s v="ELECTED ENERGY"/>
        <s v="E-LUZ ENERGY SOLUTIONS, S.L."/>
        <s v="ELEVA 2 COMERCIALIZADORA"/>
        <s v="ELEVA UNO COMERCIALIZADORA"/>
        <s v="RENOMAR"/>
        <s v="ELECTRICA DE MELIANA"/>
        <s v="EMILIO ESTEBAN S.A"/>
        <s v="ENERMIA COMERCIALIZADORA ELECTRICA S.L."/>
        <s v="18XMIRAS-12345-9"/>
        <s v="ENARA GESTION Y MEDIACION SL"/>
        <s v="ENCIENDETENERGIA, S.L."/>
        <s v="ENERGIAS DE ESCARRILLA SL"/>
        <s v="ENDI ENERGIA"/>
        <s v="ENERGETICA HOTELERA"/>
        <s v="ENERGIAS DE PANTICOSA COMERCIALIZADORA"/>
        <s v="ENERGIA UNICA SOLUCIONES INTEGRALES SL"/>
        <s v="ENERGIAREA EUROPE SL"/>
        <s v="ENERFIA"/>
        <s v="ENEPL"/>
        <s v="ENERGY SOLAR TECH S.L"/>
        <s v="ENERTIA GROUP, S. L."/>
        <s v="ENEX SOCIAL ENERGY SL"/>
        <s v="ENERGIA ECOLOGICA ECONOMICA"/>
        <s v="ENERGIA NUFRI"/>
        <s v="ENGEL COMERCIALIZADORA SL"/>
        <s v="COMERCIALIZADORA DEL MEDITERRANEO"/>
        <s v="ENERPLUS ENERGIA"/>
        <s v="ENTECO PHARMA"/>
        <s v="ENERKORE S COOP PEQUEÃ‘A"/>
        <s v="ENERGIAS RENOVADORAS SL"/>
        <s v="SUJETO ENERPLUS"/>
        <s v="ENERGY SAVE PROYECTS"/>
        <s v="FABRICA HILOS TEXTILES"/>
        <s v="ENERVER ENERGIA"/>
        <s v="ENTECO EXTREMADURA"/>
        <s v="ENERGIAS DEL ZINQUETA COMERCIALIZADORA SLU"/>
        <s v="REGISITI COM. REGULADA"/>
        <s v="ENERGIA OPERATIVA"/>
        <s v="EPAC COMERCIALIZADORA"/>
        <s v="HIDROCANTABRICO ULTIMO RECURSO"/>
        <s v="ESTAMPACIONES METALICAS EPILA"/>
        <s v="EPRESA ENERGIA S.A.U."/>
        <s v="ELECTROROUTE ENERGY TRADING LD"/>
        <s v="ENEDJ"/>
        <s v="ESTABANELL Y PAHISA MERCATOR"/>
        <s v="INGEBAU SOLUCIONES DE MEDIDA"/>
        <s v="GESTION DE ENERGIA Y MERCADOS"/>
        <s v="ESTACION AUTOBUSES ZARAGOZA"/>
        <s v="ESDOMO ENERGÃA SL"/>
        <s v="SOCIÉTÉ EUROPÉENNE DE GESTION DE L'ENERGIE S.A."/>
        <s v="ELECTRICA SEROSENSE"/>
        <s v="HANWHA"/>
        <s v="EVERSHINING ENERGY, SOCIEDAD LIMITADA"/>
        <s v="ELTES"/>
        <s v="ETER ENERGIA SL"/>
        <s v="ENERGY TRADER SOLUTIONS SL"/>
        <s v="SUMINISTROS DE GAS Y LUZ EUROPA COMERCIALIZADORA"/>
        <s v="ENERGIA VIVA SPAIN SL"/>
        <s v="EXPO CENTER BMC, SL"/>
        <s v="ENERGIA Y COMERCIALIZACION EMPRESARIAL SL"/>
        <s v="ISABA"/>
        <s v="GEOATLANTER S.L."/>
        <s v="FASTLIGHT S.L"/>
        <s v="SOLARIA"/>
        <s v="FLUID ELECTRIC CAMPRODON II S"/>
        <s v="FORCES ELECTRIQUES D ANDORRA"/>
        <s v="FEED ENERGIA"/>
        <s v="LA UNIÃ“N ELECTRO INDUSTRIAL, S"/>
        <s v="FEMCV"/>
        <s v="RESPIRA ESPAÃ‘A"/>
        <s v="FLAMAGAS LLINARS SLU"/>
        <s v="HORNO INDUSTRIAL DE PAN"/>
        <s v="OPPIDUM"/>
        <s v="GRANDES CONSUM. INDUSTR. S.L."/>
        <s v="FOX ENERGIA"/>
        <s v="FRANK ENERGIA IBERIA, S.L."/>
        <s v="REPCOM EYG"/>
        <s v="FORESTA TERRENOS"/>
        <s v="FORTULUZ COMERCIALIZACION"/>
        <s v="FUKAMI S.L."/>
        <s v="VITA ENERGY CONSULTING SL"/>
        <s v="AE3000 AGENT COMERCIALIZADOR S"/>
        <s v="GLOBAL SOLAR ENERGY, S.A."/>
        <s v="PLANTA SOLAR HELIOS I, S.L."/>
        <s v="SHELL"/>
        <s v="TRACTAMENT I SELECCIO DE RESID"/>
        <s v="GABA COMERCIALIZADORA DE ELECTRICIDAD SLU"/>
        <s v="GAIA GLOBAL ENERGY SL"/>
        <s v="IBERELECTRICA COMERCIALIZADORA"/>
        <s v="GALP"/>
        <s v="GAMBASTAR S.L"/>
        <s v="GAMBITOENERGY, S.L."/>
        <s v="GANA ENERGIA"/>
        <s v="GAVIPLAS"/>
        <s v="GLOBAL BIOSFERA ENERGIA"/>
        <s v="GC2 PROYECTOS"/>
        <s v="GASELEC DIVERSIFICACION SL"/>
        <s v="XENERA COMPAÃ‘ÃA ELÃ‰CTRICA S.A."/>
        <s v="FABRICA GEISA"/>
        <s v="GEOAL"/>
        <s v="GEO LUZ Y GAS SLU"/>
        <s v="ENERGY WORKS CARTAGENA, S.L."/>
        <s v="GESTINER INGENIEROS, S.L."/>
        <s v="GERENCIA ENERGETICA"/>
        <s v="GESTIONNA"/>
        <s v="GDF SUEZ TRADING"/>
        <s v="GAZPROM MARKETING &amp; TRADING LI"/>
        <s v="GASILUZ ECO ENERCIA"/>
        <s v="GUNVOR"/>
        <s v="J.ARON &amp; COMPANY"/>
        <s v="MARTIN LOPEZ DE PETROLEOS"/>
        <s v="GARCIAMUNTE ENERGIA S L"/>
        <s v="MERCURIA ENERGY TRADING SA"/>
        <s v="MET ENERGÃA ESPAÃ‘A, S.A.U."/>
        <s v="CENTRICA ENERGY TRADING A/S"/>
        <s v="NIDHOG APS"/>
        <s v="NOBLE CLEAN FUELS LIMITED"/>
        <s v="GODAY ENERGIA"/>
        <s v="GOIENER S.COOP"/>
        <s v="MARRUECOS"/>
        <s v="POWERMART APS"/>
        <s v="GRAFICAS VARIAS SA"/>
        <s v="GREENSUNRISE ENERGY, S.L."/>
        <s v="GREEN ENERGY 360, S.L."/>
        <s v="GERENTA ENERGIA"/>
        <s v="SAMPOL INGENIERIA Y OBRAS"/>
        <s v="SECOND FOUNDATION ENERGY A.S."/>
        <s v="SMARTESTENERGY"/>
        <s v="STATKRAFT"/>
        <s v="SSE ENERGY SUPPLY LIMITED"/>
        <s v="TRAILSTONE RENEWABLES GMBH"/>
        <s v="CORPORACION ALIMENTARIA GUISSO"/>
        <s v="UNIELECTRICA"/>
        <s v="Gurbtec energia, SL"/>
        <s v="VISALIA ENERGIA SLU"/>
        <s v="VITOL SA"/>
        <s v="HAFESA MOBILITY ELC, S.L."/>
        <s v="HAM POWER, S.L"/>
        <s v="HARINAS POLO"/>
        <s v="ARANDINA"/>
        <s v="HIDROCANTÃBRICO ENERGÃA COMERC"/>
        <s v="HIDROELÃ‰CTRICA EL CARMEN ENERGÃA, S.L"/>
        <s v="HELIOELECENERGIA ELECTRICAYGAS"/>
        <s v="HELIOS ENERGIA INTELIGENTE"/>
        <s v="ITURBEGI S.L."/>
        <s v="GENHIDRO S.L."/>
        <s v="HIDRO NITRO ESPAÃ‘OLA, S.A."/>
        <s v="INTRAENERGIA REPRESENTACION SL"/>
        <s v="JUNTA ANDALUCIA"/>
        <s v="HIDROBESORA SERVICIOS SL"/>
        <s v="HILADOS EGARFIL S.A."/>
        <s v="HILLTECH DIGITAL, S.L."/>
        <s v="HALLEY ENERGY, SOCIEDAD LIMITADA"/>
        <s v="HORECA ENERGIA SL"/>
        <s v="HOY ENERGIA S.L."/>
        <s v="18XPEUSA-12345-4"/>
        <s v="HSAT21 ENERGIA SL"/>
        <s v="SILLEDA COMERCIALIZADORA"/>
        <s v="HYDROEXERGY S.L."/>
        <s v="IBAR ENERGIA S.L."/>
        <s v="IBERICA DE SUSPENSIONES"/>
        <s v="HUERTA DEHESA EL ALCORNOCAL SL"/>
        <s v="INMOBILIARIA DE CONSTRUCCIONES"/>
        <s v="INCOGAS"/>
        <s v="IDES ENERGÍA, S.L."/>
        <s v="INICIATIVA E.NOVA"/>
        <s v="IM3ENERGIA"/>
        <s v="IMPERIUM LUMEN S.A."/>
        <s v="INARGY SPOT S.L.U."/>
        <s v="INDAREL KUDEAKETA, SLU"/>
        <s v="INDEXO ENERGIA"/>
        <s v="INDALO ENERGÍA, S.L."/>
        <s v="INDEA"/>
        <s v="INER MADRID SL"/>
        <s v="INER1CO1"/>
        <s v="INGEM ENERGIA SL"/>
        <s v="INICIATIVAS ENERGÉTICAS O3, S.L."/>
        <s v="INTEGRACION EUROPEA DE ENERGIA"/>
        <s v="INTERENERGIA ENERGY TRADING COMPANY"/>
        <s v="INUSK01"/>
        <s v="ION ENERGÃA"/>
        <s v="IRIS ENERGIA EFICIENTE"/>
        <s v="ISAE COMERCIALIZACION S.L."/>
        <s v="ISEO ENERGÍA S.L."/>
        <s v="INVESYDE COMERCIALIZADORA"/>
        <s v="JMF ENERGIAS RENOVABLES, S.L"/>
        <n v="1"/>
        <s v="ELECTRICA DE SUDANELL SL"/>
        <s v="JOVE ENERGÍA RENOVABLE SL"/>
        <s v="JUAN ENERGY COMERCIALIZADORA"/>
        <s v="JUST ENERGY PRO LUZ"/>
        <s v="KARMA ALIMUR S.L."/>
        <s v="KANUI ENERGIA"/>
        <s v="KILOWATIOS VERDES SL"/>
        <s v="KINESTALIA ENERGIA, SOCIEDAD LIMITADA"/>
        <s v="KIRIN RENOVABLES, SOCIEDAD LIMITADA"/>
        <s v="KISHOA COMERCIALIZADORA"/>
        <s v="KODL CAPITAL SL"/>
        <s v="KONERY EFICIENCIA ENERGTICA"/>
        <s v="EKILUZ ENERGIA COMERCIALIZADORA SL"/>
        <s v="KWFVI ENERGÃA, S.L"/>
        <s v="LABOIL ENERGIA SL"/>
        <s v="LA CORRIENTE S COOP"/>
        <s v="LADY WARSAW INVESTMENT SL"/>
        <s v="CH DUERO"/>
        <s v="ILANDS AND BUILDINGS"/>
        <s v="LABOR SOLIS COMERCIALIZADORA DE ENERGÃA S.L"/>
        <s v="GALAP"/>
        <s v="LA VALL COMERCIALIZADORA ELECTRICA SOCIEDAD LIMITADA"/>
        <s v="LOWCOSTPOWER"/>
        <s v="LIDERGIA"/>
        <s v="LOOP ELECTRICIDAD"/>
        <s v="ELEGA ENERGIA COMERCIALIZADORA"/>
        <s v="LEON COMERCIALIZADORA DE ENERGIA"/>
        <s v="COMERCIALIZADORA LERSA SL"/>
        <s v="LINAMAR LIGHT METALS ZARAGOZA S.A.U"/>
        <s v="LINK ENERGIA"/>
        <s v="ALTERNA OPERADOR INTEGRAL"/>
        <s v="ALMENDRA Y MIEL S.A"/>
        <s v="LOVE ENERGY"/>
        <s v="LOVILUZ ENERGIA, S.L"/>
        <s v="LUZ SOLIDARIA INCLUSIVA, SL"/>
        <s v="COMERCIALIZADORA ELECTRICIDAD"/>
        <s v="LUCIFERASA-2 ENERGIA, S.L."/>
        <s v="LUCIFERASA-1 ENERGIA, S.L."/>
        <s v="LUCIÃ‰RNAGA COMERCIALIZADORA"/>
        <s v="LUCKY LUZ ENERGIA SL"/>
        <s v="HIDROELECTRICA LUMYMEY SL"/>
        <s v="LUMENAZA GMBH"/>
        <s v="COMPAÃ‘IA LUMISA ENERGIAS"/>
        <s v="LUX FORUM SLU"/>
        <s v="LUXIA ENERGIA Y CONSULTORES, S.L."/>
        <s v="LUZ DEL PUEBLO S.L."/>
        <s v="LUZ SOLIDARIA SL"/>
        <s v="LUZY ENERGIA RENOVABLE SLU"/>
        <s v="MACEB"/>
        <s v="MALAKA ENERGIA SL"/>
        <s v="PRODUCCIONES JOSE MANUBENS"/>
        <s v="MAS ALLA PRODUCTOS ENERGETICOS, S.L."/>
        <s v="MAS INTELIGENCIA"/>
        <s v="MASNORTE GLOBAL POWER, SOCIEDAD LIMITADA"/>
        <s v="MASQLUZ 2020"/>
        <s v="PIZARRAS MATACOUTA S.A"/>
        <s v="MAXEN"/>
        <s v="MAZE ENERGY S.L."/>
        <s v="MEGARA ENERGIA SOC COOP"/>
        <s v="MOSCOSO ENERGIA"/>
        <s v="MEROLTEX SL"/>
        <s v="MAFRESA IBERICO DE CONFIANZA"/>
        <s v="MINAS DE ALCANTARA SL"/>
        <s v="MINAI SERVICIOS ENERGETICOS"/>
        <s v="MODISPREM"/>
        <s v="MATADERO MOIA"/>
        <s v="MOLALUZ ENERGIA SL"/>
        <s v="MOLECOR"/>
        <s v="ELECTRICA DEL MONTSEC, S.L"/>
        <s v="MORTERO SOLAR SPAIN S.L"/>
        <s v="MONTARTO TECHNOLOGY SL"/>
        <s v="MOVHERA - HIDROELETRICAS DO NORTE SA"/>
        <s v="MOVIE"/>
        <s v="MUNICIPAL DE SERVICIOS VILLAHE"/>
        <s v="MUESTRARIOS IBERIA SL"/>
        <s v="MULTIENERGIA VERDE"/>
        <s v="MULTISERVICIOS TECNOLOGICOS SA"/>
        <s v="MYENXXI"/>
        <s v="MY ENERGIA ONER S.L."/>
        <s v="MYLIGHT ENERGY SP, S.A.U."/>
        <s v="NABALIA ENERGIA"/>
        <s v="RECICLAJES ECOLOGICOS NAGINI SL"/>
        <s v="PETRONAVARRA SL"/>
        <s v="NUEVA COMERCIALIZ ESPAÃ‘OLA SL"/>
        <s v="NEMON"/>
        <s v="NEOELECTRA ENERGÃA SLU"/>
        <s v="NETON ENERGY SERVICES, S.L.U."/>
        <s v="NEURO ENERGIA"/>
        <s v="COMERCIALIZADORA ENERGÃA ELÃ‰CTRICA"/>
        <s v="NEXT ENERGiA XXI SL"/>
        <s v="NEXT ENERGY PLUS, S.L."/>
        <s v="NIVAPLAST RECICLADOS"/>
        <s v="COMERCIALIZADOR DE ENERGIA"/>
        <s v="NOCTILUCA ENERGIA, S.L."/>
        <s v="NORTELECTRICA SA"/>
        <s v="ELECTRA NORTE ENERGIA, S.A."/>
        <s v="NOSA ENERXIA SCG"/>
        <s v="NUKIK ENERGY, SL"/>
        <s v="NOVALUZ ENERGÃA SL"/>
        <s v="NORDWESTEN ENERGIE SL"/>
        <s v="ODF ENERGIA LIBRE"/>
        <s v="RONDA OESTE ENERGIA"/>
        <s v="OHMIA ELECTRA"/>
        <s v="OK_TU_ENEGIA_VERDE"/>
        <s v="OLE GREEN ENERGY"/>
        <s v="OLIVIA COMERCIALIZADORA SLU"/>
        <s v="FRANCISCO OLLER SA"/>
        <s v="OHM EYG COMERCIALIZADORA"/>
        <s v="ONDARE UNIVERSIDAD SLU"/>
        <s v="ON DEMAND FACILITIES"/>
        <s v="ONSE"/>
        <s v="OLIVES AND PICKLES"/>
        <s v="COMERCIALIZADORA DE ENERGÃA ELÃ‰CTRICA"/>
        <s v="OSUNA MISSSION"/>
        <s v="OXPERTA GREEN ENERGY, SL"/>
        <s v="PETRONIEVES ENERGIA COMERCIALI"/>
        <s v="PINDO ELECTRICIDAD Y GAS"/>
        <s v="PISUERGA INFRAESTRUCTURAS ENERGETICAS SL"/>
        <s v="PLASPISA SA"/>
        <s v="MATADERO EL CABEZO DE LA PLATA"/>
        <s v="SIMPLIA ENERGIA S.L"/>
        <s v="POLAR COMERCIALIZADORA ELÉCTRICA, S.L."/>
        <s v="PONTS COMERCIALITZADORA MUNICI"/>
        <s v="COMUNIDAD DE REGANTES EL PORVENIR"/>
        <s v="POWER SOLAR TRADE SL"/>
        <s v="POTENZIA COMERCIALIZADORA SL"/>
        <s v="POWEN IBERIA, S.L."/>
        <s v="POWER PULSE IBERIA SL"/>
        <s v="COMERCIALIZACION"/>
        <s v="SCL MTRA SRA DEL PRADO"/>
        <s v="PRAETIUM ENERGY SOCIEDAD LIMITADA"/>
        <s v="PROSOL ENERGÃA COMERCIALIZADORA SL"/>
        <s v="PROT ENERGIA COMERCIALIZACION"/>
        <s v="PARATIENERGIA"/>
        <s v="SOLUCIONES PREMMIA ENERGIA"/>
        <s v="TEXTIL PUIG UBACH SA"/>
        <s v="PULSAR ENERGIA"/>
        <s v="QUASAR ENERGIA"/>
        <s v="QUANTUM LUX 6.4 S.L"/>
        <s v="QUANTICA COMERCIALIZADORA DE ENERGIA, S.L"/>
        <s v="COMPAÃ‘ÃA ESPAÃ‘OLA DE PETROLEOS"/>
        <s v="BIOWATT IBERICA S.L"/>
        <s v="PLANTA MECA-BIOLOGICA BOTARELL"/>
        <s v="RENOVAE CONSULTING"/>
        <s v="RDG COMERCIALIZADORA GALEGA DE ENERXIA, S.A."/>
        <s v="NADARA"/>
        <s v="REPRESENTANTES DE CONSUMIDORES EN EL MERCADO ELECTRICO"/>
        <s v="SUJETO DE MERCADO RELUZCA"/>
        <s v="REMICA COMERCIALIZADORA"/>
        <s v="RENU ENERGY, S.L."/>
        <s v="REUS SERVEIS MUNICIPALS, SA"/>
        <s v="REYSE ENERGIA SL"/>
        <s v="CONSUMIDOR DIRECTO AYUNTAMIENTO RIVAS"/>
        <s v="ROFEICA ENERGIA, S.A."/>
        <s v="ELEC SERRANIA RONDA ENERGIA SL"/>
        <s v="SMURFIT KAPPA NERVION, S.A."/>
        <s v="RESPIRA ENERGIA ATLANTICA S.L."/>
        <s v="18XTIRCA-12345-N"/>
        <s v="SAHKOA SMART ENERGY SL"/>
        <s v="SAT N9888 IMPERIO"/>
        <s v="ELECTRICA SALAS DE PALLARS COMERCIALIZADORA"/>
        <s v="SAMARA ENERGIA VPP, S.L."/>
        <s v="SAMA2 ENERGY, S.L."/>
        <s v="SAPIENS ENERGIA COOPS"/>
        <s v="SATSP"/>
        <s v="SASKI BASKONIA SAD"/>
        <s v="FABRICA TELA"/>
        <s v="SENEO, COOP.V."/>
        <s v="SOM ENERGIA COOPERATIVA"/>
        <s v="SERVICIOS ENERGÉTICOS AVANZADOS SL"/>
        <s v="SERVICIO EXTREMEÃ‘O DE SALUD"/>
        <s v="COOPELECSANFCODEASIS"/>
        <s v="SIGNO ENERGY, S.L."/>
        <s v="HOTEL SILOS"/>
        <s v="SIMPLES ENERGIA DE ESPAÃ‘A SL"/>
        <s v="SNIACE S.A."/>
        <s v="SOLFL"/>
        <s v="ELECTRICA SOLLERENSE SA"/>
        <s v="SOLTE"/>
        <s v="SOLWE ENERGÃA"/>
        <s v="SOM RENOVABLES SL"/>
        <s v="SONESTA LUZ"/>
        <s v="PROFIT ENERGY SL"/>
        <s v="RENEWABLE ENERGY OPTIMISATION"/>
        <s v="SUAVIZANTES Y PLASTIFICANTES BITUMINOSOS"/>
        <s v="SPOCK P2P, S.L."/>
        <s v="PLASTIENVASE"/>
        <s v="SPINREACT SAU"/>
        <s v="GASHOGAR"/>
        <s v="SERVIENERGIA ELECTRICA SL"/>
        <s v="ELEC MUN S COLOMA DE QUERALT"/>
        <s v="STOCKFIL S.L."/>
        <s v="ENERGYSTROMXXI"/>
        <s v="SUCA SOCIEDAD COOPERATIVA"/>
        <s v="SULAYR"/>
        <s v="COMERCIALIZADORA ELECTRICA VALENCIANA"/>
        <s v="SUNAIR ONE ENERGY"/>
        <s v="POWER WATT ENERGY"/>
        <s v="SUNFL"/>
        <s v="SUNAIR ONE HOME"/>
        <s v="SUN POWER SPAIN 365"/>
        <s v="SWAP ENERGIA"/>
        <s v="SHAREYOURENERGY"/>
        <s v="TALARN ENERGIA ELECTRICA"/>
        <s v="METALGAR"/>
        <s v="18XATAL-12345-1E"/>
        <s v="TARRAGONA POWER S.L"/>
        <s v="TAUTRA ENERGIA"/>
        <s v="UTTEM-TRM"/>
        <s v="COGENERADORA BURGALESA"/>
        <s v="18XPAPELECKERSAC"/>
        <s v="TENSINA DE ENERGIA Y SERVICIOS"/>
        <s v="TORNADIZOS ENERGY SL"/>
        <s v="CARNES ESTELLES S.A."/>
        <s v="TVITEC SYSTEM GLASS"/>
        <s v="FABRICA FORRERIA"/>
        <s v="FIBRAREL, A.I.E."/>
        <s v="TGB SA"/>
        <s v="TH ELECTRICITY GAS SL"/>
        <s v="THERMOLYMPIC S.L"/>
        <s v="HULLERAS DEL NORTE S.A."/>
        <s v="INGAROIL"/>
        <s v="SOCIETAT MUNICIPAL DE COMERCIA"/>
        <s v="TELECOR REPRESENTANTE CONSUMIDORES DIRECTOS"/>
        <s v="18XNEOSC-12345-4"/>
        <s v="COGENERACIÃ“N DE BEGUDA S.A."/>
        <s v="TOMMY ENERGY, S.L."/>
        <s v="COMERCIALITZADORA TORRES ENERG"/>
        <s v="TORTOSA ENERGIA, S. A."/>
        <s v="BAZAR TOTEMOI S.L."/>
        <s v="PLANA CAN GUITART S.L."/>
        <s v="COMPRAENERGIAPARAGRUPO"/>
        <s v="TRICLINIUM INVERSIONES SL"/>
        <s v="SERVEI D INCINERACIÃ“ DELS RESI"/>
        <s v="TELEFÃ“NICA SOLUCIONES"/>
        <s v="TIPMEGA, S.A."/>
        <s v="TUCAN ENERGIA"/>
        <s v="TU ELECTRICA S.L."/>
        <s v="WARTSILA IBÃ‰RICA S.A."/>
        <s v="ULTREYA SOLUCIONES SL"/>
        <s v="UMBRELLA ELECTRON, S.L."/>
        <s v="OCTOPUS ENERGY ESPANA SLU"/>
        <s v="SALTOS DEL JUCAR HIDRAULICA"/>
        <s v="URANOSCOPIDAE VII ENERGIA, S.L."/>
        <s v="EVOLVE ENERGIA SL"/>
        <s v="URBENER"/>
        <s v="URUS ENERGY SORIA SLNE"/>
        <s v="URANOSCOPIDAE ENERGIA VI, S.L."/>
        <s v="HIDROELECTRICA DEL VALIRA SL"/>
        <s v="TEXTIL VALOR"/>
        <s v="VALERO FORN TRADICIONAL SL"/>
        <s v="ELECTRA VAQUER, S.A."/>
        <s v="VARAENER, S.L."/>
        <s v="VERDELUZ"/>
        <s v="VECTOR ENERGÍA S.L."/>
        <s v="VELETA ENERGIA SL"/>
        <s v="VESTA RENOVABLES S.L.L."/>
        <s v="VIMCOMEL SL"/>
        <s v="COVINIL"/>
        <s v="VIÑAOLIVA SOCIEDDAD COOPERATIVA"/>
        <s v="SOCIEDAD ARAGONESA"/>
        <s v="VIRGIN ELECTRIC COMERCIALIZADORA"/>
        <s v="VIROQUE ENERGY SL"/>
        <s v="VIRTUS GLOBAL ENERGY"/>
        <s v="VISCOCEL S.L.U"/>
        <s v="VIVO ENERGIA FUTURA"/>
        <s v="MANUEL GALLEGO MUDARRA"/>
        <s v="ELECTRICA DE VINALESA SCV"/>
        <s v="PELLET ASTURIAS"/>
        <s v="VALLES PLASTIC FILM, S.L."/>
        <s v="VIVA ENERGIA Y SOLUCIONES SL"/>
        <s v="RECICLAJE ECOLOGICOS BARATHEON"/>
        <s v="WIBERLUZYGAS"/>
        <s v="WEKIWI SL"/>
        <s v="YELLOW ENERGY"/>
        <s v="YOU ARE ENERGU, S.L."/>
        <s v="ZELTRIA ENERGIA"/>
        <s v="DOMESTICA GAS Y ELECTRICIDAD"/>
        <s v="ZEREP CARBONICAS Y AGUAS"/>
        <s v="ZETA ENERXIA GALEGA S.L."/>
        <s v="ZUG POWER, SL"/>
        <s v="ZULUX ENERGIA"/>
      </sharedItems>
    </cacheField>
    <cacheField name="Technologia" numFmtId="0">
      <sharedItems containsBlank="1" count="42">
        <s v="Energía residual"/>
        <s v="Hidráulica UGH"/>
        <s v="Comercializadores mercado libre"/>
        <s v="Hulla antracita"/>
        <s v="Gas Natural"/>
        <s v="Consumo de Servicios Auxiliares"/>
        <s v="Consumos directos en mercado"/>
        <s v="Unidad instrumental internacional"/>
        <s v="Ciclo Combinado"/>
        <s v="Solar fotovoltaica"/>
        <s v="Gas Natural Cogeneración"/>
        <s v="Eólica terrestre"/>
        <s v="Almacenamiento"/>
        <s v="Consumo bombeo"/>
        <s v="Turbinación bombeo"/>
        <s v="Nuclear"/>
        <s v="Exportación Francia"/>
        <s v="Importación Francia"/>
        <s v="Derivados del petróleo ó carbón"/>
        <s v="Hidráulica no UGH"/>
        <s v="Biogás"/>
        <s v="Hulla sub-bituminosa"/>
        <s v="Biomasa"/>
        <s v="Porfolio"/>
        <m/>
        <s v="Híbrida renovable-almacenamiento"/>
        <s v="Comercializadores último recurso"/>
        <s v="Enlace Baleares"/>
        <s v="Fuel"/>
        <s v="Eólica marina"/>
        <s v="Híbrida renovable"/>
        <s v="Exportación Andorra"/>
        <s v="Genéricas"/>
        <s v="Solar térmica"/>
        <s v="Oceano y geotérmica"/>
        <s v="Híbrida renovable-térmica no renovable"/>
        <s v="Exportación Marruecos"/>
        <s v="Saldo acoplamiento mercado"/>
        <s v="Importación Marruecos"/>
        <s v="Residuos varios"/>
        <s v="Residuos domésticos y similares"/>
        <s v="Subproductos minería"/>
      </sharedItems>
    </cacheField>
    <cacheField name="RZ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20">
  <r>
    <x v="0"/>
    <s v="A2GAME2"/>
    <s v="A2GAME2"/>
    <n v="3.8"/>
    <s v="18W000000000R205"/>
    <x v="0"/>
    <s v="Venta"/>
    <s v="SZR"/>
    <s v="AME"/>
    <x v="0"/>
    <x v="0"/>
    <x v="0"/>
    <s v="SZR"/>
  </r>
  <r>
    <x v="1"/>
    <s v="ABA1"/>
    <s v="ABARAN"/>
    <n v="0.3"/>
    <s v="18WABA1-123456-K"/>
    <x v="1"/>
    <s v="Venta"/>
    <s v="SZR"/>
    <s v="BARER"/>
    <x v="0"/>
    <x v="1"/>
    <x v="1"/>
    <s v="SZR"/>
  </r>
  <r>
    <x v="2"/>
    <s v="ABA2"/>
    <s v="ABARAN 2"/>
    <n v="0.4"/>
    <s v="18WABA2-123456-A"/>
    <x v="1"/>
    <s v="Venta"/>
    <s v="SZR"/>
    <s v="BARER"/>
    <x v="0"/>
    <x v="1"/>
    <x v="1"/>
    <s v="SZR"/>
  </r>
  <r>
    <x v="3"/>
    <s v="UPC ABAST"/>
    <s v="UP COMPRA ABASTE"/>
    <n v="1"/>
    <s v="18W000000000G8RE"/>
    <x v="2"/>
    <s v="Compra"/>
    <s v="SZR"/>
    <s v="ABAST"/>
    <x v="1"/>
    <x v="2"/>
    <x v="2"/>
    <s v="SZR"/>
  </r>
  <r>
    <x v="4"/>
    <s v="ABOÑO 1"/>
    <s v="C.T. ABOÑO 1"/>
    <n v="341.7"/>
    <s v="18WABO1-12345-0X"/>
    <x v="3"/>
    <s v="Venta"/>
    <s v="SZR"/>
    <s v="ABOGE"/>
    <x v="0"/>
    <x v="3"/>
    <x v="3"/>
    <s v="SZR"/>
  </r>
  <r>
    <x v="5"/>
    <s v="ABO2G"/>
    <s v="ABOÑO2 GAS"/>
    <n v="561.79999999999995"/>
    <s v="18W000000000T2JX"/>
    <x v="4"/>
    <s v="Venta"/>
    <s v="SZR"/>
    <s v="ABOGE"/>
    <x v="0"/>
    <x v="3"/>
    <x v="4"/>
    <s v="SZR"/>
  </r>
  <r>
    <x v="6"/>
    <s v="ABOUTWHI"/>
    <s v="ABOUT WHITE, S.L."/>
    <n v="0.1"/>
    <s v="18WABOUC01-123-F"/>
    <x v="2"/>
    <s v="Compra"/>
    <s v="SZR"/>
    <s v="ABOUT"/>
    <x v="1"/>
    <x v="4"/>
    <x v="2"/>
    <s v="SZR"/>
  </r>
  <r>
    <x v="7"/>
    <s v="ABOX"/>
    <s v="COMPRA SSAA ABOÑO"/>
    <n v="30"/>
    <s v="18W000000000R1YE"/>
    <x v="5"/>
    <s v="Compra"/>
    <s v="SZR"/>
    <s v="ABOGE"/>
    <x v="2"/>
    <x v="3"/>
    <x v="5"/>
    <s v="SZR"/>
  </r>
  <r>
    <x v="8"/>
    <s v="ACAPERSA"/>
    <s v="ACAPERSA 1997"/>
    <n v="0.8"/>
    <s v="18W000000000MBVA"/>
    <x v="6"/>
    <s v="Compra"/>
    <s v="SZR"/>
    <s v="ACAPE"/>
    <x v="3"/>
    <x v="5"/>
    <x v="6"/>
    <s v="SZR"/>
  </r>
  <r>
    <x v="9"/>
    <s v="ACBFRA EXP"/>
    <s v="ACCIÓN COORDINADA DE BALANCE ES A FR"/>
    <n v="9999"/>
    <s v="18WACBFRAE-12--2"/>
    <x v="7"/>
    <s v="Compra"/>
    <s v="SZR"/>
    <s v="REE"/>
    <x v="4"/>
    <x v="6"/>
    <x v="7"/>
    <s v="SZR"/>
  </r>
  <r>
    <x v="10"/>
    <s v="ACBFRA IMP"/>
    <s v="ACCIÓN COORDINADA DE BALANCE FR A ES"/>
    <n v="9999"/>
    <s v="18WACBFRAI-12--B"/>
    <x v="7"/>
    <s v="Venta"/>
    <s v="SZR"/>
    <s v="REE"/>
    <x v="4"/>
    <x v="6"/>
    <x v="7"/>
    <s v="SZR"/>
  </r>
  <r>
    <x v="11"/>
    <s v="ACBPOR EXP"/>
    <s v="ACCIÓN COORDINADA DE BALANCE ES A PT"/>
    <n v="9999"/>
    <s v="18WACBPORE-123-3"/>
    <x v="7"/>
    <s v="Compra"/>
    <s v="SZR"/>
    <s v="REE"/>
    <x v="4"/>
    <x v="6"/>
    <x v="7"/>
    <s v="SZR"/>
  </r>
  <r>
    <x v="12"/>
    <s v="ACBPOR IMP"/>
    <s v="ACCIÓN COORDINADA DE BALANCE PT A ES"/>
    <n v="9999"/>
    <s v="18WACBPORI-123-C"/>
    <x v="7"/>
    <s v="Venta"/>
    <s v="SZR"/>
    <s v="REE"/>
    <x v="4"/>
    <x v="6"/>
    <x v="7"/>
    <s v="SZR"/>
  </r>
  <r>
    <x v="13"/>
    <s v="ACECA 3 IB"/>
    <s v="C. C. ACECA 3"/>
    <n v="386"/>
    <s v="18WACE3-12345-00"/>
    <x v="8"/>
    <s v="Venta"/>
    <s v="IBEG"/>
    <s v="IBGT"/>
    <x v="0"/>
    <x v="7"/>
    <x v="8"/>
    <s v="IMA"/>
  </r>
  <r>
    <x v="14"/>
    <s v="ACECA 4 UF"/>
    <s v="C. C. ACECA 4"/>
    <n v="372.6"/>
    <s v="18WACE4-12345-0R"/>
    <x v="8"/>
    <s v="Venta"/>
    <s v="NTG"/>
    <s v="GNCC"/>
    <x v="0"/>
    <x v="8"/>
    <x v="8"/>
    <s v="GN"/>
  </r>
  <r>
    <x v="15"/>
    <s v="ACENORCA"/>
    <s v="ACENORCA"/>
    <n v="0.9"/>
    <s v="18WACENORCA-SCLW"/>
    <x v="6"/>
    <s v="Compra"/>
    <s v="SZR"/>
    <s v="ACENO"/>
    <x v="3"/>
    <x v="9"/>
    <x v="6"/>
    <s v="SZR"/>
  </r>
  <r>
    <x v="16"/>
    <s v="CHERA"/>
    <s v="ELECTRICA DE CHERA"/>
    <n v="1.4"/>
    <s v="18WACHEC01-123-I"/>
    <x v="2"/>
    <s v="Compra"/>
    <s v="SZR"/>
    <s v="ACHER"/>
    <x v="1"/>
    <x v="10"/>
    <x v="2"/>
    <s v="SZR"/>
  </r>
  <r>
    <x v="17"/>
    <s v="ACNHC01"/>
    <s v="UP COMPRA"/>
    <n v="0"/>
    <s v="18W000000000NQNE"/>
    <x v="2"/>
    <s v="Compra"/>
    <s v="SZR"/>
    <s v="ACENH"/>
    <x v="1"/>
    <x v="11"/>
    <x v="2"/>
    <s v="SZR"/>
  </r>
  <r>
    <x v="18"/>
    <s v="ACSOL"/>
    <s v="ACSOL ENERGIA GLOBAL"/>
    <n v="0.1"/>
    <s v="18W0000000001YAU"/>
    <x v="2"/>
    <s v="Compra"/>
    <s v="SZR"/>
    <s v="ACSOL"/>
    <x v="1"/>
    <x v="12"/>
    <x v="2"/>
    <s v="SZR"/>
  </r>
  <r>
    <x v="19"/>
    <s v="ACTIC01UN1"/>
    <s v="ACTIVA UPROG COMER 1"/>
    <n v="100"/>
    <s v="18W000000000GE8Y"/>
    <x v="2"/>
    <s v="Compra"/>
    <s v="SZR"/>
    <s v="ACTIV"/>
    <x v="1"/>
    <x v="13"/>
    <x v="2"/>
    <s v="SZR"/>
  </r>
  <r>
    <x v="20"/>
    <s v="ADEINNOVA"/>
    <s v="ADEINNOVA ENERGIA S.L"/>
    <n v="0.5"/>
    <s v="18WADEIC01-12--B"/>
    <x v="2"/>
    <s v="Compra"/>
    <s v="SZR"/>
    <s v="ADEIN"/>
    <x v="1"/>
    <x v="14"/>
    <x v="2"/>
    <s v="SZR"/>
  </r>
  <r>
    <x v="21"/>
    <s v="ADEIV01"/>
    <s v="ADEINNOVA VENTA"/>
    <n v="0.2"/>
    <s v="18W000000000S0AO"/>
    <x v="9"/>
    <s v="Venta"/>
    <s v="SZR"/>
    <s v="ADEIN"/>
    <x v="0"/>
    <x v="14"/>
    <x v="9"/>
    <s v="SZR"/>
  </r>
  <r>
    <x v="22"/>
    <s v="ADELFAS"/>
    <s v="ADELFAS ENERGIA SL"/>
    <n v="4"/>
    <s v="18WADELC01-123-6"/>
    <x v="2"/>
    <s v="Compra"/>
    <s v="SZR"/>
    <s v="ADELF"/>
    <x v="1"/>
    <x v="15"/>
    <x v="2"/>
    <s v="SZR"/>
  </r>
  <r>
    <x v="23"/>
    <s v="ADSEC01"/>
    <s v="ADSEC01"/>
    <n v="16"/>
    <s v="18WADSEC01-123-X"/>
    <x v="2"/>
    <s v="Compra"/>
    <s v="SZR"/>
    <s v="ADSSM"/>
    <x v="1"/>
    <x v="16"/>
    <x v="2"/>
    <s v="SZR"/>
  </r>
  <r>
    <x v="24"/>
    <s v="ADS"/>
    <s v="ADS SOLUTIONS"/>
    <n v="1"/>
    <s v="18W000000000JBUO"/>
    <x v="2"/>
    <s v="Compra"/>
    <s v="SZR"/>
    <s v="ADSEN"/>
    <x v="1"/>
    <x v="17"/>
    <x v="2"/>
    <s v="SZR"/>
  </r>
  <r>
    <x v="25"/>
    <s v="ADURIZ E"/>
    <s v="ADURIZ ENERGIA SL (COMERCIALIZADORA)"/>
    <n v="0"/>
    <s v="18WADURC01-123-T"/>
    <x v="2"/>
    <s v="Compra"/>
    <s v="SZR"/>
    <s v="ADUR"/>
    <x v="1"/>
    <x v="18"/>
    <x v="2"/>
    <s v="SZR"/>
  </r>
  <r>
    <x v="26"/>
    <s v="ADXC01"/>
    <s v="ADX RENOVABLES"/>
    <n v="0.1"/>
    <s v="18W000000000P85M"/>
    <x v="2"/>
    <s v="Compra"/>
    <s v="SZR"/>
    <s v="ADXRA"/>
    <x v="1"/>
    <x v="19"/>
    <x v="2"/>
    <s v="SZR"/>
  </r>
  <r>
    <x v="27"/>
    <s v="AE10COG"/>
    <s v="ALTA EFICIENCIA 10 COG"/>
    <n v="11.9"/>
    <s v="18W000000000ODT0"/>
    <x v="10"/>
    <s v="Venta"/>
    <s v="SZR"/>
    <s v="COGEN"/>
    <x v="0"/>
    <x v="20"/>
    <x v="10"/>
    <s v="SZR"/>
  </r>
  <r>
    <x v="28"/>
    <s v="AE11COG"/>
    <s v="ALTA EFICIENCIA 11 COG"/>
    <n v="3.5"/>
    <s v="18W000000000OSAU"/>
    <x v="10"/>
    <s v="Venta"/>
    <s v="SZR"/>
    <s v="COGEN"/>
    <x v="0"/>
    <x v="20"/>
    <x v="10"/>
    <s v="SZR"/>
  </r>
  <r>
    <x v="29"/>
    <s v="AE12COG"/>
    <s v="ALTA EFICIENCIA 12COG"/>
    <n v="5.3"/>
    <s v="18W000000000OSIE"/>
    <x v="10"/>
    <s v="Venta"/>
    <s v="SZR"/>
    <s v="COGEN"/>
    <x v="0"/>
    <x v="20"/>
    <x v="10"/>
    <s v="SZR"/>
  </r>
  <r>
    <x v="30"/>
    <s v="AED"/>
    <s v="AED ENERGIA"/>
    <n v="0.1"/>
    <s v="18W000000000OO1N"/>
    <x v="2"/>
    <s v="Compra"/>
    <s v="SZR"/>
    <s v="AEDEN"/>
    <x v="1"/>
    <x v="21"/>
    <x v="2"/>
    <s v="SZR"/>
  </r>
  <r>
    <x v="31"/>
    <s v="AEROGENERA"/>
    <s v="AEROGENERADOR"/>
    <n v="4"/>
    <s v="18W000000000TEH1"/>
    <x v="11"/>
    <s v="Venta"/>
    <s v="SZR"/>
    <s v="WMARK"/>
    <x v="0"/>
    <x v="22"/>
    <x v="11"/>
    <s v="SZR"/>
  </r>
  <r>
    <x v="32"/>
    <s v="AVAENERC"/>
    <s v="AVALIA ENERGIA UP"/>
    <n v="2.5"/>
    <s v="18WAENEC01-123-2"/>
    <x v="2"/>
    <s v="Compra"/>
    <s v="SZR"/>
    <s v="AENER"/>
    <x v="1"/>
    <x v="23"/>
    <x v="2"/>
    <s v="SZR"/>
  </r>
  <r>
    <x v="33"/>
    <s v="AEQ"/>
    <s v="AEQ COMER"/>
    <n v="1"/>
    <s v="18W000000000SPNY"/>
    <x v="2"/>
    <s v="Compra"/>
    <s v="SZR"/>
    <s v="AEQ"/>
    <x v="1"/>
    <x v="24"/>
    <x v="2"/>
    <s v="SZR"/>
  </r>
  <r>
    <x v="34"/>
    <s v="AFIBGEC"/>
    <s v="ALMACENAMIENTO COMPRA"/>
    <n v="6.8"/>
    <s v="18W000000000NL3W"/>
    <x v="12"/>
    <s v="Compra"/>
    <s v="IBEG"/>
    <s v="IBGES"/>
    <x v="5"/>
    <x v="7"/>
    <x v="12"/>
    <s v="IMA"/>
  </r>
  <r>
    <x v="35"/>
    <s v="AFIBGEV"/>
    <s v="ALMACENAMIENTO VENTA"/>
    <n v="6"/>
    <s v="18W000000000NL2Y"/>
    <x v="12"/>
    <s v="Venta"/>
    <s v="IBEG"/>
    <s v="IBGES"/>
    <x v="5"/>
    <x v="7"/>
    <x v="12"/>
    <s v="IMA"/>
  </r>
  <r>
    <x v="36"/>
    <s v="AFIBHEC"/>
    <s v="HIBRIDACION EOLICA BATERIA COMPRA"/>
    <n v="5.5"/>
    <s v="18W000000000Q0TV"/>
    <x v="12"/>
    <s v="Compra"/>
    <s v="SZR"/>
    <s v="IBGES"/>
    <x v="5"/>
    <x v="7"/>
    <x v="12"/>
    <s v="SZR"/>
  </r>
  <r>
    <x v="37"/>
    <s v="AFIBHFC"/>
    <s v="AFIBHFC"/>
    <n v="5"/>
    <s v="18W000000000Q0SX"/>
    <x v="12"/>
    <s v="Compra"/>
    <s v="SZR"/>
    <s v="IBGES"/>
    <x v="5"/>
    <x v="7"/>
    <x v="12"/>
    <s v="SZR"/>
  </r>
  <r>
    <x v="38"/>
    <s v="AGENC01"/>
    <s v="AGUAS DE BARBASTRO ENERGÍA, S.L"/>
    <n v="9"/>
    <s v="18WAGENC01-123-O"/>
    <x v="2"/>
    <s v="Compra"/>
    <s v="SZR"/>
    <s v="ABESL"/>
    <x v="1"/>
    <x v="25"/>
    <x v="2"/>
    <s v="SZR"/>
  </r>
  <r>
    <x v="39"/>
    <s v="AGMARQUES"/>
    <s v="AGUAS DE MARQUESADO"/>
    <n v="0.5"/>
    <s v="18WAGMAC01-123-T"/>
    <x v="6"/>
    <s v="Compra"/>
    <s v="SZR"/>
    <s v="AGMA"/>
    <x v="3"/>
    <x v="26"/>
    <x v="6"/>
    <s v="SZR"/>
  </r>
  <r>
    <x v="40"/>
    <s v="AGRIENERG"/>
    <s v="AGRI ENERGIA S.A."/>
    <n v="0"/>
    <s v="18WAGRIC01-12-2B"/>
    <x v="2"/>
    <s v="Compra"/>
    <s v="SZR"/>
    <s v="AGREN"/>
    <x v="1"/>
    <x v="27"/>
    <x v="2"/>
    <s v="SZR"/>
  </r>
  <r>
    <x v="41"/>
    <s v="AGUASVIVAS"/>
    <s v="UP SF AGUASVIVAS"/>
    <n v="41.3"/>
    <s v="18W000000000RUAC"/>
    <x v="9"/>
    <s v="Venta"/>
    <s v="IGR"/>
    <s v="IGNIS"/>
    <x v="0"/>
    <x v="28"/>
    <x v="9"/>
    <s v="IGR"/>
  </r>
  <r>
    <x v="42"/>
    <s v="AGUAYO B"/>
    <s v="C.H.B. AGUAYO BOMBEO"/>
    <n v="360"/>
    <s v="18WAGUB-12345-0T"/>
    <x v="13"/>
    <s v="Compra"/>
    <s v="REPSOL"/>
    <s v="REPSB"/>
    <x v="6"/>
    <x v="29"/>
    <x v="13"/>
    <s v="EV"/>
  </r>
  <r>
    <x v="43"/>
    <s v="AGUAYO G"/>
    <s v="C.H. AGUAYO GENERACION"/>
    <n v="360.4"/>
    <s v="18WAGUG-12345-0G"/>
    <x v="14"/>
    <s v="Venta"/>
    <s v="REPSOL"/>
    <s v="REPSB"/>
    <x v="0"/>
    <x v="29"/>
    <x v="14"/>
    <s v="EV"/>
  </r>
  <r>
    <x v="44"/>
    <s v="AHOEC01"/>
    <s v="AHOEC01"/>
    <n v="0.1"/>
    <s v="18W000000000KSX0"/>
    <x v="2"/>
    <s v="Compra"/>
    <s v="SZR"/>
    <s v="AHOE"/>
    <x v="1"/>
    <x v="30"/>
    <x v="2"/>
    <s v="SZR"/>
  </r>
  <r>
    <x v="45"/>
    <s v="AHORA PEN"/>
    <s v="PENINSULA"/>
    <n v="10"/>
    <s v="18W000000000NN6K"/>
    <x v="2"/>
    <s v="Compra"/>
    <s v="SZR"/>
    <s v="ALENE"/>
    <x v="1"/>
    <x v="31"/>
    <x v="2"/>
    <s v="SZR"/>
  </r>
  <r>
    <x v="46"/>
    <s v="AHTC01"/>
    <s v="COMPRA COMERCIALIZADORA"/>
    <n v="1"/>
    <s v="18W000000000RL94"/>
    <x v="2"/>
    <s v="Compra"/>
    <s v="SZR"/>
    <s v="COMED"/>
    <x v="1"/>
    <x v="32"/>
    <x v="2"/>
    <s v="SZR"/>
  </r>
  <r>
    <x v="47"/>
    <s v="AIREL"/>
    <s v="COMERCIALIZADORES"/>
    <n v="1"/>
    <s v="18W000000000943S"/>
    <x v="2"/>
    <s v="Compra"/>
    <s v="SZR"/>
    <s v="AIREL"/>
    <x v="1"/>
    <x v="33"/>
    <x v="2"/>
    <s v="SZR"/>
  </r>
  <r>
    <x v="48"/>
    <s v="AIREV01"/>
    <s v="AIREV01"/>
    <n v="2.7"/>
    <s v="18W000000000GYXZ"/>
    <x v="9"/>
    <s v="Venta"/>
    <s v="SZR"/>
    <s v="AIREL"/>
    <x v="0"/>
    <x v="33"/>
    <x v="9"/>
    <s v="SZR"/>
  </r>
  <r>
    <x v="49"/>
    <s v="AIREV02"/>
    <s v="AIREV02"/>
    <n v="9"/>
    <s v="18W000000000N4HI"/>
    <x v="9"/>
    <s v="Venta"/>
    <s v="SZR"/>
    <s v="AIREL"/>
    <x v="0"/>
    <x v="33"/>
    <x v="9"/>
    <s v="SZR"/>
  </r>
  <r>
    <x v="50"/>
    <s v="UP AIZEN"/>
    <s v="UPROGRAMACIN AIZEN"/>
    <n v="0.1"/>
    <s v="18W000000000R019"/>
    <x v="2"/>
    <s v="Compra"/>
    <s v="SZR"/>
    <s v="AIZEE"/>
    <x v="1"/>
    <x v="34"/>
    <x v="2"/>
    <s v="SZR"/>
  </r>
  <r>
    <x v="51"/>
    <s v="AJENC01"/>
    <s v="ESAJENEUP"/>
    <n v="0"/>
    <s v="18W000000000RQDI"/>
    <x v="2"/>
    <s v="Compra"/>
    <s v="SZR"/>
    <s v="AJENE"/>
    <x v="1"/>
    <x v="35"/>
    <x v="2"/>
    <s v="SZR"/>
  </r>
  <r>
    <x v="52"/>
    <s v="UP_HALAHUR"/>
    <s v="UP_HALAHURIN"/>
    <n v="0.1"/>
    <s v="18W000000000OYX3"/>
    <x v="2"/>
    <s v="Compra"/>
    <s v="SZR"/>
    <s v="ALAHU"/>
    <x v="1"/>
    <x v="36"/>
    <x v="2"/>
    <s v="SZR"/>
  </r>
  <r>
    <x v="53"/>
    <s v="ALARCOS"/>
    <s v="FV ALARCOS"/>
    <n v="45"/>
    <s v="18W000000000RB0F"/>
    <x v="9"/>
    <s v="Venta"/>
    <s v="SZR"/>
    <s v="ADXRE"/>
    <x v="0"/>
    <x v="37"/>
    <x v="9"/>
    <s v="SZR"/>
  </r>
  <r>
    <x v="54"/>
    <s v="ALBCOUP"/>
    <s v="ALBCO_UNIDAD DE PROGRAMACION"/>
    <n v="520"/>
    <s v="18W0000000003Q6H"/>
    <x v="2"/>
    <s v="Compra"/>
    <s v="SZR"/>
    <s v="ALBCO"/>
    <x v="1"/>
    <x v="38"/>
    <x v="2"/>
    <s v="SZR"/>
  </r>
  <r>
    <x v="55"/>
    <s v="UP_ALBOLOT"/>
    <s v="UP_ALBOLOTE_FV"/>
    <n v="1.5"/>
    <s v="18W000000000T22U"/>
    <x v="9"/>
    <s v="Venta"/>
    <s v="SZR"/>
    <s v="LIDER"/>
    <x v="0"/>
    <x v="39"/>
    <x v="9"/>
    <s v="SZR"/>
  </r>
  <r>
    <x v="56"/>
    <s v="ALCANZIA"/>
    <s v="ALCANZIA ENERGIA"/>
    <n v="2"/>
    <s v="18WALCAC01-123-5"/>
    <x v="2"/>
    <s v="Compra"/>
    <s v="SZR"/>
    <s v="ALCAN"/>
    <x v="1"/>
    <x v="40"/>
    <x v="2"/>
    <s v="SZR"/>
  </r>
  <r>
    <x v="57"/>
    <s v="ALDDC01"/>
    <s v="COMPRA ALDERAAN"/>
    <n v="1"/>
    <s v="18W000000000OLLT"/>
    <x v="2"/>
    <s v="Compra"/>
    <s v="SZR"/>
    <s v="ALDEC"/>
    <x v="1"/>
    <x v="41"/>
    <x v="2"/>
    <s v="SZR"/>
  </r>
  <r>
    <x v="58"/>
    <s v="ALDEC01"/>
    <s v="COMPRA COMERCIALIZADORA"/>
    <n v="1"/>
    <s v="18WALDEC01-123-S"/>
    <x v="2"/>
    <s v="Compra"/>
    <s v="SZR"/>
    <s v="ALDEF"/>
    <x v="1"/>
    <x v="42"/>
    <x v="2"/>
    <s v="SZR"/>
  </r>
  <r>
    <x v="59"/>
    <s v="ALDEHU"/>
    <s v="ALDEHUELAS"/>
    <n v="47.2"/>
    <s v="18W000000000JILL"/>
    <x v="11"/>
    <s v="Venta"/>
    <s v="SZR"/>
    <s v="HISPE"/>
    <x v="0"/>
    <x v="43"/>
    <x v="11"/>
    <s v="SZR"/>
  </r>
  <r>
    <x v="60"/>
    <s v="ALDRO ENER"/>
    <s v="ALDRO ENERGIA Y SOLUCIONES SL"/>
    <n v="70"/>
    <s v="18WALDRC01-123-9"/>
    <x v="2"/>
    <s v="Compra"/>
    <s v="SZR"/>
    <s v="ALDRO"/>
    <x v="1"/>
    <x v="44"/>
    <x v="2"/>
    <s v="SZR"/>
  </r>
  <r>
    <x v="61"/>
    <s v="ALDRV01"/>
    <s v="ALDRO REPRESENTACION"/>
    <n v="1.8"/>
    <s v="18W000000000DL6T"/>
    <x v="9"/>
    <s v="Venta"/>
    <s v="SZR"/>
    <s v="ALDRO"/>
    <x v="0"/>
    <x v="44"/>
    <x v="9"/>
    <s v="SZR"/>
  </r>
  <r>
    <x v="62"/>
    <s v="ALG3"/>
    <s v="BAHIA DE ALGECIRAS (SAN ROQUE- CADIZ)"/>
    <n v="820.5"/>
    <s v="18WALG3-12345--K"/>
    <x v="8"/>
    <s v="Venta"/>
    <s v="REPSOL"/>
    <s v="REPSB"/>
    <x v="0"/>
    <x v="29"/>
    <x v="8"/>
    <s v="EV"/>
  </r>
  <r>
    <x v="63"/>
    <s v="ALGICA1"/>
    <s v="ALGICA1"/>
    <n v="10.5"/>
    <s v="18WALGICA1-123-N"/>
    <x v="2"/>
    <s v="Compra"/>
    <s v="SZR"/>
    <s v="COALG"/>
    <x v="1"/>
    <x v="45"/>
    <x v="2"/>
    <s v="SZR"/>
  </r>
  <r>
    <x v="64"/>
    <s v="ALHAM"/>
    <s v="FALHAM"/>
    <n v="5.8"/>
    <s v="18WALHAM-12345-B"/>
    <x v="9"/>
    <s v="Venta"/>
    <s v="SZR"/>
    <s v="GNRA"/>
    <x v="0"/>
    <x v="46"/>
    <x v="9"/>
    <s v="SZR"/>
  </r>
  <r>
    <x v="65"/>
    <s v="ALIOC01"/>
    <s v="COMPRA ALIO"/>
    <n v="1"/>
    <s v="18W000000000PSVL"/>
    <x v="2"/>
    <s v="Compra"/>
    <s v="SZR"/>
    <s v="ALIOE"/>
    <x v="1"/>
    <x v="47"/>
    <x v="2"/>
    <s v="SZR"/>
  </r>
  <r>
    <x v="66"/>
    <s v="ALUM MAEST"/>
    <s v="ALUMINIOS DEL MAESTRE"/>
    <n v="29.2"/>
    <s v="18WALUMINOMAESTW"/>
    <x v="6"/>
    <s v="Compra"/>
    <s v="SZR"/>
    <s v="ALMAE"/>
    <x v="3"/>
    <x v="48"/>
    <x v="6"/>
    <s v="SZR"/>
  </r>
  <r>
    <x v="67"/>
    <s v="ALPXC01"/>
    <s v="ALPEX IBERICA DE ENERGIASL"/>
    <n v="10"/>
    <s v="18W000000000A8R1"/>
    <x v="2"/>
    <s v="Compra"/>
    <s v="SZR"/>
    <s v="ALPEX"/>
    <x v="1"/>
    <x v="49"/>
    <x v="2"/>
    <s v="SZR"/>
  </r>
  <r>
    <x v="68"/>
    <s v="ALQSC01"/>
    <s v="ALQSC01"/>
    <n v="0.1"/>
    <s v="18W000000000KBSO"/>
    <x v="2"/>
    <s v="Compra"/>
    <s v="SZR"/>
    <s v="ALSEG"/>
    <x v="1"/>
    <x v="50"/>
    <x v="2"/>
    <s v="SZR"/>
  </r>
  <r>
    <x v="69"/>
    <s v="ALSEC01"/>
    <s v="ALSET COMERCIALIZADORA"/>
    <n v="0.1"/>
    <s v="18W000000000HQQW"/>
    <x v="2"/>
    <s v="Compra"/>
    <s v="SZR"/>
    <s v="ALSEC"/>
    <x v="1"/>
    <x v="51"/>
    <x v="2"/>
    <s v="SZR"/>
  </r>
  <r>
    <x v="70"/>
    <s v="ALUZPENIN"/>
    <s v="ALUZ PENINSULAR"/>
    <n v="1"/>
    <s v="18W000000000KV0K"/>
    <x v="2"/>
    <s v="Compra"/>
    <s v="SZR"/>
    <s v="ALUZE"/>
    <x v="1"/>
    <x v="52"/>
    <x v="2"/>
    <s v="SZR"/>
  </r>
  <r>
    <x v="71"/>
    <s v="AHORRELUZ"/>
    <s v="AHORRELUZ"/>
    <n v="0.1"/>
    <s v="18W00000000041U3"/>
    <x v="2"/>
    <s v="Compra"/>
    <s v="SZR"/>
    <s v="ALUZ"/>
    <x v="1"/>
    <x v="53"/>
    <x v="2"/>
    <s v="SZR"/>
  </r>
  <r>
    <x v="72"/>
    <s v="ALMARAZ 1"/>
    <s v="C.N. ALMARAZ 1"/>
    <n v="1011.3"/>
    <s v="18WALZ1-12345-0E"/>
    <x v="15"/>
    <s v="Venta"/>
    <s v="SZR"/>
    <s v="IGNU"/>
    <x v="0"/>
    <x v="7"/>
    <x v="15"/>
    <s v="SZR"/>
  </r>
  <r>
    <x v="73"/>
    <s v="ALMARAZ 2"/>
    <s v="C.N. ALMARAZ 2"/>
    <n v="1005.8"/>
    <s v="18WALZ2-12345-04"/>
    <x v="15"/>
    <s v="Venta"/>
    <s v="SZR"/>
    <s v="IGNU"/>
    <x v="0"/>
    <x v="7"/>
    <x v="15"/>
    <s v="SZR"/>
  </r>
  <r>
    <x v="74"/>
    <s v="AMAZON C"/>
    <s v="AMAZON COMPRA"/>
    <n v="5"/>
    <s v="18W000000000SLHL"/>
    <x v="2"/>
    <s v="Compra"/>
    <s v="SZR"/>
    <s v="COMEF"/>
    <x v="1"/>
    <x v="54"/>
    <x v="2"/>
    <s v="SZR"/>
  </r>
  <r>
    <x v="75"/>
    <s v="AMBIETA"/>
    <s v="AMOREBIETA"/>
    <n v="786.4"/>
    <s v="18WAMBIETA-12-0S"/>
    <x v="8"/>
    <s v="Venta"/>
    <s v="AXP2"/>
    <s v="BIZE"/>
    <x v="0"/>
    <x v="55"/>
    <x v="8"/>
    <s v="AX2"/>
  </r>
  <r>
    <x v="76"/>
    <s v="AMBIETX"/>
    <s v="AMOREBIETA - CONSUMOS AUXILIARES"/>
    <n v="8.9"/>
    <s v="18WAMBIETX-123-5"/>
    <x v="5"/>
    <s v="Compra"/>
    <s v="SZR"/>
    <s v="BIZE"/>
    <x v="2"/>
    <x v="55"/>
    <x v="5"/>
    <s v="SZR"/>
  </r>
  <r>
    <x v="77"/>
    <s v="AMEC01"/>
    <s v="AGENTE DEL MERCADO ELECTRICO (COMPRA)"/>
    <n v="0.1"/>
    <s v="18WAMEC01-1234-4"/>
    <x v="2"/>
    <s v="Compra"/>
    <s v="SZR"/>
    <s v="AME"/>
    <x v="1"/>
    <x v="0"/>
    <x v="2"/>
    <s v="SZR"/>
  </r>
  <r>
    <x v="78"/>
    <s v="AMI"/>
    <s v="AMI ELECTRUM"/>
    <n v="1"/>
    <s v="18W000000000SFE8"/>
    <x v="2"/>
    <s v="Compra"/>
    <s v="SZR"/>
    <s v="FORZA"/>
    <x v="1"/>
    <x v="56"/>
    <x v="2"/>
    <s v="SZR"/>
  </r>
  <r>
    <x v="79"/>
    <s v="AMP HEDRO"/>
    <s v="AMP HEDROSO-ACIBEROS"/>
    <n v="32"/>
    <s v="18W000000000TEJY"/>
    <x v="11"/>
    <s v="Venta"/>
    <s v="SZR"/>
    <s v="WMARK"/>
    <x v="0"/>
    <x v="22"/>
    <x v="11"/>
    <s v="SZR"/>
  </r>
  <r>
    <x v="80"/>
    <s v="AMPER"/>
    <s v="UP_AMPERIOS"/>
    <n v="1"/>
    <s v="18W000000000LBI3"/>
    <x v="2"/>
    <s v="Compra"/>
    <s v="SZR"/>
    <s v="AMPER"/>
    <x v="1"/>
    <x v="57"/>
    <x v="2"/>
    <s v="SZR"/>
  </r>
  <r>
    <x v="81"/>
    <s v="AMPERE"/>
    <s v="AMPERE ENERGY COMERCIALIZADORA Y SERVICIOS ENERGETICOS SRL"/>
    <n v="1"/>
    <s v="18W000000000RTQK"/>
    <x v="2"/>
    <s v="Compra"/>
    <s v="SZR"/>
    <s v="AMPEA"/>
    <x v="1"/>
    <x v="58"/>
    <x v="2"/>
    <s v="SZR"/>
  </r>
  <r>
    <x v="82"/>
    <s v="ANGLER"/>
    <s v="ANGLER ENERGIA SL"/>
    <n v="1"/>
    <s v="18W000000000TDPP"/>
    <x v="2"/>
    <s v="Compra"/>
    <s v="SZR"/>
    <s v="ANGLB"/>
    <x v="1"/>
    <x v="59"/>
    <x v="2"/>
    <s v="SZR"/>
  </r>
  <r>
    <x v="83"/>
    <s v="ANIMC01"/>
    <s v="ANIMC01"/>
    <n v="0.1"/>
    <s v="18W00000000084I2"/>
    <x v="2"/>
    <s v="Compra"/>
    <s v="SZR"/>
    <s v="ANIMA"/>
    <x v="1"/>
    <x v="60"/>
    <x v="2"/>
    <s v="SZR"/>
  </r>
  <r>
    <x v="84"/>
    <s v="ANTEA"/>
    <s v="ANTEA ENERGIA COMERCIALIZADORA"/>
    <n v="0.1"/>
    <s v="18W0000000003IEP"/>
    <x v="2"/>
    <s v="Compra"/>
    <s v="SZR"/>
    <s v="ANTEA"/>
    <x v="1"/>
    <x v="61"/>
    <x v="2"/>
    <s v="SZR"/>
  </r>
  <r>
    <x v="85"/>
    <s v="ENERGY"/>
    <s v="COMERCIALIZADOR ENERGIA"/>
    <n v="0.1"/>
    <s v="18W000000000H6MQ"/>
    <x v="2"/>
    <s v="Compra"/>
    <s v="SZR"/>
    <s v="ANTUK"/>
    <x v="1"/>
    <x v="62"/>
    <x v="2"/>
    <s v="SZR"/>
  </r>
  <r>
    <x v="86"/>
    <s v="APOAND EXP"/>
    <s v="INTERCAMBIO DE APOYO ES A AN"/>
    <n v="9999"/>
    <s v="18WAPOANDE-123-C"/>
    <x v="7"/>
    <s v="Compra"/>
    <s v="SZR"/>
    <s v="REE"/>
    <x v="4"/>
    <x v="6"/>
    <x v="7"/>
    <s v="SZR"/>
  </r>
  <r>
    <x v="87"/>
    <s v="APOAND IMP"/>
    <s v="INTERCAMBIO DE APOYO AN A ES"/>
    <n v="9999"/>
    <s v="18WAPOANDI-123-L"/>
    <x v="7"/>
    <s v="Venta"/>
    <s v="SZR"/>
    <s v="REE"/>
    <x v="4"/>
    <x v="6"/>
    <x v="7"/>
    <s v="SZR"/>
  </r>
  <r>
    <x v="88"/>
    <s v="APOFRA EXP"/>
    <s v="INTERCAMBIO DE APOYO ES A FR"/>
    <n v="9999"/>
    <s v="18WAPOFRAE-123-O"/>
    <x v="7"/>
    <s v="Compra"/>
    <s v="SZR"/>
    <s v="REE"/>
    <x v="4"/>
    <x v="6"/>
    <x v="7"/>
    <s v="SZR"/>
  </r>
  <r>
    <x v="89"/>
    <s v="APOFRA IMP"/>
    <s v="INTERCAMBIO DE APOYO FR A ES"/>
    <n v="9999"/>
    <s v="18WAPOFRAI-123-X"/>
    <x v="7"/>
    <s v="Venta"/>
    <s v="SZR"/>
    <s v="REE"/>
    <x v="4"/>
    <x v="6"/>
    <x v="7"/>
    <s v="SZR"/>
  </r>
  <r>
    <x v="90"/>
    <s v="APOLB"/>
    <s v="APOLO BUSINESS SL"/>
    <n v="10"/>
    <s v="18W000000000QWW3"/>
    <x v="2"/>
    <s v="Compra"/>
    <s v="SZR"/>
    <s v="APOLB"/>
    <x v="1"/>
    <x v="63"/>
    <x v="2"/>
    <s v="SZR"/>
  </r>
  <r>
    <x v="91"/>
    <s v="APOMAR EXP"/>
    <s v="INTERCAMBIO DE APOYO ES A MA"/>
    <n v="9999"/>
    <s v="18WAPOMARE-123-8"/>
    <x v="7"/>
    <s v="Compra"/>
    <s v="SZR"/>
    <s v="REE"/>
    <x v="4"/>
    <x v="6"/>
    <x v="7"/>
    <s v="SZR"/>
  </r>
  <r>
    <x v="92"/>
    <s v="APOMAR IMP"/>
    <s v="INTERCAMBIO DE APOYO MA A ES"/>
    <n v="9999"/>
    <s v="18WAPOMARI-123-H"/>
    <x v="7"/>
    <s v="Venta"/>
    <s v="SZR"/>
    <s v="REE"/>
    <x v="4"/>
    <x v="6"/>
    <x v="7"/>
    <s v="SZR"/>
  </r>
  <r>
    <x v="93"/>
    <s v="APOPOR EXP"/>
    <s v="INTERCAMBIO DE APOYO ES A PT"/>
    <n v="9999"/>
    <s v="18WAPOPORE-123-0"/>
    <x v="7"/>
    <s v="Compra"/>
    <s v="SZR"/>
    <s v="REE"/>
    <x v="4"/>
    <x v="6"/>
    <x v="7"/>
    <s v="SZR"/>
  </r>
  <r>
    <x v="94"/>
    <s v="APOPOR IMP"/>
    <s v="INTERCAMBIO DE APOYO PT A ES"/>
    <n v="9999"/>
    <s v="18WAPOPORI-123-9"/>
    <x v="7"/>
    <s v="Venta"/>
    <s v="SZR"/>
    <s v="REE"/>
    <x v="4"/>
    <x v="6"/>
    <x v="7"/>
    <s v="SZR"/>
  </r>
  <r>
    <x v="95"/>
    <s v="APRESTOS"/>
    <s v="APRESTOS DE LANERIA"/>
    <n v="1"/>
    <s v="18W000000000QSI6"/>
    <x v="6"/>
    <s v="Compra"/>
    <s v="SZR"/>
    <s v="APRES"/>
    <x v="3"/>
    <x v="64"/>
    <x v="6"/>
    <s v="SZR"/>
  </r>
  <r>
    <x v="96"/>
    <s v="APRIM"/>
    <s v="AUSARTA PRIMA COMPRA"/>
    <n v="0.1"/>
    <s v="18W0000000004A7M"/>
    <x v="2"/>
    <s v="Compra"/>
    <s v="SZR"/>
    <s v="APRIM"/>
    <x v="1"/>
    <x v="65"/>
    <x v="2"/>
    <s v="SZR"/>
  </r>
  <r>
    <x v="97"/>
    <s v="ARACA1"/>
    <s v="ALTA ARACAN ENERGIA"/>
    <n v="0.1"/>
    <s v="18WARACC01-123-9"/>
    <x v="2"/>
    <s v="Compra"/>
    <s v="SZR"/>
    <s v="ARACA"/>
    <x v="1"/>
    <x v="66"/>
    <x v="2"/>
    <s v="SZR"/>
  </r>
  <r>
    <x v="98"/>
    <s v="ARAIA"/>
    <s v="SAN PEDRO DE ARAIA UNIDAD COMPRA"/>
    <n v="0.1"/>
    <s v="18W000000000PPXQ"/>
    <x v="2"/>
    <s v="Compra"/>
    <s v="SZR"/>
    <s v="CHPED"/>
    <x v="1"/>
    <x v="67"/>
    <x v="2"/>
    <s v="SZR"/>
  </r>
  <r>
    <x v="99"/>
    <s v="ARASOL"/>
    <s v="ARASOL"/>
    <n v="0.4"/>
    <s v="18WARASC01-123-Y"/>
    <x v="6"/>
    <s v="Compra"/>
    <s v="SZR"/>
    <s v="ARAS"/>
    <x v="3"/>
    <x v="68"/>
    <x v="6"/>
    <s v="SZR"/>
  </r>
  <r>
    <x v="100"/>
    <s v="ARCH"/>
    <s v="ARCHENA"/>
    <n v="0.3"/>
    <s v="18WARCH-123456-G"/>
    <x v="1"/>
    <s v="Venta"/>
    <s v="SZR"/>
    <s v="BARER"/>
    <x v="0"/>
    <x v="1"/>
    <x v="1"/>
    <s v="SZR"/>
  </r>
  <r>
    <x v="101"/>
    <s v="ARCOS1"/>
    <s v="ARCOS1"/>
    <n v="389.2"/>
    <s v="18WARCOS1-123-0E"/>
    <x v="8"/>
    <s v="Venta"/>
    <s v="IBEG"/>
    <s v="IBGT"/>
    <x v="0"/>
    <x v="7"/>
    <x v="8"/>
    <s v="IMA"/>
  </r>
  <r>
    <x v="102"/>
    <s v="ARCOS2"/>
    <s v="ARCOS2"/>
    <n v="373.2"/>
    <s v="18WARCOS2-123-06"/>
    <x v="8"/>
    <s v="Venta"/>
    <s v="IBEG"/>
    <s v="IBGT"/>
    <x v="0"/>
    <x v="7"/>
    <x v="8"/>
    <s v="IMA"/>
  </r>
  <r>
    <x v="103"/>
    <s v="ARCOS3"/>
    <s v="ARCOS3"/>
    <n v="822.8"/>
    <s v="18WARCOS3-123-0Z"/>
    <x v="8"/>
    <s v="Venta"/>
    <s v="IBEG"/>
    <s v="IBGT"/>
    <x v="0"/>
    <x v="7"/>
    <x v="8"/>
    <s v="IMA"/>
  </r>
  <r>
    <x v="104"/>
    <s v="ARGI"/>
    <s v="ARGIMODE FABRICA"/>
    <n v="0.6"/>
    <s v="18W000000000O11I"/>
    <x v="6"/>
    <s v="Compra"/>
    <s v="SZR"/>
    <s v="ARGIM"/>
    <x v="3"/>
    <x v="69"/>
    <x v="6"/>
    <s v="SZR"/>
  </r>
  <r>
    <x v="105"/>
    <s v="ARGUS UPR"/>
    <s v="COLABORA ENERGIA-ARGUS UPR"/>
    <n v="0.1"/>
    <s v="18W000000000DKM0"/>
    <x v="2"/>
    <s v="Compra"/>
    <s v="SZR"/>
    <s v="ARGUS"/>
    <x v="1"/>
    <x v="70"/>
    <x v="2"/>
    <s v="SZR"/>
  </r>
  <r>
    <x v="106"/>
    <s v="ARRUBAL1"/>
    <s v="UP ARRU1"/>
    <n v="394.6"/>
    <s v="18WARRU1-1234-0J"/>
    <x v="8"/>
    <s v="Venta"/>
    <s v="CEP"/>
    <s v="ARRUB"/>
    <x v="0"/>
    <x v="71"/>
    <x v="8"/>
    <s v="CEP"/>
  </r>
  <r>
    <x v="107"/>
    <s v="ARRU1X"/>
    <s v="ARRU1X"/>
    <n v="1"/>
    <s v="18WARRU1X-1234-M"/>
    <x v="5"/>
    <s v="Compra"/>
    <s v="SZR"/>
    <s v="ARRUB"/>
    <x v="2"/>
    <x v="71"/>
    <x v="5"/>
    <s v="SZR"/>
  </r>
  <r>
    <x v="108"/>
    <s v="ARRUBAL2"/>
    <s v="UP DE ARRUBAL2"/>
    <n v="390"/>
    <s v="18WARRU2-1234-0A"/>
    <x v="8"/>
    <s v="Venta"/>
    <s v="CEP"/>
    <s v="ARRUB"/>
    <x v="0"/>
    <x v="71"/>
    <x v="8"/>
    <s v="CEP"/>
  </r>
  <r>
    <x v="109"/>
    <s v="ARRU2X"/>
    <s v="ARRU2X"/>
    <n v="1"/>
    <s v="18WARRU2X-1234-D"/>
    <x v="5"/>
    <s v="Compra"/>
    <s v="SZR"/>
    <s v="ARRUB"/>
    <x v="2"/>
    <x v="71"/>
    <x v="5"/>
    <s v="SZR"/>
  </r>
  <r>
    <x v="110"/>
    <s v="ASCO 1"/>
    <s v="C.N. ASCO 1"/>
    <n v="995.8"/>
    <s v="18WASC1-12345-0Z"/>
    <x v="15"/>
    <s v="Venta"/>
    <s v="SZR"/>
    <s v="ENDG"/>
    <x v="0"/>
    <x v="72"/>
    <x v="15"/>
    <s v="SZR"/>
  </r>
  <r>
    <x v="111"/>
    <s v="ASCO 2"/>
    <s v="C.N. ASCO 2"/>
    <n v="991.7"/>
    <s v="18WASC2-12345-0P"/>
    <x v="15"/>
    <s v="Venta"/>
    <s v="SZR"/>
    <s v="ENDG"/>
    <x v="0"/>
    <x v="72"/>
    <x v="15"/>
    <s v="SZR"/>
  </r>
  <r>
    <x v="112"/>
    <s v="ASIAGU"/>
    <s v="HIDRO REG ORD CUENCA AGUERA"/>
    <n v="3.3"/>
    <s v="18W000000000Q46S"/>
    <x v="1"/>
    <s v="Venta"/>
    <s v="SZR"/>
    <s v="ASIE"/>
    <x v="0"/>
    <x v="73"/>
    <x v="1"/>
    <s v="SZR"/>
  </r>
  <r>
    <x v="113"/>
    <s v="ASIDUERO"/>
    <s v="HYDRO REG ORDINARIO CH DUERO"/>
    <n v="9.6999999999999993"/>
    <s v="18W000000000N3IJ"/>
    <x v="1"/>
    <s v="Venta"/>
    <s v="SZR"/>
    <s v="ASIE"/>
    <x v="0"/>
    <x v="73"/>
    <x v="1"/>
    <s v="SZR"/>
  </r>
  <r>
    <x v="114"/>
    <s v="ASIEBRO2"/>
    <s v="CUENCA EBRO REG ORDINARIO"/>
    <n v="1.5"/>
    <s v="18W000000000Q1GH"/>
    <x v="1"/>
    <s v="Venta"/>
    <s v="SZR"/>
    <s v="ASIE"/>
    <x v="0"/>
    <x v="73"/>
    <x v="1"/>
    <s v="SZR"/>
  </r>
  <r>
    <x v="115"/>
    <s v="ASIEBRO"/>
    <s v="HYDRO REG ORDINARIO CH EBRO"/>
    <n v="14.9"/>
    <s v="18W000000000N3JH"/>
    <x v="1"/>
    <s v="Venta"/>
    <s v="SZR"/>
    <s v="ASIE"/>
    <x v="0"/>
    <x v="73"/>
    <x v="1"/>
    <s v="SZR"/>
  </r>
  <r>
    <x v="116"/>
    <s v="COMPRA ENE"/>
    <s v="ADQUISICIN DE ENERGA"/>
    <n v="5"/>
    <s v="18W0000000008NER"/>
    <x v="2"/>
    <s v="Compra"/>
    <s v="SZR"/>
    <s v="ASIE"/>
    <x v="1"/>
    <x v="73"/>
    <x v="2"/>
    <s v="SZR"/>
  </r>
  <r>
    <x v="117"/>
    <s v="ASIJUCA"/>
    <s v="HYDRO REG ORDINARIO CH JUCAR"/>
    <n v="9.8000000000000007"/>
    <s v="18W000000000ROTT"/>
    <x v="1"/>
    <s v="Venta"/>
    <s v="SZR"/>
    <s v="ASIE"/>
    <x v="0"/>
    <x v="73"/>
    <x v="1"/>
    <s v="SZR"/>
  </r>
  <r>
    <x v="118"/>
    <s v="ASITAJ"/>
    <s v="HYDRO REG ORDINARIO CH TAJO"/>
    <n v="4.5"/>
    <s v="18W000000000N3HL"/>
    <x v="1"/>
    <s v="Venta"/>
    <s v="SZR"/>
    <s v="ASIE"/>
    <x v="0"/>
    <x v="73"/>
    <x v="1"/>
    <s v="SZR"/>
  </r>
  <r>
    <x v="119"/>
    <s v="ASRIHCC"/>
    <s v="UP COMPRA BATERIA SRI"/>
    <n v="0.3"/>
    <s v="18W000000000S58D"/>
    <x v="12"/>
    <s v="Compra"/>
    <s v="SZR"/>
    <s v="HC G"/>
    <x v="5"/>
    <x v="3"/>
    <x v="12"/>
    <s v="SZR"/>
  </r>
  <r>
    <x v="120"/>
    <s v="ASRIHCV"/>
    <s v="UP VENTA BATERIA SOTO DE RIBERA"/>
    <n v="0.2"/>
    <s v="18W000000000S59B"/>
    <x v="12"/>
    <s v="Venta"/>
    <s v="SZR"/>
    <s v="HC G"/>
    <x v="5"/>
    <x v="3"/>
    <x v="12"/>
    <s v="SZR"/>
  </r>
  <r>
    <x v="121"/>
    <s v="ASSEC01"/>
    <s v="ASSENN ENERGY SL"/>
    <n v="0"/>
    <s v="18W000000000R17V"/>
    <x v="2"/>
    <s v="Compra"/>
    <s v="SZR"/>
    <s v="ASSEN"/>
    <x v="1"/>
    <x v="74"/>
    <x v="2"/>
    <s v="SZR"/>
  </r>
  <r>
    <x v="122"/>
    <s v="ASTC01"/>
    <s v="ASTURAGUA SICA"/>
    <n v="1.3"/>
    <s v="18WASTURAGUAAST0"/>
    <x v="6"/>
    <s v="Compra"/>
    <s v="SZR"/>
    <s v="AST"/>
    <x v="3"/>
    <x v="75"/>
    <x v="6"/>
    <s v="SZR"/>
  </r>
  <r>
    <x v="123"/>
    <s v="ASTCP3"/>
    <s v="ASTCP3"/>
    <n v="2"/>
    <s v="18WASTCP3-1234-7"/>
    <x v="16"/>
    <s v="Compra"/>
    <s v="SZR"/>
    <s v="AST"/>
    <x v="7"/>
    <x v="75"/>
    <x v="16"/>
    <s v="SZR"/>
  </r>
  <r>
    <x v="124"/>
    <s v="ASTRA"/>
    <s v="ASTRALCAD ENERGIA"/>
    <n v="1"/>
    <s v="18W000000000M11Q"/>
    <x v="2"/>
    <s v="Compra"/>
    <s v="SZR"/>
    <s v="ASTRA"/>
    <x v="1"/>
    <x v="76"/>
    <x v="2"/>
    <s v="SZR"/>
  </r>
  <r>
    <x v="125"/>
    <s v="ASTVP3"/>
    <s v="ASTVP3F"/>
    <n v="2"/>
    <s v="18WASTVP3-1234-2"/>
    <x v="17"/>
    <s v="Venta"/>
    <s v="SZR"/>
    <s v="AST"/>
    <x v="7"/>
    <x v="75"/>
    <x v="17"/>
    <s v="SZR"/>
  </r>
  <r>
    <x v="126"/>
    <s v="PENINSULA"/>
    <s v="ATENCO PENINSULA"/>
    <n v="1"/>
    <s v="18W000000000JNN2"/>
    <x v="2"/>
    <s v="Compra"/>
    <s v="SZR"/>
    <s v="ATENC"/>
    <x v="1"/>
    <x v="77"/>
    <x v="2"/>
    <s v="SZR"/>
  </r>
  <r>
    <x v="127"/>
    <s v="ATLAS COMP"/>
    <s v="ATLAS ENERGIA COMERCIAL COMPRA"/>
    <n v="4.5"/>
    <s v="18WATLSC01-123-0"/>
    <x v="2"/>
    <s v="Compra"/>
    <s v="SZR"/>
    <s v="ATLAS"/>
    <x v="1"/>
    <x v="78"/>
    <x v="2"/>
    <s v="SZR"/>
  </r>
  <r>
    <x v="128"/>
    <s v="ATOMCEC"/>
    <s v="ATOMCEC"/>
    <n v="9.6999999999999993"/>
    <s v="18W000000000M2C1"/>
    <x v="10"/>
    <s v="Venta"/>
    <s v="SZR"/>
    <s v="DETIC"/>
    <x v="0"/>
    <x v="71"/>
    <x v="10"/>
    <s v="SZR"/>
  </r>
  <r>
    <x v="129"/>
    <s v="ATOMICO"/>
    <s v="ATOMICO"/>
    <n v="8.3000000000000007"/>
    <s v="18W000000000M2B3"/>
    <x v="10"/>
    <s v="Venta"/>
    <s v="SZR"/>
    <s v="DETIC"/>
    <x v="0"/>
    <x v="71"/>
    <x v="10"/>
    <s v="SZR"/>
  </r>
  <r>
    <x v="130"/>
    <s v="ATPC01"/>
    <s v="COMPR COMERCIALIZADORA"/>
    <n v="0.1"/>
    <s v="18W000000000R45Q"/>
    <x v="2"/>
    <s v="Compra"/>
    <s v="SZR"/>
    <s v="ATPEN"/>
    <x v="1"/>
    <x v="79"/>
    <x v="2"/>
    <s v="SZR"/>
  </r>
  <r>
    <x v="131"/>
    <s v="ATRIAUP01"/>
    <s v="ATRIA ENERGA UNIDAD DE PROGRAMACION 01"/>
    <n v="1"/>
    <s v="18W000000000RFTJ"/>
    <x v="2"/>
    <s v="Compra"/>
    <s v="SZR"/>
    <s v="ATRES"/>
    <x v="1"/>
    <x v="80"/>
    <x v="2"/>
    <s v="SZR"/>
  </r>
  <r>
    <x v="132"/>
    <s v="AUDAC01"/>
    <s v="AUDAX ENERGIA"/>
    <n v="0.1"/>
    <s v="18WAUDAC01-123-Y"/>
    <x v="2"/>
    <s v="Compra"/>
    <s v="SZR"/>
    <s v="ADXRE"/>
    <x v="1"/>
    <x v="37"/>
    <x v="2"/>
    <s v="SZR"/>
  </r>
  <r>
    <x v="133"/>
    <s v="AUNGNR"/>
    <s v="UP A11 NO ALTA EIFCIENCIA"/>
    <n v="1"/>
    <s v="18WAUNGNR-1234-K"/>
    <x v="10"/>
    <s v="Venta"/>
    <s v="SZR"/>
    <s v="GNRA"/>
    <x v="0"/>
    <x v="46"/>
    <x v="10"/>
    <s v="SZR"/>
  </r>
  <r>
    <x v="134"/>
    <s v="AVIL_ALUMB"/>
    <s v="AYUNTAMIENTO DE AVILES - ALUMBRADO PUBLICO"/>
    <n v="36.299999999999997"/>
    <s v="18WAVILC01-123-5"/>
    <x v="6"/>
    <s v="Compra"/>
    <s v="SZR"/>
    <s v="AVIL"/>
    <x v="3"/>
    <x v="81"/>
    <x v="6"/>
    <s v="SZR"/>
  </r>
  <r>
    <x v="135"/>
    <s v="AXPOR01"/>
    <s v="SRAD AXPO"/>
    <n v="5"/>
    <s v="18W000000000QK2P"/>
    <x v="2"/>
    <s v="Compra"/>
    <s v="SZR"/>
    <s v="EGLE"/>
    <x v="1"/>
    <x v="82"/>
    <x v="2"/>
    <s v="SZR"/>
  </r>
  <r>
    <x v="136"/>
    <s v="AYLUZ"/>
    <s v="AYLUZ COMERCIALIZADORA"/>
    <n v="0.1"/>
    <s v="18WAYLUC01-123-V"/>
    <x v="2"/>
    <s v="Compra"/>
    <s v="SZR"/>
    <s v="AYLUZ"/>
    <x v="1"/>
    <x v="83"/>
    <x v="2"/>
    <s v="SZR"/>
  </r>
  <r>
    <x v="137"/>
    <s v="AYPGNR"/>
    <s v="A12 NO ALTA EFICIENCIA"/>
    <n v="1.4"/>
    <s v="18WAYPGNR-1234-O"/>
    <x v="3"/>
    <s v="Venta"/>
    <s v="SZR"/>
    <s v="GNRA"/>
    <x v="0"/>
    <x v="46"/>
    <x v="18"/>
    <s v="SZR"/>
  </r>
  <r>
    <x v="138"/>
    <s v="AZULIB"/>
    <s v="18WAZULIB-123-1H"/>
    <n v="17.7"/>
    <s v="18WAZULIB-123-1H"/>
    <x v="10"/>
    <s v="Venta"/>
    <s v="SZR"/>
    <s v="EGLE"/>
    <x v="0"/>
    <x v="82"/>
    <x v="10"/>
    <s v="SZR"/>
  </r>
  <r>
    <x v="139"/>
    <s v="BACAICOA"/>
    <s v="BACAICOA INDUSTRIAS PLASTICAS"/>
    <n v="1200"/>
    <s v="18W000000000COF6"/>
    <x v="6"/>
    <s v="Compra"/>
    <s v="SZR"/>
    <s v="BACA"/>
    <x v="3"/>
    <x v="84"/>
    <x v="6"/>
    <s v="SZR"/>
  </r>
  <r>
    <x v="140"/>
    <s v="BAHIAB"/>
    <s v="BAHA DE BIZKAIA ELECTRICIDAD SL"/>
    <n v="785.3"/>
    <s v="18WBAHIAB-123-0X"/>
    <x v="8"/>
    <s v="Venta"/>
    <s v="BBE"/>
    <s v="BBEL"/>
    <x v="0"/>
    <x v="85"/>
    <x v="8"/>
    <s v="BBE"/>
  </r>
  <r>
    <x v="141"/>
    <s v="BAHIABX"/>
    <s v="UP ADQUISICIÓN SSAA BAHIAB"/>
    <n v="12"/>
    <s v="18WBAHIABX-12--3"/>
    <x v="5"/>
    <s v="Compra"/>
    <s v="SZR"/>
    <s v="BBEL"/>
    <x v="2"/>
    <x v="85"/>
    <x v="5"/>
    <s v="SZR"/>
  </r>
  <r>
    <x v="142"/>
    <s v="BASKONIA"/>
    <s v="BASKONIA KIROL"/>
    <n v="0.6"/>
    <s v="18W000000000Q8S9"/>
    <x v="6"/>
    <s v="Compra"/>
    <s v="SZR"/>
    <s v="BASKO"/>
    <x v="3"/>
    <x v="86"/>
    <x v="6"/>
    <s v="SZR"/>
  </r>
  <r>
    <x v="143"/>
    <s v="BALEC01"/>
    <s v="BALEC01"/>
    <n v="10"/>
    <s v="18W000000000FN3L"/>
    <x v="2"/>
    <s v="Compra"/>
    <s v="SZR"/>
    <s v="ELECB"/>
    <x v="1"/>
    <x v="87"/>
    <x v="2"/>
    <s v="SZR"/>
  </r>
  <r>
    <x v="144"/>
    <s v="BALFRA EXP"/>
    <s v="INTERCAMBIO TRANSFRONTERIZO DE BALANCE ES A FR"/>
    <n v="9999"/>
    <s v="18WBALFRAE-123-2"/>
    <x v="7"/>
    <s v="Compra"/>
    <s v="SZR"/>
    <s v="REE"/>
    <x v="4"/>
    <x v="6"/>
    <x v="7"/>
    <s v="SZR"/>
  </r>
  <r>
    <x v="145"/>
    <s v="BALFRA IMP"/>
    <s v="INTERCAMBIO TRANSFRONTERIZO DE BALANCE FR A ES"/>
    <n v="9999"/>
    <s v="18WBALFRAI-123-B"/>
    <x v="7"/>
    <s v="Venta"/>
    <s v="SZR"/>
    <s v="REE"/>
    <x v="4"/>
    <x v="6"/>
    <x v="7"/>
    <s v="SZR"/>
  </r>
  <r>
    <x v="146"/>
    <s v="BALKC01"/>
    <s v="BALKC01"/>
    <n v="0.3"/>
    <s v="18W000000000I8GS"/>
    <x v="6"/>
    <s v="Compra"/>
    <s v="SZR"/>
    <s v="BALEI"/>
    <x v="3"/>
    <x v="88"/>
    <x v="6"/>
    <s v="SZR"/>
  </r>
  <r>
    <x v="147"/>
    <s v="BALPOR EXP"/>
    <s v="INTERCAMBIO TRANSFRONTERIZO DE BALANCE ES A PT"/>
    <n v="9999"/>
    <s v="18WBALPORE-123-F"/>
    <x v="7"/>
    <s v="Compra"/>
    <s v="SZR"/>
    <s v="REE"/>
    <x v="4"/>
    <x v="6"/>
    <x v="7"/>
    <s v="SZR"/>
  </r>
  <r>
    <x v="148"/>
    <s v="BALPOR IMP"/>
    <s v="INTERCAMBIO TRANSFRONTERIZO DE BALANCE PT A ES"/>
    <n v="9999"/>
    <s v="18WBALPORI-123-O"/>
    <x v="7"/>
    <s v="Venta"/>
    <s v="SZR"/>
    <s v="REE"/>
    <x v="4"/>
    <x v="6"/>
    <x v="7"/>
    <s v="SZR"/>
  </r>
  <r>
    <x v="149"/>
    <s v="BAÑARES"/>
    <s v="BAÑARES"/>
    <n v="1.1000000000000001"/>
    <s v="18W000000000ODWV"/>
    <x v="9"/>
    <s v="Venta"/>
    <s v="SZR"/>
    <s v="LMER"/>
    <x v="0"/>
    <x v="89"/>
    <x v="9"/>
    <s v="SZR"/>
  </r>
  <r>
    <x v="150"/>
    <s v="BATTOS FV"/>
    <s v="FV BATTOS"/>
    <n v="2.9"/>
    <s v="18W000000000S45M"/>
    <x v="9"/>
    <s v="Venta"/>
    <s v="SZR"/>
    <s v="ELEIA"/>
    <x v="0"/>
    <x v="90"/>
    <x v="9"/>
    <s v="SZR"/>
  </r>
  <r>
    <x v="151"/>
    <s v="ALHENDIN 1"/>
    <s v="UP FV ALHENDIN I"/>
    <n v="36.700000000000003"/>
    <s v="18W000000000ROEM"/>
    <x v="9"/>
    <s v="Venta"/>
    <s v="SZR"/>
    <s v="IGNIS"/>
    <x v="0"/>
    <x v="28"/>
    <x v="9"/>
    <s v="SZR"/>
  </r>
  <r>
    <x v="152"/>
    <s v="FV ALHEND3"/>
    <s v="UP FV ALHENDIN III"/>
    <n v="4.3"/>
    <s v="18W000000000ROGI"/>
    <x v="9"/>
    <s v="Venta"/>
    <s v="SZR"/>
    <s v="IGNIS"/>
    <x v="0"/>
    <x v="28"/>
    <x v="9"/>
    <s v="SZR"/>
  </r>
  <r>
    <x v="153"/>
    <s v="BEBE"/>
    <s v="BEBE"/>
    <n v="0.9"/>
    <s v="18W000000000OEAZ"/>
    <x v="10"/>
    <s v="Venta"/>
    <s v="SZR"/>
    <s v="LMER"/>
    <x v="0"/>
    <x v="89"/>
    <x v="10"/>
    <s v="SZR"/>
  </r>
  <r>
    <x v="154"/>
    <s v="BECO"/>
    <s v="BASSOLS ENERGÍA COMERCIAL, S.L."/>
    <n v="35"/>
    <s v="18WBECOC01-12-2G"/>
    <x v="2"/>
    <s v="Compra"/>
    <s v="SZR"/>
    <s v="BECO"/>
    <x v="1"/>
    <x v="91"/>
    <x v="2"/>
    <s v="SZR"/>
  </r>
  <r>
    <x v="155"/>
    <s v="BECVHI01"/>
    <s v="BEC VENDA HIDRAULICA"/>
    <n v="1.4"/>
    <s v="18W000000000BKZJ"/>
    <x v="1"/>
    <s v="Venta"/>
    <s v="SZR"/>
    <s v="BECO"/>
    <x v="0"/>
    <x v="91"/>
    <x v="19"/>
    <s v="SZR"/>
  </r>
  <r>
    <x v="156"/>
    <s v="BECVH02"/>
    <s v="VENDA HIDRAULICA MOLI CARLOT"/>
    <n v="0.5"/>
    <s v="18W000000000CJYK"/>
    <x v="1"/>
    <s v="Venta"/>
    <s v="SZR"/>
    <s v="BECO"/>
    <x v="0"/>
    <x v="91"/>
    <x v="19"/>
    <s v="SZR"/>
  </r>
  <r>
    <x v="157"/>
    <s v="BECVS01"/>
    <s v="BECO VENDA SOLAR 01"/>
    <n v="1"/>
    <s v="18W000000000PKTC"/>
    <x v="9"/>
    <s v="Venta"/>
    <s v="SZR"/>
    <s v="BECO"/>
    <x v="0"/>
    <x v="91"/>
    <x v="9"/>
    <s v="SZR"/>
  </r>
  <r>
    <x v="158"/>
    <s v="BELINCH1"/>
    <s v="BELINCHON FV EW"/>
    <n v="41.2"/>
    <s v="18W000000000PKJW"/>
    <x v="9"/>
    <s v="Venta"/>
    <s v="IGR"/>
    <s v="IGNIS"/>
    <x v="0"/>
    <x v="28"/>
    <x v="9"/>
    <s v="IGR"/>
  </r>
  <r>
    <x v="159"/>
    <s v="BEROIL UP"/>
    <s v="BEROIL UP"/>
    <n v="0.1"/>
    <s v="18W000000000IF6R"/>
    <x v="2"/>
    <s v="Compra"/>
    <s v="SZR"/>
    <s v="BENOI"/>
    <x v="1"/>
    <x v="92"/>
    <x v="2"/>
    <s v="SZR"/>
  </r>
  <r>
    <x v="160"/>
    <s v="BERNA"/>
    <s v="FABRICA BERNA"/>
    <n v="0.6"/>
    <s v="18WBERC01-1234-I"/>
    <x v="6"/>
    <s v="Compra"/>
    <s v="SZR"/>
    <s v="MELUL"/>
    <x v="3"/>
    <x v="93"/>
    <x v="6"/>
    <s v="SZR"/>
  </r>
  <r>
    <x v="161"/>
    <s v="BEREBRO"/>
    <s v="BARBO CUENCA EBRO"/>
    <n v="4.3"/>
    <s v="18WBEREBRO-123-L"/>
    <x v="1"/>
    <s v="Venta"/>
    <s v="SZR"/>
    <s v="BARER"/>
    <x v="0"/>
    <x v="1"/>
    <x v="1"/>
    <s v="SZR"/>
  </r>
  <r>
    <x v="162"/>
    <s v="BERJUCA"/>
    <s v="BARBO CUENCA JUCAR"/>
    <n v="9.5"/>
    <s v="18WBERJUCA-123-I"/>
    <x v="1"/>
    <s v="Venta"/>
    <s v="SZR"/>
    <s v="BARER"/>
    <x v="0"/>
    <x v="1"/>
    <x v="1"/>
    <s v="SZR"/>
  </r>
  <r>
    <x v="163"/>
    <s v="BERLC01 CO"/>
    <s v="BERLC01 COMPRA"/>
    <n v="1"/>
    <s v="18W000000000R4KX"/>
    <x v="2"/>
    <s v="Compra"/>
    <s v="SZR"/>
    <s v="LUZYG"/>
    <x v="1"/>
    <x v="94"/>
    <x v="2"/>
    <s v="SZR"/>
  </r>
  <r>
    <x v="164"/>
    <s v="BERR1"/>
    <s v="BERROCALILLO 1"/>
    <n v="0.1"/>
    <s v="18WBERR1-12345-S"/>
    <x v="1"/>
    <s v="Venta"/>
    <s v="SZR"/>
    <s v="HIDRJ"/>
    <x v="0"/>
    <x v="95"/>
    <x v="1"/>
    <s v="SZR"/>
  </r>
  <r>
    <x v="165"/>
    <s v="BERR2"/>
    <s v="BERROCALILLO 2"/>
    <n v="0.3"/>
    <s v="18WBERR2-12345-J"/>
    <x v="1"/>
    <s v="Venta"/>
    <s v="SZR"/>
    <s v="HIDRJ"/>
    <x v="0"/>
    <x v="95"/>
    <x v="1"/>
    <s v="SZR"/>
  </r>
  <r>
    <x v="166"/>
    <s v="BESOS 3"/>
    <s v="C.T. BESOS 3 (CICLO COMBINADO) ENDESA"/>
    <n v="411.9"/>
    <s v="18WBES3-12345-0V"/>
    <x v="8"/>
    <s v="Venta"/>
    <s v="END"/>
    <s v="ENDG"/>
    <x v="0"/>
    <x v="72"/>
    <x v="8"/>
    <s v="END"/>
  </r>
  <r>
    <x v="167"/>
    <s v="BESOS 4"/>
    <s v="C.T. BESOS 4 (CICLO COMBINADO) GAS NATURAL"/>
    <n v="399.7"/>
    <s v="18WBES4-12345-0L"/>
    <x v="8"/>
    <s v="Venta"/>
    <s v="NTG"/>
    <s v="GNCC"/>
    <x v="0"/>
    <x v="8"/>
    <x v="8"/>
    <s v="GN"/>
  </r>
  <r>
    <x v="168"/>
    <s v="BESOS 5"/>
    <s v="C.T. BESOS 5 CICLO COMBINADO (ENDESA)"/>
    <n v="859"/>
    <s v="18WBES5-123456-T"/>
    <x v="8"/>
    <s v="Venta"/>
    <s v="END"/>
    <s v="ENDG"/>
    <x v="0"/>
    <x v="72"/>
    <x v="8"/>
    <s v="END"/>
  </r>
  <r>
    <x v="169"/>
    <s v="BESC01"/>
    <s v="COMPRA COMERCIALIZADORA"/>
    <n v="0.1"/>
    <s v="18W000000000R44S"/>
    <x v="2"/>
    <s v="Compra"/>
    <s v="SZR"/>
    <s v="BESPI"/>
    <x v="1"/>
    <x v="96"/>
    <x v="2"/>
    <s v="SZR"/>
  </r>
  <r>
    <x v="170"/>
    <s v="BESTC01"/>
    <s v="BEST OPTION COMPRA"/>
    <n v="0"/>
    <s v="18W000000000RWJP"/>
    <x v="2"/>
    <s v="Compra"/>
    <s v="SZR"/>
    <s v="BESTO"/>
    <x v="1"/>
    <x v="97"/>
    <x v="2"/>
    <s v="SZR"/>
  </r>
  <r>
    <x v="171"/>
    <s v="BEYOC01"/>
    <s v="UP BEYOC01"/>
    <n v="0.1"/>
    <s v="18W000000000DBQJ"/>
    <x v="2"/>
    <s v="Compra"/>
    <s v="SZR"/>
    <s v="BEYON"/>
    <x v="1"/>
    <x v="98"/>
    <x v="2"/>
    <s v="SZR"/>
  </r>
  <r>
    <x v="172"/>
    <s v="BIODIESEL"/>
    <s v="BIODIESEL ARAGON"/>
    <n v="1"/>
    <s v="18W000000000RL3G"/>
    <x v="6"/>
    <s v="Compra"/>
    <s v="SZR"/>
    <s v="BIODI"/>
    <x v="3"/>
    <x v="99"/>
    <x v="6"/>
    <s v="SZR"/>
  </r>
  <r>
    <x v="173"/>
    <s v="BIROUGAS"/>
    <s v="BIROUGAS SL"/>
    <n v="1"/>
    <s v="18W000000000GZKL"/>
    <x v="2"/>
    <s v="Compra"/>
    <s v="SZR"/>
    <s v="BIROU"/>
    <x v="1"/>
    <x v="100"/>
    <x v="2"/>
    <s v="SZR"/>
  </r>
  <r>
    <x v="174"/>
    <s v="BIRSPRA"/>
    <s v="BIRSPRA"/>
    <n v="0.6"/>
    <s v="18W000000000IO28"/>
    <x v="18"/>
    <s v="Venta"/>
    <s v="SZR"/>
    <s v="RSPRA"/>
    <x v="0"/>
    <x v="101"/>
    <x v="20"/>
    <s v="SZR"/>
  </r>
  <r>
    <x v="175"/>
    <s v="BLAGARES"/>
    <s v="UP BIOGAS EDAR LAGARES"/>
    <n v="1.6"/>
    <s v="18W000000000L16K"/>
    <x v="18"/>
    <s v="Venta"/>
    <s v="SZR"/>
    <s v="IGNIS"/>
    <x v="0"/>
    <x v="28"/>
    <x v="20"/>
    <s v="SZR"/>
  </r>
  <r>
    <x v="176"/>
    <s v="BLANC"/>
    <s v="BLANC"/>
    <n v="6"/>
    <s v="18WBLANC-12345-Z"/>
    <x v="9"/>
    <s v="Venta"/>
    <s v="SZR"/>
    <s v="GNRA"/>
    <x v="0"/>
    <x v="46"/>
    <x v="9"/>
    <s v="SZR"/>
  </r>
  <r>
    <x v="177"/>
    <s v="BNPRC01"/>
    <s v="BNPRC01"/>
    <n v="0.1"/>
    <s v="18W000000000GHNW"/>
    <x v="2"/>
    <s v="Compra"/>
    <s v="SZR"/>
    <s v="BNPRU"/>
    <x v="1"/>
    <x v="102"/>
    <x v="2"/>
    <s v="SZR"/>
  </r>
  <r>
    <x v="178"/>
    <s v="BONPREU V"/>
    <s v="BONPREU V"/>
    <n v="1.8"/>
    <s v="18W000000000Q3H9"/>
    <x v="9"/>
    <s v="Venta"/>
    <s v="SZR"/>
    <s v="BNPRU"/>
    <x v="0"/>
    <x v="102"/>
    <x v="9"/>
    <s v="SZR"/>
  </r>
  <r>
    <x v="179"/>
    <s v="UP BOAEN"/>
    <s v="UP BOAENERGTICA"/>
    <n v="0.1"/>
    <s v="18W000000000PYRB"/>
    <x v="2"/>
    <s v="Compra"/>
    <s v="SZR"/>
    <s v="BOAEN"/>
    <x v="1"/>
    <x v="103"/>
    <x v="2"/>
    <s v="SZR"/>
  </r>
  <r>
    <x v="180"/>
    <s v="BOLI"/>
    <s v="BOLINCHES"/>
    <n v="0.4"/>
    <s v="18WBOLI-123456-4"/>
    <x v="1"/>
    <s v="Venta"/>
    <s v="SZR"/>
    <s v="BARER"/>
    <x v="0"/>
    <x v="1"/>
    <x v="1"/>
    <s v="SZR"/>
  </r>
  <r>
    <x v="181"/>
    <s v="BPGAS_COM"/>
    <s v="BP GAS EUROPE COMERCIALIZADORA"/>
    <n v="0.1"/>
    <s v="18WBPC01-1234-2A"/>
    <x v="2"/>
    <s v="Compra"/>
    <s v="SZR"/>
    <s v="BP"/>
    <x v="1"/>
    <x v="104"/>
    <x v="2"/>
    <s v="SZR"/>
  </r>
  <r>
    <x v="182"/>
    <s v="UP IBERICA"/>
    <s v="IBERICA IMPULSA SL"/>
    <n v="1"/>
    <s v="18W000000000KNBM"/>
    <x v="2"/>
    <s v="Compra"/>
    <s v="SZR"/>
    <s v="IBERB"/>
    <x v="1"/>
    <x v="105"/>
    <x v="2"/>
    <s v="SZR"/>
  </r>
  <r>
    <x v="183"/>
    <s v="UP BREÑA B"/>
    <s v="UP BOMBEO BREÑA 2"/>
    <n v="50"/>
    <s v="18W000000000M2V0"/>
    <x v="13"/>
    <s v="Compra"/>
    <s v="SZR"/>
    <s v="IGNIS"/>
    <x v="6"/>
    <x v="28"/>
    <x v="13"/>
    <s v="SZR"/>
  </r>
  <r>
    <x v="184"/>
    <s v="BARRIOS"/>
    <s v="C.T. LOS BARRIOS"/>
    <n v="570"/>
    <s v="18WBRR1-12345-0H"/>
    <x v="3"/>
    <s v="Venta"/>
    <s v="SZR"/>
    <s v="VIEPR"/>
    <x v="0"/>
    <x v="3"/>
    <x v="21"/>
    <s v="SZR"/>
  </r>
  <r>
    <x v="185"/>
    <s v="AUX BRR1"/>
    <s v="CONSUMOS AUX CT LOS BARRIOS"/>
    <n v="34.1"/>
    <s v="18W000000000BKEO"/>
    <x v="5"/>
    <s v="Compra"/>
    <s v="SZR"/>
    <s v="VIEPR"/>
    <x v="2"/>
    <x v="3"/>
    <x v="5"/>
    <s v="SZR"/>
  </r>
  <r>
    <x v="186"/>
    <s v="PSBRUC"/>
    <s v="PS HUELVA 2021 BRUC"/>
    <n v="40.9"/>
    <s v="18W000000000P3XI"/>
    <x v="9"/>
    <s v="Venta"/>
    <s v="IGR"/>
    <s v="IGNIS"/>
    <x v="0"/>
    <x v="28"/>
    <x v="9"/>
    <s v="IGR"/>
  </r>
  <r>
    <x v="187"/>
    <s v="BSGEA"/>
    <s v="BSGEA"/>
    <n v="1"/>
    <s v="18W0000000008G7P"/>
    <x v="2"/>
    <s v="Compra"/>
    <s v="SZR"/>
    <s v="BSGEA"/>
    <x v="1"/>
    <x v="106"/>
    <x v="2"/>
    <s v="SZR"/>
  </r>
  <r>
    <x v="188"/>
    <s v="BSOUPTAL01"/>
    <s v="UP BASSOLS SOLAR ORION TALAVERA"/>
    <n v="8.1999999999999993"/>
    <s v="18W000000000SV97"/>
    <x v="9"/>
    <s v="Venta"/>
    <s v="SZR"/>
    <s v="BECO"/>
    <x v="0"/>
    <x v="91"/>
    <x v="9"/>
    <s v="SZR"/>
  </r>
  <r>
    <x v="189"/>
    <s v="BTN"/>
    <s v="BTN"/>
    <n v="0.1"/>
    <s v="18WBTN-1234567-O"/>
    <x v="1"/>
    <s v="Venta"/>
    <s v="SZR"/>
    <s v="VIEG"/>
    <x v="0"/>
    <x v="29"/>
    <x v="1"/>
    <s v="SZR"/>
  </r>
  <r>
    <x v="190"/>
    <s v="BTRR1"/>
    <s v="BTRR1"/>
    <n v="41.2"/>
    <s v="18W000000000RVD3"/>
    <x v="9"/>
    <s v="Venta"/>
    <s v="SZR"/>
    <s v="GNRA"/>
    <x v="0"/>
    <x v="46"/>
    <x v="9"/>
    <s v="SZR"/>
  </r>
  <r>
    <x v="191"/>
    <s v="BTRR2"/>
    <s v="BTRR2"/>
    <n v="41.2"/>
    <s v="18W000000000RVB7"/>
    <x v="9"/>
    <s v="Venta"/>
    <s v="SZR"/>
    <s v="GNRA"/>
    <x v="0"/>
    <x v="46"/>
    <x v="9"/>
    <s v="SZR"/>
  </r>
  <r>
    <x v="192"/>
    <s v="BTRR3"/>
    <s v="BTRR3"/>
    <n v="41.2"/>
    <s v="18W000000000RVGY"/>
    <x v="9"/>
    <s v="Venta"/>
    <s v="SZR"/>
    <s v="GNRA"/>
    <x v="0"/>
    <x v="46"/>
    <x v="9"/>
    <s v="SZR"/>
  </r>
  <r>
    <x v="193"/>
    <s v="BYDETIC"/>
    <s v="DETIC BIOGS"/>
    <n v="1.1000000000000001"/>
    <s v="18W000000000582Y"/>
    <x v="18"/>
    <s v="Venta"/>
    <s v="SZR"/>
    <s v="DETIC"/>
    <x v="0"/>
    <x v="71"/>
    <x v="20"/>
    <s v="SZR"/>
  </r>
  <r>
    <x v="194"/>
    <s v="BYENC01"/>
    <s v="BY ENERGYC PENINSULA"/>
    <n v="0.1"/>
    <s v="18W000000000HQM3"/>
    <x v="2"/>
    <s v="Compra"/>
    <s v="SZR"/>
    <s v="BYENE"/>
    <x v="1"/>
    <x v="107"/>
    <x v="2"/>
    <s v="SZR"/>
  </r>
  <r>
    <x v="195"/>
    <s v="UC CANDELA"/>
    <s v="UNIDAD COMPRA CANDELA"/>
    <n v="0"/>
    <s v="18W000000000F256"/>
    <x v="2"/>
    <s v="Compra"/>
    <s v="SZR"/>
    <s v="CANDL"/>
    <x v="1"/>
    <x v="108"/>
    <x v="2"/>
    <s v="SZR"/>
  </r>
  <r>
    <x v="196"/>
    <s v="CALEN"/>
    <s v="CALE NUEVO"/>
    <n v="2.2999999999999998"/>
    <s v="18W000000000EY7L"/>
    <x v="6"/>
    <s v="Compra"/>
    <s v="SZR"/>
    <s v="CALEA"/>
    <x v="3"/>
    <x v="109"/>
    <x v="6"/>
    <s v="SZR"/>
  </r>
  <r>
    <x v="197"/>
    <s v="CAMPO_UP"/>
    <s v="CAMPO COMPRAS"/>
    <n v="0.4"/>
    <s v="18W00000000053M9"/>
    <x v="2"/>
    <s v="Compra"/>
    <s v="SZR"/>
    <s v="CAMCO"/>
    <x v="1"/>
    <x v="110"/>
    <x v="2"/>
    <s v="SZR"/>
  </r>
  <r>
    <x v="198"/>
    <s v="CAMG20X"/>
    <s v="CAMG20X"/>
    <n v="7"/>
    <s v="18W0000000004EMH"/>
    <x v="5"/>
    <s v="Compra"/>
    <s v="SZR"/>
    <s v="DETIC"/>
    <x v="2"/>
    <x v="71"/>
    <x v="5"/>
    <s v="SZR"/>
  </r>
  <r>
    <x v="199"/>
    <s v="CAMPGIB1"/>
    <s v="C.C. CAMPO GIBRALTAR 1"/>
    <n v="392.6"/>
    <s v="18WCAMGI10-12-07"/>
    <x v="8"/>
    <s v="Venta"/>
    <s v="NTG"/>
    <s v="GNCC"/>
    <x v="0"/>
    <x v="8"/>
    <x v="8"/>
    <s v="GN"/>
  </r>
  <r>
    <x v="200"/>
    <s v="CAMPGIB2"/>
    <s v="C.C. CAMPO GIBRALTAR 2"/>
    <n v="387.9"/>
    <s v="18WCAMGI20--1-0D"/>
    <x v="8"/>
    <s v="Venta"/>
    <s v="CEP"/>
    <s v="SEDAE"/>
    <x v="0"/>
    <x v="71"/>
    <x v="8"/>
    <s v="CEP"/>
  </r>
  <r>
    <x v="201"/>
    <s v="CANTI44"/>
    <s v="CANTILLANA44"/>
    <n v="5"/>
    <s v="18W000000000RB2B"/>
    <x v="9"/>
    <s v="Venta"/>
    <s v="SZR"/>
    <s v="ADXRE"/>
    <x v="0"/>
    <x v="37"/>
    <x v="9"/>
    <s v="SZR"/>
  </r>
  <r>
    <x v="202"/>
    <s v="CANTL"/>
    <s v="CANTL"/>
    <n v="4.8"/>
    <s v="18W000000000FER0"/>
    <x v="9"/>
    <s v="Venta"/>
    <s v="SZR"/>
    <s v="GNRA"/>
    <x v="0"/>
    <x v="46"/>
    <x v="9"/>
    <s v="SZR"/>
  </r>
  <r>
    <x v="203"/>
    <s v="CANALIZACI"/>
    <s v="MOLECOR CANALIZACIONES"/>
    <n v="4.7"/>
    <s v="18W000000000POA1"/>
    <x v="6"/>
    <s v="Compra"/>
    <s v="SZR"/>
    <s v="MOLEC"/>
    <x v="3"/>
    <x v="111"/>
    <x v="6"/>
    <s v="SZR"/>
  </r>
  <r>
    <x v="204"/>
    <s v="CAPTURC01"/>
    <s v="CAPTURC01"/>
    <n v="0.1"/>
    <s v="18W000000000QT9L"/>
    <x v="2"/>
    <s v="Compra"/>
    <s v="SZR"/>
    <s v="CAPTA"/>
    <x v="1"/>
    <x v="112"/>
    <x v="2"/>
    <s v="SZR"/>
  </r>
  <r>
    <x v="205"/>
    <s v="CASAT"/>
    <s v="CASAT"/>
    <n v="1.2"/>
    <s v="18W0000000001MN3"/>
    <x v="6"/>
    <s v="Compra"/>
    <s v="SZR"/>
    <s v="CASAT"/>
    <x v="3"/>
    <x v="113"/>
    <x v="6"/>
    <s v="SZR"/>
  </r>
  <r>
    <x v="206"/>
    <s v="CASMON"/>
    <s v="CASMON"/>
    <n v="2.6"/>
    <s v="18W000000000R0ST"/>
    <x v="9"/>
    <s v="Venta"/>
    <s v="SZR"/>
    <s v="GNRA"/>
    <x v="0"/>
    <x v="46"/>
    <x v="9"/>
    <s v="SZR"/>
  </r>
  <r>
    <x v="207"/>
    <s v="CATGAS"/>
    <s v="CATGAS ENERGIA SA"/>
    <n v="0.5"/>
    <s v="18WCATGC01-123-C"/>
    <x v="2"/>
    <s v="Compra"/>
    <s v="SZR"/>
    <s v="CATGA"/>
    <x v="1"/>
    <x v="114"/>
    <x v="2"/>
    <s v="SZR"/>
  </r>
  <r>
    <x v="208"/>
    <s v="CATRAL1UP"/>
    <s v="CATRAL 01 UP"/>
    <n v="1.8"/>
    <s v="18W000000000SLBX"/>
    <x v="9"/>
    <s v="Venta"/>
    <s v="SZR"/>
    <s v="TRISO"/>
    <x v="0"/>
    <x v="115"/>
    <x v="9"/>
    <s v="SZR"/>
  </r>
  <r>
    <x v="209"/>
    <s v="CATRAL 2"/>
    <s v="UP CATRAL 2"/>
    <n v="0.5"/>
    <s v="18W000000000T12X"/>
    <x v="9"/>
    <s v="Venta"/>
    <s v="SZR"/>
    <s v="TRISO"/>
    <x v="0"/>
    <x v="115"/>
    <x v="9"/>
    <s v="SZR"/>
  </r>
  <r>
    <x v="210"/>
    <s v="CATRC01"/>
    <s v="ELÉCTRICA CATRALENSE, SLU"/>
    <n v="4"/>
    <s v="18WCATRC01-123-D"/>
    <x v="2"/>
    <s v="Compra"/>
    <s v="SZR"/>
    <s v="CATRA"/>
    <x v="1"/>
    <x v="116"/>
    <x v="2"/>
    <s v="SZR"/>
  </r>
  <r>
    <x v="211"/>
    <s v="CCASC01"/>
    <s v="CCASC01 UP"/>
    <n v="1"/>
    <s v="18W000000000MANT"/>
    <x v="2"/>
    <s v="Compra"/>
    <s v="SZR"/>
    <s v="COMER"/>
    <x v="1"/>
    <x v="117"/>
    <x v="2"/>
    <s v="SZR"/>
  </r>
  <r>
    <x v="212"/>
    <s v="CCATC01"/>
    <s v="COOP. ELÉCT. CATRALENSE UP"/>
    <n v="6"/>
    <s v="18WCCATC01-123-U"/>
    <x v="2"/>
    <s v="Compra"/>
    <s v="SZR"/>
    <s v="CCATR"/>
    <x v="1"/>
    <x v="118"/>
    <x v="2"/>
    <s v="SZR"/>
  </r>
  <r>
    <x v="213"/>
    <s v="CREARA"/>
    <s v="CREARA CONSULTORES"/>
    <n v="1"/>
    <s v="18W000000000TB31"/>
    <x v="6"/>
    <s v="Compra"/>
    <s v="SZR"/>
    <s v="CREAR"/>
    <x v="3"/>
    <x v="119"/>
    <x v="6"/>
    <s v="SZR"/>
  </r>
  <r>
    <x v="214"/>
    <s v="CD02R01"/>
    <s v="CD02R01"/>
    <n v="3"/>
    <s v="18W000000000ORWQ"/>
    <x v="6"/>
    <s v="Compra"/>
    <s v="SZR"/>
    <s v="DETIC"/>
    <x v="3"/>
    <x v="71"/>
    <x v="6"/>
    <s v="SZR"/>
  </r>
  <r>
    <x v="215"/>
    <s v="CD03R01"/>
    <s v="CD03R01"/>
    <n v="0"/>
    <s v="18W000000000S47I"/>
    <x v="6"/>
    <s v="Compra"/>
    <s v="SZR"/>
    <s v="DETIC"/>
    <x v="3"/>
    <x v="71"/>
    <x v="6"/>
    <s v="SZR"/>
  </r>
  <r>
    <x v="216"/>
    <s v="CD04R01"/>
    <s v="CD04R01"/>
    <n v="55"/>
    <s v="18W000000000QOSZ"/>
    <x v="6"/>
    <s v="Compra"/>
    <s v="SZR"/>
    <s v="DETIC"/>
    <x v="3"/>
    <x v="71"/>
    <x v="6"/>
    <s v="SZR"/>
  </r>
  <r>
    <x v="217"/>
    <s v="CD05R01"/>
    <s v="CD05R01"/>
    <n v="2600"/>
    <s v="18W000000000S48G"/>
    <x v="6"/>
    <s v="Compra"/>
    <s v="SZR"/>
    <s v="DETIC"/>
    <x v="3"/>
    <x v="71"/>
    <x v="6"/>
    <s v="SZR"/>
  </r>
  <r>
    <x v="218"/>
    <s v="CEBA"/>
    <s v="COOPERATIVA ELECTRICA ALBATERENSE, COOP.V."/>
    <n v="6.3"/>
    <s v="18WCEBAC01-123-0"/>
    <x v="2"/>
    <s v="Compra"/>
    <s v="SZR"/>
    <s v="CEA"/>
    <x v="1"/>
    <x v="120"/>
    <x v="2"/>
    <s v="SZR"/>
  </r>
  <r>
    <x v="219"/>
    <s v="CASTELLAR"/>
    <s v="COOPERTIVA ELECTRICA DE CASTELLAR, S.C.V."/>
    <n v="3.6"/>
    <s v="18WCECAC01-123-Q"/>
    <x v="2"/>
    <s v="Compra"/>
    <s v="SZR"/>
    <s v="CECA"/>
    <x v="1"/>
    <x v="121"/>
    <x v="2"/>
    <s v="SZR"/>
  </r>
  <r>
    <x v="220"/>
    <s v="CEDSL"/>
    <s v="COMERCIALIZADORA DE ENERGA DIRECTA"/>
    <n v="0.1"/>
    <s v="18WCEDC01-1234-B"/>
    <x v="2"/>
    <s v="Compra"/>
    <s v="SZR"/>
    <s v="CEDSL"/>
    <x v="1"/>
    <x v="122"/>
    <x v="2"/>
    <s v="SZR"/>
  </r>
  <r>
    <x v="221"/>
    <s v="CEEEC01"/>
    <s v="COMPAÑÍA ESCANDINAVA DE ELECTRICIDAD EN ESPAÑA, S.L"/>
    <n v="0.8"/>
    <s v="18WCEEEC01-123-1"/>
    <x v="2"/>
    <s v="Compra"/>
    <s v="SZR"/>
    <s v="CEEE"/>
    <x v="1"/>
    <x v="123"/>
    <x v="2"/>
    <s v="SZR"/>
  </r>
  <r>
    <x v="222"/>
    <s v="CEESC01"/>
    <s v="CENTRICA ENERGIAS ESPECIALES COMPRA"/>
    <n v="1.9"/>
    <s v="18WCEESC01-123-9"/>
    <x v="2"/>
    <s v="Compra"/>
    <s v="SZR"/>
    <s v="CENES"/>
    <x v="1"/>
    <x v="124"/>
    <x v="2"/>
    <s v="SZR"/>
  </r>
  <r>
    <x v="223"/>
    <s v="CEG CO"/>
    <s v="CENTRICA GENERACION COMERCIALIZADORA"/>
    <n v="0"/>
    <s v="18WCEGC01-123-2O"/>
    <x v="2"/>
    <s v="Compra"/>
    <s v="SZR"/>
    <s v="CEG"/>
    <x v="1"/>
    <x v="124"/>
    <x v="2"/>
    <s v="SZR"/>
  </r>
  <r>
    <x v="224"/>
    <s v="CELC01"/>
    <s v="CELLTECH S.L.U"/>
    <n v="7"/>
    <s v="18WCELC01-1234-Y"/>
    <x v="6"/>
    <s v="Compra"/>
    <s v="SZR"/>
    <s v="CELL"/>
    <x v="3"/>
    <x v="125"/>
    <x v="6"/>
    <s v="SZR"/>
  </r>
  <r>
    <x v="225"/>
    <s v="CELSC01"/>
    <s v="PORTAFOLIO GRUPO CELSA"/>
    <n v="7021.4"/>
    <s v="18W00000000050U2"/>
    <x v="6"/>
    <s v="Compra"/>
    <s v="SZR"/>
    <s v="CELSA"/>
    <x v="3"/>
    <x v="126"/>
    <x v="6"/>
    <s v="SZR"/>
  </r>
  <r>
    <x v="226"/>
    <s v="CFERIMSA"/>
    <s v="FERIMETSABADELL"/>
    <n v="0.4"/>
    <s v="18W00000000079IS"/>
    <x v="6"/>
    <s v="Compra"/>
    <s v="SZR"/>
    <s v="CELSA"/>
    <x v="3"/>
    <x v="126"/>
    <x v="6"/>
    <s v="SZR"/>
  </r>
  <r>
    <x v="227"/>
    <s v="CEMENTO PE"/>
    <s v="CEMENTO PENINSULA"/>
    <n v="5"/>
    <s v="18W000000000SJQ9"/>
    <x v="2"/>
    <s v="Compra"/>
    <s v="SZR"/>
    <s v="CEMEK"/>
    <x v="1"/>
    <x v="127"/>
    <x v="2"/>
    <s v="SZR"/>
  </r>
  <r>
    <x v="228"/>
    <s v="CENG01"/>
    <s v="CENTELLES GEN SOLAR 01"/>
    <n v="0"/>
    <s v="18W000000000Q1AT"/>
    <x v="9"/>
    <s v="Venta"/>
    <s v="SZR"/>
    <s v="CENTS"/>
    <x v="0"/>
    <x v="128"/>
    <x v="9"/>
    <s v="SZR"/>
  </r>
  <r>
    <x v="229"/>
    <s v="CENT CO"/>
    <s v="CENTRICA ENERGIA COMERCIALIZADORA"/>
    <n v="0"/>
    <s v="18WCENTC01-12-2H"/>
    <x v="2"/>
    <s v="Compra"/>
    <s v="SZR"/>
    <s v="CENTE"/>
    <x v="1"/>
    <x v="124"/>
    <x v="2"/>
    <s v="SZR"/>
  </r>
  <r>
    <x v="230"/>
    <s v="CENTCP3"/>
    <s v="CENTRICA EXPORTACIÓN DE ENERGÍA A FRANCIA (AGENTE EXTERNO)"/>
    <n v="300"/>
    <s v="18WCENTCP3-12-4L"/>
    <x v="16"/>
    <s v="Compra"/>
    <s v="SZR"/>
    <s v="CENTE"/>
    <x v="7"/>
    <x v="124"/>
    <x v="16"/>
    <s v="SZR"/>
  </r>
  <r>
    <x v="231"/>
    <s v="CENTVP3"/>
    <s v="CENTRICA IMPORTACIÓN DE ENERGÍA DESDE FRANCIA (AGENTE EXTERNO)"/>
    <n v="300"/>
    <s v="18WCENTVP3-12-30"/>
    <x v="17"/>
    <s v="Venta"/>
    <s v="SZR"/>
    <s v="CENTE"/>
    <x v="7"/>
    <x v="124"/>
    <x v="17"/>
    <s v="SZR"/>
  </r>
  <r>
    <x v="232"/>
    <s v="CEPEN"/>
    <s v="COMERCIALIZADORA ELECTRICA PENINSULAR"/>
    <n v="1"/>
    <s v="18W00000000079GW"/>
    <x v="2"/>
    <s v="Compra"/>
    <s v="SZR"/>
    <s v="CEPEN"/>
    <x v="1"/>
    <x v="129"/>
    <x v="2"/>
    <s v="SZR"/>
  </r>
  <r>
    <x v="233"/>
    <s v="CERVANTINA"/>
    <s v="CERVANTINA"/>
    <n v="1"/>
    <s v="18W000000000QG5V"/>
    <x v="9"/>
    <s v="Venta"/>
    <s v="SZR"/>
    <s v="ZRMTT"/>
    <x v="0"/>
    <x v="130"/>
    <x v="9"/>
    <s v="SZR"/>
  </r>
  <r>
    <x v="234"/>
    <s v="CESOC01"/>
    <s v="UNIDAD DE COMPRA DE COMERCIALIZADORA CESOS"/>
    <n v="0.1"/>
    <s v="18W000000000GOBZ"/>
    <x v="2"/>
    <s v="Compra"/>
    <s v="SZR"/>
    <s v="CESOS"/>
    <x v="1"/>
    <x v="3"/>
    <x v="2"/>
    <s v="SZR"/>
  </r>
  <r>
    <x v="235"/>
    <s v="CETAL"/>
    <s v="COMERCIALIZADORA ELECTRICA TALAYUELAS"/>
    <n v="1"/>
    <s v="18WCETAC01-123-O"/>
    <x v="2"/>
    <s v="Compra"/>
    <s v="SZR"/>
    <s v="CETAL"/>
    <x v="1"/>
    <x v="131"/>
    <x v="2"/>
    <s v="SZR"/>
  </r>
  <r>
    <x v="236"/>
    <s v="CGGRABI"/>
    <s v="CGGRABI"/>
    <n v="9.9"/>
    <s v="18W000000000OIEF"/>
    <x v="10"/>
    <s v="Venta"/>
    <s v="SZR"/>
    <s v="GNRA"/>
    <x v="0"/>
    <x v="46"/>
    <x v="10"/>
    <s v="SZR"/>
  </r>
  <r>
    <x v="237"/>
    <s v="CGINDU"/>
    <s v="CGINDU"/>
    <n v="0.5"/>
    <s v="18W000000000OIVI"/>
    <x v="10"/>
    <s v="Venta"/>
    <s v="SZR"/>
    <s v="GNRA"/>
    <x v="0"/>
    <x v="46"/>
    <x v="10"/>
    <s v="SZR"/>
  </r>
  <r>
    <x v="238"/>
    <s v="CGLAM"/>
    <s v="CGLAM"/>
    <n v="1"/>
    <s v="18W000000000PXPI"/>
    <x v="3"/>
    <s v="Venta"/>
    <s v="SZR"/>
    <s v="GNRA"/>
    <x v="0"/>
    <x v="46"/>
    <x v="18"/>
    <s v="SZR"/>
  </r>
  <r>
    <x v="239"/>
    <s v="CGLAV"/>
    <s v="CGLAV"/>
    <n v="0.5"/>
    <s v="18W000000000OJH6"/>
    <x v="10"/>
    <s v="Venta"/>
    <s v="SZR"/>
    <s v="GNRA"/>
    <x v="0"/>
    <x v="46"/>
    <x v="10"/>
    <s v="SZR"/>
  </r>
  <r>
    <x v="240"/>
    <s v="CGTOP"/>
    <s v="CGTOP"/>
    <n v="0.4"/>
    <s v="18W000000000OKG5"/>
    <x v="10"/>
    <s v="Venta"/>
    <s v="SZR"/>
    <s v="GNRA"/>
    <x v="0"/>
    <x v="46"/>
    <x v="10"/>
    <s v="SZR"/>
  </r>
  <r>
    <x v="241"/>
    <s v="CGYEL"/>
    <s v="CGYEL"/>
    <n v="0.4"/>
    <s v="18W000000000OJG8"/>
    <x v="10"/>
    <s v="Venta"/>
    <s v="SZR"/>
    <s v="GNRA"/>
    <x v="0"/>
    <x v="46"/>
    <x v="10"/>
    <s v="SZR"/>
  </r>
  <r>
    <x v="242"/>
    <s v="CHANDUY"/>
    <s v="RECICLAJES ECOLGICOS CHANDUY SL"/>
    <n v="1"/>
    <s v="18W000000000J5V3"/>
    <x v="2"/>
    <s v="Compra"/>
    <s v="SZR"/>
    <s v="CHAND"/>
    <x v="1"/>
    <x v="132"/>
    <x v="2"/>
    <s v="SZR"/>
  </r>
  <r>
    <x v="243"/>
    <s v="BARROSA"/>
    <s v="CH BARROSA"/>
    <n v="3.5"/>
    <s v="18W000000000F0KJ"/>
    <x v="1"/>
    <s v="Venta"/>
    <s v="SZR"/>
    <s v="GNRA"/>
    <x v="0"/>
    <x v="46"/>
    <x v="1"/>
    <s v="SZR"/>
  </r>
  <r>
    <x v="244"/>
    <s v="CHCC01"/>
    <s v="CIDE HCENERGÍA, S.A."/>
    <n v="15"/>
    <s v="18WCHCC01-1234-N"/>
    <x v="2"/>
    <s v="Compra"/>
    <s v="SZR"/>
    <s v="CHC"/>
    <x v="1"/>
    <x v="133"/>
    <x v="2"/>
    <s v="SZR"/>
  </r>
  <r>
    <x v="245"/>
    <s v="CHCOC01"/>
    <s v="UNID. COMPRA CHC COR"/>
    <n v="200"/>
    <s v="18WCHCOC01-123-Z"/>
    <x v="2"/>
    <s v="Compra"/>
    <s v="SZR"/>
    <s v="CHCOR"/>
    <x v="1"/>
    <x v="134"/>
    <x v="2"/>
    <s v="SZR"/>
  </r>
  <r>
    <x v="246"/>
    <s v="CHURCH"/>
    <s v="CHURCH ENERGY SL"/>
    <n v="1"/>
    <s v="18W000000000RZ73"/>
    <x v="2"/>
    <s v="Compra"/>
    <s v="SZR"/>
    <s v="CHURC"/>
    <x v="1"/>
    <x v="135"/>
    <x v="2"/>
    <s v="SZR"/>
  </r>
  <r>
    <x v="247"/>
    <s v="SOT CHERA"/>
    <s v="ELECTRICA SOT DE CHERA"/>
    <n v="1.1000000000000001"/>
    <s v="18WCHERC01-123-K"/>
    <x v="2"/>
    <s v="Compra"/>
    <s v="SZR"/>
    <s v="CHERA"/>
    <x v="1"/>
    <x v="136"/>
    <x v="2"/>
    <s v="SZR"/>
  </r>
  <r>
    <x v="248"/>
    <s v="CHIPB"/>
    <s v="CHIPB"/>
    <n v="99"/>
    <s v="18WCHIPB-12345-8"/>
    <x v="13"/>
    <s v="Compra"/>
    <s v="SZR"/>
    <s v="ENDG"/>
    <x v="6"/>
    <x v="72"/>
    <x v="13"/>
    <s v="SZR"/>
  </r>
  <r>
    <x v="249"/>
    <s v="CHIPG"/>
    <s v="CHIPG"/>
    <n v="88.7"/>
    <s v="18WCHIPG-12345-0"/>
    <x v="14"/>
    <s v="Venta"/>
    <s v="END"/>
    <s v="ENDG"/>
    <x v="0"/>
    <x v="72"/>
    <x v="14"/>
    <s v="END"/>
  </r>
  <r>
    <x v="250"/>
    <s v="CHISTA_COM"/>
    <s v="UP_LACHISTABINA_COMPRAS"/>
    <n v="0.1"/>
    <s v="18W000000000CW60"/>
    <x v="2"/>
    <s v="Compra"/>
    <s v="SZR"/>
    <s v="COMCH"/>
    <x v="1"/>
    <x v="137"/>
    <x v="2"/>
    <s v="SZR"/>
  </r>
  <r>
    <x v="251"/>
    <s v="URDICETO 2"/>
    <s v="CHURDICETO 2"/>
    <n v="3.5"/>
    <s v="18W000000000F0GR"/>
    <x v="1"/>
    <s v="Venta"/>
    <s v="SZR"/>
    <s v="GNRA"/>
    <x v="0"/>
    <x v="46"/>
    <x v="1"/>
    <s v="SZR"/>
  </r>
  <r>
    <x v="252"/>
    <s v="CHURC01"/>
    <s v="CHURC01"/>
    <n v="5.5"/>
    <s v="18W000000000N5XK"/>
    <x v="6"/>
    <s v="Compra"/>
    <s v="SZR"/>
    <s v="CHURR"/>
    <x v="3"/>
    <x v="138"/>
    <x v="6"/>
    <s v="SZR"/>
  </r>
  <r>
    <x v="253"/>
    <s v="URDICETO"/>
    <s v="URDICETO 1"/>
    <n v="3.5"/>
    <s v="18W000000000F0FT"/>
    <x v="1"/>
    <s v="Venta"/>
    <s v="SZR"/>
    <s v="GNRA"/>
    <x v="0"/>
    <x v="46"/>
    <x v="1"/>
    <s v="SZR"/>
  </r>
  <r>
    <x v="254"/>
    <s v="CHVADO"/>
    <s v="CH VADO"/>
    <n v="2.7"/>
    <s v="18W000000000P2XL"/>
    <x v="1"/>
    <s v="Venta"/>
    <s v="SZR"/>
    <s v="STIN"/>
    <x v="0"/>
    <x v="139"/>
    <x v="19"/>
    <s v="SZR"/>
  </r>
  <r>
    <x v="255"/>
    <s v="CHVN"/>
    <s v="CHVN"/>
    <n v="0.2"/>
    <s v="18WCHVN-123456-Q"/>
    <x v="1"/>
    <s v="Venta"/>
    <s v="SZR"/>
    <s v="WMARK"/>
    <x v="0"/>
    <x v="22"/>
    <x v="1"/>
    <s v="SZR"/>
  </r>
  <r>
    <x v="256"/>
    <s v="CILCOR"/>
    <s v="REPSOL PETROLEO, S.A."/>
    <n v="94.1"/>
    <s v="18WCILCOR-123-0J"/>
    <x v="3"/>
    <s v="Venta"/>
    <s v="SZR"/>
    <s v="REPP"/>
    <x v="0"/>
    <x v="29"/>
    <x v="18"/>
    <s v="SZR"/>
  </r>
  <r>
    <x v="257"/>
    <s v="CIMA"/>
    <s v="CIMA ENERGIA"/>
    <n v="0.1"/>
    <s v="18W000000000GE61"/>
    <x v="2"/>
    <s v="Compra"/>
    <s v="SZR"/>
    <s v="CIMA"/>
    <x v="1"/>
    <x v="140"/>
    <x v="2"/>
    <s v="SZR"/>
  </r>
  <r>
    <x v="258"/>
    <s v="CINCOVILLA"/>
    <s v="CINCO VILLAS BIOMASA"/>
    <n v="2"/>
    <s v="18W000000000SOFG"/>
    <x v="19"/>
    <s v="Venta"/>
    <s v="SZR"/>
    <s v="ELEIA"/>
    <x v="0"/>
    <x v="90"/>
    <x v="22"/>
    <s v="SZR"/>
  </r>
  <r>
    <x v="259"/>
    <s v="CCAA CTJ3"/>
    <s v="CCAA CASTEJON 3"/>
    <n v="1.5"/>
    <s v="18W000000000KS5J"/>
    <x v="5"/>
    <s v="Compra"/>
    <s v="SZR"/>
    <s v="NATGA"/>
    <x v="2"/>
    <x v="141"/>
    <x v="5"/>
    <s v="SZR"/>
  </r>
  <r>
    <x v="260"/>
    <s v="CLEARVIEW"/>
    <s v="CLEARVIEW ENERGY"/>
    <n v="0.1"/>
    <s v="18W000000000M0AB"/>
    <x v="2"/>
    <s v="Compra"/>
    <s v="SZR"/>
    <s v="CLEAR"/>
    <x v="1"/>
    <x v="142"/>
    <x v="2"/>
    <s v="SZR"/>
  </r>
  <r>
    <x v="261"/>
    <s v="CLIDOMUP01"/>
    <s v="CLIDOM UNIDAD PROGRAMACION 01"/>
    <n v="0.1"/>
    <s v="18WCLIDC01-123-V"/>
    <x v="2"/>
    <s v="Compra"/>
    <s v="SZR"/>
    <s v="CLIDM"/>
    <x v="1"/>
    <x v="143"/>
    <x v="2"/>
    <s v="SZR"/>
  </r>
  <r>
    <x v="262"/>
    <s v="FV T10"/>
    <s v="FV MAYOR 1MW"/>
    <n v="4.3"/>
    <s v="18W000000000BR8F"/>
    <x v="9"/>
    <s v="Venta"/>
    <s v="SZR"/>
    <s v="CLIDM"/>
    <x v="0"/>
    <x v="143"/>
    <x v="9"/>
    <s v="SZR"/>
  </r>
  <r>
    <x v="263"/>
    <s v="CLIFV21"/>
    <s v="CLIFV21"/>
    <n v="4.2"/>
    <s v="18W000000000NR2G"/>
    <x v="9"/>
    <s v="Venta"/>
    <s v="SZR"/>
    <s v="ELEIA"/>
    <x v="0"/>
    <x v="90"/>
    <x v="9"/>
    <s v="SZR"/>
  </r>
  <r>
    <x v="264"/>
    <s v="CLIFV30"/>
    <s v="CLIFV30"/>
    <n v="40.700000000000003"/>
    <s v="18W000000000OL1W"/>
    <x v="9"/>
    <s v="Venta"/>
    <s v="SZR"/>
    <s v="CLIDM"/>
    <x v="0"/>
    <x v="143"/>
    <x v="9"/>
    <s v="SZR"/>
  </r>
  <r>
    <x v="265"/>
    <s v="CLIFV31"/>
    <s v="CLIFV31"/>
    <n v="40.700000000000003"/>
    <s v="18W000000000OL3S"/>
    <x v="9"/>
    <s v="Venta"/>
    <s v="SZR"/>
    <s v="CLIDM"/>
    <x v="0"/>
    <x v="143"/>
    <x v="9"/>
    <s v="SZR"/>
  </r>
  <r>
    <x v="266"/>
    <s v="CLIFV32"/>
    <s v="CLIFV32"/>
    <n v="40.200000000000003"/>
    <s v="18W000000000OL5O"/>
    <x v="9"/>
    <s v="Venta"/>
    <s v="SZR"/>
    <s v="CLIDM"/>
    <x v="0"/>
    <x v="143"/>
    <x v="9"/>
    <s v="SZR"/>
  </r>
  <r>
    <x v="267"/>
    <s v="CLIFV35"/>
    <s v="CLIFV35"/>
    <n v="10"/>
    <s v="18W000000000P1ZK"/>
    <x v="9"/>
    <s v="Venta"/>
    <s v="SZR"/>
    <s v="CLIDM"/>
    <x v="0"/>
    <x v="143"/>
    <x v="9"/>
    <s v="SZR"/>
  </r>
  <r>
    <x v="268"/>
    <s v="CLIFV45"/>
    <s v="CLIFV45"/>
    <n v="16.8"/>
    <s v="18W000000000Q8W1"/>
    <x v="9"/>
    <s v="Venta"/>
    <s v="SZR"/>
    <s v="CLIDM"/>
    <x v="0"/>
    <x v="143"/>
    <x v="9"/>
    <s v="SZR"/>
  </r>
  <r>
    <x v="269"/>
    <s v="CLIFV53"/>
    <s v="CLIFV53"/>
    <n v="16.8"/>
    <s v="18W000000000R82K"/>
    <x v="9"/>
    <s v="Venta"/>
    <s v="SZR"/>
    <s v="CLIDM"/>
    <x v="0"/>
    <x v="143"/>
    <x v="9"/>
    <s v="SZR"/>
  </r>
  <r>
    <x v="270"/>
    <s v="CLIFV54"/>
    <s v="CLIFV54"/>
    <n v="22.4"/>
    <s v="18W000000000R83I"/>
    <x v="9"/>
    <s v="Venta"/>
    <s v="SZR"/>
    <s v="CLIDM"/>
    <x v="0"/>
    <x v="143"/>
    <x v="9"/>
    <s v="SZR"/>
  </r>
  <r>
    <x v="271"/>
    <s v="CLIFV55"/>
    <s v="CLIFV55"/>
    <n v="39"/>
    <s v="18W000000000RP8V"/>
    <x v="9"/>
    <s v="Venta"/>
    <s v="SZR"/>
    <s v="CLIDM"/>
    <x v="0"/>
    <x v="143"/>
    <x v="9"/>
    <s v="SZR"/>
  </r>
  <r>
    <x v="272"/>
    <s v="CLIFV58"/>
    <s v="CLIFV58"/>
    <n v="17.100000000000001"/>
    <s v="18W000000000T1RK"/>
    <x v="9"/>
    <s v="Venta"/>
    <s v="SZR"/>
    <s v="CLIDM"/>
    <x v="0"/>
    <x v="143"/>
    <x v="9"/>
    <s v="SZR"/>
  </r>
  <r>
    <x v="273"/>
    <s v="CLIPCX1"/>
    <s v="CLIPCX1"/>
    <n v="9999"/>
    <s v="18W000000000OCPB"/>
    <x v="20"/>
    <s v="Compra"/>
    <s v="SZR"/>
    <s v="CLIDM"/>
    <x v="8"/>
    <x v="143"/>
    <x v="23"/>
    <s v="SZR"/>
  </r>
  <r>
    <x v="274"/>
    <s v="CLIPVX1"/>
    <s v="CLIPVX1"/>
    <n v="9999"/>
    <s v="18W000000000OCQ9"/>
    <x v="20"/>
    <s v="Venta"/>
    <s v="SZR"/>
    <s v="CLIDM"/>
    <x v="8"/>
    <x v="143"/>
    <x v="23"/>
    <s v="SZR"/>
  </r>
  <r>
    <x v="275"/>
    <s v="EOL 1014"/>
    <s v="EOLICA 1014"/>
    <n v="41.5"/>
    <s v="18W000000000JWHO"/>
    <x v="11"/>
    <s v="Venta"/>
    <s v="SZR"/>
    <s v="TOTGA"/>
    <x v="0"/>
    <x v="141"/>
    <x v="11"/>
    <s v="SZR"/>
  </r>
  <r>
    <x v="276"/>
    <s v="CMILLAS"/>
    <s v="CERAMICA MILLAS E HIJOS"/>
    <n v="5.0999999999999996"/>
    <s v="18WCMILLAS-123-X"/>
    <x v="10"/>
    <s v="Venta"/>
    <s v="SZR"/>
    <s v="LMER"/>
    <x v="0"/>
    <x v="89"/>
    <x v="10"/>
    <s v="SZR"/>
  </r>
  <r>
    <x v="277"/>
    <s v="CNTLC01"/>
    <s v="CNTL UP"/>
    <n v="5"/>
    <s v="18WCNTLC01-123-S"/>
    <x v="2"/>
    <s v="Compra"/>
    <s v="SZR"/>
    <s v="CENTS"/>
    <x v="1"/>
    <x v="128"/>
    <x v="2"/>
    <s v="SZR"/>
  </r>
  <r>
    <x v="278"/>
    <s v="COALC01"/>
    <s v="COMERCIALIZADORA SUMINISTRO ESPECIALES ALGINETENSES, S.L."/>
    <n v="10.5"/>
    <s v="18WCOALC01-123-3"/>
    <x v="2"/>
    <s v="Compra"/>
    <s v="SZR"/>
    <s v="COALG"/>
    <x v="1"/>
    <x v="45"/>
    <x v="2"/>
    <s v="SZR"/>
  </r>
  <r>
    <x v="279"/>
    <s v="CODOC01"/>
    <s v="CODOC01"/>
    <n v="1"/>
    <s v="18W0000000005KY8"/>
    <x v="2"/>
    <s v="Compra"/>
    <s v="SZR"/>
    <s v="CODOR"/>
    <x v="1"/>
    <x v="144"/>
    <x v="2"/>
    <s v="SZR"/>
  </r>
  <r>
    <x v="280"/>
    <s v="GUADASSAUR"/>
    <s v="ELECTRICA DE GUADASSUAR, S.C.V."/>
    <n v="6.7"/>
    <s v="18WCOELC01-123-X"/>
    <x v="2"/>
    <s v="Compra"/>
    <s v="SZR"/>
    <s v="COELD"/>
    <x v="1"/>
    <x v="145"/>
    <x v="2"/>
    <s v="SZR"/>
  </r>
  <r>
    <x v="281"/>
    <s v="COFRENTES"/>
    <s v="C.N. COFRENTES"/>
    <n v="1063.9000000000001"/>
    <s v="18WCOF1-12345-0O"/>
    <x v="15"/>
    <s v="Venta"/>
    <s v="SZR"/>
    <s v="IGNU"/>
    <x v="0"/>
    <x v="7"/>
    <x v="15"/>
    <s v="SZR"/>
  </r>
  <r>
    <x v="282"/>
    <s v="COG75RQ"/>
    <s v="REPSOL QUIMICA, S.A."/>
    <n v="75.7"/>
    <s v="18WCOG75RQ-12-0I"/>
    <x v="10"/>
    <s v="Venta"/>
    <s v="SZR"/>
    <s v="REPSB"/>
    <x v="0"/>
    <x v="29"/>
    <x v="10"/>
    <s v="SZR"/>
  </r>
  <r>
    <x v="283"/>
    <s v="COGAIAD"/>
    <s v="COGAIAD"/>
    <n v="1"/>
    <s v="18W000000000OHXH"/>
    <x v="10"/>
    <s v="Venta"/>
    <s v="SZR"/>
    <s v="DETIC"/>
    <x v="0"/>
    <x v="71"/>
    <x v="10"/>
    <s v="SZR"/>
  </r>
  <r>
    <x v="284"/>
    <s v="COGAJ"/>
    <s v="COGAJ"/>
    <n v="2"/>
    <s v="18W000000000NLH4"/>
    <x v="10"/>
    <s v="Venta"/>
    <s v="SZR"/>
    <s v="GNRA"/>
    <x v="0"/>
    <x v="46"/>
    <x v="10"/>
    <s v="SZR"/>
  </r>
  <r>
    <x v="285"/>
    <s v="COGAJ5"/>
    <s v="COGAJ5"/>
    <n v="1.7"/>
    <s v="18W000000000NNRF"/>
    <x v="3"/>
    <s v="Venta"/>
    <s v="SZR"/>
    <s v="GNRA"/>
    <x v="0"/>
    <x v="46"/>
    <x v="18"/>
    <s v="SZR"/>
  </r>
  <r>
    <x v="286"/>
    <s v="COGAMYL"/>
    <s v="COGAMYL"/>
    <n v="13.6"/>
    <s v="18W000000000OFP2"/>
    <x v="10"/>
    <s v="Venta"/>
    <s v="SZR"/>
    <s v="DETIC"/>
    <x v="0"/>
    <x v="71"/>
    <x v="10"/>
    <s v="SZR"/>
  </r>
  <r>
    <x v="287"/>
    <s v="COGATOM"/>
    <s v="COGATOM"/>
    <n v="5.5"/>
    <s v="18W000000000OFYL"/>
    <x v="10"/>
    <s v="Venta"/>
    <s v="SZR"/>
    <s v="DETIC"/>
    <x v="0"/>
    <x v="71"/>
    <x v="10"/>
    <s v="SZR"/>
  </r>
  <r>
    <x v="288"/>
    <s v="COGAYME"/>
    <s v="COGAYME"/>
    <n v="0.9"/>
    <s v="18W000000000OHGE"/>
    <x v="10"/>
    <s v="Venta"/>
    <s v="SZR"/>
    <s v="DETIC"/>
    <x v="0"/>
    <x v="71"/>
    <x v="10"/>
    <s v="SZR"/>
  </r>
  <r>
    <x v="289"/>
    <s v="COGAZEB"/>
    <s v="COGAZEB"/>
    <n v="18.399999999999999"/>
    <s v="18W000000000OIPU"/>
    <x v="10"/>
    <s v="Venta"/>
    <s v="SZR"/>
    <s v="DETIC"/>
    <x v="0"/>
    <x v="71"/>
    <x v="10"/>
    <s v="SZR"/>
  </r>
  <r>
    <x v="290"/>
    <s v="COGBARR"/>
    <s v="COGBARR"/>
    <n v="1"/>
    <s v="18W000000000OI14"/>
    <x v="10"/>
    <s v="Venta"/>
    <s v="SZR"/>
    <s v="DETIC"/>
    <x v="0"/>
    <x v="71"/>
    <x v="10"/>
    <s v="SZR"/>
  </r>
  <r>
    <x v="291"/>
    <s v="COGBECO"/>
    <s v="COGBECO"/>
    <n v="6.9"/>
    <s v="18W000000000OFUT"/>
    <x v="10"/>
    <s v="Venta"/>
    <s v="SZR"/>
    <s v="DETIC"/>
    <x v="0"/>
    <x v="71"/>
    <x v="10"/>
    <s v="SZR"/>
  </r>
  <r>
    <x v="292"/>
    <s v="COGBERN"/>
    <s v="COGBERN"/>
    <n v="0.9"/>
    <s v="18W000000000OHHC"/>
    <x v="10"/>
    <s v="Venta"/>
    <s v="SZR"/>
    <s v="DETIC"/>
    <x v="0"/>
    <x v="71"/>
    <x v="10"/>
    <s v="SZR"/>
  </r>
  <r>
    <x v="293"/>
    <s v="COGBOOR"/>
    <s v="COGBOOR"/>
    <n v="2.2000000000000002"/>
    <s v="18W000000000P3RU"/>
    <x v="10"/>
    <s v="Venta"/>
    <s v="SZR"/>
    <s v="DETIC"/>
    <x v="0"/>
    <x v="71"/>
    <x v="10"/>
    <s v="SZR"/>
  </r>
  <r>
    <x v="294"/>
    <s v="COGBORG"/>
    <s v="TERMICA CLIDOM UE"/>
    <n v="4.5999999999999996"/>
    <s v="18W000000000RCN3"/>
    <x v="10"/>
    <s v="Venta"/>
    <s v="SZR"/>
    <s v="DETIC"/>
    <x v="0"/>
    <x v="71"/>
    <x v="10"/>
    <s v="SZR"/>
  </r>
  <r>
    <x v="295"/>
    <s v="COGBORJ"/>
    <s v="COGBORJ"/>
    <n v="3"/>
    <s v="18W000000000OHTP"/>
    <x v="10"/>
    <s v="Venta"/>
    <s v="SZR"/>
    <s v="DETIC"/>
    <x v="0"/>
    <x v="71"/>
    <x v="10"/>
    <s v="SZR"/>
  </r>
  <r>
    <x v="296"/>
    <s v="COGBRIK"/>
    <s v="COGBRIK"/>
    <n v="1"/>
    <s v="18W000000000OHWJ"/>
    <x v="10"/>
    <s v="Venta"/>
    <s v="SZR"/>
    <s v="DETIC"/>
    <x v="0"/>
    <x v="71"/>
    <x v="10"/>
    <s v="SZR"/>
  </r>
  <r>
    <x v="297"/>
    <s v="COGCDAM"/>
    <s v="COGCDAM"/>
    <n v="9.9"/>
    <s v="18W000000000OFSX"/>
    <x v="10"/>
    <s v="Venta"/>
    <s v="SZR"/>
    <s v="DETIC"/>
    <x v="0"/>
    <x v="71"/>
    <x v="10"/>
    <s v="SZR"/>
  </r>
  <r>
    <x v="298"/>
    <s v="COGCHOV"/>
    <s v="COGCHOV"/>
    <n v="5.2"/>
    <s v="18W000000000OG1A"/>
    <x v="10"/>
    <s v="Venta"/>
    <s v="SZR"/>
    <s v="DETIC"/>
    <x v="0"/>
    <x v="71"/>
    <x v="10"/>
    <s v="SZR"/>
  </r>
  <r>
    <x v="299"/>
    <s v="COGCIPR"/>
    <s v="COGCIPR"/>
    <n v="3.4"/>
    <s v="18W000000000R7QC"/>
    <x v="3"/>
    <s v="Venta"/>
    <s v="SZR"/>
    <s v="DETIC"/>
    <x v="0"/>
    <x v="71"/>
    <x v="18"/>
    <s v="SZR"/>
  </r>
  <r>
    <x v="300"/>
    <s v="COGCLIM"/>
    <s v="COGCLIM"/>
    <n v="1"/>
    <s v="18W000000000OI22"/>
    <x v="10"/>
    <s v="Venta"/>
    <s v="SZR"/>
    <s v="DETIC"/>
    <x v="0"/>
    <x v="71"/>
    <x v="10"/>
    <s v="SZR"/>
  </r>
  <r>
    <x v="301"/>
    <s v="COGCORE"/>
    <s v="COGCORE"/>
    <n v="3.5"/>
    <s v="18W000000000R7NI"/>
    <x v="10"/>
    <s v="Venta"/>
    <s v="SZR"/>
    <s v="DETIC"/>
    <x v="0"/>
    <x v="71"/>
    <x v="10"/>
    <s v="SZR"/>
  </r>
  <r>
    <x v="302"/>
    <s v="COGDAMM"/>
    <s v="COGDAMM"/>
    <n v="1.1000000000000001"/>
    <s v="18W000000000OIUK"/>
    <x v="19"/>
    <s v="Venta"/>
    <s v="SZR"/>
    <s v="DETIC"/>
    <x v="0"/>
    <x v="71"/>
    <x v="22"/>
    <s v="SZR"/>
  </r>
  <r>
    <x v="303"/>
    <s v="COGDERC"/>
    <s v="COGDERC"/>
    <n v="0.4"/>
    <s v="18W000000000OHOZ"/>
    <x v="10"/>
    <s v="Venta"/>
    <s v="SZR"/>
    <s v="DETIC"/>
    <x v="0"/>
    <x v="71"/>
    <x v="10"/>
    <s v="SZR"/>
  </r>
  <r>
    <x v="304"/>
    <s v="COGEC01"/>
    <s v="ENERGY BY COGEN, S.L.U"/>
    <n v="1"/>
    <s v="18WCOGEC01-123-7"/>
    <x v="2"/>
    <s v="Compra"/>
    <s v="SZR"/>
    <s v="COGEN"/>
    <x v="1"/>
    <x v="20"/>
    <x v="2"/>
    <s v="SZR"/>
  </r>
  <r>
    <x v="305"/>
    <s v="COGESPU"/>
    <s v="COGESPU"/>
    <n v="1"/>
    <s v="18W000000000OI4Z"/>
    <x v="10"/>
    <s v="Venta"/>
    <s v="SZR"/>
    <s v="DETIC"/>
    <x v="0"/>
    <x v="71"/>
    <x v="10"/>
    <s v="SZR"/>
  </r>
  <r>
    <x v="306"/>
    <s v="COGESTA"/>
    <s v="COGESTA"/>
    <n v="4.3"/>
    <s v="18W000000000OG9V"/>
    <x v="10"/>
    <s v="Venta"/>
    <s v="SZR"/>
    <s v="DETIC"/>
    <x v="0"/>
    <x v="71"/>
    <x v="10"/>
    <s v="SZR"/>
  </r>
  <r>
    <x v="307"/>
    <s v="COGFBAC"/>
    <s v="COGFBAC"/>
    <n v="5.3"/>
    <s v="18W000000000OFZJ"/>
    <x v="10"/>
    <s v="Venta"/>
    <s v="SZR"/>
    <s v="DETIC"/>
    <x v="0"/>
    <x v="71"/>
    <x v="10"/>
    <s v="SZR"/>
  </r>
  <r>
    <x v="308"/>
    <s v="COGFOMP"/>
    <s v="COGFOMP"/>
    <n v="4"/>
    <s v="18W000000000OG52"/>
    <x v="10"/>
    <s v="Venta"/>
    <s v="SZR"/>
    <s v="DETIC"/>
    <x v="0"/>
    <x v="71"/>
    <x v="10"/>
    <s v="SZR"/>
  </r>
  <r>
    <x v="309"/>
    <s v="COGFORE"/>
    <s v="COGFORE"/>
    <n v="5.3"/>
    <s v="18W000000000OG0C"/>
    <x v="10"/>
    <s v="Venta"/>
    <s v="SZR"/>
    <s v="DETIC"/>
    <x v="0"/>
    <x v="71"/>
    <x v="10"/>
    <s v="SZR"/>
  </r>
  <r>
    <x v="310"/>
    <s v="COGFRIM"/>
    <s v="COGFRIM"/>
    <n v="9.6"/>
    <s v="18W000000000QJHZ"/>
    <x v="10"/>
    <s v="Venta"/>
    <s v="SZR"/>
    <s v="DETIC"/>
    <x v="0"/>
    <x v="71"/>
    <x v="10"/>
    <s v="SZR"/>
  </r>
  <r>
    <x v="311"/>
    <s v="COGFUST"/>
    <s v="COGFUST"/>
    <n v="0.9"/>
    <s v="18W000000000OHIA"/>
    <x v="10"/>
    <s v="Venta"/>
    <s v="SZR"/>
    <s v="DETIC"/>
    <x v="0"/>
    <x v="71"/>
    <x v="10"/>
    <s v="SZR"/>
  </r>
  <r>
    <x v="312"/>
    <s v="COGFUTGR"/>
    <s v="FUTURA GREEN COGENERACION"/>
    <n v="1"/>
    <s v="18W0000000004GCV"/>
    <x v="10"/>
    <s v="Venta"/>
    <s v="SZR"/>
    <s v="FUTGR"/>
    <x v="0"/>
    <x v="146"/>
    <x v="10"/>
    <s v="SZR"/>
  </r>
  <r>
    <x v="313"/>
    <s v="COGGAIK"/>
    <s v="COGGAIK"/>
    <n v="0.1"/>
    <s v="18W000000000OIWG"/>
    <x v="19"/>
    <s v="Venta"/>
    <s v="SZR"/>
    <s v="DETIC"/>
    <x v="0"/>
    <x v="71"/>
    <x v="22"/>
    <s v="SZR"/>
  </r>
  <r>
    <x v="314"/>
    <s v="COGGESB"/>
    <s v="COGGESB"/>
    <n v="1"/>
    <s v="18W000000000OHYF"/>
    <x v="10"/>
    <s v="Venta"/>
    <s v="SZR"/>
    <s v="DETIC"/>
    <x v="0"/>
    <x v="71"/>
    <x v="10"/>
    <s v="SZR"/>
  </r>
  <r>
    <x v="315"/>
    <s v="COGHIJO"/>
    <s v="COGHIJO"/>
    <n v="1"/>
    <s v="18W000000000OIZA"/>
    <x v="10"/>
    <s v="Venta"/>
    <s v="SZR"/>
    <s v="DETIC"/>
    <x v="0"/>
    <x v="71"/>
    <x v="10"/>
    <s v="SZR"/>
  </r>
  <r>
    <x v="316"/>
    <s v="COGINC2"/>
    <s v="COGINC2"/>
    <n v="0.9"/>
    <s v="18W000000000OIK3"/>
    <x v="10"/>
    <s v="Venta"/>
    <s v="SZR"/>
    <s v="DETIC"/>
    <x v="0"/>
    <x v="71"/>
    <x v="10"/>
    <s v="SZR"/>
  </r>
  <r>
    <x v="317"/>
    <s v="COGINCU"/>
    <s v="COGINCU"/>
    <n v="1.9"/>
    <s v="18W000000000OHSR"/>
    <x v="10"/>
    <s v="Venta"/>
    <s v="SZR"/>
    <s v="DETIC"/>
    <x v="0"/>
    <x v="71"/>
    <x v="10"/>
    <s v="SZR"/>
  </r>
  <r>
    <x v="318"/>
    <s v="COGINPE"/>
    <s v="COGINPE"/>
    <n v="2.4"/>
    <s v="18W000000000T48C"/>
    <x v="10"/>
    <s v="Venta"/>
    <s v="SZR"/>
    <s v="DETIC"/>
    <x v="0"/>
    <x v="71"/>
    <x v="10"/>
    <s v="SZR"/>
  </r>
  <r>
    <x v="319"/>
    <s v="COGJUMS"/>
    <s v="COGJUMS"/>
    <n v="1"/>
    <s v="18W000000000OI5X"/>
    <x v="10"/>
    <s v="Venta"/>
    <s v="SZR"/>
    <s v="DETIC"/>
    <x v="0"/>
    <x v="71"/>
    <x v="10"/>
    <s v="SZR"/>
  </r>
  <r>
    <x v="320"/>
    <s v="COGLINA"/>
    <s v="COGLINA"/>
    <n v="14.7"/>
    <s v="18W000000000OFN6"/>
    <x v="10"/>
    <s v="Venta"/>
    <s v="SZR"/>
    <s v="DETIC"/>
    <x v="0"/>
    <x v="71"/>
    <x v="10"/>
    <s v="SZR"/>
  </r>
  <r>
    <x v="321"/>
    <s v="COGLOSR"/>
    <s v="COGLOSR"/>
    <n v="0.5"/>
    <s v="18W000000000OHJ8"/>
    <x v="10"/>
    <s v="Venta"/>
    <s v="SZR"/>
    <s v="DETIC"/>
    <x v="0"/>
    <x v="71"/>
    <x v="10"/>
    <s v="SZR"/>
  </r>
  <r>
    <x v="322"/>
    <s v="COGMARQ"/>
    <s v="COGMARQ"/>
    <n v="0.7"/>
    <s v="18W000000000OFLA"/>
    <x v="10"/>
    <s v="Venta"/>
    <s v="SZR"/>
    <s v="DETIC"/>
    <x v="0"/>
    <x v="71"/>
    <x v="10"/>
    <s v="SZR"/>
  </r>
  <r>
    <x v="323"/>
    <s v="COGMENG"/>
    <s v="COGMENG"/>
    <n v="3.6"/>
    <s v="18W000000000OHPX"/>
    <x v="10"/>
    <s v="Venta"/>
    <s v="SZR"/>
    <s v="DETIC"/>
    <x v="0"/>
    <x v="71"/>
    <x v="10"/>
    <s v="SZR"/>
  </r>
  <r>
    <x v="324"/>
    <s v="COGMIGA"/>
    <s v="COGMIGA"/>
    <n v="5"/>
    <s v="18W000000000OG36"/>
    <x v="10"/>
    <s v="Venta"/>
    <s v="SZR"/>
    <s v="DETIC"/>
    <x v="0"/>
    <x v="71"/>
    <x v="10"/>
    <s v="SZR"/>
  </r>
  <r>
    <x v="325"/>
    <s v="COGMIMS"/>
    <s v="COGMIMS"/>
    <n v="0.5"/>
    <s v="18W000000000OHK6"/>
    <x v="10"/>
    <s v="Venta"/>
    <s v="SZR"/>
    <s v="DETIC"/>
    <x v="0"/>
    <x v="71"/>
    <x v="10"/>
    <s v="SZR"/>
  </r>
  <r>
    <x v="326"/>
    <s v="COGMOLT"/>
    <s v="COGMOLT"/>
    <n v="6"/>
    <s v="18W000000000OFXN"/>
    <x v="10"/>
    <s v="Venta"/>
    <s v="SZR"/>
    <s v="DETIC"/>
    <x v="0"/>
    <x v="71"/>
    <x v="10"/>
    <s v="SZR"/>
  </r>
  <r>
    <x v="327"/>
    <s v="COGMORA"/>
    <s v="COGMORA"/>
    <n v="5.3"/>
    <s v="18W000000000OG28"/>
    <x v="10"/>
    <s v="Venta"/>
    <s v="SZR"/>
    <s v="DETIC"/>
    <x v="0"/>
    <x v="71"/>
    <x v="10"/>
    <s v="SZR"/>
  </r>
  <r>
    <x v="328"/>
    <s v="COGNOVA"/>
    <s v="COGNOVA"/>
    <n v="5"/>
    <s v="18W000000000R7PE"/>
    <x v="10"/>
    <s v="Venta"/>
    <s v="SZR"/>
    <s v="DETIC"/>
    <x v="0"/>
    <x v="71"/>
    <x v="10"/>
    <s v="SZR"/>
  </r>
  <r>
    <x v="329"/>
    <s v="COGNULE"/>
    <s v="COGNULE"/>
    <n v="6.8"/>
    <s v="18W000000000OFVR"/>
    <x v="10"/>
    <s v="Venta"/>
    <s v="SZR"/>
    <s v="DETIC"/>
    <x v="0"/>
    <x v="71"/>
    <x v="10"/>
    <s v="SZR"/>
  </r>
  <r>
    <x v="330"/>
    <s v="COGOBLA"/>
    <s v="COGOBLA"/>
    <n v="0.4"/>
    <s v="18W000000000OHN0"/>
    <x v="10"/>
    <s v="Venta"/>
    <s v="SZR"/>
    <s v="DETIC"/>
    <x v="0"/>
    <x v="71"/>
    <x v="10"/>
    <s v="SZR"/>
  </r>
  <r>
    <x v="331"/>
    <s v="COGORUJ"/>
    <s v="COGORUJ"/>
    <n v="10"/>
    <s v="18W000000000OFQ0"/>
    <x v="10"/>
    <s v="Venta"/>
    <s v="SZR"/>
    <s v="DETIC"/>
    <x v="0"/>
    <x v="71"/>
    <x v="10"/>
    <s v="SZR"/>
  </r>
  <r>
    <x v="332"/>
    <s v="COGPACH"/>
    <s v="COGPACH"/>
    <n v="0.5"/>
    <s v="18W000000000OHL4"/>
    <x v="10"/>
    <s v="Venta"/>
    <s v="SZR"/>
    <s v="DETIC"/>
    <x v="0"/>
    <x v="71"/>
    <x v="10"/>
    <s v="SZR"/>
  </r>
  <r>
    <x v="333"/>
    <s v="COGPOR1"/>
    <s v="COGPOR1"/>
    <n v="3.8"/>
    <s v="18W000000000TP6R"/>
    <x v="10"/>
    <s v="Venta"/>
    <s v="SZR"/>
    <s v="DETIC"/>
    <x v="0"/>
    <x v="71"/>
    <x v="10"/>
    <s v="SZR"/>
  </r>
  <r>
    <x v="334"/>
    <s v="COGPOR2"/>
    <s v="COGPOR2"/>
    <n v="2.5"/>
    <s v="18W000000000TP7P"/>
    <x v="10"/>
    <s v="Venta"/>
    <s v="SZR"/>
    <s v="DETIC"/>
    <x v="0"/>
    <x v="71"/>
    <x v="10"/>
    <s v="SZR"/>
  </r>
  <r>
    <x v="335"/>
    <s v="COGRENS"/>
    <s v="COGRENS"/>
    <n v="3.9"/>
    <s v="18W000000000R7OG"/>
    <x v="10"/>
    <s v="Venta"/>
    <s v="SZR"/>
    <s v="DETIC"/>
    <x v="0"/>
    <x v="71"/>
    <x v="10"/>
    <s v="SZR"/>
  </r>
  <r>
    <x v="336"/>
    <s v="COGSEFR"/>
    <s v="COGSEFR"/>
    <n v="1"/>
    <s v="18W000000000OI30"/>
    <x v="10"/>
    <s v="Venta"/>
    <s v="SZR"/>
    <s v="DETIC"/>
    <x v="0"/>
    <x v="71"/>
    <x v="10"/>
    <s v="SZR"/>
  </r>
  <r>
    <x v="337"/>
    <s v="COGSMON"/>
    <s v="COGSMON"/>
    <n v="14.3"/>
    <s v="18W000000000OFO4"/>
    <x v="10"/>
    <s v="Venta"/>
    <s v="SZR"/>
    <s v="DETIC"/>
    <x v="0"/>
    <x v="71"/>
    <x v="10"/>
    <s v="SZR"/>
  </r>
  <r>
    <x v="338"/>
    <s v="COGSORI"/>
    <s v="COGSORI"/>
    <n v="4.3"/>
    <s v="18W000000000OG44"/>
    <x v="10"/>
    <s v="Venta"/>
    <s v="SZR"/>
    <s v="DETIC"/>
    <x v="0"/>
    <x v="71"/>
    <x v="10"/>
    <s v="SZR"/>
  </r>
  <r>
    <x v="339"/>
    <s v="COGTABL"/>
    <s v="COGTABL"/>
    <n v="7.2"/>
    <s v="18W000000000OFTV"/>
    <x v="10"/>
    <s v="Venta"/>
    <s v="SZR"/>
    <s v="DETIC"/>
    <x v="0"/>
    <x v="71"/>
    <x v="10"/>
    <s v="SZR"/>
  </r>
  <r>
    <x v="340"/>
    <s v="COGTAN2"/>
    <s v="COGTAN2"/>
    <n v="3"/>
    <s v="18W000000000OG60"/>
    <x v="10"/>
    <s v="Venta"/>
    <s v="SZR"/>
    <s v="DETIC"/>
    <x v="0"/>
    <x v="71"/>
    <x v="10"/>
    <s v="SZR"/>
  </r>
  <r>
    <x v="341"/>
    <s v="COGTANG"/>
    <s v="COGTANG"/>
    <n v="6.3"/>
    <s v="18W000000000OFWP"/>
    <x v="10"/>
    <s v="Venta"/>
    <s v="SZR"/>
    <s v="DETIC"/>
    <x v="0"/>
    <x v="71"/>
    <x v="10"/>
    <s v="SZR"/>
  </r>
  <r>
    <x v="342"/>
    <s v="COGTECN"/>
    <s v="COGTECN"/>
    <n v="1"/>
    <s v="18W000000000OHZD"/>
    <x v="3"/>
    <s v="Venta"/>
    <s v="SZR"/>
    <s v="DETIC"/>
    <x v="0"/>
    <x v="71"/>
    <x v="18"/>
    <s v="SZR"/>
  </r>
  <r>
    <x v="343"/>
    <s v="COGTRIV"/>
    <s v="COGTRIV"/>
    <n v="2"/>
    <s v="18W000000000OGYI"/>
    <x v="10"/>
    <s v="Venta"/>
    <s v="SZR"/>
    <s v="DETIC"/>
    <x v="0"/>
    <x v="71"/>
    <x v="10"/>
    <s v="SZR"/>
  </r>
  <r>
    <x v="344"/>
    <s v="COGTROV"/>
    <s v="COGTROV"/>
    <n v="4.2"/>
    <s v="18W000000000OJ11"/>
    <x v="10"/>
    <s v="Venta"/>
    <s v="SZR"/>
    <s v="DETIC"/>
    <x v="0"/>
    <x v="71"/>
    <x v="10"/>
    <s v="SZR"/>
  </r>
  <r>
    <x v="345"/>
    <s v="COGUCHE"/>
    <s v="COGUCHE"/>
    <n v="16.8"/>
    <s v="18W000000000OFM8"/>
    <x v="10"/>
    <s v="Venta"/>
    <s v="SZR"/>
    <s v="DETIC"/>
    <x v="0"/>
    <x v="71"/>
    <x v="10"/>
    <s v="SZR"/>
  </r>
  <r>
    <x v="346"/>
    <s v="COGUNIO"/>
    <s v="COGUNIO"/>
    <n v="1.5"/>
    <s v="18W000000000OHUN"/>
    <x v="10"/>
    <s v="Venta"/>
    <s v="SZR"/>
    <s v="DETIC"/>
    <x v="0"/>
    <x v="71"/>
    <x v="10"/>
    <s v="SZR"/>
  </r>
  <r>
    <x v="347"/>
    <s v="COGUREN"/>
    <s v="COGUREN"/>
    <n v="4.8"/>
    <s v="18W000000000OG8X"/>
    <x v="10"/>
    <s v="Venta"/>
    <s v="SZR"/>
    <s v="DETIC"/>
    <x v="0"/>
    <x v="71"/>
    <x v="10"/>
    <s v="SZR"/>
  </r>
  <r>
    <x v="348"/>
    <s v="COGUTZ2"/>
    <s v="COGUTZ2"/>
    <n v="0.9"/>
    <s v="18W000000000OHFG"/>
    <x v="10"/>
    <s v="Venta"/>
    <s v="SZR"/>
    <s v="DETIC"/>
    <x v="0"/>
    <x v="71"/>
    <x v="10"/>
    <s v="SZR"/>
  </r>
  <r>
    <x v="349"/>
    <s v="COGUTZU"/>
    <s v="COGUTZU"/>
    <n v="3.1"/>
    <s v="18W000000000OHRT"/>
    <x v="10"/>
    <s v="Venta"/>
    <s v="SZR"/>
    <s v="DETIC"/>
    <x v="0"/>
    <x v="71"/>
    <x v="10"/>
    <s v="SZR"/>
  </r>
  <r>
    <x v="350"/>
    <s v="COGVECO"/>
    <s v="COGVECO"/>
    <n v="6.4"/>
    <s v="18W000000000OIXE"/>
    <x v="19"/>
    <s v="Venta"/>
    <s v="SZR"/>
    <s v="DETIC"/>
    <x v="0"/>
    <x v="71"/>
    <x v="22"/>
    <s v="SZR"/>
  </r>
  <r>
    <x v="351"/>
    <s v="COLON 4"/>
    <s v="C.T. CRISTOBAL COLON 4"/>
    <n v="390.9"/>
    <s v="18WCOL4-12345-02"/>
    <x v="8"/>
    <s v="Venta"/>
    <s v="END"/>
    <s v="ENDG"/>
    <x v="0"/>
    <x v="72"/>
    <x v="8"/>
    <s v="END"/>
  </r>
  <r>
    <x v="352"/>
    <s v="COMPC01"/>
    <s v="COMPC01"/>
    <n v="5"/>
    <s v="18W000000000LKFJ"/>
    <x v="2"/>
    <s v="Compra"/>
    <s v="SZR"/>
    <s v="COMPA"/>
    <x v="1"/>
    <x v="147"/>
    <x v="2"/>
    <s v="SZR"/>
  </r>
  <r>
    <x v="353"/>
    <s v="COMTC01"/>
    <s v="COMTC01"/>
    <n v="1"/>
    <s v="18W000000000S6IR"/>
    <x v="2"/>
    <s v="Compra"/>
    <s v="SZR"/>
    <s v="COMEE"/>
    <x v="1"/>
    <x v="148"/>
    <x v="2"/>
    <s v="SZR"/>
  </r>
  <r>
    <x v="354"/>
    <s v="COMPRA"/>
    <s v="COMPRA"/>
    <n v="0.1"/>
    <s v="18WCONEC01-123-4"/>
    <x v="2"/>
    <s v="Compra"/>
    <s v="SZR"/>
    <s v="CONEC"/>
    <x v="1"/>
    <x v="149"/>
    <x v="2"/>
    <s v="SZR"/>
  </r>
  <r>
    <x v="355"/>
    <s v="C2FV"/>
    <s v="EXCEDENTES FV"/>
    <n v="0.8"/>
    <s v="18W000000000MUM8"/>
    <x v="9"/>
    <s v="Venta"/>
    <s v="SZR"/>
    <s v="CONEC"/>
    <x v="0"/>
    <x v="149"/>
    <x v="9"/>
    <s v="SZR"/>
  </r>
  <r>
    <x v="356"/>
    <s v="CMGREENENE"/>
    <s v="CONSULTING AND MANAGEMENT GREEN ENERGY"/>
    <n v="3"/>
    <s v="18W000000000M79T"/>
    <x v="2"/>
    <s v="Compra"/>
    <s v="SZR"/>
    <s v="CONSB"/>
    <x v="1"/>
    <x v="150"/>
    <x v="2"/>
    <s v="SZR"/>
  </r>
  <r>
    <x v="357"/>
    <s v="CONTALLUM"/>
    <s v="CONTALLUM"/>
    <n v="1"/>
    <s v="18W000000000JBVM"/>
    <x v="2"/>
    <s v="Compra"/>
    <s v="SZR"/>
    <s v="CONTA"/>
    <x v="1"/>
    <x v="151"/>
    <x v="2"/>
    <s v="SZR"/>
  </r>
  <r>
    <x v="358"/>
    <s v="URANO V"/>
    <s v="URANOSCOPIDAE ENERGIA V SL"/>
    <n v="1"/>
    <s v="18W000000000M26D"/>
    <x v="2"/>
    <s v="Compra"/>
    <s v="SZR"/>
    <s v="URANA"/>
    <x v="1"/>
    <x v="152"/>
    <x v="2"/>
    <s v="SZR"/>
  </r>
  <r>
    <x v="359"/>
    <s v="CORPOLUX"/>
    <s v="CORPOLUX, S.L."/>
    <n v="0.5"/>
    <s v="18WCORPC01-123-Z"/>
    <x v="2"/>
    <s v="Compra"/>
    <s v="SZR"/>
    <s v="CORPO"/>
    <x v="1"/>
    <x v="153"/>
    <x v="2"/>
    <s v="SZR"/>
  </r>
  <r>
    <x v="360"/>
    <s v="FOT 50MW"/>
    <s v="FOT MAYOR 1MW"/>
    <n v="48.5"/>
    <s v="18W000000000RS9K"/>
    <x v="9"/>
    <s v="Venta"/>
    <s v="SZR"/>
    <s v="FEN"/>
    <x v="0"/>
    <x v="154"/>
    <x v="9"/>
    <s v="SZR"/>
  </r>
  <r>
    <x v="361"/>
    <s v="FOT 50MW"/>
    <s v="FOT MAYOR 50 MW"/>
    <n v="48.5"/>
    <s v="18W000000000RSAI"/>
    <x v="9"/>
    <s v="Venta"/>
    <s v="SZR"/>
    <s v="FEN"/>
    <x v="0"/>
    <x v="154"/>
    <x v="9"/>
    <s v="SZR"/>
  </r>
  <r>
    <x v="362"/>
    <s v="FOT50"/>
    <s v="FOR MAYOR 1MW"/>
    <n v="50"/>
    <s v="18W000000000T55F"/>
    <x v="9"/>
    <s v="Venta"/>
    <s v="SZR"/>
    <s v="FEN"/>
    <x v="0"/>
    <x v="154"/>
    <x v="9"/>
    <s v="SZR"/>
  </r>
  <r>
    <x v="363"/>
    <s v="CRCES"/>
    <s v="CRCES"/>
    <n v="2.7"/>
    <s v="18W000000000HJY0"/>
    <x v="6"/>
    <s v="Compra"/>
    <s v="SZR"/>
    <s v="CRCES"/>
    <x v="3"/>
    <x v="155"/>
    <x v="6"/>
    <s v="SZR"/>
  </r>
  <r>
    <x v="364"/>
    <s v="CREAE"/>
    <s v="CREAENERGIA ECO SLU"/>
    <n v="1"/>
    <s v="18W000000000MXXE"/>
    <x v="2"/>
    <s v="Compra"/>
    <s v="SZR"/>
    <s v="CREAE"/>
    <x v="1"/>
    <x v="156"/>
    <x v="2"/>
    <s v="SZR"/>
  </r>
  <r>
    <x v="365"/>
    <s v="CRECE PEN"/>
    <s v="CRECE SOLUCIONES P"/>
    <n v="1"/>
    <s v="18W000000000L3ZU"/>
    <x v="2"/>
    <s v="Compra"/>
    <s v="SZR"/>
    <s v="CRESO"/>
    <x v="1"/>
    <x v="157"/>
    <x v="2"/>
    <s v="SZR"/>
  </r>
  <r>
    <x v="366"/>
    <s v="CRISOL FV"/>
    <s v="CRISOL FOTOVOLTAICA"/>
    <n v="10"/>
    <s v="18W000000000RGLW"/>
    <x v="9"/>
    <s v="Venta"/>
    <s v="SZR"/>
    <s v="ELEIA"/>
    <x v="0"/>
    <x v="90"/>
    <x v="9"/>
    <s v="SZR"/>
  </r>
  <r>
    <x v="367"/>
    <s v="CSAMPEDRO"/>
    <s v="CSAMPEDRO"/>
    <n v="5.0999999999999996"/>
    <s v="18WCSMP-123456-A"/>
    <x v="10"/>
    <s v="Venta"/>
    <s v="SZR"/>
    <s v="LMER"/>
    <x v="0"/>
    <x v="89"/>
    <x v="10"/>
    <s v="SZR"/>
  </r>
  <r>
    <x v="368"/>
    <s v="ESC CART 1"/>
    <s v="CARTAGENA GRUPO 1"/>
    <n v="418.2"/>
    <s v="18WCTGN1-1234-0C"/>
    <x v="8"/>
    <s v="Venta"/>
    <s v="NTG"/>
    <s v="GNCC"/>
    <x v="0"/>
    <x v="8"/>
    <x v="8"/>
    <s v="GN"/>
  </r>
  <r>
    <x v="369"/>
    <s v="ESC CART 2"/>
    <s v="CARTAGENA GRUPO 2"/>
    <n v="417.8"/>
    <s v="18WCTGN2-1234-03"/>
    <x v="8"/>
    <s v="Venta"/>
    <s v="NTG"/>
    <s v="GNCC"/>
    <x v="0"/>
    <x v="8"/>
    <x v="8"/>
    <s v="GN"/>
  </r>
  <r>
    <x v="370"/>
    <s v="ESC CART 3"/>
    <s v="CARTAGENA GRUPO 3"/>
    <n v="412.7"/>
    <s v="18WCTGN3-1234-0V"/>
    <x v="8"/>
    <s v="Venta"/>
    <s v="NTG"/>
    <s v="GNCC"/>
    <x v="0"/>
    <x v="8"/>
    <x v="8"/>
    <s v="GN"/>
  </r>
  <r>
    <x v="371"/>
    <s v="CASTEJO1 H"/>
    <s v="C.C. CASTEJÓN ELEREBRO (GRUPO I)"/>
    <n v="424.9"/>
    <s v="18WCTJON1-123-06"/>
    <x v="8"/>
    <s v="Venta"/>
    <s v="TOTENERG"/>
    <s v="NATGA"/>
    <x v="0"/>
    <x v="141"/>
    <x v="8"/>
    <s v="TTE"/>
  </r>
  <r>
    <x v="372"/>
    <s v="CCAA CTJ1"/>
    <s v="CCAA CASTEJON 1"/>
    <n v="2"/>
    <s v="18W000000000KOQQ"/>
    <x v="5"/>
    <s v="Compra"/>
    <s v="SZR"/>
    <s v="NATGA"/>
    <x v="2"/>
    <x v="141"/>
    <x v="5"/>
    <s v="SZR"/>
  </r>
  <r>
    <x v="373"/>
    <s v="CASTEJO2 I"/>
    <s v="C.C. CASTEJÓN IBERDROLA"/>
    <n v="378.9"/>
    <s v="18WCTJON2-123-0Z"/>
    <x v="8"/>
    <s v="Venta"/>
    <s v="IBEG"/>
    <s v="IBGT"/>
    <x v="0"/>
    <x v="7"/>
    <x v="8"/>
    <s v="IMA"/>
  </r>
  <r>
    <x v="374"/>
    <s v="CASTEJO3 H"/>
    <s v="C.C. CASTEJÓN ELEREBRO (GRUPO II)"/>
    <n v="418.4"/>
    <s v="18WCTJON3--1234S"/>
    <x v="8"/>
    <s v="Venta"/>
    <s v="TOTENERG"/>
    <s v="NATGA"/>
    <x v="0"/>
    <x v="141"/>
    <x v="8"/>
    <s v="TTE"/>
  </r>
  <r>
    <x v="375"/>
    <s v="CASTELLO 3"/>
    <s v="C.T. CASTELLON 3 (CICLO COMBINADO)"/>
    <n v="782"/>
    <s v="18WCTN3-12345-04"/>
    <x v="8"/>
    <s v="Venta"/>
    <s v="IBEG"/>
    <s v="IBGT"/>
    <x v="0"/>
    <x v="7"/>
    <x v="8"/>
    <s v="IMA"/>
  </r>
  <r>
    <x v="376"/>
    <s v="CASTELLO 4"/>
    <s v="CC CASTELLÓN GRUPO 4"/>
    <n v="839.3"/>
    <s v="18WCTN4-123456-C"/>
    <x v="8"/>
    <s v="Venta"/>
    <s v="IBEG"/>
    <s v="IBGT"/>
    <x v="0"/>
    <x v="7"/>
    <x v="8"/>
    <s v="IMA"/>
  </r>
  <r>
    <x v="377"/>
    <s v="CASTELNOU"/>
    <s v="CICLO COMBINADO CASTELNOU"/>
    <n v="790.6"/>
    <s v="18WCTNU-12345-0U"/>
    <x v="8"/>
    <s v="Venta"/>
    <s v="ELB"/>
    <s v="CTNU"/>
    <x v="0"/>
    <x v="158"/>
    <x v="8"/>
    <s v="ELB"/>
  </r>
  <r>
    <x v="378"/>
    <s v="CTNUX"/>
    <s v="UP ADQUISICIÓN SSAA CTNUX"/>
    <n v="10"/>
    <s v="18WCTNUX-1234--N"/>
    <x v="5"/>
    <s v="Compra"/>
    <s v="SZR"/>
    <s v="CTNU"/>
    <x v="2"/>
    <x v="158"/>
    <x v="5"/>
    <s v="SZR"/>
  </r>
  <r>
    <x v="379"/>
    <s v="TUDELANA"/>
    <s v="CERAMICA TUDELANA"/>
    <n v="1.9"/>
    <s v="18WCTUDEL-123-1P"/>
    <x v="10"/>
    <s v="Venta"/>
    <s v="SZR"/>
    <s v="LMER"/>
    <x v="0"/>
    <x v="89"/>
    <x v="10"/>
    <s v="SZR"/>
  </r>
  <r>
    <x v="380"/>
    <s v="CUNTIENSE"/>
    <s v="CUNTIENSE COMERCIALIZADORA"/>
    <n v="3"/>
    <s v="18WCUNCC01-123-Q"/>
    <x v="2"/>
    <s v="Compra"/>
    <s v="SZR"/>
    <s v="CUNC"/>
    <x v="1"/>
    <x v="159"/>
    <x v="2"/>
    <s v="SZR"/>
  </r>
  <r>
    <x v="381"/>
    <s v="CUPA"/>
    <s v="CUPIRE PADESA SL"/>
    <n v="0.8"/>
    <s v="18WCUPAC01-123-O"/>
    <x v="6"/>
    <s v="Compra"/>
    <s v="SZR"/>
    <s v="CUPA"/>
    <x v="3"/>
    <x v="160"/>
    <x v="6"/>
    <s v="SZR"/>
  </r>
  <r>
    <x v="382"/>
    <s v="CUPA BT"/>
    <s v="CUPIRE PADESA BT"/>
    <n v="0.5"/>
    <s v="18WCUPBC01-123-E"/>
    <x v="6"/>
    <s v="Compra"/>
    <s v="SZR"/>
    <s v="CUPA"/>
    <x v="3"/>
    <x v="160"/>
    <x v="6"/>
    <s v="SZR"/>
  </r>
  <r>
    <x v="383"/>
    <s v="CUVEC01"/>
    <s v="CUVER DESTELLA ENERGIA SL"/>
    <n v="1"/>
    <s v="18W000000000S5HW"/>
    <x v="2"/>
    <s v="Compra"/>
    <s v="SZR"/>
    <s v="CUVER"/>
    <x v="1"/>
    <x v="161"/>
    <x v="2"/>
    <s v="SZR"/>
  </r>
  <r>
    <x v="384"/>
    <s v="PEN_UP_COM"/>
    <s v="ES-PEN_FUTGR_COM"/>
    <n v="9"/>
    <s v="18W000000000S91F"/>
    <x v="2"/>
    <s v="Compra"/>
    <s v="SZR"/>
    <s v="FUTGR"/>
    <x v="1"/>
    <x v="146"/>
    <x v="2"/>
    <s v="SZR"/>
  </r>
  <r>
    <x v="385"/>
    <s v="CYADE"/>
    <s v="COMERCIAL Y ASESORA DE ELECTRICIDAD, S.L.."/>
    <n v="0.4"/>
    <s v="18WCYDAC01-123-Y"/>
    <x v="2"/>
    <s v="Compra"/>
    <s v="SZR"/>
    <s v="CYDAE"/>
    <x v="1"/>
    <x v="162"/>
    <x v="2"/>
    <s v="SZR"/>
  </r>
  <r>
    <x v="386"/>
    <s v="CYEC01"/>
    <s v="CYE ENERGIA COMERC COMPRA 1"/>
    <n v="50"/>
    <s v="18WCYEC01-1234-J"/>
    <x v="2"/>
    <s v="Compra"/>
    <s v="SZR"/>
    <s v="CYE"/>
    <x v="1"/>
    <x v="163"/>
    <x v="2"/>
    <s v="SZR"/>
  </r>
  <r>
    <x v="387"/>
    <s v="GENE COGEN"/>
    <s v="GENERICA DE COGENERADORAS"/>
    <n v="0.9"/>
    <s v="18W000000000SVJO"/>
    <x v="10"/>
    <s v="Venta"/>
    <s v="SZR"/>
    <s v="IGNIS"/>
    <x v="0"/>
    <x v="28"/>
    <x v="10"/>
    <s v="SZR"/>
  </r>
  <r>
    <x v="388"/>
    <s v="CZFV"/>
    <s v="CONSORCIO ZONA FRANCA DE VIGO"/>
    <n v="7.4"/>
    <s v="18WCZFVC01-123-C"/>
    <x v="6"/>
    <s v="Compra"/>
    <s v="SZR"/>
    <s v="CZFV"/>
    <x v="3"/>
    <x v="164"/>
    <x v="6"/>
    <s v="SZR"/>
  </r>
  <r>
    <x v="389"/>
    <s v="DAIMUZ1"/>
    <s v="DAIMUZ ENERGIA UP1"/>
    <n v="4"/>
    <s v="18WSLDAIMUZ2014Z"/>
    <x v="2"/>
    <s v="Compra"/>
    <s v="SZR"/>
    <s v="DAIMU"/>
    <x v="1"/>
    <x v="165"/>
    <x v="2"/>
    <s v="SZR"/>
  </r>
  <r>
    <x v="390"/>
    <s v="DANNZN"/>
    <s v="DANNZN"/>
    <n v="30.4"/>
    <s v="18W000000000JIKN"/>
    <x v="11"/>
    <s v="Venta"/>
    <s v="SZR"/>
    <s v="HISPE"/>
    <x v="0"/>
    <x v="43"/>
    <x v="11"/>
    <s v="SZR"/>
  </r>
  <r>
    <x v="391"/>
    <s v="DANSZN"/>
    <s v="DANSZN"/>
    <n v="99"/>
    <s v="18W000000000JIJP"/>
    <x v="11"/>
    <s v="Venta"/>
    <s v="SZR"/>
    <s v="HISPE"/>
    <x v="0"/>
    <x v="43"/>
    <x v="11"/>
    <s v="SZR"/>
  </r>
  <r>
    <x v="392"/>
    <s v="DARUZ"/>
    <s v="PIENSOS DARUZ"/>
    <n v="0.1"/>
    <s v="18WPIENSOSDARUZ8"/>
    <x v="6"/>
    <s v="Compra"/>
    <s v="SZR"/>
    <s v="DARUZ"/>
    <x v="3"/>
    <x v="166"/>
    <x v="6"/>
    <s v="SZR"/>
  </r>
  <r>
    <x v="393"/>
    <s v="DEBAC01"/>
    <s v="DEBAC01"/>
    <n v="74.400000000000006"/>
    <s v="18W000000000MLOV"/>
    <x v="2"/>
    <s v="Compra"/>
    <s v="SZR"/>
    <s v="DEBAR"/>
    <x v="1"/>
    <x v="167"/>
    <x v="2"/>
    <s v="SZR"/>
  </r>
  <r>
    <x v="394"/>
    <s v="LAS DEHESA"/>
    <s v="VERTEDEROS DE RESIDUOS-DEHESAS"/>
    <n v="3.4"/>
    <s v="18W000000000FS28"/>
    <x v="18"/>
    <s v="Venta"/>
    <s v="SZR"/>
    <s v="LMER"/>
    <x v="0"/>
    <x v="89"/>
    <x v="20"/>
    <s v="SZR"/>
  </r>
  <r>
    <x v="395"/>
    <s v="DEPOR"/>
    <s v="DEPORTIVO ALAVES"/>
    <n v="0.6"/>
    <s v="18W000000000O13E"/>
    <x v="6"/>
    <s v="Compra"/>
    <s v="SZR"/>
    <s v="DEPOA"/>
    <x v="3"/>
    <x v="168"/>
    <x v="6"/>
    <s v="SZR"/>
  </r>
  <r>
    <x v="396"/>
    <s v="DETCD01"/>
    <s v="DETCD01"/>
    <n v="2535.1999999999998"/>
    <s v="18W000000000906Y"/>
    <x v="6"/>
    <s v="Compra"/>
    <s v="SZR"/>
    <s v="DETIC"/>
    <x v="3"/>
    <x v="71"/>
    <x v="6"/>
    <s v="SZR"/>
  </r>
  <r>
    <x v="397"/>
    <s v="DETCD02"/>
    <s v="DETCD02"/>
    <n v="1933.9"/>
    <s v="18W000000000C761"/>
    <x v="6"/>
    <s v="Compra"/>
    <s v="SZR"/>
    <s v="DETIC"/>
    <x v="3"/>
    <x v="71"/>
    <x v="6"/>
    <s v="SZR"/>
  </r>
  <r>
    <x v="398"/>
    <s v="DETCD16"/>
    <s v="DETCD16"/>
    <n v="35"/>
    <s v="18W000000000NFMC"/>
    <x v="6"/>
    <s v="Compra"/>
    <s v="SZR"/>
    <s v="DETIC"/>
    <x v="3"/>
    <x v="71"/>
    <x v="6"/>
    <s v="SZR"/>
  </r>
  <r>
    <x v="399"/>
    <s v="DETIC CO"/>
    <s v="DETISA"/>
    <n v="0"/>
    <s v="18WDETIC01-12-2B"/>
    <x v="2"/>
    <s v="Compra"/>
    <s v="SZR"/>
    <s v="DETIC"/>
    <x v="1"/>
    <x v="71"/>
    <x v="2"/>
    <s v="SZR"/>
  </r>
  <r>
    <x v="400"/>
    <s v="DETIR01"/>
    <s v="DETIR01"/>
    <n v="2"/>
    <s v="18W000000000ORVS"/>
    <x v="2"/>
    <s v="Compra"/>
    <s v="SZR"/>
    <s v="DETIC"/>
    <x v="1"/>
    <x v="71"/>
    <x v="2"/>
    <s v="SZR"/>
  </r>
  <r>
    <x v="401"/>
    <s v="DETSSAA"/>
    <s v="DETSSAA"/>
    <n v="30"/>
    <s v="18W000000000NPXY"/>
    <x v="5"/>
    <s v="Compra"/>
    <s v="SZR"/>
    <s v="DETIC"/>
    <x v="2"/>
    <x v="71"/>
    <x v="5"/>
    <s v="SZR"/>
  </r>
  <r>
    <x v="402"/>
    <s v="DFERC01"/>
    <s v="DUFERCO ENERGIA SPA"/>
    <n v="0"/>
    <s v="18W000000000Q43Y"/>
    <x v="2"/>
    <s v="Compra"/>
    <s v="SZR"/>
    <s v="DUFEA"/>
    <x v="1"/>
    <x v="169"/>
    <x v="2"/>
    <s v="SZR"/>
  </r>
  <r>
    <x v="403"/>
    <s v="DIEL_PEN"/>
    <s v="DIELE PENINSULA"/>
    <n v="5"/>
    <s v="18W0000000004RQ7"/>
    <x v="2"/>
    <s v="Compra"/>
    <s v="SZR"/>
    <s v="DIELE"/>
    <x v="1"/>
    <x v="170"/>
    <x v="2"/>
    <s v="SZR"/>
  </r>
  <r>
    <x v="404"/>
    <s v="DILUZ"/>
    <s v="DILUZ COMPRA"/>
    <n v="0.1"/>
    <s v="18W000000000N5FJ"/>
    <x v="2"/>
    <s v="Compra"/>
    <s v="SZR"/>
    <s v="DILUZ"/>
    <x v="1"/>
    <x v="171"/>
    <x v="2"/>
    <s v="SZR"/>
  </r>
  <r>
    <x v="405"/>
    <s v="DIPU BDJZ"/>
    <s v="DIPUTACION DE BADAJOZ"/>
    <n v="92.7"/>
    <s v="18W000000000J1BI"/>
    <x v="6"/>
    <s v="Compra"/>
    <s v="SZR"/>
    <s v="DIPBA"/>
    <x v="3"/>
    <x v="172"/>
    <x v="6"/>
    <s v="SZR"/>
  </r>
  <r>
    <x v="406"/>
    <s v="DIRECTGREE"/>
    <s v="DIRECTGREEN"/>
    <n v="1"/>
    <s v="18W000000000QTG7"/>
    <x v="2"/>
    <s v="Compra"/>
    <s v="SZR"/>
    <s v="DIREA"/>
    <x v="1"/>
    <x v="173"/>
    <x v="2"/>
    <s v="SZR"/>
  </r>
  <r>
    <x v="407"/>
    <s v="DIVIC01"/>
    <s v="UP DIVICONSULTING"/>
    <n v="0.1"/>
    <s v="18W000000000BGJQ"/>
    <x v="2"/>
    <s v="Compra"/>
    <s v="SZR"/>
    <s v="DIVIC"/>
    <x v="1"/>
    <x v="174"/>
    <x v="2"/>
    <s v="SZR"/>
  </r>
  <r>
    <x v="408"/>
    <s v="GOENERGIA"/>
    <s v="GOENERGIA"/>
    <n v="0.1"/>
    <s v="18W000000000F14B"/>
    <x v="2"/>
    <s v="Compra"/>
    <s v="SZR"/>
    <s v="DLSTE"/>
    <x v="1"/>
    <x v="175"/>
    <x v="2"/>
    <s v="SZR"/>
  </r>
  <r>
    <x v="409"/>
    <s v="DOL"/>
    <s v="DOL NUEVO"/>
    <n v="12.1"/>
    <s v="18W000000000K0Z6"/>
    <x v="6"/>
    <s v="Compra"/>
    <s v="SZR"/>
    <s v="DOLNO"/>
    <x v="3"/>
    <x v="176"/>
    <x v="6"/>
    <s v="SZR"/>
  </r>
  <r>
    <x v="410"/>
    <s v="DONBECO"/>
    <s v="DONBECO"/>
    <n v="0.1"/>
    <s v="18W000000000SQXB"/>
    <x v="2"/>
    <s v="Compra"/>
    <s v="SZR"/>
    <s v="DONBE"/>
    <x v="1"/>
    <x v="177"/>
    <x v="2"/>
    <s v="SZR"/>
  </r>
  <r>
    <x v="411"/>
    <s v="DPDETIC"/>
    <s v="DPDETIC"/>
    <n v="24.5"/>
    <s v="18WDPDETIC-123-B"/>
    <x v="3"/>
    <s v="Venta"/>
    <s v="SZR"/>
    <s v="DETIC"/>
    <x v="0"/>
    <x v="71"/>
    <x v="18"/>
    <s v="SZR"/>
  </r>
  <r>
    <x v="412"/>
    <s v="DEEPKI PEN"/>
    <s v="DEEPKI PENINSULA"/>
    <n v="1"/>
    <s v="18W000000000KXO3"/>
    <x v="2"/>
    <s v="Compra"/>
    <s v="SZR"/>
    <s v="DEEPK"/>
    <x v="1"/>
    <x v="178"/>
    <x v="2"/>
    <s v="SZR"/>
  </r>
  <r>
    <x v="413"/>
    <s v="DREUA"/>
    <s v="FOENER COMERCIALIZCIÓN SLU"/>
    <n v="28"/>
    <s v="18WDREAC01-123-K"/>
    <x v="2"/>
    <s v="Compra"/>
    <s v="SZR"/>
    <s v="DREUA"/>
    <x v="1"/>
    <x v="179"/>
    <x v="2"/>
    <s v="SZR"/>
  </r>
  <r>
    <x v="414"/>
    <s v="DREDC01"/>
    <s v="DREUA CD"/>
    <n v="28.6"/>
    <s v="18W000000000DWUM"/>
    <x v="6"/>
    <s v="Compra"/>
    <s v="SZR"/>
    <s v="DREUA"/>
    <x v="3"/>
    <x v="179"/>
    <x v="6"/>
    <s v="SZR"/>
  </r>
  <r>
    <x v="415"/>
    <s v="UP DRK"/>
    <s v="DRK ENERGY"/>
    <n v="4.5"/>
    <s v="18WDRKFC01-123-F"/>
    <x v="2"/>
    <s v="Compra"/>
    <s v="SZR"/>
    <s v="DRK"/>
    <x v="1"/>
    <x v="180"/>
    <x v="2"/>
    <s v="SZR"/>
  </r>
  <r>
    <x v="416"/>
    <s v="3DSMART"/>
    <s v="3DSMART COMPRA"/>
    <n v="20"/>
    <s v="18W000000000M77X"/>
    <x v="2"/>
    <s v="Compra"/>
    <s v="SZR"/>
    <s v="DSMAR"/>
    <x v="1"/>
    <x v="181"/>
    <x v="2"/>
    <s v="SZR"/>
  </r>
  <r>
    <x v="417"/>
    <s v="DUERO B"/>
    <s v="UGH.B. DUERO BOMBEO"/>
    <n v="1308"/>
    <s v="18WDUEB-12345-0Z"/>
    <x v="13"/>
    <s v="Compra"/>
    <s v="SZR"/>
    <s v="IBEG"/>
    <x v="6"/>
    <x v="7"/>
    <x v="13"/>
    <s v="SZR"/>
  </r>
  <r>
    <x v="418"/>
    <s v="DUERO G"/>
    <s v="UGH. DUERO GENERACION"/>
    <n v="3533.6"/>
    <s v="18WDUER-12345-0N"/>
    <x v="1"/>
    <s v="Venta"/>
    <s v="IBEG"/>
    <s v="IBEG"/>
    <x v="0"/>
    <x v="7"/>
    <x v="1"/>
    <s v="IMA"/>
  </r>
  <r>
    <x v="419"/>
    <s v="DUEROLUZ"/>
    <s v="DUEROLUZ ENERGIA SL"/>
    <n v="1"/>
    <s v="18W000000000TDOR"/>
    <x v="21"/>
    <s v="Compra"/>
    <s v="SZR"/>
    <s v="DUERO"/>
    <x v="1"/>
    <x v="182"/>
    <x v="24"/>
    <s v="SZR"/>
  </r>
  <r>
    <x v="420"/>
    <s v="DUFEC01"/>
    <s v="DUFEC01"/>
    <n v="400"/>
    <s v="18W000000000BEUA"/>
    <x v="2"/>
    <s v="Compra"/>
    <s v="SZR"/>
    <s v="DUFER"/>
    <x v="1"/>
    <x v="183"/>
    <x v="2"/>
    <s v="SZR"/>
  </r>
  <r>
    <x v="421"/>
    <s v="DUFENERGY"/>
    <s v="DUFENERGY TRADING SA"/>
    <n v="400"/>
    <s v="18WDUFECP3-123-F"/>
    <x v="16"/>
    <s v="Compra"/>
    <s v="SZR"/>
    <s v="DUFER"/>
    <x v="7"/>
    <x v="183"/>
    <x v="16"/>
    <s v="SZR"/>
  </r>
  <r>
    <x v="422"/>
    <s v="DUFEVP3"/>
    <s v="DUFENERGY TRADING SA"/>
    <n v="400"/>
    <s v="18WDUFEVP3-123-T"/>
    <x v="17"/>
    <s v="Venta"/>
    <s v="SZR"/>
    <s v="DUFER"/>
    <x v="7"/>
    <x v="183"/>
    <x v="17"/>
    <s v="SZR"/>
  </r>
  <r>
    <x v="423"/>
    <s v="DXD COMER"/>
    <s v="DXD COMERCIALIZADORA UNIDAD"/>
    <n v="1"/>
    <s v="18W0000000004U8Y"/>
    <x v="2"/>
    <s v="Compra"/>
    <s v="SZR"/>
    <s v="DXD"/>
    <x v="1"/>
    <x v="184"/>
    <x v="2"/>
    <s v="SZR"/>
  </r>
  <r>
    <x v="424"/>
    <s v="DYNEFF"/>
    <s v="DYNEFF"/>
    <n v="0.1"/>
    <s v="18W000000000M1A8"/>
    <x v="2"/>
    <s v="Compra"/>
    <s v="SZR"/>
    <s v="DYNEF"/>
    <x v="1"/>
    <x v="185"/>
    <x v="2"/>
    <s v="SZR"/>
  </r>
  <r>
    <x v="425"/>
    <s v="E1CEG"/>
    <s v="E1CEG"/>
    <n v="26"/>
    <s v="18W0000000003SIO"/>
    <x v="11"/>
    <s v="Venta"/>
    <s v="EVM2"/>
    <s v="CEG"/>
    <x v="0"/>
    <x v="124"/>
    <x v="11"/>
    <s v="VM2"/>
  </r>
  <r>
    <x v="426"/>
    <s v="E1VENTU"/>
    <s v="E1VENTU"/>
    <n v="20.5"/>
    <s v="18W000000000Q7QG"/>
    <x v="11"/>
    <s v="Venta"/>
    <s v="SZR"/>
    <s v="CEG"/>
    <x v="0"/>
    <x v="124"/>
    <x v="11"/>
    <s v="SZR"/>
  </r>
  <r>
    <x v="427"/>
    <s v="EABARA"/>
    <s v="PARQUE EOLICO DE ABARA"/>
    <n v="34"/>
    <s v="18WEABARA-1234-J"/>
    <x v="11"/>
    <s v="Venta"/>
    <s v="SZR"/>
    <s v="EGED"/>
    <x v="0"/>
    <x v="186"/>
    <x v="11"/>
    <s v="SZR"/>
  </r>
  <r>
    <x v="428"/>
    <s v="EABILI"/>
    <s v="EOL ABLITAS"/>
    <n v="40"/>
    <s v="18W000000000IGUD"/>
    <x v="11"/>
    <s v="Venta"/>
    <s v="SZR"/>
    <s v="CEG"/>
    <x v="0"/>
    <x v="124"/>
    <x v="11"/>
    <s v="SZR"/>
  </r>
  <r>
    <x v="429"/>
    <s v="EACCIT"/>
    <s v="18W000000000NXEB"/>
    <n v="3.4"/>
    <s v="18W000000000NXEB"/>
    <x v="11"/>
    <s v="Venta"/>
    <s v="SZR"/>
    <s v="EGLE"/>
    <x v="0"/>
    <x v="82"/>
    <x v="11"/>
    <s v="SZR"/>
  </r>
  <r>
    <x v="430"/>
    <s v="EACIBER"/>
    <s v="ACIBEROS"/>
    <n v="53.6"/>
    <s v="18W000000000RXFU"/>
    <x v="11"/>
    <s v="Venta"/>
    <s v="SZR"/>
    <s v="WMARK"/>
    <x v="0"/>
    <x v="22"/>
    <x v="11"/>
    <s v="SZR"/>
  </r>
  <r>
    <x v="431"/>
    <s v="EACROA1"/>
    <s v="UP EOLICA DA CROA1"/>
    <n v="7.3"/>
    <s v="18W000000000N0HU"/>
    <x v="11"/>
    <s v="Venta"/>
    <s v="NEXUS"/>
    <s v="NEXU"/>
    <x v="0"/>
    <x v="187"/>
    <x v="11"/>
    <s v="NEX"/>
  </r>
  <r>
    <x v="432"/>
    <s v="EACROA2"/>
    <s v="UP EOLICA DA CROA2"/>
    <n v="10.3"/>
    <s v="18W000000000N0IS"/>
    <x v="11"/>
    <s v="Venta"/>
    <s v="NEXUS"/>
    <s v="NEXU"/>
    <x v="0"/>
    <x v="187"/>
    <x v="11"/>
    <s v="NEX"/>
  </r>
  <r>
    <x v="433"/>
    <s v="EADRAG"/>
    <s v="PARQUE EOLICO DE ADRAÑO"/>
    <n v="21.6"/>
    <s v="18WEADRAG-123-1H"/>
    <x v="11"/>
    <s v="Venta"/>
    <s v="SZR"/>
    <s v="EGED"/>
    <x v="0"/>
    <x v="186"/>
    <x v="11"/>
    <s v="SZR"/>
  </r>
  <r>
    <x v="434"/>
    <s v="EAGON2"/>
    <s v="EAGON2"/>
    <n v="9"/>
    <s v="18W000000000RPL5"/>
    <x v="11"/>
    <s v="Venta"/>
    <s v="SZR"/>
    <s v="CEG"/>
    <x v="0"/>
    <x v="124"/>
    <x v="11"/>
    <s v="SZR"/>
  </r>
  <r>
    <x v="435"/>
    <s v="EAGUAS"/>
    <s v="P PE DE SIERRA DE AGUAS"/>
    <n v="28.1"/>
    <s v="18W000000000ST7H"/>
    <x v="11"/>
    <s v="Venta"/>
    <s v="SZR"/>
    <s v="EGLE"/>
    <x v="0"/>
    <x v="82"/>
    <x v="11"/>
    <s v="SZR"/>
  </r>
  <r>
    <x v="436"/>
    <s v="PEAGUILA"/>
    <s v="PEAGUILA"/>
    <n v="19.5"/>
    <s v="18W000000000MEPD"/>
    <x v="11"/>
    <s v="Venta"/>
    <s v="SZR"/>
    <s v="NEXU"/>
    <x v="0"/>
    <x v="187"/>
    <x v="11"/>
    <s v="SZR"/>
  </r>
  <r>
    <x v="437"/>
    <s v="PEAGUILAII"/>
    <s v="PEAGUILAII"/>
    <n v="31.9"/>
    <s v="18W000000000MES7"/>
    <x v="11"/>
    <s v="Venta"/>
    <s v="NEXUS"/>
    <s v="NEXU"/>
    <x v="0"/>
    <x v="187"/>
    <x v="11"/>
    <s v="NEX"/>
  </r>
  <r>
    <x v="438"/>
    <s v="EALBC01"/>
    <s v="ELECTRICA DE ALBATERENSE, S.L"/>
    <n v="5"/>
    <s v="18WEALBC01-123-D"/>
    <x v="2"/>
    <s v="Compra"/>
    <s v="SZR"/>
    <s v="EALB"/>
    <x v="1"/>
    <x v="188"/>
    <x v="2"/>
    <s v="SZR"/>
  </r>
  <r>
    <x v="439"/>
    <s v="PE ALENTIS"/>
    <s v="PARQUE EOLICO ALENTISQUE"/>
    <n v="46"/>
    <s v="18W000000000P1DR"/>
    <x v="11"/>
    <s v="Venta"/>
    <s v="SZR"/>
    <s v="EBLCO"/>
    <x v="0"/>
    <x v="158"/>
    <x v="11"/>
    <s v="SZR"/>
  </r>
  <r>
    <x v="440"/>
    <s v="EALIJA2"/>
    <s v="EALIJA2"/>
    <n v="28.8"/>
    <s v="18W000000000GAFW"/>
    <x v="11"/>
    <s v="Venta"/>
    <s v="SZR"/>
    <s v="SEDAE"/>
    <x v="0"/>
    <x v="71"/>
    <x v="11"/>
    <s v="SZR"/>
  </r>
  <r>
    <x v="441"/>
    <s v="ALMENAR_UP"/>
    <s v="ALMENAR UNIDAD PROGRAMACION"/>
    <n v="0.3"/>
    <s v="18W0000000004Z0Z"/>
    <x v="2"/>
    <s v="Compra"/>
    <s v="SZR"/>
    <s v="ELALM"/>
    <x v="1"/>
    <x v="189"/>
    <x v="2"/>
    <s v="SZR"/>
  </r>
  <r>
    <x v="442"/>
    <s v="EALMERI"/>
    <s v="UP EOLICA ALMERIQ"/>
    <n v="27.5"/>
    <s v="18W000000000N358"/>
    <x v="11"/>
    <s v="Venta"/>
    <s v="SZR"/>
    <s v="NEXU"/>
    <x v="0"/>
    <x v="187"/>
    <x v="11"/>
    <s v="SZR"/>
  </r>
  <r>
    <x v="443"/>
    <s v="ALP1"/>
    <s v="ALP1"/>
    <n v="20.399999999999999"/>
    <s v="18W000000000S9AY"/>
    <x v="11"/>
    <s v="Venta"/>
    <s v="SZR"/>
    <s v="HISPE"/>
    <x v="0"/>
    <x v="43"/>
    <x v="11"/>
    <s v="SZR"/>
  </r>
  <r>
    <x v="444"/>
    <s v="ALP2"/>
    <s v="ALP2"/>
    <n v="24"/>
    <s v="18W000000000S9BW"/>
    <x v="11"/>
    <s v="Venta"/>
    <s v="SZR"/>
    <s v="HISPE"/>
    <x v="0"/>
    <x v="43"/>
    <x v="11"/>
    <s v="SZR"/>
  </r>
  <r>
    <x v="445"/>
    <s v="ALP3"/>
    <s v="ALP3"/>
    <n v="49.6"/>
    <s v="18W000000000S9CU"/>
    <x v="11"/>
    <s v="Venta"/>
    <s v="SZR"/>
    <s v="HISPE"/>
    <x v="0"/>
    <x v="43"/>
    <x v="11"/>
    <s v="SZR"/>
  </r>
  <r>
    <x v="446"/>
    <s v="EALTAN"/>
    <s v="18WEALTAN-1234-R"/>
    <n v="28"/>
    <s v="18WEALTAN-1234-R"/>
    <x v="11"/>
    <s v="Venta"/>
    <s v="SZR"/>
    <s v="EGLE"/>
    <x v="0"/>
    <x v="82"/>
    <x v="11"/>
    <s v="SZR"/>
  </r>
  <r>
    <x v="447"/>
    <s v="PE ALTIPLA"/>
    <s v="PROMOCIONES EÓLICAS DEL ALTIPLANO,S.A."/>
    <n v="50"/>
    <s v="18WEALTIPL-123-V"/>
    <x v="11"/>
    <s v="Venta"/>
    <s v="SZR"/>
    <s v="PEALT"/>
    <x v="0"/>
    <x v="190"/>
    <x v="11"/>
    <s v="SZR"/>
  </r>
  <r>
    <x v="448"/>
    <s v="EAM0C01"/>
    <s v="ELECTRA ALTO MIÑO COMERCIALIZADORA DE ENEGÍA, SLU"/>
    <n v="5.7"/>
    <s v="18WEAM0C01-123-1"/>
    <x v="2"/>
    <s v="Compra"/>
    <s v="SZR"/>
    <s v="EAM01"/>
    <x v="1"/>
    <x v="191"/>
    <x v="2"/>
    <s v="SZR"/>
  </r>
  <r>
    <x v="449"/>
    <s v="ANT MAD"/>
    <s v="ELECTRICA ANTONIO MADRID"/>
    <n v="0.3"/>
    <s v="18WEAMC01-1234-8"/>
    <x v="2"/>
    <s v="Compra"/>
    <s v="SZR"/>
    <s v="AMADR"/>
    <x v="1"/>
    <x v="192"/>
    <x v="2"/>
    <s v="SZR"/>
  </r>
  <r>
    <x v="450"/>
    <s v="GRAFENO"/>
    <s v="GRAFENO"/>
    <n v="1.2"/>
    <s v="18W000000000SV0P"/>
    <x v="9"/>
    <s v="Venta"/>
    <s v="SZR"/>
    <s v="AMADR"/>
    <x v="0"/>
    <x v="192"/>
    <x v="9"/>
    <s v="SZR"/>
  </r>
  <r>
    <x v="451"/>
    <s v="PE SANTONI"/>
    <s v="PARQUE EOLICO SANT ANTONI"/>
    <n v="49.9"/>
    <s v="18W000000000OVRO"/>
    <x v="11"/>
    <s v="Venta"/>
    <s v="SZR"/>
    <s v="EBLCO"/>
    <x v="0"/>
    <x v="158"/>
    <x v="11"/>
    <s v="SZR"/>
  </r>
  <r>
    <x v="452"/>
    <s v="EARNO"/>
    <s v="18WEARNO-12345-I"/>
    <n v="8"/>
    <s v="18WEARNO-12345-I"/>
    <x v="11"/>
    <s v="Venta"/>
    <s v="SZR"/>
    <s v="EGLE"/>
    <x v="0"/>
    <x v="82"/>
    <x v="11"/>
    <s v="SZR"/>
  </r>
  <r>
    <x v="453"/>
    <s v="EARTIG"/>
    <s v="EARTIG"/>
    <n v="92.6"/>
    <s v="18W000000000QS8Q"/>
    <x v="11"/>
    <s v="Venta"/>
    <s v="SZR"/>
    <s v="REPSB"/>
    <x v="0"/>
    <x v="29"/>
    <x v="11"/>
    <s v="SZR"/>
  </r>
  <r>
    <x v="454"/>
    <s v="EASCOI"/>
    <s v="UP EOLICA ASCOY"/>
    <n v="7.6"/>
    <s v="18W000000000MGP7"/>
    <x v="11"/>
    <s v="Venta"/>
    <s v="SZR"/>
    <s v="NEXU"/>
    <x v="0"/>
    <x v="187"/>
    <x v="11"/>
    <s v="SZR"/>
  </r>
  <r>
    <x v="455"/>
    <s v="EAUSIN"/>
    <s v="EOL AUSINES 1MW"/>
    <n v="27"/>
    <s v="18W0000000001FE5"/>
    <x v="11"/>
    <s v="Venta"/>
    <s v="EVM2"/>
    <s v="CEG"/>
    <x v="0"/>
    <x v="124"/>
    <x v="11"/>
    <s v="VM2"/>
  </r>
  <r>
    <x v="456"/>
    <s v="PE BARBERS"/>
    <s v="PARQUE EOLICO BARBERS"/>
    <n v="30"/>
    <s v="18W000000000OV4X"/>
    <x v="11"/>
    <s v="Venta"/>
    <s v="SZR"/>
    <s v="EBLCO"/>
    <x v="0"/>
    <x v="158"/>
    <x v="11"/>
    <s v="SZR"/>
  </r>
  <r>
    <x v="457"/>
    <s v="EBECERR"/>
    <s v="PARQUE EOLICO BECERRIL, S.L."/>
    <n v="6"/>
    <s v="18WEBECERR-123-M"/>
    <x v="11"/>
    <s v="Venta"/>
    <s v="SZR"/>
    <s v="PEBEC"/>
    <x v="0"/>
    <x v="193"/>
    <x v="11"/>
    <s v="SZR"/>
  </r>
  <r>
    <x v="458"/>
    <s v="EBHIBHV"/>
    <s v="HIBRIDACION EOLICA Y BATERIA"/>
    <n v="37.799999999999997"/>
    <s v="18W000000000QIQK"/>
    <x v="22"/>
    <s v="Venta"/>
    <s v="SZR"/>
    <s v="IBGES"/>
    <x v="9"/>
    <x v="7"/>
    <x v="25"/>
    <s v="SZR"/>
  </r>
  <r>
    <x v="459"/>
    <s v="EBIACA1"/>
    <s v="ELECT. NTRA. SRA. GRACIA UP"/>
    <n v="5"/>
    <s v="18WEBIACA1-123-1"/>
    <x v="2"/>
    <s v="Compra"/>
    <s v="SZR"/>
    <s v="EBIAR"/>
    <x v="1"/>
    <x v="194"/>
    <x v="2"/>
    <s v="SZR"/>
  </r>
  <r>
    <x v="460"/>
    <s v="ELECTR-COM"/>
    <s v="ELECTRABEL S.A. COMERCIALIZADORA (NACIONAL)"/>
    <n v="0"/>
    <s v="18WEBLCO01-12-20"/>
    <x v="2"/>
    <s v="Compra"/>
    <s v="SZR"/>
    <s v="EBLCO"/>
    <x v="1"/>
    <x v="158"/>
    <x v="2"/>
    <s v="SZR"/>
  </r>
  <r>
    <x v="461"/>
    <s v="UP SRAD"/>
    <s v="SERVICIO RESPUESTA ACTIVA DE LA DEMANDA"/>
    <n v="21.9"/>
    <s v="18W000000000S1XC"/>
    <x v="2"/>
    <s v="Compra"/>
    <s v="SZR"/>
    <s v="EBLCO"/>
    <x v="1"/>
    <x v="158"/>
    <x v="2"/>
    <s v="SZR"/>
  </r>
  <r>
    <x v="462"/>
    <s v="EBLPCX1"/>
    <s v="EBLPCX1"/>
    <n v="9999"/>
    <s v="18W000000000TI4F"/>
    <x v="20"/>
    <s v="Compra"/>
    <s v="SZR"/>
    <s v="EBLCO"/>
    <x v="8"/>
    <x v="158"/>
    <x v="23"/>
    <s v="SZR"/>
  </r>
  <r>
    <x v="463"/>
    <s v="EBLPVX1"/>
    <s v="EBLPVX1"/>
    <n v="9999"/>
    <s v="18W000000000TI2J"/>
    <x v="20"/>
    <s v="Venta"/>
    <s v="SZR"/>
    <s v="EBLCO"/>
    <x v="8"/>
    <x v="158"/>
    <x v="23"/>
    <s v="SZR"/>
  </r>
  <r>
    <x v="464"/>
    <s v="EBOREA"/>
    <s v="18W000000000N3TY"/>
    <n v="100"/>
    <s v="18W000000000N3TY"/>
    <x v="11"/>
    <s v="Venta"/>
    <s v="AXPO"/>
    <s v="EGLE"/>
    <x v="0"/>
    <x v="82"/>
    <x v="11"/>
    <s v="AXP"/>
  </r>
  <r>
    <x v="465"/>
    <s v="EBRO ALTO"/>
    <s v="UGH. EBRO ALTO (IBERDROLA)"/>
    <n v="191.3"/>
    <s v="18WEBRA-12345-06"/>
    <x v="1"/>
    <s v="Venta"/>
    <s v="IBEG"/>
    <s v="IBEG"/>
    <x v="0"/>
    <x v="7"/>
    <x v="1"/>
    <s v="IMA"/>
  </r>
  <r>
    <x v="466"/>
    <s v="EBRACC1"/>
    <s v="EBRACC1"/>
    <n v="376.4"/>
    <s v="18WEBRACC1-123-Y"/>
    <x v="1"/>
    <s v="Venta"/>
    <s v="END"/>
    <s v="ENDG"/>
    <x v="0"/>
    <x v="72"/>
    <x v="1"/>
    <s v="END"/>
  </r>
  <r>
    <x v="467"/>
    <s v="EBRACC2"/>
    <s v="EBRACC2"/>
    <n v="162"/>
    <s v="18WEBRACC2-123-R"/>
    <x v="1"/>
    <s v="Venta"/>
    <s v="END"/>
    <s v="ENDG"/>
    <x v="0"/>
    <x v="72"/>
    <x v="1"/>
    <s v="END"/>
  </r>
  <r>
    <x v="468"/>
    <s v="EBREC01"/>
    <s v="EBREC01"/>
    <n v="0.1"/>
    <s v="18W000000000I8EW"/>
    <x v="2"/>
    <s v="Compra"/>
    <s v="SZR"/>
    <s v="EBROE"/>
    <x v="1"/>
    <x v="195"/>
    <x v="2"/>
    <s v="SZR"/>
  </r>
  <r>
    <x v="469"/>
    <s v="EBRO ERZ"/>
    <s v="UGH. EBRO ERZ"/>
    <n v="2.2999999999999998"/>
    <s v="18WEBRERZ-123-0B"/>
    <x v="1"/>
    <s v="Venta"/>
    <s v="END"/>
    <s v="ENDG"/>
    <x v="0"/>
    <x v="72"/>
    <x v="1"/>
    <s v="END"/>
  </r>
  <r>
    <x v="470"/>
    <s v="ENH-FEC-GR"/>
    <s v="UGH. EBRO ENHER-FECSA-GARONA"/>
    <n v="1857.7"/>
    <s v="18WEBRFEN-123-0T"/>
    <x v="1"/>
    <s v="Venta"/>
    <s v="END"/>
    <s v="ENDG"/>
    <x v="0"/>
    <x v="72"/>
    <x v="1"/>
    <s v="END"/>
  </r>
  <r>
    <x v="471"/>
    <s v="EBROF"/>
    <s v="EBROF"/>
    <n v="40.799999999999997"/>
    <s v="18W000000000GYB5"/>
    <x v="1"/>
    <s v="Venta"/>
    <s v="SZR"/>
    <s v="GNRA"/>
    <x v="0"/>
    <x v="46"/>
    <x v="1"/>
    <s v="SZR"/>
  </r>
  <r>
    <x v="472"/>
    <s v="EBRUJUL"/>
    <s v="EÓLICA LA BRÚJULA (E)"/>
    <n v="73.3"/>
    <s v="18WEBRUJUL-12-1D"/>
    <x v="11"/>
    <s v="Venta"/>
    <s v="SZR"/>
    <s v="HC G"/>
    <x v="0"/>
    <x v="3"/>
    <x v="11"/>
    <s v="SZR"/>
  </r>
  <r>
    <x v="473"/>
    <s v="EBRULL"/>
    <s v="18WEBRULL-1234-4"/>
    <n v="40"/>
    <s v="18WEBRULL-1234-4"/>
    <x v="11"/>
    <s v="Venta"/>
    <s v="AXPO"/>
    <s v="EGLE"/>
    <x v="0"/>
    <x v="82"/>
    <x v="11"/>
    <s v="AXP"/>
  </r>
  <r>
    <x v="474"/>
    <s v="EBSISG"/>
    <s v="PARQUE EOLICO DE LA BOBIA-SAN ISIDRO"/>
    <n v="49.3"/>
    <s v="18WEBSISG-123-1R"/>
    <x v="11"/>
    <s v="Venta"/>
    <s v="SZR"/>
    <s v="EGED"/>
    <x v="0"/>
    <x v="186"/>
    <x v="11"/>
    <s v="SZR"/>
  </r>
  <r>
    <x v="475"/>
    <s v="EBURGE"/>
    <s v="BURGALESA DE GENERACION EOLICA"/>
    <n v="13.8"/>
    <s v="18WEBURGE-123--6"/>
    <x v="11"/>
    <s v="Venta"/>
    <s v="SZR"/>
    <s v="BURGE"/>
    <x v="0"/>
    <x v="196"/>
    <x v="11"/>
    <s v="SZR"/>
  </r>
  <r>
    <x v="476"/>
    <s v="PE CABELLO"/>
    <s v="PE CERRO CABELLO"/>
    <n v="12"/>
    <s v="18W000000000SWLH"/>
    <x v="11"/>
    <s v="Venta"/>
    <s v="SZR"/>
    <s v="EBLCO"/>
    <x v="0"/>
    <x v="158"/>
    <x v="11"/>
    <s v="SZR"/>
  </r>
  <r>
    <x v="477"/>
    <s v="PE CCONDE"/>
    <s v="PARQUE EOLICO CABEZA DEL CONDE"/>
    <n v="8"/>
    <s v="18W000000000OV5V"/>
    <x v="11"/>
    <s v="Venta"/>
    <s v="SZR"/>
    <s v="EBLCO"/>
    <x v="0"/>
    <x v="158"/>
    <x v="11"/>
    <s v="SZR"/>
  </r>
  <r>
    <x v="478"/>
    <s v="PE CALZADA"/>
    <s v="PARQUE EOLICO LA CALZADA"/>
    <n v="30.6"/>
    <s v="18W000000000OVJ3"/>
    <x v="11"/>
    <s v="Venta"/>
    <s v="SZR"/>
    <s v="EBLCO"/>
    <x v="0"/>
    <x v="158"/>
    <x v="11"/>
    <s v="SZR"/>
  </r>
  <r>
    <x v="479"/>
    <s v="ECANTE"/>
    <s v="UP ELICA CASCANTE SL"/>
    <n v="50"/>
    <s v="18W000000000SKVX"/>
    <x v="11"/>
    <s v="Venta"/>
    <s v="SZR"/>
    <s v="EGLE"/>
    <x v="0"/>
    <x v="82"/>
    <x v="11"/>
    <s v="SZR"/>
  </r>
  <r>
    <x v="480"/>
    <s v="ECARCLN"/>
    <s v="UP EOLICA CARCELEN"/>
    <n v="49.6"/>
    <s v="18W000000000MGR3"/>
    <x v="11"/>
    <s v="Venta"/>
    <s v="SZR"/>
    <s v="NEXU"/>
    <x v="0"/>
    <x v="187"/>
    <x v="11"/>
    <s v="SZR"/>
  </r>
  <r>
    <x v="481"/>
    <s v="ECARRA2"/>
    <s v="EOLICA EL CARRASCAL 2"/>
    <n v="28"/>
    <s v="18W000000000IQYC"/>
    <x v="11"/>
    <s v="Venta"/>
    <s v="SZR"/>
    <s v="NEXU"/>
    <x v="0"/>
    <x v="187"/>
    <x v="11"/>
    <s v="SZR"/>
  </r>
  <r>
    <x v="482"/>
    <s v="ECARRAI"/>
    <s v="EOLICA EL CARRASCAL"/>
    <n v="49.5"/>
    <s v="18W000000000IR3Y"/>
    <x v="11"/>
    <s v="Venta"/>
    <s v="SZR"/>
    <s v="NEXU"/>
    <x v="0"/>
    <x v="187"/>
    <x v="11"/>
    <s v="SZR"/>
  </r>
  <r>
    <x v="483"/>
    <s v="ECARRER"/>
    <s v="ECARRER"/>
    <n v="8.9"/>
    <s v="18W000000000Q7KS"/>
    <x v="11"/>
    <s v="Venta"/>
    <s v="SZR"/>
    <s v="CEG"/>
    <x v="0"/>
    <x v="124"/>
    <x v="11"/>
    <s v="SZR"/>
  </r>
  <r>
    <x v="484"/>
    <s v="ECARRG"/>
    <s v="18WECARRG-123-1L"/>
    <n v="49.5"/>
    <s v="18WECARRG-123-1L"/>
    <x v="11"/>
    <s v="Venta"/>
    <s v="SZR"/>
    <s v="EGLE"/>
    <x v="0"/>
    <x v="82"/>
    <x v="11"/>
    <s v="SZR"/>
  </r>
  <r>
    <x v="485"/>
    <s v="ECASAR"/>
    <s v="LDV CASARES"/>
    <n v="8"/>
    <s v="18W0000000002B5V"/>
    <x v="11"/>
    <s v="Venta"/>
    <s v="SZR"/>
    <s v="CEG"/>
    <x v="0"/>
    <x v="124"/>
    <x v="11"/>
    <s v="SZR"/>
  </r>
  <r>
    <x v="486"/>
    <s v="ECASTI"/>
    <s v="18WECASTI-1234-3"/>
    <n v="36"/>
    <s v="18WECASTI-1234-3"/>
    <x v="11"/>
    <s v="Venta"/>
    <s v="SZR"/>
    <s v="EGLE"/>
    <x v="0"/>
    <x v="82"/>
    <x v="11"/>
    <s v="SZR"/>
  </r>
  <r>
    <x v="487"/>
    <s v="ECATC01"/>
    <s v="DISTRIBUIDORA ELÉCTRICA DE CATOIRA, S.A"/>
    <n v="1"/>
    <s v="18WECATC01-123-4"/>
    <x v="2"/>
    <s v="Compra"/>
    <s v="SZR"/>
    <s v="ELCAT"/>
    <x v="1"/>
    <x v="197"/>
    <x v="2"/>
    <s v="SZR"/>
  </r>
  <r>
    <x v="488"/>
    <s v="ECATER"/>
    <s v="18WECATER-1234-J"/>
    <n v="57.6"/>
    <s v="18WECATER-1234-J"/>
    <x v="11"/>
    <s v="Venta"/>
    <s v="SZR"/>
    <s v="EGLE"/>
    <x v="0"/>
    <x v="82"/>
    <x v="11"/>
    <s v="SZR"/>
  </r>
  <r>
    <x v="489"/>
    <s v="ECADZ-COMP"/>
    <s v="ELECTRICA DE CADIZ (NACIONAL) COMPRA"/>
    <n v="0"/>
    <s v="18WECAZC01-12-2O"/>
    <x v="2"/>
    <s v="Compra"/>
    <s v="SZR"/>
    <s v="ECADZ"/>
    <x v="1"/>
    <x v="198"/>
    <x v="2"/>
    <s v="SZR"/>
  </r>
  <r>
    <x v="490"/>
    <s v="ECE"/>
    <s v="ELECTRA DEL CARDENER ENERGIA, S.A."/>
    <n v="0"/>
    <s v="18WECEC01-123-27"/>
    <x v="2"/>
    <s v="Compra"/>
    <s v="SZR"/>
    <s v="ECE"/>
    <x v="1"/>
    <x v="199"/>
    <x v="2"/>
    <s v="SZR"/>
  </r>
  <r>
    <x v="491"/>
    <s v="ECEREG"/>
    <s v="COMPAÑIA EOLICA GRANADINA"/>
    <n v="35.6"/>
    <s v="18WECEGRG-123-1D"/>
    <x v="11"/>
    <s v="Venta"/>
    <s v="SZR"/>
    <s v="EGED"/>
    <x v="0"/>
    <x v="186"/>
    <x v="11"/>
    <s v="SZR"/>
  </r>
  <r>
    <x v="492"/>
    <s v="CENER"/>
    <s v="CENTRO NACIONAL DE ENERGÍAS RENOVABLES"/>
    <n v="25.5"/>
    <s v="18WECENDER-123-D"/>
    <x v="11"/>
    <s v="Venta"/>
    <s v="SZR"/>
    <s v="WMARK"/>
    <x v="0"/>
    <x v="22"/>
    <x v="11"/>
    <s v="SZR"/>
  </r>
  <r>
    <x v="493"/>
    <s v="ECERAD2"/>
    <s v="EOLICA LA CERRADILLA 2"/>
    <n v="22"/>
    <s v="18W000000000IR03"/>
    <x v="11"/>
    <s v="Venta"/>
    <s v="SZR"/>
    <s v="NEXU"/>
    <x v="0"/>
    <x v="187"/>
    <x v="11"/>
    <s v="SZR"/>
  </r>
  <r>
    <x v="494"/>
    <s v="ECERADI"/>
    <s v="EOLICA LA CERRADILLA"/>
    <n v="49.5"/>
    <s v="18W000000000IQZA"/>
    <x v="11"/>
    <s v="Venta"/>
    <s v="SZR"/>
    <s v="NEXU"/>
    <x v="0"/>
    <x v="187"/>
    <x v="11"/>
    <s v="SZR"/>
  </r>
  <r>
    <x v="495"/>
    <s v="ECERRA"/>
    <s v="UP CERRATO EOLICA"/>
    <n v="47.7"/>
    <s v="18W000000000SEG7"/>
    <x v="11"/>
    <s v="Venta"/>
    <s v="SZR"/>
    <s v="EGLE"/>
    <x v="0"/>
    <x v="82"/>
    <x v="11"/>
    <s v="SZR"/>
  </r>
  <r>
    <x v="496"/>
    <s v="ECERRA2"/>
    <s v="ECERRA2"/>
    <n v="146.5"/>
    <s v="18W000000000T929"/>
    <x v="11"/>
    <s v="Venta"/>
    <s v="SZR"/>
    <s v="REPSB"/>
    <x v="0"/>
    <x v="29"/>
    <x v="11"/>
    <s v="SZR"/>
  </r>
  <r>
    <x v="497"/>
    <s v="ECERRAG"/>
    <s v="ECERRAG"/>
    <n v="75.900000000000006"/>
    <s v="18W000000000TE1X"/>
    <x v="11"/>
    <s v="Venta"/>
    <s v="SZR"/>
    <s v="REPSB"/>
    <x v="0"/>
    <x v="29"/>
    <x v="11"/>
    <s v="SZR"/>
  </r>
  <r>
    <x v="498"/>
    <s v="ECERRAT"/>
    <s v="ECERRAT"/>
    <n v="65"/>
    <s v="18W000000000S6ZU"/>
    <x v="11"/>
    <s v="Venta"/>
    <s v="SZR"/>
    <s v="REPSB"/>
    <x v="0"/>
    <x v="29"/>
    <x v="11"/>
    <s v="SZR"/>
  </r>
  <r>
    <x v="499"/>
    <s v="ECHO"/>
    <s v="CHORRO DEL DUQUE"/>
    <n v="1"/>
    <s v="18WECHO-123456-J"/>
    <x v="1"/>
    <s v="Venta"/>
    <s v="SZR"/>
    <s v="HIDRJ"/>
    <x v="0"/>
    <x v="95"/>
    <x v="1"/>
    <s v="SZR"/>
  </r>
  <r>
    <x v="500"/>
    <s v="ECIERZO"/>
    <s v="ECIERZO"/>
    <n v="60.4"/>
    <s v="18WECIERZO-123-8"/>
    <x v="11"/>
    <s v="Venta"/>
    <s v="SZR"/>
    <s v="IGNIS"/>
    <x v="0"/>
    <x v="28"/>
    <x v="11"/>
    <s v="SZR"/>
  </r>
  <r>
    <x v="501"/>
    <s v="CINCA"/>
    <s v="CINCA"/>
    <n v="96.8"/>
    <s v="18W000000000RG6P"/>
    <x v="11"/>
    <s v="Venta"/>
    <s v="SZR"/>
    <s v="REPSB"/>
    <x v="0"/>
    <x v="29"/>
    <x v="11"/>
    <s v="SZR"/>
  </r>
  <r>
    <x v="502"/>
    <s v="ECINCAG"/>
    <s v="ECINCAG"/>
    <n v="60"/>
    <s v="18W000000000TLHH"/>
    <x v="11"/>
    <s v="Venta"/>
    <s v="SZR"/>
    <s v="REPSB"/>
    <x v="0"/>
    <x v="29"/>
    <x v="11"/>
    <s v="SZR"/>
  </r>
  <r>
    <x v="503"/>
    <s v="ELOSCRZOS"/>
    <s v="UP EOLICA CIERZO"/>
    <n v="15"/>
    <s v="18W000000000GDTW"/>
    <x v="11"/>
    <s v="Venta"/>
    <s v="NEXUS"/>
    <s v="NEXU"/>
    <x v="0"/>
    <x v="187"/>
    <x v="11"/>
    <s v="NEX"/>
  </r>
  <r>
    <x v="504"/>
    <s v="PE CMORENO"/>
    <s v="PARQUE EOLICO CERRO MORENO"/>
    <n v="6"/>
    <s v="18W000000000OV8P"/>
    <x v="11"/>
    <s v="Venta"/>
    <s v="SZR"/>
    <s v="EBLCO"/>
    <x v="0"/>
    <x v="158"/>
    <x v="11"/>
    <s v="SZR"/>
  </r>
  <r>
    <x v="505"/>
    <s v="COMETAS"/>
    <s v="COMETAS"/>
    <n v="158.5"/>
    <s v="18W000000000MYG8"/>
    <x v="11"/>
    <s v="Venta"/>
    <s v="SZR"/>
    <s v="REPSB"/>
    <x v="0"/>
    <x v="29"/>
    <x v="11"/>
    <s v="SZR"/>
  </r>
  <r>
    <x v="506"/>
    <s v="ECND"/>
    <s v="ECO NUEVOS DESARROLLOS"/>
    <n v="4"/>
    <s v="18WECNDC01-123-L"/>
    <x v="2"/>
    <s v="Compra"/>
    <s v="SZR"/>
    <s v="ECOND"/>
    <x v="1"/>
    <x v="200"/>
    <x v="2"/>
    <s v="SZR"/>
  </r>
  <r>
    <x v="507"/>
    <s v="ECNR"/>
    <s v="ECNR"/>
    <n v="49.5"/>
    <s v="18W000000000SETI"/>
    <x v="11"/>
    <s v="Venta"/>
    <s v="SZR"/>
    <s v="REPSB"/>
    <x v="0"/>
    <x v="29"/>
    <x v="11"/>
    <s v="SZR"/>
  </r>
  <r>
    <x v="508"/>
    <s v="ECNRG"/>
    <s v="ECNRG"/>
    <n v="29.9"/>
    <s v="18W000000000SO17"/>
    <x v="11"/>
    <s v="Venta"/>
    <s v="SZR"/>
    <s v="REPSB"/>
    <x v="0"/>
    <x v="29"/>
    <x v="11"/>
    <s v="SZR"/>
  </r>
  <r>
    <x v="509"/>
    <s v="ECOFUTURA"/>
    <s v="UNIDAD ECOFUTURA"/>
    <n v="1"/>
    <s v="18W00000000027Q1"/>
    <x v="2"/>
    <s v="Compra"/>
    <s v="SZR"/>
    <s v="ECOFU"/>
    <x v="1"/>
    <x v="201"/>
    <x v="2"/>
    <s v="SZR"/>
  </r>
  <r>
    <x v="510"/>
    <s v="ECOFREN"/>
    <s v="18W000000000HJE3"/>
    <n v="49.7"/>
    <s v="18W000000000HJE3"/>
    <x v="11"/>
    <s v="Venta"/>
    <s v="IGS"/>
    <s v="IGNIS"/>
    <x v="0"/>
    <x v="28"/>
    <x v="11"/>
    <s v="IGS"/>
  </r>
  <r>
    <x v="511"/>
    <s v="PECMORO"/>
    <s v="PARC ELIC DE COLL DEL MORO SLU"/>
    <n v="48.7"/>
    <s v="18W000000000P3DL"/>
    <x v="11"/>
    <s v="Venta"/>
    <s v="IGS"/>
    <s v="IGNIS"/>
    <x v="0"/>
    <x v="28"/>
    <x v="11"/>
    <s v="IGS"/>
  </r>
  <r>
    <x v="512"/>
    <s v="UPECOLE01"/>
    <s v="COMERCIALIZACION PENINSULAR"/>
    <n v="0.2"/>
    <s v="18WENECOLECTIVAK"/>
    <x v="2"/>
    <s v="Compra"/>
    <s v="SZR"/>
    <s v="ECOLE"/>
    <x v="1"/>
    <x v="202"/>
    <x v="2"/>
    <s v="SZR"/>
  </r>
  <r>
    <x v="513"/>
    <s v="PE COLIVA"/>
    <s v="PARQUE EOLICO CERRO OLIVA"/>
    <n v="9"/>
    <s v="18W000000000OV9N"/>
    <x v="11"/>
    <s v="Venta"/>
    <s v="SZR"/>
    <s v="EBLCO"/>
    <x v="0"/>
    <x v="158"/>
    <x v="11"/>
    <s v="SZR"/>
  </r>
  <r>
    <x v="514"/>
    <s v="ECOMES"/>
    <s v="18WECOMES-123-1C"/>
    <n v="3"/>
    <s v="18WECOMES-123-1C"/>
    <x v="11"/>
    <s v="Venta"/>
    <s v="SZR"/>
    <s v="EGLE"/>
    <x v="0"/>
    <x v="82"/>
    <x v="11"/>
    <s v="SZR"/>
  </r>
  <r>
    <x v="515"/>
    <s v="ECOMLIC"/>
    <s v="UP EOLICA COMIOLICA"/>
    <n v="36"/>
    <s v="18W000000000SD8Q"/>
    <x v="11"/>
    <s v="Venta"/>
    <s v="SZR"/>
    <s v="NEXU"/>
    <x v="0"/>
    <x v="187"/>
    <x v="11"/>
    <s v="SZR"/>
  </r>
  <r>
    <x v="516"/>
    <s v="ECONACTIVA"/>
    <s v="ECONACTIVA SCOOP DE C-LM"/>
    <n v="0.1"/>
    <s v="18WECONC01-123-L"/>
    <x v="2"/>
    <s v="Compra"/>
    <s v="SZR"/>
    <s v="ECON"/>
    <x v="1"/>
    <x v="203"/>
    <x v="2"/>
    <s v="SZR"/>
  </r>
  <r>
    <x v="517"/>
    <s v="ECONJUR"/>
    <s v="EOLICA EL CONJURO"/>
    <n v="17"/>
    <s v="18W000000000IQWG"/>
    <x v="11"/>
    <s v="Venta"/>
    <s v="SZR"/>
    <s v="NEXU"/>
    <x v="0"/>
    <x v="187"/>
    <x v="11"/>
    <s v="SZR"/>
  </r>
  <r>
    <x v="518"/>
    <s v="PEVCORB"/>
    <s v="BON VENT DE CORBERA SLU"/>
    <n v="49.9"/>
    <s v="18W000000000P3BP"/>
    <x v="11"/>
    <s v="Venta"/>
    <s v="SZR"/>
    <s v="IGNIS"/>
    <x v="0"/>
    <x v="28"/>
    <x v="11"/>
    <s v="SZR"/>
  </r>
  <r>
    <x v="519"/>
    <s v="CORTIJO"/>
    <s v="CORTIJO"/>
    <n v="28"/>
    <s v="18W000000000MEGV"/>
    <x v="11"/>
    <s v="Venta"/>
    <s v="SZR"/>
    <s v="HISPE"/>
    <x v="0"/>
    <x v="43"/>
    <x v="11"/>
    <s v="SZR"/>
  </r>
  <r>
    <x v="520"/>
    <s v="PECOSCOJAR"/>
    <s v="PECOSCOJAR"/>
    <n v="49.7"/>
    <s v="18W000000000MER9"/>
    <x v="11"/>
    <s v="Venta"/>
    <s v="NEXUS"/>
    <s v="NEXU"/>
    <x v="0"/>
    <x v="187"/>
    <x v="11"/>
    <s v="NEX"/>
  </r>
  <r>
    <x v="521"/>
    <s v="ECOT"/>
    <s v="ECOTHERMIC"/>
    <n v="1"/>
    <s v="18W000000000RLGR"/>
    <x v="2"/>
    <s v="Compra"/>
    <s v="SZR"/>
    <s v="ECOTH"/>
    <x v="1"/>
    <x v="204"/>
    <x v="2"/>
    <s v="SZR"/>
  </r>
  <r>
    <x v="522"/>
    <s v="ECOVC01"/>
    <s v="ECOVC01"/>
    <n v="0"/>
    <s v="18W000000000O3FL"/>
    <x v="2"/>
    <s v="Compra"/>
    <s v="SZR"/>
    <s v="ECOVE"/>
    <x v="1"/>
    <x v="205"/>
    <x v="2"/>
    <s v="SZR"/>
  </r>
  <r>
    <x v="523"/>
    <s v="ECSCCA1"/>
    <s v="ELECTRICA DE CALLOSA DE SEGURA, CV"/>
    <n v="10.5"/>
    <s v="18WECSCCA1-123-7"/>
    <x v="2"/>
    <s v="Compra"/>
    <s v="SZR"/>
    <s v="CALLO"/>
    <x v="1"/>
    <x v="206"/>
    <x v="2"/>
    <s v="SZR"/>
  </r>
  <r>
    <x v="524"/>
    <s v="ECT2"/>
    <s v="CC PEAKER ESCATRÓN"/>
    <n v="274.60000000000002"/>
    <s v="18WECT2-123456-X"/>
    <x v="8"/>
    <s v="Venta"/>
    <s v="IGNIS"/>
    <s v="CYDDP"/>
    <x v="0"/>
    <x v="28"/>
    <x v="8"/>
    <s v="IGN"/>
  </r>
  <r>
    <x v="525"/>
    <s v="ECT2X"/>
    <s v="C.C. ESCATRON - CONSUMOS AUXILIARES"/>
    <n v="4"/>
    <s v="18WECT2X-12345-R"/>
    <x v="5"/>
    <s v="Compra"/>
    <s v="SZR"/>
    <s v="CYDDP"/>
    <x v="2"/>
    <x v="28"/>
    <x v="5"/>
    <s v="SZR"/>
  </r>
  <r>
    <x v="526"/>
    <s v="ESCAT3"/>
    <s v="CC ESCATRÓN"/>
    <n v="804.3"/>
    <s v="18WECT3-123456-N"/>
    <x v="8"/>
    <s v="Venta"/>
    <s v="REPSOL"/>
    <s v="REPSB"/>
    <x v="0"/>
    <x v="29"/>
    <x v="8"/>
    <s v="EV"/>
  </r>
  <r>
    <x v="527"/>
    <s v="ECURRAG"/>
    <s v="PE CURRAS"/>
    <n v="7.8"/>
    <s v="18WECURRAG-12-1A"/>
    <x v="11"/>
    <s v="Venta"/>
    <s v="SZR"/>
    <s v="EGED"/>
    <x v="0"/>
    <x v="186"/>
    <x v="11"/>
    <s v="SZR"/>
  </r>
  <r>
    <x v="528"/>
    <s v="ECYLEO"/>
    <s v="18WECYLEO-1234-7"/>
    <n v="140.6"/>
    <s v="18WECYLEO-1234-7"/>
    <x v="11"/>
    <s v="Venta"/>
    <s v="AXPO"/>
    <s v="EGLE"/>
    <x v="0"/>
    <x v="82"/>
    <x v="11"/>
    <s v="AXP"/>
  </r>
  <r>
    <x v="529"/>
    <s v="ECYRREX"/>
    <s v="ECYR COMPRAS REGIMEN ESPECIAL"/>
    <n v="1.3"/>
    <s v="18WECYRREX-123-T"/>
    <x v="5"/>
    <s v="Compra"/>
    <s v="SZR"/>
    <s v="ECYR"/>
    <x v="2"/>
    <x v="72"/>
    <x v="5"/>
    <s v="SZR"/>
  </r>
  <r>
    <x v="530"/>
    <s v="EDALOBA"/>
    <s v="EOLICA SERRA DA LOBA"/>
    <n v="36"/>
    <s v="18W000000000IQSO"/>
    <x v="11"/>
    <s v="Venta"/>
    <s v="SZR"/>
    <s v="NEXU"/>
    <x v="0"/>
    <x v="187"/>
    <x v="11"/>
    <s v="SZR"/>
  </r>
  <r>
    <x v="531"/>
    <s v="DEHESA"/>
    <s v="DEHESA"/>
    <n v="15"/>
    <s v="18W000000000MEIR"/>
    <x v="11"/>
    <s v="Venta"/>
    <s v="SZR"/>
    <s v="NEXU"/>
    <x v="0"/>
    <x v="187"/>
    <x v="11"/>
    <s v="SZR"/>
  </r>
  <r>
    <x v="532"/>
    <s v="EDENCA"/>
    <s v="UP DESA ENERG DEL CANT"/>
    <n v="25.4"/>
    <s v="18W000000000SPOW"/>
    <x v="11"/>
    <s v="Venta"/>
    <s v="SZR"/>
    <s v="EGLE"/>
    <x v="0"/>
    <x v="82"/>
    <x v="11"/>
    <s v="SZR"/>
  </r>
  <r>
    <x v="533"/>
    <s v="EDEPON"/>
    <s v="18WEDEPON-1234-J"/>
    <n v="3"/>
    <s v="18WEDEPON-1234-J"/>
    <x v="11"/>
    <s v="Venta"/>
    <s v="SZR"/>
    <s v="EGLE"/>
    <x v="0"/>
    <x v="82"/>
    <x v="11"/>
    <s v="SZR"/>
  </r>
  <r>
    <x v="534"/>
    <s v="EDEREN"/>
    <s v="UP DESARROLLOS RENOVABLES"/>
    <n v="21"/>
    <s v="18W000000000TJZO"/>
    <x v="11"/>
    <s v="Venta"/>
    <s v="SZR"/>
    <s v="EGLE"/>
    <x v="0"/>
    <x v="82"/>
    <x v="11"/>
    <s v="SZR"/>
  </r>
  <r>
    <x v="535"/>
    <s v="DERRAMADOR"/>
    <s v="PE DERRAMADOR"/>
    <n v="48.5"/>
    <s v="18W000000000NZTC"/>
    <x v="11"/>
    <s v="Venta"/>
    <s v="IGE"/>
    <s v="IGNIS"/>
    <x v="0"/>
    <x v="28"/>
    <x v="11"/>
    <s v="IGE"/>
  </r>
  <r>
    <x v="536"/>
    <s v="EDEVAG"/>
    <s v="PARQUE EOLICO DE DEVA"/>
    <n v="87.7"/>
    <s v="18WEDEVAG-123-14"/>
    <x v="11"/>
    <s v="Venta"/>
    <s v="SZR"/>
    <s v="EGED"/>
    <x v="0"/>
    <x v="186"/>
    <x v="11"/>
    <s v="SZR"/>
  </r>
  <r>
    <x v="537"/>
    <s v="CASABLANCA"/>
    <s v="EDFA CASABLANCA"/>
    <n v="2.2000000000000002"/>
    <s v="18WEDFAC01-123-G"/>
    <x v="2"/>
    <s v="Compra"/>
    <s v="SZR"/>
    <s v="EDFAC"/>
    <x v="1"/>
    <x v="207"/>
    <x v="2"/>
    <s v="SZR"/>
  </r>
  <r>
    <x v="538"/>
    <s v="SERRALLO"/>
    <s v="SERRALLO"/>
    <n v="0.1"/>
    <s v="18WEDFSC01-123-L"/>
    <x v="2"/>
    <s v="Compra"/>
    <s v="SZR"/>
    <s v="EDFAS"/>
    <x v="1"/>
    <x v="208"/>
    <x v="2"/>
    <s v="SZR"/>
  </r>
  <r>
    <x v="539"/>
    <s v="INTRA"/>
    <s v="INTRADAY TRADIING"/>
    <n v="1000"/>
    <s v="18W000000000F7QN"/>
    <x v="2"/>
    <s v="Compra"/>
    <s v="SZR"/>
    <s v="EDFT"/>
    <x v="1"/>
    <x v="209"/>
    <x v="2"/>
    <s v="SZR"/>
  </r>
  <r>
    <x v="540"/>
    <s v="EDFTCP3"/>
    <s v="EDF EXPORTACIÓN (ESPAÑA A FRANCIA)"/>
    <n v="0"/>
    <s v="18WEDFTCP3-12-4L"/>
    <x v="16"/>
    <s v="Compra"/>
    <s v="SZR"/>
    <s v="EDFT"/>
    <x v="7"/>
    <x v="209"/>
    <x v="16"/>
    <s v="SZR"/>
  </r>
  <r>
    <x v="541"/>
    <s v="EDFTVP3"/>
    <s v="EDF IMPORTACIÓN (FRANCIA A ESPAÑA)"/>
    <n v="0"/>
    <s v="18WEDFTVP3-12-30"/>
    <x v="17"/>
    <s v="Venta"/>
    <s v="SZR"/>
    <s v="EDFT"/>
    <x v="7"/>
    <x v="209"/>
    <x v="17"/>
    <s v="SZR"/>
  </r>
  <r>
    <x v="542"/>
    <s v="EDPCC01"/>
    <s v="UNIDAD DE COMPRA DE COMERCIALIZADORA"/>
    <n v="1"/>
    <s v="18W000000000IMBX"/>
    <x v="2"/>
    <s v="Compra"/>
    <s v="SZR"/>
    <s v="EDPCL"/>
    <x v="1"/>
    <x v="3"/>
    <x v="2"/>
    <s v="SZR"/>
  </r>
  <r>
    <x v="543"/>
    <s v="SSAA EDPC"/>
    <s v="SSAA EDP COMERCIALIZADORA"/>
    <n v="20"/>
    <s v="18W0000000006JY7"/>
    <x v="5"/>
    <s v="Compra"/>
    <s v="SZR"/>
    <s v="NATGA"/>
    <x v="2"/>
    <x v="141"/>
    <x v="5"/>
    <s v="SZR"/>
  </r>
  <r>
    <x v="544"/>
    <s v="EDPCR01"/>
    <s v="UP COMPRA SRAD"/>
    <n v="12"/>
    <s v="18W000000000OQES"/>
    <x v="2"/>
    <s v="Compra"/>
    <s v="SZR"/>
    <s v="EDPCL"/>
    <x v="1"/>
    <x v="3"/>
    <x v="2"/>
    <s v="SZR"/>
  </r>
  <r>
    <x v="545"/>
    <s v="EDRIBGE"/>
    <s v="EOLICAS DESARROLLO RIOJA"/>
    <n v="99"/>
    <s v="18W000000000SNHF"/>
    <x v="11"/>
    <s v="Venta"/>
    <s v="SZR"/>
    <s v="IBGES"/>
    <x v="0"/>
    <x v="7"/>
    <x v="11"/>
    <s v="SZR"/>
  </r>
  <r>
    <x v="546"/>
    <s v="EE21C01"/>
    <s v="ENDESA ENERGIA XXI S.L. CUR. COMPRA"/>
    <n v="9999"/>
    <s v="18WEE21C01-123-F"/>
    <x v="2"/>
    <s v="Compra"/>
    <s v="SZR"/>
    <s v="EEXXI"/>
    <x v="10"/>
    <x v="72"/>
    <x v="26"/>
    <s v="SZR"/>
  </r>
  <r>
    <x v="547"/>
    <s v="ENLACE PB"/>
    <s v="ENLACE PENINSULA - BALEARES"/>
    <n v="408"/>
    <s v="18WEE21CEB-123-I"/>
    <x v="23"/>
    <s v="Compra"/>
    <s v="SZR"/>
    <s v="EEXXI"/>
    <x v="11"/>
    <x v="72"/>
    <x v="27"/>
    <s v="SZR"/>
  </r>
  <r>
    <x v="548"/>
    <s v="EEBAJOZ"/>
    <s v="18WEEBAJOZ-12--B"/>
    <n v="28.1"/>
    <s v="18WEEBAJOZ-12--B"/>
    <x v="11"/>
    <s v="Venta"/>
    <s v="SZR"/>
    <s v="EGLE"/>
    <x v="0"/>
    <x v="82"/>
    <x v="11"/>
    <s v="SZR"/>
  </r>
  <r>
    <x v="549"/>
    <s v="EEBAN"/>
    <s v="EOL LA BANDERA"/>
    <n v="32.299999999999997"/>
    <s v="18W0000000002B20"/>
    <x v="11"/>
    <s v="Venta"/>
    <s v="SZR"/>
    <s v="CEG"/>
    <x v="0"/>
    <x v="124"/>
    <x v="11"/>
    <s v="SZR"/>
  </r>
  <r>
    <x v="550"/>
    <s v="EEBLC10"/>
    <s v="PARQUE ELICO MONFORTE I"/>
    <n v="49.4"/>
    <s v="18W000000000H3OV"/>
    <x v="11"/>
    <s v="Venta"/>
    <s v="SZR"/>
    <s v="EBLCO"/>
    <x v="0"/>
    <x v="158"/>
    <x v="11"/>
    <s v="SZR"/>
  </r>
  <r>
    <x v="551"/>
    <s v="EEBLC11"/>
    <s v="PARQUE ELICO LA ESTANCIA"/>
    <n v="7.8"/>
    <s v="18W000000000H3PT"/>
    <x v="11"/>
    <s v="Venta"/>
    <s v="SZR"/>
    <s v="EBLCO"/>
    <x v="0"/>
    <x v="158"/>
    <x v="11"/>
    <s v="SZR"/>
  </r>
  <r>
    <x v="552"/>
    <s v="EEBLC12"/>
    <s v="PARQUE ELICO EL SASO"/>
    <n v="17.5"/>
    <s v="18W000000000H3TL"/>
    <x v="11"/>
    <s v="Venta"/>
    <s v="SZR"/>
    <s v="EBLCO"/>
    <x v="0"/>
    <x v="158"/>
    <x v="11"/>
    <s v="SZR"/>
  </r>
  <r>
    <x v="553"/>
    <s v="EEBLC13"/>
    <s v="PARQUE ELICO CAÑACOLOMA"/>
    <n v="20.9"/>
    <s v="18W000000000HIX5"/>
    <x v="11"/>
    <s v="Venta"/>
    <s v="SZR"/>
    <s v="EBLCO"/>
    <x v="0"/>
    <x v="158"/>
    <x v="11"/>
    <s v="SZR"/>
  </r>
  <r>
    <x v="554"/>
    <s v="EEBLC14"/>
    <s v="PARQUE ELICO SIERRA DE LUNA"/>
    <n v="17.5"/>
    <s v="18W000000000HIY3"/>
    <x v="11"/>
    <s v="Venta"/>
    <s v="SZR"/>
    <s v="EBLCO"/>
    <x v="0"/>
    <x v="158"/>
    <x v="11"/>
    <s v="SZR"/>
  </r>
  <r>
    <x v="555"/>
    <s v="EEBLC15"/>
    <s v="PARQUE ELICO MONLORA IV"/>
    <n v="21.6"/>
    <s v="18W000000000I0BP"/>
    <x v="11"/>
    <s v="Venta"/>
    <s v="SZR"/>
    <s v="EBLCO"/>
    <x v="0"/>
    <x v="158"/>
    <x v="11"/>
    <s v="SZR"/>
  </r>
  <r>
    <x v="556"/>
    <s v="EEBLC16"/>
    <s v="PARQUE ELICO MONFORTE II"/>
    <n v="22.8"/>
    <s v="18W000000000I0CN"/>
    <x v="11"/>
    <s v="Venta"/>
    <s v="SZR"/>
    <s v="EBLCO"/>
    <x v="0"/>
    <x v="158"/>
    <x v="11"/>
    <s v="SZR"/>
  </r>
  <r>
    <x v="557"/>
    <s v="EEBLC17"/>
    <s v="LA ESCALARETA II"/>
    <n v="23.6"/>
    <s v="18W000000000IUV6"/>
    <x v="11"/>
    <s v="Venta"/>
    <s v="SZR"/>
    <s v="EBLCO"/>
    <x v="0"/>
    <x v="158"/>
    <x v="11"/>
    <s v="SZR"/>
  </r>
  <r>
    <x v="558"/>
    <s v="EEBLC19"/>
    <s v="PE BARRAX NORTE-SUR"/>
    <n v="40"/>
    <s v="18W000000000L0F5"/>
    <x v="11"/>
    <s v="Venta"/>
    <s v="SZR"/>
    <s v="EBLCO"/>
    <x v="0"/>
    <x v="158"/>
    <x v="11"/>
    <s v="SZR"/>
  </r>
  <r>
    <x v="559"/>
    <s v="EEBLC20"/>
    <s v="PE CHINCHILLA"/>
    <n v="27.3"/>
    <s v="18W000000000L8QX"/>
    <x v="11"/>
    <s v="Venta"/>
    <s v="SZR"/>
    <s v="EBLCO"/>
    <x v="0"/>
    <x v="158"/>
    <x v="11"/>
    <s v="SZR"/>
  </r>
  <r>
    <x v="560"/>
    <s v="EEBLCO1"/>
    <s v="MAJAS II Y IV"/>
    <n v="63"/>
    <s v="18W000000000GKSD"/>
    <x v="11"/>
    <s v="Venta"/>
    <s v="SZR"/>
    <s v="EBLCO"/>
    <x v="0"/>
    <x v="158"/>
    <x v="11"/>
    <s v="SZR"/>
  </r>
  <r>
    <x v="561"/>
    <s v="EEBLCO2"/>
    <s v="MAJAS III Y IV"/>
    <n v="71.3"/>
    <s v="18W000000000GKTB"/>
    <x v="11"/>
    <s v="Venta"/>
    <s v="SZR"/>
    <s v="EBLCO"/>
    <x v="0"/>
    <x v="158"/>
    <x v="11"/>
    <s v="SZR"/>
  </r>
  <r>
    <x v="562"/>
    <s v="EEBLCO3"/>
    <s v="MONLORA II"/>
    <n v="48.6"/>
    <s v="18W000000000GTCI"/>
    <x v="11"/>
    <s v="Venta"/>
    <s v="SZR"/>
    <s v="EBLCO"/>
    <x v="0"/>
    <x v="158"/>
    <x v="11"/>
    <s v="SZR"/>
  </r>
  <r>
    <x v="563"/>
    <s v="EEBLCO4"/>
    <s v="MONLORA III"/>
    <n v="48.1"/>
    <s v="18W000000000GTDG"/>
    <x v="11"/>
    <s v="Venta"/>
    <s v="SZR"/>
    <s v="EBLCO"/>
    <x v="0"/>
    <x v="158"/>
    <x v="11"/>
    <s v="SZR"/>
  </r>
  <r>
    <x v="564"/>
    <s v="EEBLCO5"/>
    <s v="MONLORA V"/>
    <n v="30"/>
    <s v="18W000000000GTEE"/>
    <x v="11"/>
    <s v="Venta"/>
    <s v="SZR"/>
    <s v="EBLCO"/>
    <x v="0"/>
    <x v="158"/>
    <x v="11"/>
    <s v="SZR"/>
  </r>
  <r>
    <x v="565"/>
    <s v="EEBLCO6"/>
    <s v="MONLORA I"/>
    <n v="48.6"/>
    <s v="18W000000000GTFC"/>
    <x v="11"/>
    <s v="Venta"/>
    <s v="SZR"/>
    <s v="EBLCO"/>
    <x v="0"/>
    <x v="158"/>
    <x v="11"/>
    <s v="SZR"/>
  </r>
  <r>
    <x v="566"/>
    <s v="EEBLCO7"/>
    <s v="LA SARDA"/>
    <n v="30"/>
    <s v="18W000000000GTGA"/>
    <x v="11"/>
    <s v="Venta"/>
    <s v="SZR"/>
    <s v="EBLCO"/>
    <x v="0"/>
    <x v="158"/>
    <x v="11"/>
    <s v="SZR"/>
  </r>
  <r>
    <x v="567"/>
    <s v="EEBLCO8"/>
    <s v="PARQUE ELICO EL SASO"/>
    <n v="10"/>
    <s v="18W000000000H3MZ"/>
    <x v="11"/>
    <s v="Venta"/>
    <s v="SZR"/>
    <s v="EBLCO"/>
    <x v="0"/>
    <x v="158"/>
    <x v="11"/>
    <s v="SZR"/>
  </r>
  <r>
    <x v="568"/>
    <s v="EEBLCO9"/>
    <s v="PARQUE ELICO LA RINCONADA"/>
    <n v="30"/>
    <s v="18W000000000H3NX"/>
    <x v="11"/>
    <s v="Venta"/>
    <s v="SZR"/>
    <s v="EBLCO"/>
    <x v="0"/>
    <x v="158"/>
    <x v="11"/>
    <s v="SZR"/>
  </r>
  <r>
    <x v="569"/>
    <s v="EECAB"/>
    <s v="EOL CABANILLAS"/>
    <n v="34.5"/>
    <s v="18W0000000002B4X"/>
    <x v="11"/>
    <s v="Venta"/>
    <s v="SZR"/>
    <s v="CEG"/>
    <x v="0"/>
    <x v="124"/>
    <x v="11"/>
    <s v="SZR"/>
  </r>
  <r>
    <x v="570"/>
    <s v="EECAP"/>
    <s v="EOL CAPARROSO"/>
    <n v="30.5"/>
    <s v="18W0000000002B3Z"/>
    <x v="11"/>
    <s v="Venta"/>
    <s v="SZR"/>
    <s v="CEG"/>
    <x v="0"/>
    <x v="124"/>
    <x v="11"/>
    <s v="SZR"/>
  </r>
  <r>
    <x v="571"/>
    <s v="PE CARAMON"/>
    <s v="PARQUE EOLICO CARAMONTE"/>
    <n v="64.900000000000006"/>
    <s v="18W000000000OV6T"/>
    <x v="11"/>
    <s v="Venta"/>
    <s v="SZR"/>
    <s v="EBLCO"/>
    <x v="0"/>
    <x v="158"/>
    <x v="11"/>
    <s v="SZR"/>
  </r>
  <r>
    <x v="572"/>
    <s v="3E"/>
    <s v="ENERGIA ELECTRICA EFICIENTE SL"/>
    <n v="0.1"/>
    <s v="18WEEEFI1-1234-4"/>
    <x v="2"/>
    <s v="Compra"/>
    <s v="SZR"/>
    <s v="EEEFI"/>
    <x v="1"/>
    <x v="210"/>
    <x v="2"/>
    <s v="SZR"/>
  </r>
  <r>
    <x v="573"/>
    <s v="EEGPE1"/>
    <s v="EEGPE1"/>
    <n v="175"/>
    <s v="18W000000000RIE3"/>
    <x v="11"/>
    <s v="Venta"/>
    <s v="END"/>
    <s v="ECYR"/>
    <x v="0"/>
    <x v="72"/>
    <x v="11"/>
    <s v="END"/>
  </r>
  <r>
    <x v="574"/>
    <s v="EEGPE2"/>
    <s v="EOL REP100 NO_ZR NO_TER NO_SEC"/>
    <n v="9"/>
    <s v="18W000000000RTF5"/>
    <x v="11"/>
    <s v="Venta"/>
    <s v="SZR"/>
    <s v="ECYR"/>
    <x v="0"/>
    <x v="72"/>
    <x v="11"/>
    <s v="SZR"/>
  </r>
  <r>
    <x v="575"/>
    <s v="EEGPEM"/>
    <s v="EOLICA MERCADOS DE AJUSTE EGPE"/>
    <n v="647.4"/>
    <s v="18WEEGPEM-1234-9"/>
    <x v="11"/>
    <s v="Venta"/>
    <s v="SZR"/>
    <s v="ECYR"/>
    <x v="0"/>
    <x v="72"/>
    <x v="11"/>
    <s v="SZR"/>
  </r>
  <r>
    <x v="576"/>
    <s v="EEGPES"/>
    <s v="EEGPES EOL SEC"/>
    <n v="982"/>
    <s v="18W000000000RVKQ"/>
    <x v="11"/>
    <s v="Venta"/>
    <s v="END"/>
    <s v="ECYR"/>
    <x v="0"/>
    <x v="72"/>
    <x v="11"/>
    <s v="END"/>
  </r>
  <r>
    <x v="577"/>
    <s v="EEHORN"/>
    <s v="18WEEHORN-1234-V"/>
    <n v="33.700000000000003"/>
    <s v="18WEEHORN-1234-V"/>
    <x v="11"/>
    <s v="Venta"/>
    <s v="SZR"/>
    <s v="EGLE"/>
    <x v="0"/>
    <x v="82"/>
    <x v="11"/>
    <s v="SZR"/>
  </r>
  <r>
    <x v="578"/>
    <s v="EEHU2"/>
    <s v="ENCE ENERGIA HUELVA DOS"/>
    <n v="46"/>
    <s v="18W000000000FFHH"/>
    <x v="19"/>
    <s v="Venta"/>
    <s v="ENCE"/>
    <s v="ENCHU"/>
    <x v="0"/>
    <x v="211"/>
    <x v="22"/>
    <s v="ENC"/>
  </r>
  <r>
    <x v="579"/>
    <s v="PE JEREZ"/>
    <s v="PARQUE EOLICO JEREZ"/>
    <n v="42.5"/>
    <s v="18W000000000OVI5"/>
    <x v="11"/>
    <s v="Venta"/>
    <s v="SZR"/>
    <s v="EBLCO"/>
    <x v="0"/>
    <x v="158"/>
    <x v="11"/>
    <s v="SZR"/>
  </r>
  <r>
    <x v="580"/>
    <s v="PE EL CAMP"/>
    <s v="PE EL CAMPILLO"/>
    <n v="48.8"/>
    <s v="18W000000000SPK3"/>
    <x v="11"/>
    <s v="Venta"/>
    <s v="SZR"/>
    <s v="WMARK"/>
    <x v="0"/>
    <x v="22"/>
    <x v="11"/>
    <s v="SZR"/>
  </r>
  <r>
    <x v="581"/>
    <s v="EELEZU"/>
    <s v="EOL ELECDEY LEZUZA"/>
    <n v="25"/>
    <s v="18WEELEZU-1234-X"/>
    <x v="11"/>
    <s v="Venta"/>
    <s v="EVM2"/>
    <s v="CEG"/>
    <x v="0"/>
    <x v="124"/>
    <x v="11"/>
    <s v="VM2"/>
  </r>
  <r>
    <x v="582"/>
    <s v="PE EL PINO"/>
    <s v="PARQUE EOLICO EL PINO"/>
    <n v="24.6"/>
    <s v="18W000000000OVED"/>
    <x v="11"/>
    <s v="Venta"/>
    <s v="SZR"/>
    <s v="EBLCO"/>
    <x v="0"/>
    <x v="158"/>
    <x v="11"/>
    <s v="SZR"/>
  </r>
  <r>
    <x v="583"/>
    <s v="ELECT ENER"/>
    <s v="ELECTRA ENERGIA S.A.U. COMERCIALIZADORA"/>
    <n v="0"/>
    <s v="18WEENC01-123-2W"/>
    <x v="2"/>
    <s v="Compra"/>
    <s v="SZR"/>
    <s v="EEN"/>
    <x v="1"/>
    <x v="212"/>
    <x v="2"/>
    <s v="SZR"/>
  </r>
  <r>
    <x v="584"/>
    <s v="CONS ENER"/>
    <s v="CONSUMO ENCE ENERGIA SL"/>
    <n v="3.5"/>
    <s v="18W000000000JY63"/>
    <x v="6"/>
    <s v="Compra"/>
    <s v="SZR"/>
    <s v="EENER"/>
    <x v="3"/>
    <x v="211"/>
    <x v="6"/>
    <s v="SZR"/>
  </r>
  <r>
    <x v="585"/>
    <s v="EENECO"/>
    <s v="18W000000000G4BL"/>
    <n v="30"/>
    <s v="18W000000000G4BL"/>
    <x v="11"/>
    <s v="Venta"/>
    <s v="SZR"/>
    <s v="EGLE"/>
    <x v="0"/>
    <x v="82"/>
    <x v="11"/>
    <s v="SZR"/>
  </r>
  <r>
    <x v="586"/>
    <s v="EENGAS"/>
    <s v="18WEENGAS-1234-A"/>
    <n v="31.2"/>
    <s v="18WEENGAS-1234-A"/>
    <x v="11"/>
    <s v="Venta"/>
    <s v="SZR"/>
    <s v="EGLE"/>
    <x v="0"/>
    <x v="82"/>
    <x v="11"/>
    <s v="SZR"/>
  </r>
  <r>
    <x v="587"/>
    <s v="EENRES"/>
    <s v="18WEENRES-1234-C"/>
    <n v="1.6"/>
    <s v="18WEENRES-1234-C"/>
    <x v="11"/>
    <s v="Venta"/>
    <s v="SZR"/>
    <s v="EGLE"/>
    <x v="0"/>
    <x v="82"/>
    <x v="11"/>
    <s v="SZR"/>
  </r>
  <r>
    <x v="588"/>
    <s v="MORELLA1"/>
    <s v="MORELLA 1 RO"/>
    <n v="3.4"/>
    <s v="18WEENRO-12345-B"/>
    <x v="24"/>
    <s v="Venta"/>
    <s v="SZR"/>
    <s v="NEXU"/>
    <x v="0"/>
    <x v="187"/>
    <x v="28"/>
    <s v="SZR"/>
  </r>
  <r>
    <x v="589"/>
    <s v="MORELLA2"/>
    <s v="MORELLA2 RO"/>
    <n v="4.5"/>
    <s v="18WEENRO2-1234-J"/>
    <x v="24"/>
    <s v="Venta"/>
    <s v="SZR"/>
    <s v="NEXU"/>
    <x v="0"/>
    <x v="187"/>
    <x v="28"/>
    <s v="SZR"/>
  </r>
  <r>
    <x v="590"/>
    <s v="EEOBRO"/>
    <s v="EOL DEL EBRO"/>
    <n v="24"/>
    <s v="18W0000000002B8P"/>
    <x v="11"/>
    <s v="Venta"/>
    <s v="SZR"/>
    <s v="CEG"/>
    <x v="0"/>
    <x v="124"/>
    <x v="11"/>
    <s v="SZR"/>
  </r>
  <r>
    <x v="591"/>
    <s v="EEOBRO2"/>
    <s v="PE ROBRES II"/>
    <n v="6"/>
    <s v="18W000000000QAZQ"/>
    <x v="11"/>
    <s v="Venta"/>
    <s v="SZR"/>
    <s v="CEG"/>
    <x v="0"/>
    <x v="124"/>
    <x v="11"/>
    <s v="SZR"/>
  </r>
  <r>
    <x v="592"/>
    <s v="EEOLEX"/>
    <s v="EOLEXTREM DESARROLLOS"/>
    <n v="7.2"/>
    <s v="18W000000000P1GL"/>
    <x v="11"/>
    <s v="Venta"/>
    <s v="SZR"/>
    <s v="EGLE"/>
    <x v="0"/>
    <x v="82"/>
    <x v="11"/>
    <s v="SZR"/>
  </r>
  <r>
    <x v="593"/>
    <s v="EEOMAR"/>
    <s v="18WEEOMAR-1234-L"/>
    <n v="7.8"/>
    <s v="18WEEOMAR-1234-L"/>
    <x v="11"/>
    <s v="Venta"/>
    <s v="SZR"/>
    <s v="EGLE"/>
    <x v="0"/>
    <x v="82"/>
    <x v="11"/>
    <s v="SZR"/>
  </r>
  <r>
    <x v="594"/>
    <s v="PE PARAMO"/>
    <s v="PARQUE EOLICO EL PARAMO"/>
    <n v="24"/>
    <s v="18W000000000OVDF"/>
    <x v="11"/>
    <s v="Venta"/>
    <s v="SZR"/>
    <s v="EBLCO"/>
    <x v="0"/>
    <x v="158"/>
    <x v="11"/>
    <s v="SZR"/>
  </r>
  <r>
    <x v="595"/>
    <s v="EEPESLO"/>
    <s v="18WEEPESLO-123-A"/>
    <n v="88"/>
    <s v="18WEEPESLO-123-A"/>
    <x v="11"/>
    <s v="Venta"/>
    <s v="AXPO"/>
    <s v="EGLE"/>
    <x v="0"/>
    <x v="82"/>
    <x v="11"/>
    <s v="AXP"/>
  </r>
  <r>
    <x v="596"/>
    <s v="EEPLLG"/>
    <s v="18WEEPLLG-123-1K"/>
    <n v="39.6"/>
    <s v="18WEEPLLG-123-1K"/>
    <x v="11"/>
    <s v="Venta"/>
    <s v="SZR"/>
    <s v="EGLE"/>
    <x v="0"/>
    <x v="82"/>
    <x v="11"/>
    <s v="SZR"/>
  </r>
  <r>
    <x v="597"/>
    <s v="EERUYA"/>
    <s v="18WEERUYA-1234-D"/>
    <n v="1.6"/>
    <s v="18WEERUYA-1234-D"/>
    <x v="11"/>
    <s v="Venta"/>
    <s v="SZR"/>
    <s v="EGLE"/>
    <x v="0"/>
    <x v="82"/>
    <x v="11"/>
    <s v="SZR"/>
  </r>
  <r>
    <x v="598"/>
    <s v="EESBGG"/>
    <s v="18WEESBGG-123-1L"/>
    <n v="10.5"/>
    <s v="18WEESBGG-123-1L"/>
    <x v="11"/>
    <s v="Venta"/>
    <s v="SZR"/>
    <s v="EGLE"/>
    <x v="0"/>
    <x v="82"/>
    <x v="11"/>
    <s v="SZR"/>
  </r>
  <r>
    <x v="599"/>
    <s v="EESQUI"/>
    <s v="18WEESQUI-1234-E"/>
    <n v="140.4"/>
    <s v="18WEESQUI-1234-E"/>
    <x v="11"/>
    <s v="Venta"/>
    <s v="SZR"/>
    <s v="EGLE"/>
    <x v="0"/>
    <x v="82"/>
    <x v="11"/>
    <s v="SZR"/>
  </r>
  <r>
    <x v="600"/>
    <s v="ESTELO"/>
    <s v="ESTELO"/>
    <n v="110.2"/>
    <s v="18W000000000P6PP"/>
    <x v="11"/>
    <s v="Venta"/>
    <s v="SZR"/>
    <s v="HISPE"/>
    <x v="0"/>
    <x v="43"/>
    <x v="11"/>
    <s v="SZR"/>
  </r>
  <r>
    <x v="601"/>
    <s v="PE TAHUNA"/>
    <s v="PARQUE ELICO TAHUNA"/>
    <n v="20"/>
    <s v="18W000000000NXQO"/>
    <x v="11"/>
    <s v="Venta"/>
    <s v="SZR"/>
    <s v="EBLCO"/>
    <x v="0"/>
    <x v="158"/>
    <x v="11"/>
    <s v="SZR"/>
  </r>
  <r>
    <x v="602"/>
    <s v="EEVOLD"/>
    <s v="EVOLUCION 2000"/>
    <n v="49.5"/>
    <s v="18W0000000007B4D"/>
    <x v="11"/>
    <s v="Venta"/>
    <s v="SZR"/>
    <s v="WMARK"/>
    <x v="0"/>
    <x v="22"/>
    <x v="11"/>
    <s v="SZR"/>
  </r>
  <r>
    <x v="603"/>
    <s v="EEWING"/>
    <s v="18WEEWING-123-1T"/>
    <n v="25.2"/>
    <s v="18WEEWING-123-1T"/>
    <x v="11"/>
    <s v="Venta"/>
    <s v="SZR"/>
    <s v="EGLE"/>
    <x v="0"/>
    <x v="82"/>
    <x v="11"/>
    <s v="SZR"/>
  </r>
  <r>
    <x v="604"/>
    <s v="PE ZORRERA"/>
    <s v="PARQUE ELICO ZORRERAS"/>
    <n v="20"/>
    <s v="18W000000000NXRM"/>
    <x v="11"/>
    <s v="Venta"/>
    <s v="SZR"/>
    <s v="EBLCO"/>
    <x v="0"/>
    <x v="158"/>
    <x v="11"/>
    <s v="SZR"/>
  </r>
  <r>
    <x v="605"/>
    <s v="EFACINA"/>
    <s v="UP EOLICA FACINA"/>
    <n v="12"/>
    <s v="18W000000000N3BX"/>
    <x v="11"/>
    <s v="Venta"/>
    <s v="SZR"/>
    <s v="NEXU"/>
    <x v="0"/>
    <x v="187"/>
    <x v="11"/>
    <s v="SZR"/>
  </r>
  <r>
    <x v="606"/>
    <s v="FALAMO"/>
    <s v="PE FUENTE ALAMO"/>
    <n v="48.5"/>
    <s v="18W000000000NZSE"/>
    <x v="11"/>
    <s v="Venta"/>
    <s v="IGE"/>
    <s v="IGNIS"/>
    <x v="0"/>
    <x v="28"/>
    <x v="11"/>
    <s v="IGE"/>
  </r>
  <r>
    <x v="607"/>
    <s v="EFEGED"/>
    <s v="18WEFEGED-1234-X"/>
    <n v="56.5"/>
    <s v="18WEFEGED-1234-X"/>
    <x v="11"/>
    <s v="Venta"/>
    <s v="SZR"/>
    <s v="EGED"/>
    <x v="0"/>
    <x v="186"/>
    <x v="11"/>
    <s v="SZR"/>
  </r>
  <r>
    <x v="608"/>
    <s v="EFEGEL1"/>
    <s v="EFEGEL1"/>
    <n v="130"/>
    <s v="18W00000000010Z8"/>
    <x v="11"/>
    <s v="Venta"/>
    <s v="SZR"/>
    <s v="EGED"/>
    <x v="0"/>
    <x v="186"/>
    <x v="11"/>
    <s v="SZR"/>
  </r>
  <r>
    <x v="609"/>
    <s v="EFEGEL2"/>
    <s v="EFEGEL2"/>
    <n v="152.69999999999999"/>
    <s v="18W0000000001101"/>
    <x v="11"/>
    <s v="Venta"/>
    <s v="SZR"/>
    <s v="EGED"/>
    <x v="0"/>
    <x v="186"/>
    <x v="11"/>
    <s v="SZR"/>
  </r>
  <r>
    <x v="610"/>
    <s v="EFERSA"/>
    <s v="18WEFERSA-123--L"/>
    <n v="7.1"/>
    <s v="18WEFERSA-123--L"/>
    <x v="11"/>
    <s v="Venta"/>
    <s v="SZR"/>
    <s v="EGLE"/>
    <x v="0"/>
    <x v="82"/>
    <x v="11"/>
    <s v="SZR"/>
  </r>
  <r>
    <x v="611"/>
    <s v="EFGAVE"/>
    <s v="18WEFGAVE-1234-L"/>
    <n v="2.5"/>
    <s v="18WEFGAVE-1234-L"/>
    <x v="11"/>
    <s v="Venta"/>
    <s v="SZR"/>
    <s v="EGLE"/>
    <x v="0"/>
    <x v="82"/>
    <x v="11"/>
    <s v="SZR"/>
  </r>
  <r>
    <x v="612"/>
    <s v="EFG NAC"/>
    <s v="ENERGY FACTORY GROUP COMERCIALIZADORA (NACIONAL)"/>
    <n v="0"/>
    <s v="18WEFGC01-123-2N"/>
    <x v="2"/>
    <s v="Compra"/>
    <s v="SZR"/>
    <s v="EFG"/>
    <x v="1"/>
    <x v="213"/>
    <x v="2"/>
    <s v="SZR"/>
  </r>
  <r>
    <x v="613"/>
    <s v="EOLICA"/>
    <s v="EOLICA MAYOR 1MW"/>
    <n v="144.1"/>
    <s v="18WEFGNRA-1234-X"/>
    <x v="11"/>
    <s v="Venta"/>
    <s v="SZR"/>
    <s v="GNRA"/>
    <x v="0"/>
    <x v="46"/>
    <x v="11"/>
    <s v="SZR"/>
  </r>
  <r>
    <x v="614"/>
    <s v="EFGNRA2"/>
    <s v="EFGNRA2"/>
    <n v="26.4"/>
    <s v="18W000000000QBLE"/>
    <x v="11"/>
    <s v="Venta"/>
    <s v="SZR"/>
    <s v="GNRA"/>
    <x v="0"/>
    <x v="46"/>
    <x v="11"/>
    <s v="SZR"/>
  </r>
  <r>
    <x v="615"/>
    <s v="EFGNRAM"/>
    <s v="EFGNRAM"/>
    <n v="2"/>
    <s v="18W000000000TF1U"/>
    <x v="11"/>
    <s v="Venta"/>
    <s v="SZR"/>
    <s v="GNRA"/>
    <x v="0"/>
    <x v="46"/>
    <x v="29"/>
    <s v="SZR"/>
  </r>
  <r>
    <x v="616"/>
    <s v="EFGVDO"/>
    <s v="18WEFGVDO-1234-4"/>
    <n v="48.4"/>
    <s v="18WEFGVDO-1234-4"/>
    <x v="11"/>
    <s v="Venta"/>
    <s v="SZR"/>
    <s v="EGLE"/>
    <x v="0"/>
    <x v="82"/>
    <x v="11"/>
    <s v="SZR"/>
  </r>
  <r>
    <x v="617"/>
    <s v="EFIBGES"/>
    <s v="EFIBGES"/>
    <n v="49.5"/>
    <s v="18WEFIBGES-123-J"/>
    <x v="11"/>
    <s v="Venta"/>
    <s v="SZR"/>
    <s v="IBGES"/>
    <x v="0"/>
    <x v="7"/>
    <x v="11"/>
    <s v="SZR"/>
  </r>
  <r>
    <x v="618"/>
    <s v="EFIDU"/>
    <s v="EFIDUERO"/>
    <n v="9.9"/>
    <s v="18W0000000005JSN"/>
    <x v="2"/>
    <s v="Compra"/>
    <s v="SZR"/>
    <s v="EFIDU"/>
    <x v="1"/>
    <x v="214"/>
    <x v="2"/>
    <s v="SZR"/>
  </r>
  <r>
    <x v="619"/>
    <s v="UPVENTAFV"/>
    <s v="UP VENTA FV"/>
    <n v="0.4"/>
    <s v="18W000000000P1TW"/>
    <x v="9"/>
    <s v="Venta"/>
    <s v="SZR"/>
    <s v="EFIDU"/>
    <x v="0"/>
    <x v="214"/>
    <x v="9"/>
    <s v="SZR"/>
  </r>
  <r>
    <x v="620"/>
    <s v="EFNEXU"/>
    <s v="UP EOLICA MAYOR 1MW"/>
    <n v="1.8"/>
    <s v="18WEFNEXU-1234-H"/>
    <x v="11"/>
    <s v="Venta"/>
    <s v="SZR"/>
    <s v="NEXU"/>
    <x v="0"/>
    <x v="187"/>
    <x v="11"/>
    <s v="SZR"/>
  </r>
  <r>
    <x v="621"/>
    <s v="EFONTA"/>
    <s v="18W0000000006EWQ"/>
    <n v="1.6"/>
    <s v="18W0000000006EWQ"/>
    <x v="11"/>
    <s v="Venta"/>
    <s v="SZR"/>
    <s v="EGLE"/>
    <x v="0"/>
    <x v="82"/>
    <x v="11"/>
    <s v="SZR"/>
  </r>
  <r>
    <x v="622"/>
    <s v="EFPART"/>
    <s v="PARTICIPADAS FUERA DE ZONA"/>
    <n v="122.5"/>
    <s v="18W000000000POUZ"/>
    <x v="11"/>
    <s v="Venta"/>
    <s v="SZR"/>
    <s v="GNCO"/>
    <x v="0"/>
    <x v="8"/>
    <x v="11"/>
    <s v="SZR"/>
  </r>
  <r>
    <x v="623"/>
    <s v="FRONTONES"/>
    <s v="PE FRONTONES"/>
    <n v="48.5"/>
    <s v="18W000000000NZRG"/>
    <x v="11"/>
    <s v="Venta"/>
    <s v="IGE"/>
    <s v="IGNIS"/>
    <x v="0"/>
    <x v="28"/>
    <x v="11"/>
    <s v="IGE"/>
  </r>
  <r>
    <x v="624"/>
    <s v="EFWMARK"/>
    <s v="EÓLICA TARIFA= Ó &gt; DE 10 MW"/>
    <n v="790.8"/>
    <s v="18WEFWMARK-123-K"/>
    <x v="11"/>
    <s v="Venta"/>
    <s v="SZR"/>
    <s v="WMARK"/>
    <x v="0"/>
    <x v="22"/>
    <x v="11"/>
    <s v="SZR"/>
  </r>
  <r>
    <x v="625"/>
    <s v="EGAMA"/>
    <s v="ENERXIA GALEGA MAIS"/>
    <n v="1"/>
    <s v="18WEGALC01-12--B"/>
    <x v="2"/>
    <s v="Compra"/>
    <s v="SZR"/>
    <s v="EGALE"/>
    <x v="1"/>
    <x v="215"/>
    <x v="2"/>
    <s v="SZR"/>
  </r>
  <r>
    <x v="626"/>
    <s v="EGALLE"/>
    <s v="GALLEGO"/>
    <n v="27.3"/>
    <s v="18W000000000QIF5"/>
    <x v="11"/>
    <s v="Venta"/>
    <s v="SZR"/>
    <s v="REPSB"/>
    <x v="0"/>
    <x v="29"/>
    <x v="11"/>
    <s v="SZR"/>
  </r>
  <r>
    <x v="627"/>
    <s v="EGASN0U"/>
    <s v="EGASN0U"/>
    <n v="49.5"/>
    <s v="18W000000000TMDM"/>
    <x v="11"/>
    <s v="Venta"/>
    <s v="SZR"/>
    <s v="GNCO"/>
    <x v="0"/>
    <x v="8"/>
    <x v="11"/>
    <s v="SZR"/>
  </r>
  <r>
    <x v="628"/>
    <s v="EGASNE0"/>
    <s v="EGASNE0"/>
    <n v="607.5"/>
    <s v="18W000000000EZ9E"/>
    <x v="11"/>
    <s v="Venta"/>
    <s v="SZR"/>
    <s v="GNCO"/>
    <x v="0"/>
    <x v="8"/>
    <x v="11"/>
    <s v="SZR"/>
  </r>
  <r>
    <x v="629"/>
    <s v="EGASNE1"/>
    <s v="EGASNE1"/>
    <n v="636.29999999999995"/>
    <s v="18W0000000001EAG"/>
    <x v="11"/>
    <s v="Venta"/>
    <s v="SZR"/>
    <s v="GNCO"/>
    <x v="0"/>
    <x v="8"/>
    <x v="11"/>
    <s v="SZR"/>
  </r>
  <r>
    <x v="630"/>
    <s v="EGASNE2"/>
    <s v="EGASNE2"/>
    <n v="680.5"/>
    <s v="18W000000000F0OB"/>
    <x v="11"/>
    <s v="Venta"/>
    <s v="NTG"/>
    <s v="GNCO"/>
    <x v="0"/>
    <x v="8"/>
    <x v="11"/>
    <s v="GN"/>
  </r>
  <r>
    <x v="631"/>
    <s v="EGASUR"/>
    <s v="EGASUR"/>
    <n v="54.4"/>
    <s v="18W000000000A1Y8"/>
    <x v="11"/>
    <s v="Venta"/>
    <s v="SZR"/>
    <s v="IGNIS"/>
    <x v="0"/>
    <x v="28"/>
    <x v="11"/>
    <s v="SZR"/>
  </r>
  <r>
    <x v="632"/>
    <s v="EGAZE"/>
    <s v="ENERGAZE"/>
    <n v="1"/>
    <s v="18W000000000M1JR"/>
    <x v="2"/>
    <s v="Compra"/>
    <s v="SZR"/>
    <s v="EGAZE"/>
    <x v="1"/>
    <x v="216"/>
    <x v="2"/>
    <s v="SZR"/>
  </r>
  <r>
    <x v="633"/>
    <s v="EGCMC01"/>
    <s v="ENDESA GENERACIÓN, S.A."/>
    <n v="180"/>
    <s v="18WENGCOMERCIALQ"/>
    <x v="2"/>
    <s v="Compra"/>
    <s v="SZR"/>
    <s v="ENDG"/>
    <x v="1"/>
    <x v="72"/>
    <x v="2"/>
    <s v="SZR"/>
  </r>
  <r>
    <x v="634"/>
    <s v="EGEAMG"/>
    <s v="GEOLICA MAGALLON"/>
    <n v="40"/>
    <s v="18WEGEAMG-123-1X"/>
    <x v="11"/>
    <s v="Venta"/>
    <s v="EVM2"/>
    <s v="CEG"/>
    <x v="0"/>
    <x v="124"/>
    <x v="11"/>
    <s v="VM2"/>
  </r>
  <r>
    <x v="635"/>
    <s v="EGECAM"/>
    <s v="18W000000000NXAJ"/>
    <n v="300"/>
    <s v="18W000000000NXAJ"/>
    <x v="11"/>
    <s v="Venta"/>
    <s v="AXPO"/>
    <s v="EGLE"/>
    <x v="0"/>
    <x v="82"/>
    <x v="11"/>
    <s v="AXP"/>
  </r>
  <r>
    <x v="636"/>
    <s v="EGEDC01"/>
    <s v="EGEDC01"/>
    <n v="0"/>
    <s v="18WEGEDC01-12-24"/>
    <x v="2"/>
    <s v="Compra"/>
    <s v="SZR"/>
    <s v="EGED"/>
    <x v="1"/>
    <x v="186"/>
    <x v="2"/>
    <s v="SZR"/>
  </r>
  <r>
    <x v="637"/>
    <s v="UP DERECHO"/>
    <s v="UP COMPRA CON DERECHOS"/>
    <n v="20"/>
    <s v="18WEGEDCP3-123-6"/>
    <x v="16"/>
    <s v="Compra"/>
    <s v="SZR"/>
    <s v="EGED"/>
    <x v="7"/>
    <x v="186"/>
    <x v="16"/>
    <s v="SZR"/>
  </r>
  <r>
    <x v="638"/>
    <s v="UP SER AUX"/>
    <s v="UP SERVICIOS AUXILIARES"/>
    <n v="25"/>
    <s v="18W000000000OBT6"/>
    <x v="5"/>
    <s v="Compra"/>
    <s v="SZR"/>
    <s v="EGED"/>
    <x v="2"/>
    <x v="186"/>
    <x v="5"/>
    <s v="SZR"/>
  </r>
  <r>
    <x v="639"/>
    <s v="UP RAD3"/>
    <s v="UP SERVICIO DE REPUESTA ACTIVA DE LA DEMANDA"/>
    <n v="10"/>
    <s v="18W000000000OS0D"/>
    <x v="2"/>
    <s v="Compra"/>
    <s v="SZR"/>
    <s v="EGED"/>
    <x v="1"/>
    <x v="186"/>
    <x v="2"/>
    <s v="SZR"/>
  </r>
  <r>
    <x v="640"/>
    <s v="VTA DERECH"/>
    <s v="UP VENTA CON DERECHOS EN FRANCIA"/>
    <n v="20"/>
    <s v="18WEGEDVP3-123-K"/>
    <x v="17"/>
    <s v="Venta"/>
    <s v="SZR"/>
    <s v="EGED"/>
    <x v="7"/>
    <x v="186"/>
    <x v="17"/>
    <s v="SZR"/>
  </r>
  <r>
    <x v="641"/>
    <s v="EGENC01"/>
    <s v="ELE GUIXES ENERGIA"/>
    <n v="3"/>
    <s v="18WEGENC01-123-9"/>
    <x v="2"/>
    <s v="Compra"/>
    <s v="SZR"/>
    <s v="EGEN"/>
    <x v="1"/>
    <x v="217"/>
    <x v="2"/>
    <s v="SZR"/>
  </r>
  <r>
    <x v="642"/>
    <s v="EOL 1 MW"/>
    <s v="EOLICA MAYOR 1 MW GEST"/>
    <n v="7.2"/>
    <s v="18W000000000PX3P"/>
    <x v="11"/>
    <s v="Venta"/>
    <s v="SZR"/>
    <s v="FEN"/>
    <x v="0"/>
    <x v="154"/>
    <x v="11"/>
    <s v="SZR"/>
  </r>
  <r>
    <x v="643"/>
    <s v="EGLCCX1"/>
    <s v="EGLCCX1"/>
    <n v="9999"/>
    <s v="18W000000000PUXB"/>
    <x v="20"/>
    <s v="Compra"/>
    <s v="SZR"/>
    <s v="EGLE"/>
    <x v="8"/>
    <x v="82"/>
    <x v="23"/>
    <s v="SZR"/>
  </r>
  <r>
    <x v="644"/>
    <s v="EGLCVX1"/>
    <s v="EGLCVX1"/>
    <n v="9999"/>
    <s v="18W000000000PUZ7"/>
    <x v="20"/>
    <s v="Venta"/>
    <s v="SZR"/>
    <s v="EGLE"/>
    <x v="8"/>
    <x v="82"/>
    <x v="23"/>
    <s v="SZR"/>
  </r>
  <r>
    <x v="645"/>
    <s v="EGLE CO"/>
    <s v="ELEKTRIZITATS-GESELLSHAFT LAUFENBURG ESPAÑA S.L"/>
    <n v="0"/>
    <s v="18WEGLEC01-12-2S"/>
    <x v="2"/>
    <s v="Compra"/>
    <s v="SZR"/>
    <s v="EGLE"/>
    <x v="1"/>
    <x v="82"/>
    <x v="2"/>
    <s v="SZR"/>
  </r>
  <r>
    <x v="646"/>
    <s v="EGLECP3"/>
    <s v="ELECTRIZITÄTS-GESELLSCHAFT LAUFENBURG ESPAÑA, S.L., EXPORTACIÓN A FRANCIA (CON DERECHOS)"/>
    <n v="500"/>
    <s v="18WEGLECP3-12-4W"/>
    <x v="16"/>
    <s v="Compra"/>
    <s v="SZR"/>
    <s v="EGLE"/>
    <x v="7"/>
    <x v="82"/>
    <x v="16"/>
    <s v="SZR"/>
  </r>
  <r>
    <x v="647"/>
    <s v="EGLEVP3"/>
    <s v="ELECTRIZITÄTS-GESELLSCHAFT LAUFENBURG ESPAÑA, S.L., IMPORTACIÓN DESDE FRANCIA (CON DERECHOS)"/>
    <n v="1400"/>
    <s v="18WEGLEVP3-12-3B"/>
    <x v="17"/>
    <s v="Venta"/>
    <s v="SZR"/>
    <s v="EGLE"/>
    <x v="7"/>
    <x v="82"/>
    <x v="17"/>
    <s v="SZR"/>
  </r>
  <r>
    <x v="648"/>
    <s v="EGLEX"/>
    <s v="EGLE (COMPRA SERVICIOS AUXILIARES)"/>
    <n v="2.4"/>
    <s v="18WEGLEX-12345-L"/>
    <x v="5"/>
    <s v="Compra"/>
    <s v="SZR"/>
    <s v="EGLE"/>
    <x v="2"/>
    <x v="82"/>
    <x v="5"/>
    <s v="SZR"/>
  </r>
  <r>
    <x v="649"/>
    <s v="EGLPCX1"/>
    <s v="PORFOLIO COMPRA GENERAC"/>
    <n v="9999"/>
    <s v="18W000000000ABZD"/>
    <x v="20"/>
    <s v="Compra"/>
    <s v="SZR"/>
    <s v="EGLE"/>
    <x v="8"/>
    <x v="82"/>
    <x v="23"/>
    <s v="SZR"/>
  </r>
  <r>
    <x v="650"/>
    <s v="EGLPVX1"/>
    <s v="PORFOLIO VENTA GENER"/>
    <n v="9999"/>
    <s v="18W000000000AC06"/>
    <x v="20"/>
    <s v="Venta"/>
    <s v="SZR"/>
    <s v="EGLE"/>
    <x v="8"/>
    <x v="82"/>
    <x v="23"/>
    <s v="SZR"/>
  </r>
  <r>
    <x v="651"/>
    <s v="EGMALP"/>
    <s v="EGMALP"/>
    <n v="16.399999999999999"/>
    <s v="18W000000000C8AR"/>
    <x v="11"/>
    <s v="Venta"/>
    <s v="SZR"/>
    <s v="IGNIS"/>
    <x v="0"/>
    <x v="28"/>
    <x v="11"/>
    <s v="SZR"/>
  </r>
  <r>
    <x v="652"/>
    <s v="EGRAIA"/>
    <s v="18WEGRAIA-1234-0"/>
    <n v="19.8"/>
    <s v="18WEGRAIA-1234-0"/>
    <x v="11"/>
    <s v="Venta"/>
    <s v="SZR"/>
    <s v="EGLE"/>
    <x v="0"/>
    <x v="82"/>
    <x v="11"/>
    <s v="SZR"/>
  </r>
  <r>
    <x v="653"/>
    <s v="EGREC01"/>
    <s v="EGREC01"/>
    <n v="1"/>
    <s v="18W000000000HSZ8"/>
    <x v="2"/>
    <s v="Compra"/>
    <s v="SZR"/>
    <s v="EGREN"/>
    <x v="1"/>
    <x v="218"/>
    <x v="2"/>
    <s v="SZR"/>
  </r>
  <r>
    <x v="654"/>
    <s v="EOLICAGEST"/>
    <s v="EOLICA GESTIONABLE"/>
    <n v="2281.1"/>
    <s v="18WEGREEN-1234-3"/>
    <x v="11"/>
    <s v="Venta"/>
    <s v="SZR"/>
    <s v="EGED"/>
    <x v="0"/>
    <x v="186"/>
    <x v="11"/>
    <s v="SZR"/>
  </r>
  <r>
    <x v="655"/>
    <s v="EOLICAGES1"/>
    <s v="EOLICAGEST1"/>
    <n v="1085.3"/>
    <s v="18W000000000MU2B"/>
    <x v="11"/>
    <s v="Venta"/>
    <s v="ACC2"/>
    <s v="EGED"/>
    <x v="0"/>
    <x v="186"/>
    <x v="11"/>
    <s v="AC2"/>
  </r>
  <r>
    <x v="656"/>
    <s v="EGREEN2"/>
    <s v="EGREEN2"/>
    <n v="103.3"/>
    <s v="18W000000000P9SA"/>
    <x v="22"/>
    <s v="Venta"/>
    <s v="ACC2"/>
    <s v="EGED"/>
    <x v="9"/>
    <x v="186"/>
    <x v="30"/>
    <s v="AC2"/>
  </r>
  <r>
    <x v="657"/>
    <s v="EGST146"/>
    <s v="EGST146"/>
    <n v="21.6"/>
    <s v="18W000000000RV9B"/>
    <x v="11"/>
    <s v="Venta"/>
    <s v="GST1"/>
    <s v="GESTE"/>
    <x v="0"/>
    <x v="219"/>
    <x v="11"/>
    <s v="GST"/>
  </r>
  <r>
    <x v="658"/>
    <s v="EGST147"/>
    <s v="EGST147"/>
    <n v="16"/>
    <s v="18W000000000RWKN"/>
    <x v="11"/>
    <s v="Venta"/>
    <s v="GST1"/>
    <s v="GESTE"/>
    <x v="0"/>
    <x v="219"/>
    <x v="11"/>
    <s v="GST"/>
  </r>
  <r>
    <x v="659"/>
    <s v="EGST174"/>
    <s v="EGST174"/>
    <n v="39"/>
    <s v="18W000000000SZKA"/>
    <x v="11"/>
    <s v="Venta"/>
    <s v="SZR"/>
    <s v="GESTE"/>
    <x v="0"/>
    <x v="219"/>
    <x v="11"/>
    <s v="SZR"/>
  </r>
  <r>
    <x v="660"/>
    <s v="EGST175"/>
    <s v="EGST175"/>
    <n v="51"/>
    <s v="18W000000000SZM6"/>
    <x v="11"/>
    <s v="Venta"/>
    <s v="SZR"/>
    <s v="GESTE"/>
    <x v="0"/>
    <x v="219"/>
    <x v="11"/>
    <s v="SZR"/>
  </r>
  <r>
    <x v="661"/>
    <s v="EGST228"/>
    <s v="EGST228"/>
    <n v="107.5"/>
    <s v="18W000000000TP10"/>
    <x v="11"/>
    <s v="Venta"/>
    <s v="SZR"/>
    <s v="GESTE"/>
    <x v="0"/>
    <x v="219"/>
    <x v="11"/>
    <s v="SZR"/>
  </r>
  <r>
    <x v="662"/>
    <s v="EGVENTO"/>
    <s v="EGVENTO"/>
    <n v="128"/>
    <s v="18WEGVENTO-123-C"/>
    <x v="11"/>
    <s v="Venta"/>
    <s v="SZR"/>
    <s v="IGNIS"/>
    <x v="0"/>
    <x v="28"/>
    <x v="11"/>
    <s v="SZR"/>
  </r>
  <r>
    <x v="663"/>
    <s v="HERRERA"/>
    <s v="HERRERA"/>
    <n v="34.6"/>
    <s v="18W000000000NHGI"/>
    <x v="11"/>
    <s v="Venta"/>
    <s v="NEXUS"/>
    <s v="NEXU"/>
    <x v="0"/>
    <x v="187"/>
    <x v="11"/>
    <s v="NEX"/>
  </r>
  <r>
    <x v="664"/>
    <s v="EHIBGES"/>
    <s v="EHIBGES"/>
    <n v="5808.2"/>
    <s v="18WEHIBGES-123-W"/>
    <x v="11"/>
    <s v="Venta"/>
    <s v="SZR"/>
    <s v="IBGES"/>
    <x v="0"/>
    <x v="7"/>
    <x v="11"/>
    <s v="SZR"/>
  </r>
  <r>
    <x v="665"/>
    <s v="EHIBRI2"/>
    <s v="UP HIBRIDA RIOEBRO AMPLIACION"/>
    <n v="23.1"/>
    <s v="18W000000000THA6"/>
    <x v="22"/>
    <s v="Venta"/>
    <s v="SZR"/>
    <s v="NEXU"/>
    <x v="9"/>
    <x v="187"/>
    <x v="30"/>
    <s v="SZR"/>
  </r>
  <r>
    <x v="666"/>
    <s v="EHIBRIO"/>
    <s v="UP HIBRIDA RIO EBRO"/>
    <n v="23"/>
    <s v="18W000000000TFOL"/>
    <x v="22"/>
    <s v="Venta"/>
    <s v="SZR"/>
    <s v="NEXU"/>
    <x v="9"/>
    <x v="187"/>
    <x v="30"/>
    <s v="SZR"/>
  </r>
  <r>
    <x v="667"/>
    <s v="HELIA UP"/>
    <s v="HELIA UP"/>
    <n v="3"/>
    <s v="18W0000000009VU4"/>
    <x v="2"/>
    <s v="Compra"/>
    <s v="SZR"/>
    <s v="HELIC"/>
    <x v="1"/>
    <x v="220"/>
    <x v="2"/>
    <s v="SZR"/>
  </r>
  <r>
    <x v="668"/>
    <s v="EHINOJ"/>
    <s v="18WEHINOJ-1234-G"/>
    <n v="39"/>
    <s v="18WEHINOJ-1234-G"/>
    <x v="11"/>
    <s v="Venta"/>
    <s v="SZR"/>
    <s v="EGLE"/>
    <x v="0"/>
    <x v="82"/>
    <x v="11"/>
    <s v="SZR"/>
  </r>
  <r>
    <x v="669"/>
    <s v="EIBGEBU"/>
    <s v="EIBGEBU"/>
    <n v="104"/>
    <s v="18W000000000RI0V"/>
    <x v="11"/>
    <s v="Venta"/>
    <s v="SZR"/>
    <s v="IBGES"/>
    <x v="0"/>
    <x v="7"/>
    <x v="11"/>
    <s v="SZR"/>
  </r>
  <r>
    <x v="670"/>
    <s v="EIBGECA"/>
    <s v="EIBGECA"/>
    <n v="110.8"/>
    <s v="18W000000000TGIU"/>
    <x v="11"/>
    <s v="Venta"/>
    <s v="SZR"/>
    <s v="IBGES"/>
    <x v="0"/>
    <x v="7"/>
    <x v="11"/>
    <s v="SZR"/>
  </r>
  <r>
    <x v="671"/>
    <s v="EINDC01"/>
    <s v="EINDC01"/>
    <n v="0.1"/>
    <s v="18W000000000SF8K"/>
    <x v="2"/>
    <s v="Compra"/>
    <s v="SZR"/>
    <s v="EINDE"/>
    <x v="1"/>
    <x v="221"/>
    <x v="2"/>
    <s v="SZR"/>
  </r>
  <r>
    <x v="672"/>
    <s v="EI15 PEN"/>
    <s v="INTERSOL PENINSULA"/>
    <n v="10"/>
    <s v="18W000000000L31O"/>
    <x v="2"/>
    <s v="Compra"/>
    <s v="SZR"/>
    <s v="INSOL"/>
    <x v="1"/>
    <x v="222"/>
    <x v="2"/>
    <s v="SZR"/>
  </r>
  <r>
    <x v="673"/>
    <s v="EINVER"/>
    <s v="18W000000000FFDP"/>
    <n v="15"/>
    <s v="18W000000000FFDP"/>
    <x v="11"/>
    <s v="Venta"/>
    <s v="SZR"/>
    <s v="EGLE"/>
    <x v="0"/>
    <x v="82"/>
    <x v="11"/>
    <s v="SZR"/>
  </r>
  <r>
    <x v="674"/>
    <s v="EIRIXO"/>
    <s v="18WEIRIXO-1234-J"/>
    <n v="19.8"/>
    <s v="18WEIRIXO-1234-J"/>
    <x v="11"/>
    <s v="Venta"/>
    <s v="SZR"/>
    <s v="EGLE"/>
    <x v="0"/>
    <x v="82"/>
    <x v="11"/>
    <s v="SZR"/>
  </r>
  <r>
    <x v="675"/>
    <s v="EJANCOL"/>
    <s v="UP EOLICA JANCOLI"/>
    <n v="9"/>
    <s v="18W000000000N366"/>
    <x v="11"/>
    <s v="Venta"/>
    <s v="SZR"/>
    <s v="NEXU"/>
    <x v="0"/>
    <x v="187"/>
    <x v="11"/>
    <s v="SZR"/>
  </r>
  <r>
    <x v="676"/>
    <s v="EJANDAP"/>
    <s v="UP EOLICA JANDAPE"/>
    <n v="9"/>
    <s v="18W000000000N374"/>
    <x v="11"/>
    <s v="Venta"/>
    <s v="SZR"/>
    <s v="NEXU"/>
    <x v="0"/>
    <x v="187"/>
    <x v="11"/>
    <s v="SZR"/>
  </r>
  <r>
    <x v="677"/>
    <s v="EJANDSU"/>
    <s v="UP EOLICA JANDSUY"/>
    <n v="8"/>
    <s v="18W000000000N382"/>
    <x v="11"/>
    <s v="Venta"/>
    <s v="SZR"/>
    <s v="NEXU"/>
    <x v="0"/>
    <x v="187"/>
    <x v="11"/>
    <s v="SZR"/>
  </r>
  <r>
    <x v="678"/>
    <s v="EJAUFIL"/>
    <s v="PARQUE EOLICO JAUFIL"/>
    <n v="4"/>
    <s v="18W000000000TPBH"/>
    <x v="11"/>
    <s v="Venta"/>
    <s v="SZR"/>
    <s v="EBLCO"/>
    <x v="0"/>
    <x v="158"/>
    <x v="11"/>
    <s v="SZR"/>
  </r>
  <r>
    <x v="679"/>
    <s v="EKHINEO"/>
    <s v="EKHINEO ENERGA"/>
    <n v="1"/>
    <s v="18W000000000QB1H"/>
    <x v="2"/>
    <s v="Compra"/>
    <s v="SZR"/>
    <s v="EKHIN"/>
    <x v="1"/>
    <x v="223"/>
    <x v="2"/>
    <s v="SZR"/>
  </r>
  <r>
    <x v="680"/>
    <s v="ALGIMIA"/>
    <s v="ELCTRICA DE ALGIMIA"/>
    <n v="0.8"/>
    <s v="18WELALC01-123-D"/>
    <x v="2"/>
    <s v="Compra"/>
    <s v="SZR"/>
    <s v="ELALG"/>
    <x v="1"/>
    <x v="224"/>
    <x v="2"/>
    <s v="SZR"/>
  </r>
  <r>
    <x v="681"/>
    <s v="ELASMAJ"/>
    <s v="DESARROLLO ELICO LAS MAJAS VI SL"/>
    <n v="49.5"/>
    <s v="18W000000000Q6QJ"/>
    <x v="11"/>
    <s v="Venta"/>
    <s v="WM1"/>
    <s v="WMARK"/>
    <x v="0"/>
    <x v="22"/>
    <x v="11"/>
    <s v="WM1"/>
  </r>
  <r>
    <x v="682"/>
    <s v="ELAVC01"/>
    <s v="ELECTRA AVELLANA COMERCIAL, S.L"/>
    <n v="4"/>
    <s v="18WELAVC01-123-O"/>
    <x v="2"/>
    <s v="Compra"/>
    <s v="SZR"/>
    <s v="ELAVE"/>
    <x v="1"/>
    <x v="225"/>
    <x v="2"/>
    <s v="SZR"/>
  </r>
  <r>
    <x v="683"/>
    <s v="ELBEN_UP"/>
    <s v="ELECTRICA BENASQUE SL"/>
    <n v="4"/>
    <s v="18W0000000002V58"/>
    <x v="2"/>
    <s v="Compra"/>
    <s v="SZR"/>
    <s v="ELBEN"/>
    <x v="1"/>
    <x v="226"/>
    <x v="2"/>
    <s v="SZR"/>
  </r>
  <r>
    <x v="684"/>
    <s v="ELBOGA"/>
    <s v="18WELBOGA-1234-V"/>
    <n v="280.39999999999998"/>
    <s v="18WELBOGA-1234-V"/>
    <x v="11"/>
    <s v="Venta"/>
    <s v="SZR"/>
    <s v="EGLE"/>
    <x v="0"/>
    <x v="82"/>
    <x v="11"/>
    <s v="SZR"/>
  </r>
  <r>
    <x v="685"/>
    <s v="ELCAC01"/>
    <s v="ELECTRA CALDENSE ENERGÍA, S.A."/>
    <n v="1"/>
    <s v="18WELCAC01-12-2X"/>
    <x v="2"/>
    <s v="Compra"/>
    <s v="SZR"/>
    <s v="ECAL"/>
    <x v="1"/>
    <x v="227"/>
    <x v="2"/>
    <s v="SZR"/>
  </r>
  <r>
    <x v="686"/>
    <s v="ELCNC01"/>
    <s v="ELCNC01"/>
    <n v="0.2"/>
    <s v="18WELCNC01-123-8"/>
    <x v="2"/>
    <s v="Compra"/>
    <s v="SZR"/>
    <s v="ELECN"/>
    <x v="1"/>
    <x v="228"/>
    <x v="2"/>
    <s v="SZR"/>
  </r>
  <r>
    <x v="687"/>
    <s v="ELCOTOR"/>
    <s v="EL COTO"/>
    <n v="21"/>
    <s v="18W000000000R8T3"/>
    <x v="11"/>
    <s v="Venta"/>
    <s v="WM1"/>
    <s v="WMARK"/>
    <x v="0"/>
    <x v="22"/>
    <x v="11"/>
    <s v="WM1"/>
  </r>
  <r>
    <x v="688"/>
    <s v="ELEAUX1"/>
    <s v="ELEAUX SERVICIOS AUXILIARES"/>
    <n v="5"/>
    <s v="18W000000000P7NQ"/>
    <x v="5"/>
    <s v="Compra"/>
    <s v="SZR"/>
    <s v="ELEIA"/>
    <x v="2"/>
    <x v="90"/>
    <x v="5"/>
    <s v="SZR"/>
  </r>
  <r>
    <x v="689"/>
    <s v="ELEIC01"/>
    <s v="ELEIA COMPRA"/>
    <n v="0.1"/>
    <s v="18W000000000DF2I"/>
    <x v="2"/>
    <s v="Compra"/>
    <s v="SZR"/>
    <s v="ELEIA"/>
    <x v="1"/>
    <x v="90"/>
    <x v="2"/>
    <s v="SZR"/>
  </r>
  <r>
    <x v="690"/>
    <s v="ELEKC01"/>
    <s v="ELEKC01"/>
    <n v="0.1"/>
    <s v="18W0000000000LYP"/>
    <x v="2"/>
    <s v="Compra"/>
    <s v="SZR"/>
    <s v="ELEK"/>
    <x v="1"/>
    <x v="229"/>
    <x v="2"/>
    <s v="SZR"/>
  </r>
  <r>
    <x v="691"/>
    <s v="ELEPCX1"/>
    <s v="ELEPCX1"/>
    <n v="9999"/>
    <s v="18W000000000OJJ2"/>
    <x v="20"/>
    <s v="Compra"/>
    <s v="SZR"/>
    <s v="ELEIA"/>
    <x v="8"/>
    <x v="90"/>
    <x v="23"/>
    <s v="SZR"/>
  </r>
  <r>
    <x v="692"/>
    <s v="ELEPVX1"/>
    <s v="ELEPVX1"/>
    <n v="9999"/>
    <s v="18W000000000OJI4"/>
    <x v="20"/>
    <s v="Venta"/>
    <s v="SZR"/>
    <s v="ELEIA"/>
    <x v="8"/>
    <x v="90"/>
    <x v="23"/>
    <s v="SZR"/>
  </r>
  <r>
    <x v="693"/>
    <s v="ELESU_UP"/>
    <s v="ELESU_COMPRAS"/>
    <n v="0.2"/>
    <s v="18W0000000004NIZ"/>
    <x v="2"/>
    <s v="Compra"/>
    <s v="SZR"/>
    <s v="ELESU"/>
    <x v="1"/>
    <x v="230"/>
    <x v="2"/>
    <s v="SZR"/>
  </r>
  <r>
    <x v="694"/>
    <s v="PE LROTES"/>
    <s v="PARQUE EOLICO LES ROTES"/>
    <n v="44"/>
    <s v="18W000000000OVMY"/>
    <x v="11"/>
    <s v="Venta"/>
    <s v="SZR"/>
    <s v="EBLCO"/>
    <x v="0"/>
    <x v="158"/>
    <x v="11"/>
    <s v="SZR"/>
  </r>
  <r>
    <x v="695"/>
    <s v="PE GUIJO I"/>
    <s v="PARQUE EOLICO GUIJO I"/>
    <n v="64"/>
    <s v="18W000000000OVFB"/>
    <x v="11"/>
    <s v="Venta"/>
    <s v="EN1"/>
    <s v="EBLCO"/>
    <x v="0"/>
    <x v="158"/>
    <x v="11"/>
    <s v="EN1"/>
  </r>
  <r>
    <x v="696"/>
    <s v="ELIE_BIO"/>
    <s v="ELITE BIOENERGIA SL"/>
    <n v="0"/>
    <s v="18W000000000MDT8"/>
    <x v="2"/>
    <s v="Compra"/>
    <s v="SZR"/>
    <s v="ELITE"/>
    <x v="1"/>
    <x v="231"/>
    <x v="2"/>
    <s v="SZR"/>
  </r>
  <r>
    <x v="697"/>
    <s v="ELMON_UP"/>
    <s v="ELMON_COMPRAS"/>
    <n v="0.2"/>
    <s v="18W0000000007APB"/>
    <x v="2"/>
    <s v="Compra"/>
    <s v="SZR"/>
    <s v="ELMON"/>
    <x v="1"/>
    <x v="232"/>
    <x v="2"/>
    <s v="SZR"/>
  </r>
  <r>
    <x v="698"/>
    <s v="ELODOS"/>
    <s v="18WELODOS-1234-4"/>
    <n v="4.9000000000000004"/>
    <s v="18WELODOS-1234-4"/>
    <x v="11"/>
    <s v="Venta"/>
    <s v="SZR"/>
    <s v="EGLE"/>
    <x v="0"/>
    <x v="82"/>
    <x v="11"/>
    <s v="SZR"/>
  </r>
  <r>
    <x v="699"/>
    <s v="ELOMILA"/>
    <s v="ELOMILA"/>
    <n v="12"/>
    <s v="18W000000000Q7LQ"/>
    <x v="11"/>
    <s v="Venta"/>
    <s v="SZR"/>
    <s v="CEG"/>
    <x v="0"/>
    <x v="124"/>
    <x v="11"/>
    <s v="SZR"/>
  </r>
  <r>
    <x v="700"/>
    <s v="ELPOP"/>
    <s v="ELECTRICA POPULAR, S. COOP. MAD."/>
    <n v="8.6999999999999993"/>
    <s v="18WELPOC01-123-3"/>
    <x v="2"/>
    <s v="Compra"/>
    <s v="SZR"/>
    <s v="ELPOP"/>
    <x v="1"/>
    <x v="233"/>
    <x v="2"/>
    <s v="SZR"/>
  </r>
  <r>
    <x v="701"/>
    <s v="POLEO"/>
    <s v="ELPOLEOO"/>
    <n v="48.5"/>
    <s v="18W000000000QQ35"/>
    <x v="11"/>
    <s v="Venta"/>
    <s v="SZR"/>
    <s v="GESTE"/>
    <x v="0"/>
    <x v="219"/>
    <x v="11"/>
    <s v="SZR"/>
  </r>
  <r>
    <x v="702"/>
    <s v="ELTED"/>
    <s v="ELECTED ENERGY"/>
    <n v="1"/>
    <s v="18W000000000IXIN"/>
    <x v="2"/>
    <s v="Compra"/>
    <s v="SZR"/>
    <s v="ELTED"/>
    <x v="1"/>
    <x v="234"/>
    <x v="2"/>
    <s v="SZR"/>
  </r>
  <r>
    <x v="703"/>
    <s v="E-LUZ"/>
    <s v="E-LUZ ENERGY"/>
    <n v="1"/>
    <s v="18W000000000K9HF"/>
    <x v="2"/>
    <s v="Compra"/>
    <s v="SZR"/>
    <s v="ELUZE"/>
    <x v="1"/>
    <x v="235"/>
    <x v="2"/>
    <s v="SZR"/>
  </r>
  <r>
    <x v="704"/>
    <s v="ELEVA2"/>
    <s v="ELEVA 2 COMERCIALIZADORA, S.L."/>
    <n v="0.4"/>
    <s v="18WELV2C01-123-9"/>
    <x v="2"/>
    <s v="Compra"/>
    <s v="SZR"/>
    <s v="ELVA2"/>
    <x v="1"/>
    <x v="236"/>
    <x v="2"/>
    <s v="SZR"/>
  </r>
  <r>
    <x v="705"/>
    <s v="ELEVA UNO"/>
    <s v="ELEVA UNO COMERCIALIZADORA, S.L."/>
    <n v="0.4"/>
    <s v="18WELVAC01-123-3"/>
    <x v="2"/>
    <s v="Compra"/>
    <s v="SZR"/>
    <s v="ELVA1"/>
    <x v="1"/>
    <x v="237"/>
    <x v="2"/>
    <s v="SZR"/>
  </r>
  <r>
    <x v="706"/>
    <s v="PE MAJOGAZ"/>
    <s v="PARQUE EOLICO MAJOGAZAS"/>
    <n v="49.5"/>
    <s v="18W000000000OVOU"/>
    <x v="11"/>
    <s v="Venta"/>
    <s v="SZR"/>
    <s v="EBLCO"/>
    <x v="0"/>
    <x v="158"/>
    <x v="11"/>
    <s v="SZR"/>
  </r>
  <r>
    <x v="707"/>
    <s v="EMAMUT"/>
    <s v="UP ENERGA ELICA MAMUT"/>
    <n v="2.4"/>
    <s v="18W000000000GDBV"/>
    <x v="11"/>
    <s v="Venta"/>
    <s v="SZR"/>
    <s v="EGLE"/>
    <x v="0"/>
    <x v="82"/>
    <x v="11"/>
    <s v="SZR"/>
  </r>
  <r>
    <x v="708"/>
    <s v="EMANZAN"/>
    <s v="EMANZAN"/>
    <n v="41.2"/>
    <s v="18W000000000Q7MO"/>
    <x v="11"/>
    <s v="Venta"/>
    <s v="SZR"/>
    <s v="CEG"/>
    <x v="0"/>
    <x v="124"/>
    <x v="11"/>
    <s v="SZR"/>
  </r>
  <r>
    <x v="709"/>
    <s v="EMARME"/>
    <s v="18WEMARME-1234-P"/>
    <n v="49.5"/>
    <s v="18WEMARME-1234-P"/>
    <x v="11"/>
    <s v="Venta"/>
    <s v="SZR"/>
    <s v="EGLE"/>
    <x v="0"/>
    <x v="82"/>
    <x v="11"/>
    <s v="SZR"/>
  </r>
  <r>
    <x v="710"/>
    <s v="EMCIBGE"/>
    <s v="EOLICAS MOLINOS CIDACOS"/>
    <n v="144"/>
    <s v="18W000000000SNEL"/>
    <x v="11"/>
    <s v="Venta"/>
    <s v="SZR"/>
    <s v="IBGES"/>
    <x v="0"/>
    <x v="7"/>
    <x v="11"/>
    <s v="SZR"/>
  </r>
  <r>
    <x v="711"/>
    <s v="EMDAUG"/>
    <s v="18WEMDAUG-1234-0"/>
    <n v="3"/>
    <s v="18WEMDAUG-1234-0"/>
    <x v="11"/>
    <s v="Venta"/>
    <s v="SZR"/>
    <s v="EGLE"/>
    <x v="0"/>
    <x v="82"/>
    <x v="11"/>
    <s v="SZR"/>
  </r>
  <r>
    <x v="712"/>
    <s v="EMEDI"/>
    <s v="ENERGÍAS RENOVABLES MEDITERRÁNEAS, S.A. ( E)"/>
    <n v="394.5"/>
    <s v="18WEMEDI-1234-10"/>
    <x v="11"/>
    <s v="Venta"/>
    <s v="SZR"/>
    <s v="MEDI"/>
    <x v="0"/>
    <x v="238"/>
    <x v="11"/>
    <s v="SZR"/>
  </r>
  <r>
    <x v="713"/>
    <s v="EMEDI1"/>
    <s v="EMEDI1"/>
    <n v="99"/>
    <s v="18W0000000000YR0"/>
    <x v="11"/>
    <s v="Venta"/>
    <s v="SZR"/>
    <s v="EGED"/>
    <x v="0"/>
    <x v="186"/>
    <x v="11"/>
    <s v="SZR"/>
  </r>
  <r>
    <x v="714"/>
    <s v="MELIANA"/>
    <s v="ELECTRICA DE MELIANA"/>
    <n v="2.5"/>
    <s v="18WEMELC01-123-V"/>
    <x v="2"/>
    <s v="Compra"/>
    <s v="SZR"/>
    <s v="EMELI"/>
    <x v="1"/>
    <x v="239"/>
    <x v="2"/>
    <s v="SZR"/>
  </r>
  <r>
    <x v="715"/>
    <s v="EMESA"/>
    <s v="EMILIO ESTEBAN S.A."/>
    <n v="0.9"/>
    <s v="18WEMESC01-123-Z"/>
    <x v="6"/>
    <s v="Compra"/>
    <s v="SZR"/>
    <s v="EMES"/>
    <x v="3"/>
    <x v="240"/>
    <x v="6"/>
    <s v="SZR"/>
  </r>
  <r>
    <x v="716"/>
    <s v="EOL 1MW"/>
    <s v="EOLICA MAYOR 1 MW"/>
    <n v="11.6"/>
    <s v="18W0000000001YUR"/>
    <x v="11"/>
    <s v="Venta"/>
    <s v="SZR"/>
    <s v="FEN"/>
    <x v="0"/>
    <x v="154"/>
    <x v="11"/>
    <s v="SZR"/>
  </r>
  <r>
    <x v="717"/>
    <s v="EMGALLN"/>
    <s v="PE MAGALLON"/>
    <n v="10"/>
    <s v="18W000000000P1AX"/>
    <x v="11"/>
    <s v="Venta"/>
    <s v="EVM2"/>
    <s v="CEG"/>
    <x v="0"/>
    <x v="124"/>
    <x v="11"/>
    <s v="VM2"/>
  </r>
  <r>
    <x v="718"/>
    <s v="ENERMIA"/>
    <s v="ENERMIA COMPRA"/>
    <n v="0.1"/>
    <s v="18W000000000PRID"/>
    <x v="2"/>
    <s v="Compra"/>
    <s v="SZR"/>
    <s v="ENEDH"/>
    <x v="1"/>
    <x v="241"/>
    <x v="2"/>
    <s v="SZR"/>
  </r>
  <r>
    <x v="719"/>
    <s v="EMINON"/>
    <s v="UP EOLICA MINON"/>
    <n v="23.3"/>
    <s v="18W000000000GEN4"/>
    <x v="11"/>
    <s v="Venta"/>
    <s v="NEXUS"/>
    <s v="NEXU"/>
    <x v="0"/>
    <x v="187"/>
    <x v="11"/>
    <s v="NEX"/>
  </r>
  <r>
    <x v="720"/>
    <s v="EMIRASI"/>
    <s v="EOLICA DE MIRASIERRA"/>
    <n v="40.9"/>
    <s v="18WEMIRASI-123-9"/>
    <x v="11"/>
    <s v="Venta"/>
    <s v="SZR"/>
    <s v="MIRAS"/>
    <x v="0"/>
    <x v="242"/>
    <x v="11"/>
    <s v="SZR"/>
  </r>
  <r>
    <x v="721"/>
    <s v="EMOARG"/>
    <s v="18WEMOARG-123-1S"/>
    <n v="1.5"/>
    <s v="18WEMOARG-123-1S"/>
    <x v="11"/>
    <s v="Venta"/>
    <s v="SZR"/>
    <s v="EGLE"/>
    <x v="0"/>
    <x v="82"/>
    <x v="11"/>
    <s v="SZR"/>
  </r>
  <r>
    <x v="722"/>
    <s v="PE MONCLUE"/>
    <s v="PARQUE EOLICO MONCLUES"/>
    <n v="30"/>
    <s v="18W000000000OVPS"/>
    <x v="11"/>
    <s v="Venta"/>
    <s v="SZR"/>
    <s v="EBLCO"/>
    <x v="0"/>
    <x v="158"/>
    <x v="11"/>
    <s v="SZR"/>
  </r>
  <r>
    <x v="723"/>
    <s v="EMONJAS"/>
    <s v="UP EOLICA LAS MONJAS"/>
    <n v="34"/>
    <s v="18W000000000N390"/>
    <x v="11"/>
    <s v="Venta"/>
    <s v="SZR"/>
    <s v="NEXU"/>
    <x v="0"/>
    <x v="187"/>
    <x v="11"/>
    <s v="SZR"/>
  </r>
  <r>
    <x v="724"/>
    <s v="EMONTOU"/>
    <s v="18WEMONTOU-12-1R"/>
    <n v="47.7"/>
    <s v="18WEMONTOU-12-1R"/>
    <x v="11"/>
    <s v="Venta"/>
    <s v="SZR"/>
    <s v="EGLE"/>
    <x v="0"/>
    <x v="82"/>
    <x v="11"/>
    <s v="SZR"/>
  </r>
  <r>
    <x v="725"/>
    <s v="PE MORAL1"/>
    <s v="PARQUE EOLICO EL MORALEJO I"/>
    <n v="17"/>
    <s v="18W000000000OVAL"/>
    <x v="11"/>
    <s v="Venta"/>
    <s v="SZR"/>
    <s v="EBLCO"/>
    <x v="0"/>
    <x v="158"/>
    <x v="11"/>
    <s v="SZR"/>
  </r>
  <r>
    <x v="726"/>
    <s v="EMORELL"/>
    <s v="REPSOL QUIMICA EL MORELL"/>
    <n v="39.1"/>
    <s v="18WEMORELL-12-0Q"/>
    <x v="10"/>
    <s v="Venta"/>
    <s v="SZR"/>
    <s v="REPP"/>
    <x v="0"/>
    <x v="29"/>
    <x v="10"/>
    <s v="SZR"/>
  </r>
  <r>
    <x v="727"/>
    <s v="UPCG2GC"/>
    <s v="UPCG2GRUPOC"/>
    <n v="4.2"/>
    <s v="18W000000000OIH9"/>
    <x v="10"/>
    <s v="Venta"/>
    <s v="SZR"/>
    <s v="REPP"/>
    <x v="0"/>
    <x v="29"/>
    <x v="10"/>
    <s v="SZR"/>
  </r>
  <r>
    <x v="728"/>
    <s v="EMORPER"/>
    <s v="REPSOL QUIMICA EL MORELL-PERAFORT"/>
    <n v="86.7"/>
    <s v="18WEMORPER-12-0F"/>
    <x v="10"/>
    <s v="Venta"/>
    <s v="SZR"/>
    <s v="REPP"/>
    <x v="0"/>
    <x v="29"/>
    <x v="10"/>
    <s v="SZR"/>
  </r>
  <r>
    <x v="729"/>
    <s v="EMORRA"/>
    <s v="18WEMORRA-1234-6"/>
    <n v="13.2"/>
    <s v="18WEMORRA-1234-6"/>
    <x v="11"/>
    <s v="Venta"/>
    <s v="SZR"/>
    <s v="EGLE"/>
    <x v="0"/>
    <x v="82"/>
    <x v="11"/>
    <s v="SZR"/>
  </r>
  <r>
    <x v="730"/>
    <s v="EMOSTAZ"/>
    <s v="UP EOLICA MOSTAZA"/>
    <n v="18"/>
    <s v="18W000000000N3AZ"/>
    <x v="11"/>
    <s v="Venta"/>
    <s v="SZR"/>
    <s v="NEXU"/>
    <x v="0"/>
    <x v="187"/>
    <x v="11"/>
    <s v="SZR"/>
  </r>
  <r>
    <x v="731"/>
    <s v="EMRIBGE"/>
    <s v="EOLICAS MOLINO RIOJA"/>
    <n v="57.7"/>
    <s v="18W000000000SNFJ"/>
    <x v="11"/>
    <s v="Venta"/>
    <s v="SZR"/>
    <s v="IBGES"/>
    <x v="0"/>
    <x v="7"/>
    <x v="11"/>
    <s v="SZR"/>
  </r>
  <r>
    <x v="732"/>
    <s v="EMTORR"/>
    <s v="18WEMTORR-1234-U"/>
    <n v="20.9"/>
    <s v="18WEMTORR-1234-U"/>
    <x v="11"/>
    <s v="Venta"/>
    <s v="SZR"/>
    <s v="EGLE"/>
    <x v="0"/>
    <x v="82"/>
    <x v="11"/>
    <s v="SZR"/>
  </r>
  <r>
    <x v="733"/>
    <s v="EMTOURDO"/>
    <s v="UP EOLICA TOURADO"/>
    <n v="10.3"/>
    <s v="18W000000000N0GW"/>
    <x v="11"/>
    <s v="Venta"/>
    <s v="NEXUS"/>
    <s v="NEXU"/>
    <x v="0"/>
    <x v="187"/>
    <x v="11"/>
    <s v="NEX"/>
  </r>
  <r>
    <x v="734"/>
    <s v="EMUELA"/>
    <s v="EOLICA LA MUELA NORTE"/>
    <n v="29.7"/>
    <s v="18W000000000IQPU"/>
    <x v="11"/>
    <s v="Venta"/>
    <s v="SZR"/>
    <s v="NEXU"/>
    <x v="0"/>
    <x v="187"/>
    <x v="11"/>
    <s v="SZR"/>
  </r>
  <r>
    <x v="735"/>
    <s v="ENABAR"/>
    <s v="ENAGAS BARCELONA"/>
    <n v="4.3"/>
    <s v="18WENABAR-1234-T"/>
    <x v="0"/>
    <s v="Venta"/>
    <s v="SZR"/>
    <s v="AME"/>
    <x v="0"/>
    <x v="0"/>
    <x v="0"/>
    <s v="SZR"/>
  </r>
  <r>
    <x v="736"/>
    <s v="ENARC01"/>
    <s v="ENARA UNIDAD DE PROGRAMACIÓN"/>
    <n v="0.2"/>
    <s v="18WENARC01-123-3"/>
    <x v="2"/>
    <s v="Compra"/>
    <s v="SZR"/>
    <s v="ENARA"/>
    <x v="1"/>
    <x v="243"/>
    <x v="2"/>
    <s v="SZR"/>
  </r>
  <r>
    <x v="737"/>
    <s v="ELANAVA"/>
    <s v="UP EOLICA NAVA"/>
    <n v="17.100000000000001"/>
    <s v="18W000000000FJ6R"/>
    <x v="11"/>
    <s v="Venta"/>
    <s v="NEXUS"/>
    <s v="NEXU"/>
    <x v="0"/>
    <x v="187"/>
    <x v="11"/>
    <s v="NEX"/>
  </r>
  <r>
    <x v="738"/>
    <s v="COMPRAINTE"/>
    <s v="COMPRA INTER ENCE"/>
    <n v="30"/>
    <s v="18W000000000OZ2P"/>
    <x v="16"/>
    <s v="Compra"/>
    <s v="SZR"/>
    <s v="EENER"/>
    <x v="7"/>
    <x v="211"/>
    <x v="16"/>
    <s v="SZR"/>
  </r>
  <r>
    <x v="739"/>
    <s v="VENTAINTER"/>
    <s v="VENTA INTERENCE"/>
    <n v="30"/>
    <s v="18W000000000OZ1R"/>
    <x v="17"/>
    <s v="Venta"/>
    <s v="SZR"/>
    <s v="EENER"/>
    <x v="7"/>
    <x v="211"/>
    <x v="17"/>
    <s v="SZR"/>
  </r>
  <r>
    <x v="740"/>
    <s v="ENCIENDE"/>
    <s v="ENCIENDETENERGIA SL"/>
    <n v="1"/>
    <s v="18W000000000P54X"/>
    <x v="2"/>
    <s v="Compra"/>
    <s v="SZR"/>
    <s v="ENCIE"/>
    <x v="1"/>
    <x v="244"/>
    <x v="2"/>
    <s v="SZR"/>
  </r>
  <r>
    <x v="741"/>
    <s v="END-EN-NAC"/>
    <s v="ENDESA ENERGIA (NACIONAL)"/>
    <n v="999"/>
    <s v="18WENDE01-123-2E"/>
    <x v="2"/>
    <s v="Compra"/>
    <s v="SZR"/>
    <s v="ENDCO"/>
    <x v="1"/>
    <x v="72"/>
    <x v="2"/>
    <s v="SZR"/>
  </r>
  <r>
    <x v="742"/>
    <s v="ENDEC01"/>
    <s v="ENDEC01"/>
    <n v="1"/>
    <s v="18W00000000056ZB"/>
    <x v="2"/>
    <s v="Compra"/>
    <s v="SZR"/>
    <s v="ENDEE"/>
    <x v="1"/>
    <x v="245"/>
    <x v="2"/>
    <s v="SZR"/>
  </r>
  <r>
    <x v="743"/>
    <s v="ENDEC AND"/>
    <s v="ENDCO EXPORTACION ANDORRA"/>
    <n v="0"/>
    <s v="18WENDEC04-12-47"/>
    <x v="25"/>
    <s v="Compra"/>
    <s v="SZR"/>
    <s v="ENDCO"/>
    <x v="7"/>
    <x v="72"/>
    <x v="31"/>
    <s v="SZR"/>
  </r>
  <r>
    <x v="744"/>
    <s v="ENDCO BALA"/>
    <s v="ENDCO BALANCE"/>
    <n v="45"/>
    <s v="18W000000000OS29"/>
    <x v="2"/>
    <s v="Compra"/>
    <s v="SZR"/>
    <s v="ENDCO"/>
    <x v="1"/>
    <x v="72"/>
    <x v="2"/>
    <s v="SZR"/>
  </r>
  <r>
    <x v="745"/>
    <s v="ENDGCP3"/>
    <s v="ENDESA ENTREGA DE ENERGÍA EN FRANCIA (AGENTE EXTERNO)"/>
    <n v="0"/>
    <s v="18WENDGCP3-12-4G"/>
    <x v="16"/>
    <s v="Compra"/>
    <s v="SZR"/>
    <s v="ENDG"/>
    <x v="7"/>
    <x v="72"/>
    <x v="16"/>
    <s v="SZR"/>
  </r>
  <r>
    <x v="746"/>
    <s v="ENDGVP3"/>
    <s v="IMPORTACION FRA CON DERECHOS"/>
    <n v="1400"/>
    <s v="18WENDGVP3-12-3W"/>
    <x v="17"/>
    <s v="Venta"/>
    <s v="SZR"/>
    <s v="ENDG"/>
    <x v="7"/>
    <x v="72"/>
    <x v="17"/>
    <s v="SZR"/>
  </r>
  <r>
    <x v="747"/>
    <s v="ENDI ENERG"/>
    <s v="ENDI ENERGY TRADING"/>
    <n v="0.5"/>
    <s v="18W000000000G54W"/>
    <x v="2"/>
    <s v="Compra"/>
    <s v="SZR"/>
    <s v="ENDI"/>
    <x v="1"/>
    <x v="246"/>
    <x v="2"/>
    <s v="SZR"/>
  </r>
  <r>
    <x v="748"/>
    <s v="ENDKC01"/>
    <s v="COMPRA COMERCIALIZADORA"/>
    <n v="1"/>
    <s v="18W000000000PV2X"/>
    <x v="2"/>
    <s v="Compra"/>
    <s v="SZR"/>
    <s v="ENEDK"/>
    <x v="1"/>
    <x v="247"/>
    <x v="2"/>
    <s v="SZR"/>
  </r>
  <r>
    <x v="749"/>
    <s v="ENDPC01"/>
    <s v="ENDPC01"/>
    <n v="1"/>
    <s v="18W0000000005712"/>
    <x v="2"/>
    <s v="Compra"/>
    <s v="SZR"/>
    <s v="ENDEP"/>
    <x v="1"/>
    <x v="248"/>
    <x v="2"/>
    <s v="SZR"/>
  </r>
  <r>
    <x v="750"/>
    <s v="ENDPRB"/>
    <s v="C. BOMBEO MIXTO ENDESA"/>
    <n v="100"/>
    <s v="18WENDPRB-123-0T"/>
    <x v="13"/>
    <s v="Compra"/>
    <s v="SZR"/>
    <s v="ENDG"/>
    <x v="6"/>
    <x v="72"/>
    <x v="13"/>
    <s v="SZR"/>
  </r>
  <r>
    <x v="751"/>
    <s v="REPREFVAC"/>
    <s v="REPRESENTACION AUTOCONSUMO EE PENINSULA"/>
    <n v="0.5"/>
    <s v="18W000000000Q3K3"/>
    <x v="9"/>
    <s v="Venta"/>
    <s v="SZR"/>
    <s v="ENDCO"/>
    <x v="0"/>
    <x v="72"/>
    <x v="9"/>
    <s v="SZR"/>
  </r>
  <r>
    <x v="752"/>
    <s v="REPREFVAC2"/>
    <s v="REPRESENTACION AUTOCONSUMO EE PENINSULA 1MW"/>
    <n v="5.2"/>
    <s v="18W000000000RGNS"/>
    <x v="9"/>
    <s v="Venta"/>
    <s v="SZR"/>
    <s v="ENDCO"/>
    <x v="0"/>
    <x v="72"/>
    <x v="9"/>
    <s v="SZR"/>
  </r>
  <r>
    <x v="753"/>
    <s v="ENERGIA UN"/>
    <s v="ENERGIA UNICA SOLUCIONES INTEGRALES"/>
    <n v="0.6"/>
    <s v="18W000000000R2L0"/>
    <x v="2"/>
    <s v="Compra"/>
    <s v="SZR"/>
    <s v="ENEDG"/>
    <x v="1"/>
    <x v="249"/>
    <x v="2"/>
    <s v="SZR"/>
  </r>
  <r>
    <x v="754"/>
    <s v="ENEDC01"/>
    <s v="ENERGIAREA EUROPE SL"/>
    <n v="1"/>
    <s v="18W000000000ORSY"/>
    <x v="2"/>
    <s v="Compra"/>
    <s v="SZR"/>
    <s v="ENEDB"/>
    <x v="1"/>
    <x v="250"/>
    <x v="2"/>
    <s v="SZR"/>
  </r>
  <r>
    <x v="755"/>
    <s v="PE NEGREDO"/>
    <s v="PARQUE EOLICO EL NEGREDO"/>
    <n v="18"/>
    <s v="18W000000000OVCH"/>
    <x v="11"/>
    <s v="Venta"/>
    <s v="SZR"/>
    <s v="EBLCO"/>
    <x v="0"/>
    <x v="158"/>
    <x v="11"/>
    <s v="SZR"/>
  </r>
  <r>
    <x v="756"/>
    <s v="ENERFIA"/>
    <s v="ENERFIA COMPRA"/>
    <n v="0.1"/>
    <s v="18W000000000I0SS"/>
    <x v="2"/>
    <s v="Compra"/>
    <s v="SZR"/>
    <s v="ENEFI"/>
    <x v="1"/>
    <x v="251"/>
    <x v="2"/>
    <s v="SZR"/>
  </r>
  <r>
    <x v="757"/>
    <s v="ENEPC01"/>
    <s v="ENERGY PLUS IBERIA SL"/>
    <n v="0"/>
    <s v="18W000000000Q1SU"/>
    <x v="2"/>
    <s v="Compra"/>
    <s v="SZR"/>
    <s v="ENEPL"/>
    <x v="1"/>
    <x v="252"/>
    <x v="2"/>
    <s v="SZR"/>
  </r>
  <r>
    <x v="758"/>
    <s v="UP VENTA"/>
    <s v="UP REPRESENTANTE PRODUCTORES"/>
    <n v="0.2"/>
    <s v="18W000000000R0PZ"/>
    <x v="9"/>
    <s v="Venta"/>
    <s v="SZR"/>
    <s v="ENEDB"/>
    <x v="0"/>
    <x v="250"/>
    <x v="9"/>
    <s v="SZR"/>
  </r>
  <r>
    <x v="759"/>
    <s v="UP COMER"/>
    <s v="UP ESOLARTECH COMER"/>
    <n v="0.1"/>
    <s v="18W000000000Q55R"/>
    <x v="2"/>
    <s v="Compra"/>
    <s v="SZR"/>
    <s v="ENEST"/>
    <x v="1"/>
    <x v="253"/>
    <x v="2"/>
    <s v="SZR"/>
  </r>
  <r>
    <x v="760"/>
    <s v="ENETC01"/>
    <s v="ENETC01"/>
    <n v="1"/>
    <s v="18W000000000QWRD"/>
    <x v="2"/>
    <s v="Compra"/>
    <s v="SZR"/>
    <s v="ENETI"/>
    <x v="1"/>
    <x v="254"/>
    <x v="2"/>
    <s v="SZR"/>
  </r>
  <r>
    <x v="761"/>
    <s v="ENEXC01"/>
    <s v="COMPRA COMERCIALIZADORA"/>
    <n v="1"/>
    <s v="18W000000000Q0ZJ"/>
    <x v="2"/>
    <s v="Compra"/>
    <s v="SZR"/>
    <s v="ENEXS"/>
    <x v="1"/>
    <x v="255"/>
    <x v="2"/>
    <s v="SZR"/>
  </r>
  <r>
    <x v="762"/>
    <s v="ECO2"/>
    <s v="ECO2 PENINSULA"/>
    <n v="0.1"/>
    <s v="18W000000000K010"/>
    <x v="2"/>
    <s v="Compra"/>
    <s v="SZR"/>
    <s v="ENERY"/>
    <x v="1"/>
    <x v="256"/>
    <x v="2"/>
    <s v="SZR"/>
  </r>
  <r>
    <x v="763"/>
    <s v="ENFDC01"/>
    <s v="ENFDC01"/>
    <n v="11743.7"/>
    <s v="18W000000000H1ST"/>
    <x v="6"/>
    <s v="Compra"/>
    <s v="SZR"/>
    <s v="ENUFR"/>
    <x v="3"/>
    <x v="257"/>
    <x v="6"/>
    <s v="SZR"/>
  </r>
  <r>
    <x v="764"/>
    <s v="ENGLC01"/>
    <s v="ENGEL COMERCIALIZADORA"/>
    <n v="0.1"/>
    <s v="18W000000000QHCE"/>
    <x v="2"/>
    <s v="Compra"/>
    <s v="SZR"/>
    <s v="ENGEL"/>
    <x v="1"/>
    <x v="258"/>
    <x v="2"/>
    <s v="SZR"/>
  </r>
  <r>
    <x v="765"/>
    <s v="EDM"/>
    <s v="ENERGIAS DEL MEDITERRANEO"/>
    <n v="0.1"/>
    <s v="18W0000000001JA1"/>
    <x v="2"/>
    <s v="Compra"/>
    <s v="SZR"/>
    <s v="ENMED"/>
    <x v="1"/>
    <x v="259"/>
    <x v="2"/>
    <s v="SZR"/>
  </r>
  <r>
    <x v="766"/>
    <s v="ENMEV01"/>
    <s v="MENOS DE 1 MW"/>
    <n v="0.6"/>
    <s v="18W000000000RZ0H"/>
    <x v="1"/>
    <s v="Venta"/>
    <s v="SZR"/>
    <s v="ENMED"/>
    <x v="0"/>
    <x v="259"/>
    <x v="19"/>
    <s v="SZR"/>
  </r>
  <r>
    <x v="767"/>
    <s v="ENORVE"/>
    <s v="UP NORVENTO SLU"/>
    <n v="45.1"/>
    <s v="18W000000000R1SQ"/>
    <x v="11"/>
    <s v="Venta"/>
    <s v="SZR"/>
    <s v="EGLE"/>
    <x v="0"/>
    <x v="82"/>
    <x v="11"/>
    <s v="SZR"/>
  </r>
  <r>
    <x v="768"/>
    <s v="ENOUTA"/>
    <s v="UP PENOUTA"/>
    <n v="5.9"/>
    <s v="18WENOUTA-1234-K"/>
    <x v="11"/>
    <s v="Venta"/>
    <s v="SZR"/>
    <s v="NEXU"/>
    <x v="0"/>
    <x v="187"/>
    <x v="11"/>
    <s v="SZR"/>
  </r>
  <r>
    <x v="769"/>
    <s v="ENERPLUS"/>
    <s v="ENERPLUS ENERGIA, S.A."/>
    <n v="0.1"/>
    <s v="18WEPLUSENERGIA0"/>
    <x v="2"/>
    <s v="Compra"/>
    <s v="SZR"/>
    <s v="ENPEN"/>
    <x v="1"/>
    <x v="260"/>
    <x v="2"/>
    <s v="SZR"/>
  </r>
  <r>
    <x v="770"/>
    <s v="ENTECOP"/>
    <s v="ENTECO PHARMA"/>
    <n v="0.2"/>
    <s v="18W000000000P2DO"/>
    <x v="6"/>
    <s v="Compra"/>
    <s v="SZR"/>
    <s v="ENPHA"/>
    <x v="3"/>
    <x v="261"/>
    <x v="6"/>
    <s v="SZR"/>
  </r>
  <r>
    <x v="771"/>
    <s v="EKORE ADQ"/>
    <s v="EKORE ADQ"/>
    <n v="0.1"/>
    <s v="18W000000000T6ND"/>
    <x v="2"/>
    <s v="Compra"/>
    <s v="SZR"/>
    <s v="EKORE"/>
    <x v="1"/>
    <x v="262"/>
    <x v="2"/>
    <s v="SZR"/>
  </r>
  <r>
    <x v="772"/>
    <s v="ENRNC01"/>
    <s v="ENRNC01"/>
    <n v="0.1"/>
    <s v="18W000000000MBRI"/>
    <x v="2"/>
    <s v="Compra"/>
    <s v="SZR"/>
    <s v="ENRNV"/>
    <x v="1"/>
    <x v="263"/>
    <x v="2"/>
    <s v="SZR"/>
  </r>
  <r>
    <x v="773"/>
    <s v="ENRPC01"/>
    <s v="ENERPLUS SOCIEDAD COOPERATIVA"/>
    <n v="0.1"/>
    <s v="18WENRPC01-123-L"/>
    <x v="2"/>
    <s v="Compra"/>
    <s v="SZR"/>
    <s v="ENERP"/>
    <x v="1"/>
    <x v="264"/>
    <x v="2"/>
    <s v="SZR"/>
  </r>
  <r>
    <x v="774"/>
    <s v="ENERGYSAVE"/>
    <s v="ENERGYSAVE PROJECTS S.L."/>
    <n v="4"/>
    <s v="18WENSAC01-123-C"/>
    <x v="2"/>
    <s v="Compra"/>
    <s v="SZR"/>
    <s v="ENSAV"/>
    <x v="1"/>
    <x v="265"/>
    <x v="2"/>
    <s v="SZR"/>
  </r>
  <r>
    <x v="775"/>
    <s v="UEN"/>
    <s v="UEN FAB"/>
    <n v="0.5"/>
    <s v="18W0000000003F2L"/>
    <x v="6"/>
    <s v="Compra"/>
    <s v="SZR"/>
    <s v="ENTEX"/>
    <x v="3"/>
    <x v="266"/>
    <x v="6"/>
    <s v="SZR"/>
  </r>
  <r>
    <x v="776"/>
    <s v="ENUFRI"/>
    <s v="ENERGIA NUFRI SLU"/>
    <n v="0.5"/>
    <s v="18W0000000003KM3"/>
    <x v="2"/>
    <s v="Compra"/>
    <s v="SZR"/>
    <s v="ENUFR"/>
    <x v="1"/>
    <x v="257"/>
    <x v="2"/>
    <s v="SZR"/>
  </r>
  <r>
    <x v="777"/>
    <s v="ENUFRV1"/>
    <s v="ENUFRV1"/>
    <n v="26.9"/>
    <s v="18W000000000GXRD"/>
    <x v="10"/>
    <s v="Venta"/>
    <s v="SZR"/>
    <s v="ENUFR"/>
    <x v="0"/>
    <x v="257"/>
    <x v="10"/>
    <s v="SZR"/>
  </r>
  <r>
    <x v="778"/>
    <s v="ENUFRV4"/>
    <s v="ENUFRV4"/>
    <n v="0.3"/>
    <s v="18W000000000GXSB"/>
    <x v="1"/>
    <s v="Venta"/>
    <s v="SZR"/>
    <s v="ENUFR"/>
    <x v="0"/>
    <x v="257"/>
    <x v="19"/>
    <s v="SZR"/>
  </r>
  <r>
    <x v="779"/>
    <s v="ENUFRV5"/>
    <s v="ENUFRV5"/>
    <n v="8"/>
    <s v="18W000000000GYJQ"/>
    <x v="18"/>
    <s v="Venta"/>
    <s v="SZR"/>
    <s v="ENUFR"/>
    <x v="0"/>
    <x v="257"/>
    <x v="20"/>
    <s v="SZR"/>
  </r>
  <r>
    <x v="780"/>
    <s v="ENUFRV6"/>
    <s v="ENUFRV6"/>
    <n v="2"/>
    <s v="18W000000000GYLM"/>
    <x v="19"/>
    <s v="Venta"/>
    <s v="SZR"/>
    <s v="ENUFR"/>
    <x v="0"/>
    <x v="257"/>
    <x v="22"/>
    <s v="SZR"/>
  </r>
  <r>
    <x v="781"/>
    <s v="ENUFRV7"/>
    <s v="ENUFRV7"/>
    <n v="9.6"/>
    <s v="18W000000000I4JY"/>
    <x v="10"/>
    <s v="Venta"/>
    <s v="SZR"/>
    <s v="ENUFR"/>
    <x v="0"/>
    <x v="257"/>
    <x v="10"/>
    <s v="SZR"/>
  </r>
  <r>
    <x v="782"/>
    <s v="ENUFRV8"/>
    <s v="ENUFRV8"/>
    <n v="3.5"/>
    <s v="18W000000000N1PB"/>
    <x v="9"/>
    <s v="Venta"/>
    <s v="SZR"/>
    <s v="ENUFR"/>
    <x v="0"/>
    <x v="257"/>
    <x v="9"/>
    <s v="SZR"/>
  </r>
  <r>
    <x v="783"/>
    <s v="LA JARA 1"/>
    <s v="LA JARA 1"/>
    <n v="5.4"/>
    <s v="18W000000000NKDF"/>
    <x v="9"/>
    <s v="Venta"/>
    <s v="SZR"/>
    <s v="ENUFR"/>
    <x v="0"/>
    <x v="257"/>
    <x v="9"/>
    <s v="SZR"/>
  </r>
  <r>
    <x v="784"/>
    <s v="ENUFV10"/>
    <s v="ENUFV10"/>
    <n v="10"/>
    <s v="18W000000000OMHY"/>
    <x v="10"/>
    <s v="Venta"/>
    <s v="SZR"/>
    <s v="ENUFR"/>
    <x v="0"/>
    <x v="257"/>
    <x v="10"/>
    <s v="SZR"/>
  </r>
  <r>
    <x v="785"/>
    <s v="LA JARA 2"/>
    <s v="LA JARA 2"/>
    <n v="5.3"/>
    <s v="18W000000000P9W2"/>
    <x v="9"/>
    <s v="Venta"/>
    <s v="SZR"/>
    <s v="ENUFR"/>
    <x v="0"/>
    <x v="257"/>
    <x v="9"/>
    <s v="SZR"/>
  </r>
  <r>
    <x v="786"/>
    <s v="LA RASA 1"/>
    <s v="LA RASA 1"/>
    <n v="1"/>
    <s v="18W000000000PP66"/>
    <x v="9"/>
    <s v="Venta"/>
    <s v="SZR"/>
    <s v="ENUFR"/>
    <x v="0"/>
    <x v="257"/>
    <x v="9"/>
    <s v="SZR"/>
  </r>
  <r>
    <x v="787"/>
    <s v="ENUFV14"/>
    <s v="POAL FOTOVOLTAICA"/>
    <n v="2"/>
    <s v="18W000000000QW4M"/>
    <x v="9"/>
    <s v="Venta"/>
    <s v="SZR"/>
    <s v="ENUFR"/>
    <x v="0"/>
    <x v="257"/>
    <x v="9"/>
    <s v="SZR"/>
  </r>
  <r>
    <x v="788"/>
    <s v="ENUFV15"/>
    <s v="NUFRI SOLAR"/>
    <n v="1.8"/>
    <s v="18W000000000QW6I"/>
    <x v="9"/>
    <s v="Venta"/>
    <s v="SZR"/>
    <s v="ENUFR"/>
    <x v="0"/>
    <x v="257"/>
    <x v="9"/>
    <s v="SZR"/>
  </r>
  <r>
    <x v="789"/>
    <s v="ENUFV16"/>
    <s v="CASTELLANA DE ELECTRICIDAD"/>
    <n v="3"/>
    <s v="18W000000000R2TL"/>
    <x v="9"/>
    <s v="Venta"/>
    <s v="SZR"/>
    <s v="ENUFR"/>
    <x v="0"/>
    <x v="257"/>
    <x v="9"/>
    <s v="SZR"/>
  </r>
  <r>
    <x v="790"/>
    <s v="ENUFV18"/>
    <s v="MAS ROIG"/>
    <n v="5.4"/>
    <s v="18W000000000RVQE"/>
    <x v="9"/>
    <s v="Venta"/>
    <s v="SZR"/>
    <s v="ENUFR"/>
    <x v="0"/>
    <x v="257"/>
    <x v="9"/>
    <s v="SZR"/>
  </r>
  <r>
    <x v="791"/>
    <s v="ENUPCX1"/>
    <s v="ENUPCX1"/>
    <n v="9999"/>
    <s v="18W000000000OC7A"/>
    <x v="20"/>
    <s v="Compra"/>
    <s v="SZR"/>
    <s v="ENUFR"/>
    <x v="8"/>
    <x v="257"/>
    <x v="23"/>
    <s v="SZR"/>
  </r>
  <r>
    <x v="792"/>
    <s v="ENUPVX1"/>
    <s v="ENUPVX1"/>
    <n v="9999"/>
    <s v="18W000000000OC88"/>
    <x v="20"/>
    <s v="Venta"/>
    <s v="SZR"/>
    <s v="ENUFR"/>
    <x v="8"/>
    <x v="257"/>
    <x v="23"/>
    <s v="SZR"/>
  </r>
  <r>
    <x v="793"/>
    <s v="ENERVER"/>
    <s v="ENERVER ENERGIA"/>
    <n v="1"/>
    <s v="18W000000000IMUW"/>
    <x v="2"/>
    <s v="Compra"/>
    <s v="SZR"/>
    <s v="ENVER"/>
    <x v="1"/>
    <x v="267"/>
    <x v="2"/>
    <s v="SZR"/>
  </r>
  <r>
    <x v="794"/>
    <s v="ENTXX"/>
    <s v="ENTECO EXT"/>
    <n v="0.3"/>
    <s v="18W000000000P2EM"/>
    <x v="6"/>
    <s v="Compra"/>
    <s v="SZR"/>
    <s v="ENTXX"/>
    <x v="3"/>
    <x v="268"/>
    <x v="6"/>
    <s v="SZR"/>
  </r>
  <r>
    <x v="795"/>
    <s v="UP_ENEAC"/>
    <s v="UP_ZINQUETA"/>
    <n v="0.1"/>
    <s v="18W000000000K4PE"/>
    <x v="2"/>
    <s v="Compra"/>
    <s v="SZR"/>
    <s v="ENEAC"/>
    <x v="1"/>
    <x v="269"/>
    <x v="2"/>
    <s v="SZR"/>
  </r>
  <r>
    <x v="796"/>
    <s v="EOITAV"/>
    <s v="18WEOITAV-123--S"/>
    <n v="2.5"/>
    <s v="18WEOITAV-123--S"/>
    <x v="11"/>
    <s v="Venta"/>
    <s v="SZR"/>
    <s v="EGLE"/>
    <x v="0"/>
    <x v="82"/>
    <x v="11"/>
    <s v="SZR"/>
  </r>
  <r>
    <x v="797"/>
    <s v="EOLIADO"/>
    <s v="UP PE OLIADO MTORG"/>
    <n v="16"/>
    <s v="18W000000000TQ1Y"/>
    <x v="11"/>
    <s v="Venta"/>
    <s v="SZR"/>
    <s v="EGLE"/>
    <x v="0"/>
    <x v="82"/>
    <x v="11"/>
    <s v="SZR"/>
  </r>
  <r>
    <x v="798"/>
    <s v="EONUC01"/>
    <s v="E.ON CUR. COMPRA"/>
    <n v="255"/>
    <s v="18WEONUC01-1234U"/>
    <x v="2"/>
    <s v="Compra"/>
    <s v="SZR"/>
    <s v="EONUR"/>
    <x v="10"/>
    <x v="270"/>
    <x v="26"/>
    <s v="SZR"/>
  </r>
  <r>
    <x v="799"/>
    <s v="EOP"/>
    <s v="ENERGIA OPERATIVA S.L."/>
    <n v="1.5"/>
    <s v="18WEOP2C01-12--E"/>
    <x v="2"/>
    <s v="Compra"/>
    <s v="SZR"/>
    <s v="EOP20"/>
    <x v="1"/>
    <x v="271"/>
    <x v="2"/>
    <s v="SZR"/>
  </r>
  <r>
    <x v="800"/>
    <s v="ORKOIEN"/>
    <s v="PE ORKOIEN"/>
    <n v="5.7"/>
    <s v="18W000000000Q4CG"/>
    <x v="11"/>
    <s v="Venta"/>
    <s v="SZR"/>
    <s v="HISPE"/>
    <x v="0"/>
    <x v="43"/>
    <x v="11"/>
    <s v="SZR"/>
  </r>
  <r>
    <x v="801"/>
    <s v="EORTIV"/>
    <s v="18WEORTIV-1234-R"/>
    <n v="2.9"/>
    <s v="18WEORTIV-1234-R"/>
    <x v="11"/>
    <s v="Venta"/>
    <s v="SZR"/>
    <s v="EGLE"/>
    <x v="0"/>
    <x v="82"/>
    <x v="11"/>
    <s v="SZR"/>
  </r>
  <r>
    <x v="802"/>
    <s v="EOLICA GN"/>
    <s v="EOLICA GN PR"/>
    <n v="87.6"/>
    <s v="18W000000000D4IJ"/>
    <x v="11"/>
    <s v="Venta"/>
    <s v="SZR"/>
    <s v="GNRA"/>
    <x v="0"/>
    <x v="46"/>
    <x v="11"/>
    <s v="SZR"/>
  </r>
  <r>
    <x v="803"/>
    <s v="EOUROL"/>
    <s v="18WEOUROL-1234-3"/>
    <n v="18"/>
    <s v="18WEOUROL-1234-3"/>
    <x v="11"/>
    <s v="Venta"/>
    <s v="SZR"/>
    <s v="EGLE"/>
    <x v="0"/>
    <x v="82"/>
    <x v="11"/>
    <s v="SZR"/>
  </r>
  <r>
    <x v="804"/>
    <s v="EPACC01"/>
    <s v="EPACC01"/>
    <n v="0.1"/>
    <s v="18W000000000IWU2"/>
    <x v="2"/>
    <s v="Compra"/>
    <s v="SZR"/>
    <s v="EPAC"/>
    <x v="1"/>
    <x v="272"/>
    <x v="2"/>
    <s v="SZR"/>
  </r>
  <r>
    <x v="805"/>
    <s v="EAEPALOMAR"/>
    <s v="EÓLICO ALDESA EOLICO PALOMAREJO, S.A.U."/>
    <n v="30"/>
    <s v="18WEPALOM-1234-4"/>
    <x v="11"/>
    <s v="Venta"/>
    <s v="SZR"/>
    <s v="WMARK"/>
    <x v="0"/>
    <x v="22"/>
    <x v="11"/>
    <s v="SZR"/>
  </r>
  <r>
    <x v="806"/>
    <s v="PE PARIDER"/>
    <s v="PARQUE ELICO PARIDERAS"/>
    <n v="23.1"/>
    <s v="18W000000000OVQQ"/>
    <x v="11"/>
    <s v="Venta"/>
    <s v="EN1"/>
    <s v="EBLCO"/>
    <x v="0"/>
    <x v="158"/>
    <x v="11"/>
    <s v="EN1"/>
  </r>
  <r>
    <x v="807"/>
    <s v="PE PATRON"/>
    <s v="PARQUE EOLICO EL PATRON"/>
    <n v="24"/>
    <s v="18W000000000SWMF"/>
    <x v="11"/>
    <s v="Venta"/>
    <s v="SZR"/>
    <s v="EBLCO"/>
    <x v="0"/>
    <x v="158"/>
    <x v="11"/>
    <s v="SZR"/>
  </r>
  <r>
    <x v="808"/>
    <s v="EPBUIO"/>
    <s v="PARQUES EOLICOS DE BUIO"/>
    <n v="87.1"/>
    <s v="18WEPBUIO-1234-F"/>
    <x v="11"/>
    <s v="Venta"/>
    <s v="SZR"/>
    <s v="EGED"/>
    <x v="0"/>
    <x v="186"/>
    <x v="11"/>
    <s v="SZR"/>
  </r>
  <r>
    <x v="809"/>
    <s v="EPBUIO1"/>
    <s v="EPBUIO1"/>
    <n v="93.6"/>
    <s v="18W0000000000YQ2"/>
    <x v="11"/>
    <s v="Venta"/>
    <s v="SZR"/>
    <s v="EGED"/>
    <x v="0"/>
    <x v="186"/>
    <x v="11"/>
    <s v="SZR"/>
  </r>
  <r>
    <x v="810"/>
    <s v="PNDRAS"/>
    <s v="PANADERAS"/>
    <n v="45"/>
    <s v="18W000000000QQ9U"/>
    <x v="11"/>
    <s v="Venta"/>
    <s v="SZR"/>
    <s v="GESTE"/>
    <x v="0"/>
    <x v="219"/>
    <x v="11"/>
    <s v="SZR"/>
  </r>
  <r>
    <x v="811"/>
    <s v="EPEAFG"/>
    <s v="P E AMEIXENDA - FILGUEIRA"/>
    <n v="34.799999999999997"/>
    <s v="18WEPEAFG-123-1P"/>
    <x v="11"/>
    <s v="Venta"/>
    <s v="SZR"/>
    <s v="EGED"/>
    <x v="0"/>
    <x v="186"/>
    <x v="11"/>
    <s v="SZR"/>
  </r>
  <r>
    <x v="812"/>
    <s v="EPEBAN"/>
    <s v="18WEPEBAN-1234-U"/>
    <n v="36"/>
    <s v="18WEPEBAN-1234-U"/>
    <x v="11"/>
    <s v="Venta"/>
    <s v="SZR"/>
    <s v="EGLE"/>
    <x v="0"/>
    <x v="82"/>
    <x v="11"/>
    <s v="SZR"/>
  </r>
  <r>
    <x v="813"/>
    <s v="EPEBECE"/>
    <s v="EPEBECE"/>
    <n v="31"/>
    <s v="18W000000000PRM5"/>
    <x v="11"/>
    <s v="Venta"/>
    <s v="EVM"/>
    <s v="CEG"/>
    <x v="0"/>
    <x v="124"/>
    <x v="11"/>
    <s v="EVM"/>
  </r>
  <r>
    <x v="814"/>
    <s v="UP PEBESA"/>
    <s v="UP EOLICA PEBESA"/>
    <n v="4"/>
    <s v="18W000000000797D"/>
    <x v="11"/>
    <s v="Venta"/>
    <s v="SZR"/>
    <s v="NEXU"/>
    <x v="0"/>
    <x v="187"/>
    <x v="11"/>
    <s v="SZR"/>
  </r>
  <r>
    <x v="815"/>
    <s v="EPECOTE"/>
    <s v="COTEREJON - TARIFA &gt;10"/>
    <n v="18"/>
    <s v="18WEPECOTE-123-O"/>
    <x v="11"/>
    <s v="Venta"/>
    <s v="EVM2"/>
    <s v="CEG"/>
    <x v="0"/>
    <x v="124"/>
    <x v="11"/>
    <s v="VM2"/>
  </r>
  <r>
    <x v="816"/>
    <s v="PEPEDROLA"/>
    <s v="PEPEDROLA"/>
    <n v="20.7"/>
    <s v="18W000000000MET5"/>
    <x v="11"/>
    <s v="Venta"/>
    <s v="NEXUS"/>
    <s v="NEXU"/>
    <x v="0"/>
    <x v="187"/>
    <x v="11"/>
    <s v="NEX"/>
  </r>
  <r>
    <x v="817"/>
    <s v="EPEEXXI"/>
    <s v="ENDESA CUR ( EÓLICA, PRUEBAS)"/>
    <n v="0"/>
    <s v="18WEPEEXXI-123-B"/>
    <x v="11"/>
    <s v="Venta"/>
    <s v="SZR"/>
    <s v="EEXXI"/>
    <x v="0"/>
    <x v="72"/>
    <x v="11"/>
    <s v="SZR"/>
  </r>
  <r>
    <x v="818"/>
    <s v="EPEGLE"/>
    <s v="18WEPEGLE-1234-R"/>
    <n v="9.9"/>
    <s v="18WEPEGLE-1234-R"/>
    <x v="11"/>
    <s v="Venta"/>
    <s v="SZR"/>
    <s v="EGLE"/>
    <x v="0"/>
    <x v="82"/>
    <x v="11"/>
    <s v="SZR"/>
  </r>
  <r>
    <x v="819"/>
    <s v="EPENUCA"/>
    <s v="EPENUCA"/>
    <n v="33"/>
    <s v="18W000000000Q7NM"/>
    <x v="11"/>
    <s v="Venta"/>
    <s v="SZR"/>
    <s v="CEG"/>
    <x v="0"/>
    <x v="124"/>
    <x v="11"/>
    <s v="SZR"/>
  </r>
  <r>
    <x v="820"/>
    <s v="EPEONUR"/>
    <s v="E.ON CUR ( EÓLICA, PRUEBAS)"/>
    <n v="0"/>
    <s v="18WEPEONUR-12--B"/>
    <x v="11"/>
    <s v="Venta"/>
    <s v="SZR"/>
    <s v="EONUR"/>
    <x v="0"/>
    <x v="270"/>
    <x v="11"/>
    <s v="SZR"/>
  </r>
  <r>
    <x v="821"/>
    <s v="EPEPUR"/>
    <s v="18WEPEPUR-1234-B"/>
    <n v="42"/>
    <s v="18WEPEPUR-1234-B"/>
    <x v="11"/>
    <s v="Venta"/>
    <s v="SZR"/>
    <s v="EGLE"/>
    <x v="0"/>
    <x v="82"/>
    <x v="11"/>
    <s v="SZR"/>
  </r>
  <r>
    <x v="822"/>
    <s v="EPERTO"/>
    <s v="UP ELICA DEL PUERTO SL"/>
    <n v="5"/>
    <s v="18W000000000RG9J"/>
    <x v="11"/>
    <s v="Venta"/>
    <s v="SZR"/>
    <s v="EGLE"/>
    <x v="0"/>
    <x v="82"/>
    <x v="11"/>
    <s v="SZR"/>
  </r>
  <r>
    <x v="823"/>
    <s v="EPEVIG"/>
    <s v="PARQUE EOLICO DE VICEDO"/>
    <n v="24.6"/>
    <s v="18WEPEVIG-123-1A"/>
    <x v="11"/>
    <s v="Venta"/>
    <s v="SZR"/>
    <s v="EGED"/>
    <x v="0"/>
    <x v="186"/>
    <x v="11"/>
    <s v="SZR"/>
  </r>
  <r>
    <x v="824"/>
    <s v="EPHCCUR"/>
    <s v="HIDROCANTABRICO CUR ( EÓLICA, PRUEBAS)"/>
    <n v="0"/>
    <s v="18WEPHCCUR-123-0"/>
    <x v="11"/>
    <s v="Venta"/>
    <s v="SZR"/>
    <s v="HCCUR"/>
    <x v="0"/>
    <x v="273"/>
    <x v="11"/>
    <s v="SZR"/>
  </r>
  <r>
    <x v="825"/>
    <s v="PI"/>
    <s v="PI EOLICO"/>
    <n v="19.600000000000001"/>
    <s v="18W000000000P4YD"/>
    <x v="11"/>
    <s v="Venta"/>
    <s v="SZR"/>
    <s v="REPSB"/>
    <x v="0"/>
    <x v="29"/>
    <x v="11"/>
    <s v="SZR"/>
  </r>
  <r>
    <x v="826"/>
    <s v="EPIBCUR"/>
    <s v="IBERDROLA CUR ( EÓLICA, PRUEBAS)"/>
    <n v="0"/>
    <s v="18WEPIBCUR-12--B"/>
    <x v="11"/>
    <s v="Venta"/>
    <s v="SZR"/>
    <s v="IBCUR"/>
    <x v="0"/>
    <x v="7"/>
    <x v="11"/>
    <s v="SZR"/>
  </r>
  <r>
    <x v="827"/>
    <s v="EPILA"/>
    <s v="EPILA"/>
    <n v="0.5"/>
    <s v="18W000000000M7ZE"/>
    <x v="6"/>
    <s v="Compra"/>
    <s v="SZR"/>
    <s v="EPILA"/>
    <x v="3"/>
    <x v="274"/>
    <x v="6"/>
    <s v="SZR"/>
  </r>
  <r>
    <x v="828"/>
    <s v="EPLATA"/>
    <s v="EOLICA LA PLATA"/>
    <n v="21.2"/>
    <s v="18W000000000IQQS"/>
    <x v="11"/>
    <s v="Venta"/>
    <s v="SZR"/>
    <s v="NEXU"/>
    <x v="0"/>
    <x v="187"/>
    <x v="11"/>
    <s v="SZR"/>
  </r>
  <r>
    <x v="829"/>
    <s v="PLEN1"/>
    <s v="PLEN1"/>
    <n v="48.1"/>
    <s v="18W000000000QT7P"/>
    <x v="11"/>
    <s v="Venta"/>
    <s v="SZR"/>
    <s v="HISPE"/>
    <x v="0"/>
    <x v="43"/>
    <x v="11"/>
    <s v="SZR"/>
  </r>
  <r>
    <x v="830"/>
    <s v="ELPLOMAS"/>
    <s v="EOLICA LAS LOMAS LANJARON"/>
    <n v="15"/>
    <s v="18W000000000FZKP"/>
    <x v="11"/>
    <s v="Venta"/>
    <s v="SZR"/>
    <s v="NEXU"/>
    <x v="0"/>
    <x v="187"/>
    <x v="11"/>
    <s v="SZR"/>
  </r>
  <r>
    <x v="831"/>
    <s v="EPMULTI"/>
    <s v="EPMULTI"/>
    <n v="36"/>
    <s v="18W000000000POVX"/>
    <x v="11"/>
    <s v="Venta"/>
    <s v="EVM"/>
    <s v="CEG"/>
    <x v="0"/>
    <x v="124"/>
    <x v="11"/>
    <s v="EVM"/>
  </r>
  <r>
    <x v="832"/>
    <s v="UP OUROL"/>
    <s v="UP EOLICA OUROL"/>
    <n v="22.5"/>
    <s v="18W000000000HTOR"/>
    <x v="11"/>
    <s v="Venta"/>
    <s v="NEXUS"/>
    <s v="NEXU"/>
    <x v="0"/>
    <x v="187"/>
    <x v="11"/>
    <s v="NEX"/>
  </r>
  <r>
    <x v="833"/>
    <s v="EPOZAL"/>
    <s v="18WEPOZAL-1234-T"/>
    <n v="1.5"/>
    <s v="18WEPOZAL-1234-T"/>
    <x v="11"/>
    <s v="Venta"/>
    <s v="SZR"/>
    <s v="EGLE"/>
    <x v="0"/>
    <x v="82"/>
    <x v="11"/>
    <s v="SZR"/>
  </r>
  <r>
    <x v="834"/>
    <s v="EPPJAR"/>
    <s v="18WEPPJAR-123-1U"/>
    <n v="49.5"/>
    <s v="18WEPPJAR-123-1U"/>
    <x v="11"/>
    <s v="Venta"/>
    <s v="SZR"/>
    <s v="EGLE"/>
    <x v="0"/>
    <x v="82"/>
    <x v="11"/>
    <s v="SZR"/>
  </r>
  <r>
    <x v="835"/>
    <s v="EPPOZA"/>
    <s v="EPPOZA"/>
    <n v="97.6"/>
    <s v="18WEPPOZA-1234-S"/>
    <x v="11"/>
    <s v="Venta"/>
    <s v="SZR"/>
    <s v="IGNIS"/>
    <x v="0"/>
    <x v="28"/>
    <x v="11"/>
    <s v="SZR"/>
  </r>
  <r>
    <x v="836"/>
    <s v="EPRADA"/>
    <s v="PE LA LOMA"/>
    <n v="28.6"/>
    <s v="18W000000000ONE0"/>
    <x v="11"/>
    <s v="Venta"/>
    <s v="AXPO"/>
    <s v="EGLE"/>
    <x v="0"/>
    <x v="82"/>
    <x v="11"/>
    <s v="AXP"/>
  </r>
  <r>
    <x v="837"/>
    <s v="EPRADA2"/>
    <s v="UP PINGUIN"/>
    <n v="100"/>
    <s v="18W000000000R3SK"/>
    <x v="11"/>
    <s v="Venta"/>
    <s v="AXPO"/>
    <s v="EGLE"/>
    <x v="0"/>
    <x v="82"/>
    <x v="11"/>
    <s v="AXP"/>
  </r>
  <r>
    <x v="838"/>
    <s v="EPRADA3"/>
    <s v="UP INS SAN CEBRIAN PRADA"/>
    <n v="39.6"/>
    <s v="18W000000000SF6O"/>
    <x v="11"/>
    <s v="Venta"/>
    <s v="SZR"/>
    <s v="EGLE"/>
    <x v="0"/>
    <x v="82"/>
    <x v="11"/>
    <s v="SZR"/>
  </r>
  <r>
    <x v="839"/>
    <s v="EPRADA4"/>
    <s v="UP PE LAS ATALAYAS"/>
    <n v="49.5"/>
    <s v="18W000000000T24Q"/>
    <x v="11"/>
    <s v="Venta"/>
    <s v="SZR"/>
    <s v="EGLE"/>
    <x v="0"/>
    <x v="82"/>
    <x v="11"/>
    <s v="SZR"/>
  </r>
  <r>
    <x v="840"/>
    <s v="EPROTO"/>
    <s v="18WEPROTO-1234-M"/>
    <n v="3"/>
    <s v="18WEPROTO-1234-M"/>
    <x v="11"/>
    <s v="Venta"/>
    <s v="SZR"/>
    <s v="EGLE"/>
    <x v="0"/>
    <x v="82"/>
    <x v="11"/>
    <s v="SZR"/>
  </r>
  <r>
    <x v="841"/>
    <s v="EPRESA CO"/>
    <s v="EPRESA ENERGIA, S.A.U."/>
    <n v="9999"/>
    <s v="18WEPRSC01-12-2A"/>
    <x v="2"/>
    <s v="Compra"/>
    <s v="SZR"/>
    <s v="EPRSA"/>
    <x v="1"/>
    <x v="275"/>
    <x v="2"/>
    <s v="SZR"/>
  </r>
  <r>
    <x v="842"/>
    <s v="EPTRIZ"/>
    <s v="18W000000000N3VU"/>
    <n v="49.9"/>
    <s v="18W000000000N3VU"/>
    <x v="11"/>
    <s v="Venta"/>
    <s v="SZR"/>
    <s v="EGLE"/>
    <x v="0"/>
    <x v="82"/>
    <x v="11"/>
    <s v="SZR"/>
  </r>
  <r>
    <x v="843"/>
    <s v="EPU50"/>
    <s v="ENCE ENERGIA PUERTOLLANO"/>
    <n v="50"/>
    <s v="18W000000000FFIF"/>
    <x v="19"/>
    <s v="Venta"/>
    <s v="ENCE"/>
    <s v="PU100"/>
    <x v="0"/>
    <x v="211"/>
    <x v="22"/>
    <s v="ENC"/>
  </r>
  <r>
    <x v="844"/>
    <s v="EPUEYO"/>
    <s v="18WEPUEYO-123--M"/>
    <n v="4.9000000000000004"/>
    <s v="18WEPUEYO-123--M"/>
    <x v="11"/>
    <s v="Venta"/>
    <s v="SZR"/>
    <s v="EGLE"/>
    <x v="0"/>
    <x v="82"/>
    <x v="11"/>
    <s v="SZR"/>
  </r>
  <r>
    <x v="845"/>
    <s v="ERALTA"/>
    <s v="18WERALTA-1234-V"/>
    <n v="34"/>
    <s v="18WERALTA-1234-V"/>
    <x v="11"/>
    <s v="Venta"/>
    <s v="SZR"/>
    <s v="EGLE"/>
    <x v="0"/>
    <x v="82"/>
    <x v="11"/>
    <s v="SZR"/>
  </r>
  <r>
    <x v="846"/>
    <s v="ERANCHO"/>
    <s v="UP EOLICA RANCHOV"/>
    <n v="14.4"/>
    <s v="18W000000000N3CV"/>
    <x v="11"/>
    <s v="Venta"/>
    <s v="SZR"/>
    <s v="NEXU"/>
    <x v="0"/>
    <x v="187"/>
    <x v="11"/>
    <s v="SZR"/>
  </r>
  <r>
    <x v="847"/>
    <s v="EREA"/>
    <s v="EREA"/>
    <n v="40.700000000000003"/>
    <s v="18W000000000P1LB"/>
    <x v="11"/>
    <s v="Venta"/>
    <s v="SZR"/>
    <s v="HISPE"/>
    <x v="0"/>
    <x v="43"/>
    <x v="11"/>
    <s v="SZR"/>
  </r>
  <r>
    <x v="848"/>
    <s v="EREDON"/>
    <s v="EOLICA EL REDONDAL"/>
    <n v="30.6"/>
    <s v="18W000000000IQRQ"/>
    <x v="11"/>
    <s v="Venta"/>
    <s v="SZR"/>
    <s v="NEXU"/>
    <x v="0"/>
    <x v="187"/>
    <x v="11"/>
    <s v="SZR"/>
  </r>
  <r>
    <x v="849"/>
    <s v="EREGPEM"/>
    <s v="REPRESENTADA MERCADOS DE AJUSTE"/>
    <n v="603.6"/>
    <s v="18WEREGPEM-123-F"/>
    <x v="11"/>
    <s v="Venta"/>
    <s v="SZR"/>
    <s v="ECYR"/>
    <x v="0"/>
    <x v="72"/>
    <x v="11"/>
    <s v="SZR"/>
  </r>
  <r>
    <x v="850"/>
    <s v="EREGPES"/>
    <s v="EREGPES EOL SEC"/>
    <n v="245.7"/>
    <s v="18W000000000RVLO"/>
    <x v="11"/>
    <s v="Venta"/>
    <s v="END"/>
    <s v="ECYR"/>
    <x v="0"/>
    <x v="72"/>
    <x v="11"/>
    <s v="END"/>
  </r>
  <r>
    <x v="851"/>
    <s v="ERENC01"/>
    <s v="ENDESA ENERGIA RENOVABLE"/>
    <n v="0"/>
    <s v="18W000000000FBJP"/>
    <x v="2"/>
    <s v="Compra"/>
    <s v="SZR"/>
    <s v="EEREN"/>
    <x v="1"/>
    <x v="72"/>
    <x v="2"/>
    <s v="SZR"/>
  </r>
  <r>
    <x v="852"/>
    <s v="EREPSOL"/>
    <s v="EREPSOL"/>
    <n v="334.8"/>
    <s v="18W000000000IVA8"/>
    <x v="11"/>
    <s v="Venta"/>
    <s v="SZR"/>
    <s v="REPSB"/>
    <x v="0"/>
    <x v="29"/>
    <x v="11"/>
    <s v="SZR"/>
  </r>
  <r>
    <x v="853"/>
    <s v="ERIANSA"/>
    <s v="PARQUE EOLICO RIANSARES"/>
    <n v="17.3"/>
    <s v="18W000000000OY3Q"/>
    <x v="11"/>
    <s v="Venta"/>
    <s v="SZR"/>
    <s v="EBLCO"/>
    <x v="0"/>
    <x v="158"/>
    <x v="11"/>
    <s v="SZR"/>
  </r>
  <r>
    <x v="854"/>
    <s v="ROCHA"/>
    <s v="ROCHA"/>
    <n v="80"/>
    <s v="18W000000000RG3V"/>
    <x v="11"/>
    <s v="Venta"/>
    <s v="SZR"/>
    <s v="REPSB"/>
    <x v="0"/>
    <x v="29"/>
    <x v="11"/>
    <s v="SZR"/>
  </r>
  <r>
    <x v="855"/>
    <s v="EROME"/>
    <s v="EROME"/>
    <n v="14.4"/>
    <s v="18W000000000SP06"/>
    <x v="11"/>
    <s v="Venta"/>
    <s v="SZR"/>
    <s v="REPSB"/>
    <x v="0"/>
    <x v="29"/>
    <x v="11"/>
    <s v="SZR"/>
  </r>
  <r>
    <x v="856"/>
    <s v="ERONDA"/>
    <s v="PARQUE EOLICO RONDAVINO"/>
    <n v="2"/>
    <s v="18W00000000032U4"/>
    <x v="11"/>
    <s v="Venta"/>
    <s v="SZR"/>
    <s v="WMARK"/>
    <x v="0"/>
    <x v="22"/>
    <x v="11"/>
    <s v="SZR"/>
  </r>
  <r>
    <x v="857"/>
    <s v="EROUTE"/>
    <s v="ELECTROROUTE ENERGY TRADING LIMITED"/>
    <n v="50"/>
    <s v="18WELECTROROUTEP"/>
    <x v="16"/>
    <s v="Compra"/>
    <s v="SZR"/>
    <s v="EROUT"/>
    <x v="7"/>
    <x v="276"/>
    <x v="16"/>
    <s v="SZR"/>
  </r>
  <r>
    <x v="858"/>
    <s v="EROUT"/>
    <s v="ELECTROROUTE ENERGY TRADING LIMITED"/>
    <n v="50"/>
    <s v="18WEROUVP3-123-F"/>
    <x v="17"/>
    <s v="Venta"/>
    <s v="SZR"/>
    <s v="EROUT"/>
    <x v="7"/>
    <x v="276"/>
    <x v="17"/>
    <s v="SZR"/>
  </r>
  <r>
    <x v="859"/>
    <s v="UP COMPRA"/>
    <s v="UP COMPRA ENERGETICA"/>
    <n v="5"/>
    <s v="18W000000000Q8E0"/>
    <x v="2"/>
    <s v="Compra"/>
    <s v="SZR"/>
    <s v="ENEDJ"/>
    <x v="1"/>
    <x v="277"/>
    <x v="2"/>
    <s v="SZR"/>
  </r>
  <r>
    <x v="860"/>
    <s v="UP PER FV"/>
    <s v="UNIDAD DE PROGRAMACION PARA EL PORFOLIO FV"/>
    <n v="10.5"/>
    <s v="18W000000000QOJG"/>
    <x v="9"/>
    <s v="Venta"/>
    <s v="SZR"/>
    <s v="ENEDJ"/>
    <x v="0"/>
    <x v="277"/>
    <x v="9"/>
    <s v="SZR"/>
  </r>
  <r>
    <x v="861"/>
    <s v="UP GEN FV"/>
    <s v="UP GENERICA FV ENERGETICA"/>
    <n v="2"/>
    <s v="18W000000000R37P"/>
    <x v="9"/>
    <s v="Venta"/>
    <s v="SZR"/>
    <s v="ENEDJ"/>
    <x v="0"/>
    <x v="277"/>
    <x v="9"/>
    <s v="SZR"/>
  </r>
  <r>
    <x v="862"/>
    <s v="UP PER H"/>
    <s v="UNIDAD DE PROGRAMACION PARA PORTFOLIA HIDRAULICO"/>
    <n v="1.9"/>
    <s v="18W000000000QV9F"/>
    <x v="1"/>
    <s v="Venta"/>
    <s v="SZR"/>
    <s v="ENEDJ"/>
    <x v="0"/>
    <x v="277"/>
    <x v="19"/>
    <s v="SZR"/>
  </r>
  <r>
    <x v="863"/>
    <s v="UPHMENOR1"/>
    <s v="UP PER H MENOR 1"/>
    <n v="0.8"/>
    <s v="18W000000000SI6F"/>
    <x v="1"/>
    <s v="Venta"/>
    <s v="SZR"/>
    <s v="ENEDJ"/>
    <x v="0"/>
    <x v="277"/>
    <x v="19"/>
    <s v="SZR"/>
  </r>
  <r>
    <x v="864"/>
    <s v="ERRIBGE"/>
    <s v="EOLICAS RENOVABLES RIOJA"/>
    <n v="106.8"/>
    <s v="18W000000000SNGH"/>
    <x v="11"/>
    <s v="Venta"/>
    <s v="SZR"/>
    <s v="IBGES"/>
    <x v="0"/>
    <x v="7"/>
    <x v="11"/>
    <s v="SZR"/>
  </r>
  <r>
    <x v="865"/>
    <s v="ERUNAG"/>
    <s v="PARQUE EOLICO A RUÑA"/>
    <n v="24.6"/>
    <s v="18WERUNAG--12-1K"/>
    <x v="11"/>
    <s v="Venta"/>
    <s v="SZR"/>
    <s v="EGED"/>
    <x v="0"/>
    <x v="186"/>
    <x v="11"/>
    <s v="SZR"/>
  </r>
  <r>
    <x v="866"/>
    <s v="CAÑADA"/>
    <s v="FV CAÑADA LENTISCO"/>
    <n v="4.4000000000000004"/>
    <s v="18W000000000POP8"/>
    <x v="9"/>
    <s v="Venta"/>
    <s v="SZR"/>
    <s v="EPYM"/>
    <x v="0"/>
    <x v="278"/>
    <x v="9"/>
    <s v="SZR"/>
  </r>
  <r>
    <x v="867"/>
    <s v="MAZARRON"/>
    <s v="MAZARRON SOLIDA"/>
    <n v="4.5"/>
    <s v="18W000000000PY6G"/>
    <x v="9"/>
    <s v="Venta"/>
    <s v="SZR"/>
    <s v="ISMSL"/>
    <x v="0"/>
    <x v="279"/>
    <x v="9"/>
    <s v="SZR"/>
  </r>
  <r>
    <x v="868"/>
    <s v="MAYA"/>
    <s v="MAYA"/>
    <n v="2.7"/>
    <s v="18W000000000PW4Q"/>
    <x v="9"/>
    <s v="Venta"/>
    <s v="SZR"/>
    <s v="ISMSL"/>
    <x v="0"/>
    <x v="279"/>
    <x v="9"/>
    <s v="SZR"/>
  </r>
  <r>
    <x v="869"/>
    <s v="UP HCABB"/>
    <s v="UP HCABB"/>
    <n v="6.7"/>
    <s v="18W000000000Q411"/>
    <x v="1"/>
    <s v="Venta"/>
    <s v="SZR"/>
    <s v="GEMSL"/>
    <x v="0"/>
    <x v="280"/>
    <x v="19"/>
    <s v="SZR"/>
  </r>
  <r>
    <x v="870"/>
    <s v="UP RCABB"/>
    <s v="UP RCABB"/>
    <n v="3.3"/>
    <s v="18W000000000Q403"/>
    <x v="18"/>
    <s v="Venta"/>
    <s v="SZR"/>
    <s v="GEMSL"/>
    <x v="0"/>
    <x v="280"/>
    <x v="20"/>
    <s v="SZR"/>
  </r>
  <r>
    <x v="871"/>
    <s v="UPROCI2"/>
    <s v="ROLWIND HUELVA 2 SLU"/>
    <n v="46"/>
    <s v="18W000000000Q0AW"/>
    <x v="9"/>
    <s v="Venta"/>
    <s v="IGR"/>
    <s v="IGNIS"/>
    <x v="0"/>
    <x v="28"/>
    <x v="9"/>
    <s v="IGR"/>
  </r>
  <r>
    <x v="872"/>
    <s v="PESANCHOA"/>
    <s v="PESANCHOA"/>
    <n v="10.199999999999999"/>
    <s v="18W000000000MEQB"/>
    <x v="11"/>
    <s v="Venta"/>
    <s v="SZR"/>
    <s v="NEXU"/>
    <x v="0"/>
    <x v="187"/>
    <x v="11"/>
    <s v="SZR"/>
  </r>
  <r>
    <x v="873"/>
    <s v="ESARDON"/>
    <s v="EOLICA EL SARDON"/>
    <n v="25.5"/>
    <s v="18W000000000IQTM"/>
    <x v="11"/>
    <s v="Venta"/>
    <s v="SZR"/>
    <s v="NEXU"/>
    <x v="0"/>
    <x v="187"/>
    <x v="11"/>
    <s v="SZR"/>
  </r>
  <r>
    <x v="874"/>
    <s v="SASDONIGAS"/>
    <s v="SASDONIGAS 1"/>
    <n v="18"/>
    <s v="18W000000000P6NT"/>
    <x v="11"/>
    <s v="Venta"/>
    <s v="SZR"/>
    <s v="HISPE"/>
    <x v="0"/>
    <x v="43"/>
    <x v="11"/>
    <s v="SZR"/>
  </r>
  <r>
    <x v="875"/>
    <s v="PESAVILA"/>
    <s v="ELICA SIERRA DE AVILA SL"/>
    <n v="68.2"/>
    <s v="18W000000000P3AR"/>
    <x v="11"/>
    <s v="Venta"/>
    <s v="SZR"/>
    <s v="IGNIS"/>
    <x v="0"/>
    <x v="28"/>
    <x v="11"/>
    <s v="SZR"/>
  </r>
  <r>
    <x v="876"/>
    <s v="ESBUS"/>
    <s v="ESTACION AUTOBUSES"/>
    <n v="0.1"/>
    <s v="18W0000000005WMX"/>
    <x v="6"/>
    <s v="Compra"/>
    <s v="SZR"/>
    <s v="ESBUS"/>
    <x v="3"/>
    <x v="281"/>
    <x v="6"/>
    <s v="SZR"/>
  </r>
  <r>
    <x v="877"/>
    <s v="ESC IBER 6"/>
    <s v="C.T.C.C.ESCOMBRERAS"/>
    <n v="815.6"/>
    <s v="18WESC6-12345-07"/>
    <x v="8"/>
    <s v="Venta"/>
    <s v="IBEG"/>
    <s v="IBGT"/>
    <x v="0"/>
    <x v="7"/>
    <x v="8"/>
    <s v="IMA"/>
  </r>
  <r>
    <x v="878"/>
    <s v="ESCANDELLA"/>
    <s v="ESCANDELLA COGEN"/>
    <n v="6.5"/>
    <s v="18WESCANDE-12--V"/>
    <x v="10"/>
    <s v="Venta"/>
    <s v="SZR"/>
    <s v="LMER"/>
    <x v="0"/>
    <x v="89"/>
    <x v="10"/>
    <s v="SZR"/>
  </r>
  <r>
    <x v="879"/>
    <s v="ESCCC1"/>
    <s v="CCGT GDF SUEZ CARTAGENA ENERGÍA ESCOMBRERAS GRUPO I"/>
    <n v="402.6"/>
    <s v="18WESCCC1-123-0T"/>
    <x v="8"/>
    <s v="Venta"/>
    <s v="GDF"/>
    <s v="CARTA"/>
    <x v="0"/>
    <x v="158"/>
    <x v="8"/>
    <s v="GDF"/>
  </r>
  <r>
    <x v="880"/>
    <s v="ESCCC1X"/>
    <s v="UP ADQUISICIÓN SSAA ESCCC1"/>
    <n v="8"/>
    <s v="18WESCCC1X--1--D"/>
    <x v="5"/>
    <s v="Compra"/>
    <s v="SZR"/>
    <s v="CARTA"/>
    <x v="2"/>
    <x v="158"/>
    <x v="5"/>
    <s v="SZR"/>
  </r>
  <r>
    <x v="881"/>
    <s v="ESC GDF 2"/>
    <s v="CCGT GDF SUEZ CARTAGENA ENERGÍA ESCOMBRERAS GRUPO II"/>
    <n v="401.3"/>
    <s v="18WESCCC2-123-0L"/>
    <x v="8"/>
    <s v="Venta"/>
    <s v="SZR"/>
    <s v="CARTA"/>
    <x v="0"/>
    <x v="158"/>
    <x v="8"/>
    <s v="SZR"/>
  </r>
  <r>
    <x v="882"/>
    <s v="ESCCC2X"/>
    <s v="UP ADQUISICIÓN SSAA ESCCC2"/>
    <n v="8"/>
    <s v="18WESCCC2X-12--S"/>
    <x v="5"/>
    <s v="Compra"/>
    <s v="SZR"/>
    <s v="CARTA"/>
    <x v="2"/>
    <x v="158"/>
    <x v="5"/>
    <s v="SZR"/>
  </r>
  <r>
    <x v="883"/>
    <s v="ESC GDF 3"/>
    <s v="CCGT GDF SUEZ CARTAGENA ENERGÍA ESCOMBRERAS GRUPO III"/>
    <n v="395.2"/>
    <s v="18WESCCC3-123-0D"/>
    <x v="8"/>
    <s v="Venta"/>
    <s v="GDF"/>
    <s v="CARTA"/>
    <x v="0"/>
    <x v="158"/>
    <x v="8"/>
    <s v="GDF"/>
  </r>
  <r>
    <x v="884"/>
    <s v="ESCCC3X"/>
    <s v="UP ADQUISICIÓN SSAA ESCCC3"/>
    <n v="8"/>
    <s v="18WESCCC3X-12--K"/>
    <x v="5"/>
    <s v="Compra"/>
    <s v="SZR"/>
    <s v="CARTA"/>
    <x v="2"/>
    <x v="158"/>
    <x v="5"/>
    <s v="SZR"/>
  </r>
  <r>
    <x v="885"/>
    <s v="ESC4"/>
    <s v="ESCUDER4"/>
    <n v="44.3"/>
    <s v="18W000000000PKE5"/>
    <x v="9"/>
    <s v="Venta"/>
    <s v="IGR"/>
    <s v="IGNIS"/>
    <x v="0"/>
    <x v="28"/>
    <x v="9"/>
    <s v="IGR"/>
  </r>
  <r>
    <x v="886"/>
    <s v="ESDCAND"/>
    <s v="EOLICA SERRA DO CANDO"/>
    <n v="29.2"/>
    <s v="18W000000000IQVI"/>
    <x v="11"/>
    <s v="Venta"/>
    <s v="SZR"/>
    <s v="NEXU"/>
    <x v="0"/>
    <x v="187"/>
    <x v="11"/>
    <s v="SZR"/>
  </r>
  <r>
    <x v="887"/>
    <s v="ESDOMO"/>
    <s v="ESDOMO ENERGIA SL"/>
    <n v="1"/>
    <s v="18W000000000HC71"/>
    <x v="2"/>
    <s v="Compra"/>
    <s v="SZR"/>
    <s v="ESDOM"/>
    <x v="1"/>
    <x v="282"/>
    <x v="2"/>
    <s v="SZR"/>
  </r>
  <r>
    <x v="888"/>
    <s v="SEGURA"/>
    <s v="SEGURA"/>
    <n v="77.5"/>
    <s v="18W000000000RQ23"/>
    <x v="11"/>
    <s v="Venta"/>
    <s v="SZR"/>
    <s v="REPSB"/>
    <x v="0"/>
    <x v="29"/>
    <x v="11"/>
    <s v="SZR"/>
  </r>
  <r>
    <x v="889"/>
    <s v="UP_SEGE"/>
    <s v="UP_SEGE"/>
    <n v="1"/>
    <s v="18W000000000R9HO"/>
    <x v="2"/>
    <s v="Compra"/>
    <s v="SZR"/>
    <s v="SOCIN"/>
    <x v="1"/>
    <x v="283"/>
    <x v="2"/>
    <s v="SZR"/>
  </r>
  <r>
    <x v="890"/>
    <s v="ESEIXO"/>
    <s v="EOLICA MONTE SEIXO"/>
    <n v="34.9"/>
    <s v="18W000000000IQUK"/>
    <x v="11"/>
    <s v="Venta"/>
    <s v="SZR"/>
    <s v="NEXU"/>
    <x v="0"/>
    <x v="187"/>
    <x v="11"/>
    <s v="SZR"/>
  </r>
  <r>
    <x v="891"/>
    <s v="ESEOUR"/>
    <s v="18WESEOUR-1234-M"/>
    <n v="7.8"/>
    <s v="18WESEOUR-1234-M"/>
    <x v="11"/>
    <s v="Venta"/>
    <s v="SZR"/>
    <s v="EGLE"/>
    <x v="0"/>
    <x v="82"/>
    <x v="11"/>
    <s v="SZR"/>
  </r>
  <r>
    <x v="892"/>
    <s v="ESERO COM"/>
    <s v="ELECTRICA SEROSENSE (NACIONAL)"/>
    <n v="0"/>
    <s v="18WESERC01-12-2G"/>
    <x v="2"/>
    <s v="Compra"/>
    <s v="SZR"/>
    <s v="ESERO"/>
    <x v="1"/>
    <x v="284"/>
    <x v="2"/>
    <s v="SZR"/>
  </r>
  <r>
    <x v="893"/>
    <s v="HANWHA"/>
    <s v="HANWHA ENERGY RETAIL SPAIN SLU"/>
    <n v="1"/>
    <s v="18W000000000H8LM"/>
    <x v="2"/>
    <s v="Compra"/>
    <s v="SZR"/>
    <s v="ESHAN"/>
    <x v="1"/>
    <x v="285"/>
    <x v="2"/>
    <s v="SZR"/>
  </r>
  <r>
    <x v="894"/>
    <s v="ESHIC01"/>
    <s v="EVERSHINING ENERGY"/>
    <n v="1"/>
    <s v="18W000000000QDP0"/>
    <x v="2"/>
    <s v="Compra"/>
    <s v="SZR"/>
    <s v="ESHIN"/>
    <x v="1"/>
    <x v="286"/>
    <x v="2"/>
    <s v="SZR"/>
  </r>
  <r>
    <x v="895"/>
    <s v="ESIAM"/>
    <s v="S.E.SIERRA DEL ANDÉVALO ( E )"/>
    <n v="4"/>
    <s v="18WESIAM-1234--U"/>
    <x v="11"/>
    <s v="Venta"/>
    <s v="SZR"/>
    <s v="WMARK"/>
    <x v="0"/>
    <x v="22"/>
    <x v="11"/>
    <s v="SZR"/>
  </r>
  <r>
    <x v="896"/>
    <s v="ESIEMIN"/>
    <s v="18WESIEMIN-123-4"/>
    <n v="42"/>
    <s v="18WESIEMIN-123-4"/>
    <x v="11"/>
    <s v="Venta"/>
    <s v="SZR"/>
    <s v="EGLE"/>
    <x v="0"/>
    <x v="82"/>
    <x v="11"/>
    <s v="SZR"/>
  </r>
  <r>
    <x v="897"/>
    <s v="SIERRA"/>
    <s v="SIERRA"/>
    <n v="22"/>
    <s v="18W000000000MEHT"/>
    <x v="11"/>
    <s v="Venta"/>
    <s v="SZR"/>
    <s v="HISPE"/>
    <x v="0"/>
    <x v="43"/>
    <x v="11"/>
    <s v="SZR"/>
  </r>
  <r>
    <x v="898"/>
    <s v="ESLA"/>
    <s v="COGENERACION ESLA"/>
    <n v="3.8"/>
    <s v="18WESLA-123456-Y"/>
    <x v="10"/>
    <s v="Venta"/>
    <s v="SZR"/>
    <s v="LMER"/>
    <x v="0"/>
    <x v="89"/>
    <x v="10"/>
    <s v="SZR"/>
  </r>
  <r>
    <x v="899"/>
    <s v="PE SOLANS"/>
    <s v="PARQUE EOLICO SOLANS"/>
    <n v="44"/>
    <s v="18W000000000PLKR"/>
    <x v="11"/>
    <s v="Venta"/>
    <s v="SZR"/>
    <s v="EBLCO"/>
    <x v="0"/>
    <x v="158"/>
    <x v="11"/>
    <s v="SZR"/>
  </r>
  <r>
    <x v="900"/>
    <s v="ESOMERS"/>
    <s v="18WESOMERSA-1-11"/>
    <n v="10.5"/>
    <s v="18WESOMERSA-1-11"/>
    <x v="11"/>
    <s v="Venta"/>
    <s v="SZR"/>
    <s v="EGLE"/>
    <x v="0"/>
    <x v="82"/>
    <x v="11"/>
    <s v="SZR"/>
  </r>
  <r>
    <x v="901"/>
    <s v="ESRQE"/>
    <s v="ESRQE"/>
    <n v="61.8"/>
    <s v="18W000000000S9FO"/>
    <x v="11"/>
    <s v="Venta"/>
    <s v="SZR"/>
    <s v="REPSB"/>
    <x v="0"/>
    <x v="29"/>
    <x v="11"/>
    <s v="SZR"/>
  </r>
  <r>
    <x v="902"/>
    <s v="ELTE COMPR"/>
    <s v="ELTE COMPRA"/>
    <n v="1"/>
    <s v="18W000000000PTXE"/>
    <x v="2"/>
    <s v="Compra"/>
    <s v="SZR"/>
    <s v="ELTES"/>
    <x v="1"/>
    <x v="287"/>
    <x v="2"/>
    <s v="SZR"/>
  </r>
  <r>
    <x v="903"/>
    <s v="ESTEV"/>
    <s v="ESTEV"/>
    <n v="31"/>
    <s v="18W000000000SAKB"/>
    <x v="11"/>
    <s v="Venta"/>
    <s v="SZR"/>
    <s v="REPSB"/>
    <x v="0"/>
    <x v="29"/>
    <x v="11"/>
    <s v="SZR"/>
  </r>
  <r>
    <x v="904"/>
    <s v="ESTEVE"/>
    <s v="ESTEVE"/>
    <n v="1.9"/>
    <s v="18W000000000OJ6S"/>
    <x v="10"/>
    <s v="Venta"/>
    <s v="SZR"/>
    <s v="LMER"/>
    <x v="0"/>
    <x v="89"/>
    <x v="10"/>
    <s v="SZR"/>
  </r>
  <r>
    <x v="905"/>
    <s v="ESTVNTO"/>
    <s v="UP EOLICA SOTAVENTO"/>
    <n v="17.600000000000001"/>
    <s v="18W000000000S07U"/>
    <x v="11"/>
    <s v="Venta"/>
    <s v="SZR"/>
    <s v="NEXU"/>
    <x v="0"/>
    <x v="187"/>
    <x v="11"/>
    <s v="SZR"/>
  </r>
  <r>
    <x v="906"/>
    <s v="ETASA"/>
    <s v="18WETASA-1234-1U"/>
    <n v="98.8"/>
    <s v="18WETASA-1234-1U"/>
    <x v="11"/>
    <s v="Venta"/>
    <s v="SZR"/>
    <s v="EGLE"/>
    <x v="0"/>
    <x v="82"/>
    <x v="11"/>
    <s v="SZR"/>
  </r>
  <r>
    <x v="907"/>
    <s v="ETBLRES"/>
    <s v="UP EOLICA TABLARES"/>
    <n v="0.8"/>
    <s v="18W000000000RPZE"/>
    <x v="11"/>
    <s v="Venta"/>
    <s v="SZR"/>
    <s v="NEXU"/>
    <x v="0"/>
    <x v="187"/>
    <x v="11"/>
    <s v="SZR"/>
  </r>
  <r>
    <x v="908"/>
    <s v="ETEJONE"/>
    <s v="UP EOLICA TEJONER"/>
    <n v="32"/>
    <s v="18W000000000N3DT"/>
    <x v="11"/>
    <s v="Venta"/>
    <s v="SZR"/>
    <s v="NEXU"/>
    <x v="0"/>
    <x v="187"/>
    <x v="11"/>
    <s v="SZR"/>
  </r>
  <r>
    <x v="909"/>
    <s v="PETMADRINA"/>
    <s v="PARC ELIC DE TORRE MADRINA SLU"/>
    <n v="50"/>
    <s v="18W000000000P3CN"/>
    <x v="11"/>
    <s v="Venta"/>
    <s v="IGS"/>
    <s v="IGNIS"/>
    <x v="0"/>
    <x v="28"/>
    <x v="11"/>
    <s v="IGS"/>
  </r>
  <r>
    <x v="910"/>
    <s v="ETNER"/>
    <s v="ETER ENERGIA"/>
    <n v="1"/>
    <s v="18W000000000IXHP"/>
    <x v="2"/>
    <s v="Compra"/>
    <s v="SZR"/>
    <s v="ETNER"/>
    <x v="1"/>
    <x v="288"/>
    <x v="2"/>
    <s v="SZR"/>
  </r>
  <r>
    <x v="911"/>
    <s v="ETO1"/>
    <s v="EL TORCIO"/>
    <n v="0.7"/>
    <s v="18WETO1-123456-5"/>
    <x v="1"/>
    <s v="Venta"/>
    <s v="SZR"/>
    <s v="BARER"/>
    <x v="0"/>
    <x v="1"/>
    <x v="1"/>
    <s v="SZR"/>
  </r>
  <r>
    <x v="912"/>
    <s v="ETRIGO"/>
    <s v="EOLICA SIERRA DE TRIGO"/>
    <n v="15.1"/>
    <s v="18W000000000IQOW"/>
    <x v="11"/>
    <s v="Venta"/>
    <s v="SZR"/>
    <s v="NEXU"/>
    <x v="0"/>
    <x v="187"/>
    <x v="11"/>
    <s v="SZR"/>
  </r>
  <r>
    <x v="913"/>
    <s v="ETSOC01"/>
    <s v="ENERGY TRADER SOLUTION SL"/>
    <n v="0.1"/>
    <s v="18WENERGYTRADERY"/>
    <x v="2"/>
    <s v="Compra"/>
    <s v="SZR"/>
    <s v="ETSOL"/>
    <x v="1"/>
    <x v="289"/>
    <x v="2"/>
    <s v="SZR"/>
  </r>
  <r>
    <x v="914"/>
    <s v="EUCDR01"/>
    <s v="EUCDR01"/>
    <n v="15"/>
    <s v="18W000000000OTN1"/>
    <x v="6"/>
    <s v="Compra"/>
    <s v="SZR"/>
    <s v="WMARK"/>
    <x v="3"/>
    <x v="22"/>
    <x v="6"/>
    <s v="SZR"/>
  </r>
  <r>
    <x v="915"/>
    <s v="EUEUZA"/>
    <s v="18WEUEUZA-1234-T"/>
    <n v="4.5"/>
    <s v="18WEUEUZA-1234-T"/>
    <x v="11"/>
    <s v="Venta"/>
    <s v="SZR"/>
    <s v="EGLE"/>
    <x v="0"/>
    <x v="82"/>
    <x v="11"/>
    <s v="SZR"/>
  </r>
  <r>
    <x v="916"/>
    <s v="EUJARAL"/>
    <s v="UW-JARALES"/>
    <n v="16.5"/>
    <s v="18WEUJARAL-123-5"/>
    <x v="11"/>
    <s v="Venta"/>
    <s v="SZR"/>
    <s v="CEG"/>
    <x v="0"/>
    <x v="124"/>
    <x v="11"/>
    <s v="SZR"/>
  </r>
  <r>
    <x v="917"/>
    <s v="EULAYAL"/>
    <s v="EOL UW LOMA AYALA"/>
    <n v="19.5"/>
    <s v="18WEULAYAL-123-V"/>
    <x v="11"/>
    <s v="Venta"/>
    <s v="SZR"/>
    <s v="CEG"/>
    <x v="0"/>
    <x v="124"/>
    <x v="11"/>
    <s v="SZR"/>
  </r>
  <r>
    <x v="918"/>
    <s v="EUNION"/>
    <s v="EUNION"/>
    <n v="5.2"/>
    <s v="18WEUNION-1234-8"/>
    <x v="11"/>
    <s v="Venta"/>
    <s v="SZR"/>
    <s v="REPSB"/>
    <x v="0"/>
    <x v="29"/>
    <x v="11"/>
    <s v="SZR"/>
  </r>
  <r>
    <x v="919"/>
    <s v="EUNTAL"/>
    <s v="18WEUNTAL-1234-3"/>
    <n v="26"/>
    <s v="18WEUNTAL-1234-3"/>
    <x v="11"/>
    <s v="Venta"/>
    <s v="SZR"/>
    <s v="EGLE"/>
    <x v="0"/>
    <x v="82"/>
    <x v="11"/>
    <s v="SZR"/>
  </r>
  <r>
    <x v="920"/>
    <s v="EUNZUE"/>
    <s v="18WEUNZUE-1234-4"/>
    <n v="4.5"/>
    <s v="18WEUNZUE-1234-4"/>
    <x v="11"/>
    <s v="Venta"/>
    <s v="SZR"/>
    <s v="EGLE"/>
    <x v="0"/>
    <x v="82"/>
    <x v="11"/>
    <s v="SZR"/>
  </r>
  <r>
    <x v="921"/>
    <s v="EURCO_UP"/>
    <s v="EURCO_COMPRAS"/>
    <n v="4"/>
    <s v="18W000000000AXN8"/>
    <x v="2"/>
    <s v="Compra"/>
    <s v="SZR"/>
    <s v="EURCO"/>
    <x v="1"/>
    <x v="290"/>
    <x v="2"/>
    <s v="SZR"/>
  </r>
  <r>
    <x v="922"/>
    <s v="EUW3VIL"/>
    <s v="UW - TRES VILLAS"/>
    <n v="49.5"/>
    <s v="18WEUW3VIL-123-H"/>
    <x v="11"/>
    <s v="Venta"/>
    <s v="SZR"/>
    <s v="CEG"/>
    <x v="0"/>
    <x v="124"/>
    <x v="11"/>
    <s v="SZR"/>
  </r>
  <r>
    <x v="923"/>
    <s v="EVALDET"/>
    <s v="EOL VALDETELLAS"/>
    <n v="49.9"/>
    <s v="18W000000000IZ3A"/>
    <x v="11"/>
    <s v="Venta"/>
    <s v="SZR"/>
    <s v="CEG"/>
    <x v="0"/>
    <x v="124"/>
    <x v="11"/>
    <s v="SZR"/>
  </r>
  <r>
    <x v="924"/>
    <s v="EVALDLU"/>
    <s v="EVALDLU"/>
    <n v="18"/>
    <s v="18W000000000PRN3"/>
    <x v="11"/>
    <s v="Venta"/>
    <s v="EVM"/>
    <s v="CEG"/>
    <x v="0"/>
    <x v="124"/>
    <x v="11"/>
    <s v="EVM"/>
  </r>
  <r>
    <x v="925"/>
    <s v="PE VALLE"/>
    <s v="PARQUE EOLICO VALLE"/>
    <n v="48.5"/>
    <s v="18W000000000OVSM"/>
    <x v="11"/>
    <s v="Venta"/>
    <s v="EN1"/>
    <s v="EBLCO"/>
    <x v="0"/>
    <x v="158"/>
    <x v="11"/>
    <s v="EN1"/>
  </r>
  <r>
    <x v="926"/>
    <s v="PEARCS"/>
    <s v="VILALBA DELS ARCS SLU"/>
    <n v="25"/>
    <s v="18W000000000P3EJ"/>
    <x v="11"/>
    <s v="Venta"/>
    <s v="IGS"/>
    <s v="IGNIS"/>
    <x v="0"/>
    <x v="28"/>
    <x v="11"/>
    <s v="IGS"/>
  </r>
  <r>
    <x v="927"/>
    <s v="EVDCONE"/>
    <s v="EOLICA VALDECONEJOS"/>
    <n v="32.299999999999997"/>
    <s v="18W000000000IQXE"/>
    <x v="11"/>
    <s v="Venta"/>
    <s v="SZR"/>
    <s v="NEXU"/>
    <x v="0"/>
    <x v="187"/>
    <x v="11"/>
    <s v="SZR"/>
  </r>
  <r>
    <x v="928"/>
    <s v="EVDMOG"/>
    <s v="PARQUE EOLICO VIRXE DO MONTE"/>
    <n v="19.2"/>
    <s v="18WEVDMOG-123-1M"/>
    <x v="11"/>
    <s v="Venta"/>
    <s v="SZR"/>
    <s v="EGED"/>
    <x v="0"/>
    <x v="186"/>
    <x v="11"/>
    <s v="SZR"/>
  </r>
  <r>
    <x v="929"/>
    <s v="EVECIA"/>
    <s v="18WEVECIA-1234-H"/>
    <n v="30"/>
    <s v="18WEVECIA-1234-H"/>
    <x v="11"/>
    <s v="Venta"/>
    <s v="SZR"/>
    <s v="EGLE"/>
    <x v="0"/>
    <x v="82"/>
    <x v="11"/>
    <s v="SZR"/>
  </r>
  <r>
    <x v="930"/>
    <s v="EVESTA"/>
    <s v="18WEVESTA-1234-H"/>
    <n v="2.1"/>
    <s v="18WEVESTA-1234-H"/>
    <x v="11"/>
    <s v="Venta"/>
    <s v="SZR"/>
    <s v="EGLE"/>
    <x v="0"/>
    <x v="82"/>
    <x v="11"/>
    <s v="SZR"/>
  </r>
  <r>
    <x v="931"/>
    <s v="EVIENG"/>
    <s v="VIENTOS GESTIONABLE"/>
    <n v="7.6"/>
    <s v="18W000000000QECN"/>
    <x v="11"/>
    <s v="Venta"/>
    <s v="SZR"/>
    <s v="REPSB"/>
    <x v="0"/>
    <x v="29"/>
    <x v="11"/>
    <s v="SZR"/>
  </r>
  <r>
    <x v="932"/>
    <s v="EVILLAN"/>
    <s v="EOLICA VILLANUEVA"/>
    <n v="19.8"/>
    <s v="18WEVILLAN-12-1G"/>
    <x v="11"/>
    <s v="Venta"/>
    <s v="SZR"/>
    <s v="EGED"/>
    <x v="0"/>
    <x v="186"/>
    <x v="11"/>
    <s v="SZR"/>
  </r>
  <r>
    <x v="933"/>
    <s v="UP E_VIVA"/>
    <s v="UP ENERGA VIVA SPAIN"/>
    <n v="0.5"/>
    <s v="18W0000000000UV4"/>
    <x v="2"/>
    <s v="Compra"/>
    <s v="SZR"/>
    <s v="EVIVA"/>
    <x v="1"/>
    <x v="291"/>
    <x v="2"/>
    <s v="SZR"/>
  </r>
  <r>
    <x v="934"/>
    <s v="EVIVV01"/>
    <s v="EVIVA VENTA"/>
    <n v="0.1"/>
    <s v="18W000000000QSXD"/>
    <x v="9"/>
    <s v="Venta"/>
    <s v="SZR"/>
    <s v="EVIVA"/>
    <x v="0"/>
    <x v="291"/>
    <x v="9"/>
    <s v="SZR"/>
  </r>
  <r>
    <x v="935"/>
    <s v="EVMER01"/>
    <s v="UP EVM SRAD"/>
    <n v="3"/>
    <s v="18W000000000QOGM"/>
    <x v="2"/>
    <s v="Compra"/>
    <s v="SZR"/>
    <s v="CENTE"/>
    <x v="1"/>
    <x v="124"/>
    <x v="2"/>
    <s v="SZR"/>
  </r>
  <r>
    <x v="936"/>
    <s v="EVOLTOR"/>
    <s v="UP EOLICA SVOLTOR"/>
    <n v="16"/>
    <s v="18W000000000N3ER"/>
    <x v="11"/>
    <s v="Venta"/>
    <s v="SZR"/>
    <s v="NEXU"/>
    <x v="0"/>
    <x v="187"/>
    <x v="11"/>
    <s v="SZR"/>
  </r>
  <r>
    <x v="937"/>
    <s v="EWIESRB"/>
    <s v="EOLICA TARIFA"/>
    <n v="21"/>
    <s v="18WEWIESRB-123-P"/>
    <x v="11"/>
    <s v="Venta"/>
    <s v="SZR"/>
    <s v="NEXU"/>
    <x v="0"/>
    <x v="187"/>
    <x v="11"/>
    <s v="SZR"/>
  </r>
  <r>
    <x v="938"/>
    <s v="EXPOCENTER"/>
    <s v="EXPOCENTER CENTRO DE NEGOCIOS"/>
    <n v="0.6"/>
    <s v="18W000000000R1K5"/>
    <x v="6"/>
    <s v="Compra"/>
    <s v="SZR"/>
    <s v="EXPOC"/>
    <x v="3"/>
    <x v="292"/>
    <x v="6"/>
    <s v="SZR"/>
  </r>
  <r>
    <x v="939"/>
    <s v="PE XUNQUEI"/>
    <s v="PARQUE EOLICO XUNQUEIRA"/>
    <n v="9"/>
    <s v="18W000000000OVTK"/>
    <x v="11"/>
    <s v="Venta"/>
    <s v="SZR"/>
    <s v="EBLCO"/>
    <x v="0"/>
    <x v="158"/>
    <x v="11"/>
    <s v="SZR"/>
  </r>
  <r>
    <x v="940"/>
    <s v="EYCEC01"/>
    <s v="EYCEC01"/>
    <n v="0.1"/>
    <s v="18W0000000005XMU"/>
    <x v="2"/>
    <s v="Compra"/>
    <s v="SZR"/>
    <s v="EYCE1"/>
    <x v="1"/>
    <x v="293"/>
    <x v="2"/>
    <s v="SZR"/>
  </r>
  <r>
    <x v="941"/>
    <s v="EYDETIC"/>
    <s v="EYDETIC"/>
    <n v="2.6"/>
    <s v="18WEYDETIC-123-1"/>
    <x v="11"/>
    <s v="Venta"/>
    <s v="SZR"/>
    <s v="DETIC"/>
    <x v="0"/>
    <x v="71"/>
    <x v="11"/>
    <s v="SZR"/>
  </r>
  <r>
    <x v="942"/>
    <s v="EYEEXXI"/>
    <s v="ENDESA CUR ( TARIFA, EÓLICA, NO EXENTA)"/>
    <n v="0"/>
    <s v="18WEYEEXXI-123-E"/>
    <x v="11"/>
    <s v="Venta"/>
    <s v="SZR"/>
    <s v="EEXXI"/>
    <x v="0"/>
    <x v="72"/>
    <x v="11"/>
    <s v="SZR"/>
  </r>
  <r>
    <x v="943"/>
    <s v="EYEFG"/>
    <s v="UP EOLICA TARIFA CON DESVIOS"/>
    <n v="0.2"/>
    <s v="18WEYEFG-12345-P"/>
    <x v="11"/>
    <s v="Venta"/>
    <s v="SZR"/>
    <s v="EFG"/>
    <x v="0"/>
    <x v="213"/>
    <x v="11"/>
    <s v="SZR"/>
  </r>
  <r>
    <x v="944"/>
    <s v="EYEGLE"/>
    <s v="EGLE ( EÓLICA,TARIFA,NO EXENTO )"/>
    <n v="1.5"/>
    <s v="18WEYEGLE-1234-U"/>
    <x v="11"/>
    <s v="Venta"/>
    <s v="SZR"/>
    <s v="EGLE"/>
    <x v="0"/>
    <x v="82"/>
    <x v="11"/>
    <s v="SZR"/>
  </r>
  <r>
    <x v="945"/>
    <s v="EYEONUR"/>
    <s v="E.ON CUR ( TARIFA, EÓLICA, NO EXENTA)"/>
    <n v="0"/>
    <s v="18WEYEONUR-123-2"/>
    <x v="11"/>
    <s v="Venta"/>
    <s v="SZR"/>
    <s v="EONUR"/>
    <x v="0"/>
    <x v="270"/>
    <x v="11"/>
    <s v="SZR"/>
  </r>
  <r>
    <x v="946"/>
    <s v="EYGESTE"/>
    <s v="EYGESTE"/>
    <n v="0.7"/>
    <s v="18WEYGESTE-123-N"/>
    <x v="11"/>
    <s v="Venta"/>
    <s v="SZR"/>
    <s v="GESTE"/>
    <x v="0"/>
    <x v="219"/>
    <x v="11"/>
    <s v="SZR"/>
  </r>
  <r>
    <x v="947"/>
    <s v="EYGNSUR"/>
    <s v="GAS NATURAL SUR SDG ( TARIFA, EÓLICA, NO EXENTA)"/>
    <n v="1.7"/>
    <s v="18WEYGNSUR-123-J"/>
    <x v="11"/>
    <s v="Venta"/>
    <s v="SZR"/>
    <s v="GNSUR"/>
    <x v="0"/>
    <x v="8"/>
    <x v="11"/>
    <s v="SZR"/>
  </r>
  <r>
    <x v="948"/>
    <s v="EYHCCUR"/>
    <s v="HIDROCANTABRICO CUR ( TARIFA, EÓLICA, NO EXENTA)"/>
    <n v="0"/>
    <s v="18WEYHCCUR-123-3"/>
    <x v="11"/>
    <s v="Venta"/>
    <s v="SZR"/>
    <s v="HCCUR"/>
    <x v="0"/>
    <x v="273"/>
    <x v="11"/>
    <s v="SZR"/>
  </r>
  <r>
    <x v="949"/>
    <s v="EYIBCUR"/>
    <s v="IBERDROLA CUR ( TARIFA, EÓLICA, NO EXENTA)"/>
    <n v="64.400000000000006"/>
    <s v="18WEYIBCUR-123-2"/>
    <x v="11"/>
    <s v="Venta"/>
    <s v="SZR"/>
    <s v="IBCUR"/>
    <x v="0"/>
    <x v="7"/>
    <x v="11"/>
    <s v="SZR"/>
  </r>
  <r>
    <x v="950"/>
    <s v="EYNEXU"/>
    <s v="NEXU ( EOLICA, TARIFA, NO EXENTO)"/>
    <n v="1"/>
    <s v="18WEYNEXU-1234-B"/>
    <x v="11"/>
    <s v="Venta"/>
    <s v="SZR"/>
    <s v="NEXU"/>
    <x v="0"/>
    <x v="187"/>
    <x v="11"/>
    <s v="SZR"/>
  </r>
  <r>
    <x v="951"/>
    <s v="EOLPOP"/>
    <s v="EOLICA VIURE DLAIRE"/>
    <n v="2.7"/>
    <s v="18W0000000008NFP"/>
    <x v="11"/>
    <s v="Venta"/>
    <s v="SZR"/>
    <s v="GESTE"/>
    <x v="0"/>
    <x v="219"/>
    <x v="11"/>
    <s v="SZR"/>
  </r>
  <r>
    <x v="952"/>
    <s v="ESTPAYMER"/>
    <s v="ESTABANELL Y PAHISA MERCATOR S.A."/>
    <n v="0"/>
    <s v="18WEYPC01-123-2T"/>
    <x v="2"/>
    <s v="Compra"/>
    <s v="SZR"/>
    <s v="EPYM"/>
    <x v="1"/>
    <x v="278"/>
    <x v="2"/>
    <s v="SZR"/>
  </r>
  <r>
    <x v="953"/>
    <s v="EYP PV"/>
    <s v="EYP PV MENORS 1MW"/>
    <n v="1.4"/>
    <s v="18W000000000DQR9"/>
    <x v="9"/>
    <s v="Venta"/>
    <s v="SZR"/>
    <s v="EPYM"/>
    <x v="0"/>
    <x v="278"/>
    <x v="9"/>
    <s v="SZR"/>
  </r>
  <r>
    <x v="954"/>
    <s v="EYWMARK"/>
    <s v="EOLICA SIN UF W2M"/>
    <n v="0.4"/>
    <s v="18WEYWMARK-123-E"/>
    <x v="11"/>
    <s v="Venta"/>
    <s v="SZR"/>
    <s v="WMARK"/>
    <x v="0"/>
    <x v="22"/>
    <x v="11"/>
    <s v="SZR"/>
  </r>
  <r>
    <x v="955"/>
    <s v="EZENET"/>
    <s v="UP ENERGA ELICA ZENETE"/>
    <n v="1.5"/>
    <s v="18W000000000P30A"/>
    <x v="11"/>
    <s v="Venta"/>
    <s v="SZR"/>
    <s v="EGLE"/>
    <x v="0"/>
    <x v="82"/>
    <x v="11"/>
    <s v="SZR"/>
  </r>
  <r>
    <x v="956"/>
    <s v="EZKAC01"/>
    <s v="EZKAC01"/>
    <n v="1"/>
    <s v="18W0000000007KIW"/>
    <x v="2"/>
    <s v="Compra"/>
    <s v="SZR"/>
    <s v="EZKAI"/>
    <x v="1"/>
    <x v="294"/>
    <x v="2"/>
    <s v="SZR"/>
  </r>
  <r>
    <x v="957"/>
    <s v="F1CEG"/>
    <s v="FV PEN MAYOR 1MW"/>
    <n v="14"/>
    <s v="18WF1CEG-12345-X"/>
    <x v="9"/>
    <s v="Venta"/>
    <s v="SZR"/>
    <s v="CEG"/>
    <x v="0"/>
    <x v="124"/>
    <x v="9"/>
    <s v="SZR"/>
  </r>
  <r>
    <x v="958"/>
    <s v="F1DREUA"/>
    <s v="UP RD 413-2014 FV SUP 1MW"/>
    <n v="1.7"/>
    <s v="18W000000000B38D"/>
    <x v="9"/>
    <s v="Venta"/>
    <s v="SZR"/>
    <s v="DREUA"/>
    <x v="0"/>
    <x v="179"/>
    <x v="9"/>
    <s v="SZR"/>
  </r>
  <r>
    <x v="959"/>
    <s v="FAAVYC"/>
    <s v="UP FV AAVYC GESTION 2000"/>
    <n v="10.6"/>
    <s v="18WFAAVYC-1234-O"/>
    <x v="9"/>
    <s v="Venta"/>
    <s v="SZR"/>
    <s v="NEXU"/>
    <x v="0"/>
    <x v="187"/>
    <x v="9"/>
    <s v="SZR"/>
  </r>
  <r>
    <x v="960"/>
    <s v="FABACUS"/>
    <s v="UP SOLAR ABACUS"/>
    <n v="1.5"/>
    <s v="18W000000000T31T"/>
    <x v="9"/>
    <s v="Venta"/>
    <s v="SZR"/>
    <s v="NEXU"/>
    <x v="0"/>
    <x v="187"/>
    <x v="9"/>
    <s v="SZR"/>
  </r>
  <r>
    <x v="961"/>
    <s v="FABENOJ"/>
    <s v="UP SOLAR ABENOJAR"/>
    <n v="5"/>
    <s v="18W000000000R57J"/>
    <x v="9"/>
    <s v="Venta"/>
    <s v="SZR"/>
    <s v="NEXU"/>
    <x v="0"/>
    <x v="187"/>
    <x v="9"/>
    <s v="SZR"/>
  </r>
  <r>
    <x v="962"/>
    <s v="FABLITAS"/>
    <s v="UP SOLAR ABLITAS"/>
    <n v="14"/>
    <s v="18W000000000QAR5"/>
    <x v="9"/>
    <s v="Venta"/>
    <s v="SZR"/>
    <s v="NEXU"/>
    <x v="0"/>
    <x v="187"/>
    <x v="9"/>
    <s v="SZR"/>
  </r>
  <r>
    <x v="963"/>
    <s v="FAGAC"/>
    <s v="GAC FOTOV MAYOR 1MW"/>
    <n v="1.9"/>
    <s v="18W000000000O3DP"/>
    <x v="9"/>
    <s v="Venta"/>
    <s v="SZR"/>
    <s v="GAC"/>
    <x v="0"/>
    <x v="295"/>
    <x v="9"/>
    <s v="SZR"/>
  </r>
  <r>
    <x v="964"/>
    <s v="AGENR"/>
    <s v="AGENORR"/>
    <n v="40"/>
    <s v="18W000000000QR7V"/>
    <x v="9"/>
    <s v="Venta"/>
    <s v="SZR"/>
    <s v="GNRA"/>
    <x v="0"/>
    <x v="46"/>
    <x v="9"/>
    <s v="SZR"/>
  </r>
  <r>
    <x v="965"/>
    <s v="FAGROB1"/>
    <s v="UP SOLAR ALGARROBO I"/>
    <n v="1.8"/>
    <s v="18W000000000QMVZ"/>
    <x v="9"/>
    <s v="Venta"/>
    <s v="SZR"/>
    <s v="NEXU"/>
    <x v="0"/>
    <x v="187"/>
    <x v="9"/>
    <s v="SZR"/>
  </r>
  <r>
    <x v="966"/>
    <s v="FAGROB2"/>
    <s v="UP SOLAR ALGARROBO II"/>
    <n v="1.8"/>
    <s v="18W000000000QMWX"/>
    <x v="9"/>
    <s v="Venta"/>
    <s v="SZR"/>
    <s v="NEXU"/>
    <x v="0"/>
    <x v="187"/>
    <x v="9"/>
    <s v="SZR"/>
  </r>
  <r>
    <x v="967"/>
    <s v="FAGROB3"/>
    <s v="UP SOLAR ALGARROBO III"/>
    <n v="1.7"/>
    <s v="18W000000000QMXV"/>
    <x v="9"/>
    <s v="Venta"/>
    <s v="SZR"/>
    <s v="NEXU"/>
    <x v="0"/>
    <x v="187"/>
    <x v="9"/>
    <s v="SZR"/>
  </r>
  <r>
    <x v="968"/>
    <s v="FAGUDO"/>
    <s v="UP SOLAR AURA DE AGUDO"/>
    <n v="1"/>
    <s v="18W000000000OA2Q"/>
    <x v="9"/>
    <s v="Venta"/>
    <s v="SZR"/>
    <s v="NEXU"/>
    <x v="0"/>
    <x v="187"/>
    <x v="9"/>
    <s v="SZR"/>
  </r>
  <r>
    <x v="969"/>
    <s v="FAIELO"/>
    <s v="UP SOLAR FAIELO"/>
    <n v="1.5"/>
    <s v="18W000000000P2L8"/>
    <x v="9"/>
    <s v="Venta"/>
    <s v="SZR"/>
    <s v="NEXU"/>
    <x v="0"/>
    <x v="187"/>
    <x v="9"/>
    <s v="SZR"/>
  </r>
  <r>
    <x v="970"/>
    <s v="FAIRM1"/>
    <s v="UP SOLAR AIRM1"/>
    <n v="2"/>
    <s v="18W000000000R9R4"/>
    <x v="9"/>
    <s v="Venta"/>
    <s v="SZR"/>
    <s v="NEXU"/>
    <x v="0"/>
    <x v="187"/>
    <x v="9"/>
    <s v="SZR"/>
  </r>
  <r>
    <x v="971"/>
    <s v="FAIRM2"/>
    <s v="UP SOLAR FAIRM2"/>
    <n v="2"/>
    <s v="18W000000000R9S2"/>
    <x v="9"/>
    <s v="Venta"/>
    <s v="SZR"/>
    <s v="NEXU"/>
    <x v="0"/>
    <x v="187"/>
    <x v="9"/>
    <s v="SZR"/>
  </r>
  <r>
    <x v="972"/>
    <s v="FALAM"/>
    <s v="FALAM"/>
    <n v="8"/>
    <s v="18W000000000KRMP"/>
    <x v="9"/>
    <s v="Venta"/>
    <s v="SZR"/>
    <s v="GNRA"/>
    <x v="0"/>
    <x v="46"/>
    <x v="9"/>
    <s v="SZR"/>
  </r>
  <r>
    <x v="973"/>
    <s v="FALAMIL"/>
    <s v="UP SOLAR ALAMILLA"/>
    <n v="2.4"/>
    <s v="18W000000000R6W3"/>
    <x v="9"/>
    <s v="Venta"/>
    <s v="SZR"/>
    <s v="NEXU"/>
    <x v="0"/>
    <x v="187"/>
    <x v="9"/>
    <s v="SZR"/>
  </r>
  <r>
    <x v="974"/>
    <s v="FALARCO"/>
    <s v="UP FV ALARCO"/>
    <n v="43.7"/>
    <s v="18W000000000G236"/>
    <x v="9"/>
    <s v="Venta"/>
    <s v="NEXUS"/>
    <s v="NEXU"/>
    <x v="0"/>
    <x v="187"/>
    <x v="9"/>
    <s v="NEX"/>
  </r>
  <r>
    <x v="975"/>
    <s v="FALBESA"/>
    <s v="UP SOLAR ALBESA"/>
    <n v="2.2000000000000002"/>
    <s v="18W000000000SZRX"/>
    <x v="9"/>
    <s v="Venta"/>
    <s v="SZR"/>
    <s v="NEXU"/>
    <x v="0"/>
    <x v="187"/>
    <x v="9"/>
    <s v="SZR"/>
  </r>
  <r>
    <x v="976"/>
    <s v="FALBET1"/>
    <s v="UP SOLAR ALBETA 1"/>
    <n v="1.9"/>
    <s v="18W000000000RXU0"/>
    <x v="9"/>
    <s v="Venta"/>
    <s v="SZR"/>
    <s v="NEXU"/>
    <x v="0"/>
    <x v="187"/>
    <x v="9"/>
    <s v="SZR"/>
  </r>
  <r>
    <x v="977"/>
    <s v="ALBETA 2"/>
    <s v="UP SOLAR ALBETA 2"/>
    <n v="1.9"/>
    <s v="18W000000000RXWX"/>
    <x v="9"/>
    <s v="Venta"/>
    <s v="SZR"/>
    <s v="NEXU"/>
    <x v="0"/>
    <x v="187"/>
    <x v="9"/>
    <s v="SZR"/>
  </r>
  <r>
    <x v="978"/>
    <s v="FALCNCH"/>
    <s v="UP SOLAR ALCONCHEL"/>
    <n v="6.4"/>
    <s v="18W000000000SQLZ"/>
    <x v="9"/>
    <s v="Venta"/>
    <s v="SZR"/>
    <s v="NEXU"/>
    <x v="0"/>
    <x v="187"/>
    <x v="9"/>
    <s v="SZR"/>
  </r>
  <r>
    <x v="979"/>
    <s v="ALCNOR"/>
    <s v="ALCALNORT"/>
    <n v="4.7"/>
    <s v="18W000000000P237"/>
    <x v="9"/>
    <s v="Venta"/>
    <s v="SZR"/>
    <s v="GESTE"/>
    <x v="0"/>
    <x v="219"/>
    <x v="9"/>
    <s v="SZR"/>
  </r>
  <r>
    <x v="980"/>
    <s v="FCNERA"/>
    <s v="FV_FALCONERA"/>
    <n v="1.9"/>
    <s v="18W000000000QD9W"/>
    <x v="9"/>
    <s v="Venta"/>
    <s v="SZR"/>
    <s v="GESTE"/>
    <x v="0"/>
    <x v="219"/>
    <x v="9"/>
    <s v="SZR"/>
  </r>
  <r>
    <x v="981"/>
    <s v="FALCON1"/>
    <s v="UP SOLAR FV ALCON 1"/>
    <n v="23.1"/>
    <s v="18W000000000QF6W"/>
    <x v="9"/>
    <s v="Venta"/>
    <s v="SZR"/>
    <s v="NEXU"/>
    <x v="0"/>
    <x v="187"/>
    <x v="9"/>
    <s v="SZR"/>
  </r>
  <r>
    <x v="982"/>
    <s v="ALCONCHEL"/>
    <s v="PARQUE FV ALCONCHEL"/>
    <n v="10"/>
    <s v="18W000000000PX7H"/>
    <x v="9"/>
    <s v="Venta"/>
    <s v="SZR"/>
    <s v="EBLCO"/>
    <x v="0"/>
    <x v="158"/>
    <x v="9"/>
    <s v="SZR"/>
  </r>
  <r>
    <x v="983"/>
    <s v="FALCORE"/>
    <s v="UP FV ALCORES"/>
    <n v="33.200000000000003"/>
    <s v="18W000000000G29V"/>
    <x v="9"/>
    <s v="Venta"/>
    <s v="NEXUS"/>
    <s v="NEXU"/>
    <x v="0"/>
    <x v="187"/>
    <x v="9"/>
    <s v="NEX"/>
  </r>
  <r>
    <x v="984"/>
    <s v="ALCSUR"/>
    <s v="ALCALASUR"/>
    <n v="4.7"/>
    <s v="18W000000000P253"/>
    <x v="9"/>
    <s v="Venta"/>
    <s v="SZR"/>
    <s v="GESTE"/>
    <x v="0"/>
    <x v="219"/>
    <x v="9"/>
    <s v="SZR"/>
  </r>
  <r>
    <x v="985"/>
    <s v="FALDER"/>
    <s v="UP ALDENER EXTREMADURA"/>
    <n v="94.8"/>
    <s v="18W000000000SFKX"/>
    <x v="9"/>
    <s v="Venta"/>
    <s v="SZR"/>
    <s v="EGLE"/>
    <x v="0"/>
    <x v="82"/>
    <x v="9"/>
    <s v="SZR"/>
  </r>
  <r>
    <x v="986"/>
    <s v="FV ALIAGAR"/>
    <s v="FV ALIAGAR"/>
    <n v="45"/>
    <s v="18W000000000S9LC"/>
    <x v="9"/>
    <s v="Venta"/>
    <s v="WM1"/>
    <s v="WMARK"/>
    <x v="0"/>
    <x v="22"/>
    <x v="9"/>
    <s v="WM1"/>
  </r>
  <r>
    <x v="987"/>
    <s v="FALIWIN"/>
    <s v="UP SOLAR ALIWIN"/>
    <n v="19.899999999999999"/>
    <s v="18W000000000L9DJ"/>
    <x v="9"/>
    <s v="Venta"/>
    <s v="SZR"/>
    <s v="NEXU"/>
    <x v="0"/>
    <x v="187"/>
    <x v="9"/>
    <s v="SZR"/>
  </r>
  <r>
    <x v="988"/>
    <s v="ALIZARSUN"/>
    <s v="ALIZARSUN"/>
    <n v="41.5"/>
    <s v="18W000000000MEJP"/>
    <x v="9"/>
    <s v="Venta"/>
    <s v="ALP"/>
    <s v="HISPE"/>
    <x v="0"/>
    <x v="43"/>
    <x v="9"/>
    <s v="ALP"/>
  </r>
  <r>
    <x v="989"/>
    <s v="FALJORRA"/>
    <s v="UP FV ALJORRA"/>
    <n v="27.1"/>
    <s v="18W000000000G2DN"/>
    <x v="9"/>
    <s v="Venta"/>
    <s v="NEXUS"/>
    <s v="NEXU"/>
    <x v="0"/>
    <x v="187"/>
    <x v="9"/>
    <s v="NEX"/>
  </r>
  <r>
    <x v="990"/>
    <s v="FALMANS"/>
    <s v="UP FV ALMANSA"/>
    <n v="45.1"/>
    <s v="18W000000000G27Z"/>
    <x v="9"/>
    <s v="Venta"/>
    <s v="NEXUS"/>
    <s v="NEXU"/>
    <x v="0"/>
    <x v="187"/>
    <x v="9"/>
    <s v="NEX"/>
  </r>
  <r>
    <x v="991"/>
    <s v="FALMO1"/>
    <s v="FALMO1"/>
    <n v="38.200000000000003"/>
    <s v="18W000000000T64E"/>
    <x v="9"/>
    <s v="Venta"/>
    <s v="SZR"/>
    <s v="CEG"/>
    <x v="0"/>
    <x v="124"/>
    <x v="9"/>
    <s v="SZR"/>
  </r>
  <r>
    <x v="992"/>
    <s v="FALMUGE"/>
    <s v="UP SOLAR ALMORAUGE"/>
    <n v="1"/>
    <s v="18W000000000TBZB"/>
    <x v="9"/>
    <s v="Venta"/>
    <s v="SZR"/>
    <s v="NEXU"/>
    <x v="0"/>
    <x v="187"/>
    <x v="9"/>
    <s v="SZR"/>
  </r>
  <r>
    <x v="993"/>
    <s v="FALNERA"/>
    <s v="UP FALNERA"/>
    <n v="7.2"/>
    <s v="18W000000000LEX1"/>
    <x v="9"/>
    <s v="Venta"/>
    <s v="SZR"/>
    <s v="NEXU"/>
    <x v="0"/>
    <x v="187"/>
    <x v="9"/>
    <s v="SZR"/>
  </r>
  <r>
    <x v="994"/>
    <s v="FALNGE"/>
    <s v="UP FALNGE"/>
    <n v="8"/>
    <s v="18W000000000L9QU"/>
    <x v="9"/>
    <s v="Venta"/>
    <s v="SZR"/>
    <s v="NEXU"/>
    <x v="0"/>
    <x v="187"/>
    <x v="9"/>
    <s v="SZR"/>
  </r>
  <r>
    <x v="995"/>
    <s v="FALONDE"/>
    <s v="UP SOLAR FALONDE"/>
    <n v="1.2"/>
    <s v="18W000000000SZ9W"/>
    <x v="9"/>
    <s v="Venta"/>
    <s v="SZR"/>
    <s v="NEXU"/>
    <x v="0"/>
    <x v="187"/>
    <x v="9"/>
    <s v="SZR"/>
  </r>
  <r>
    <x v="996"/>
    <s v="FALP1"/>
    <s v="FALP1"/>
    <n v="24.9"/>
    <s v="18W000000000SC9R"/>
    <x v="9"/>
    <s v="Venta"/>
    <s v="ALP"/>
    <s v="HISPE"/>
    <x v="0"/>
    <x v="43"/>
    <x v="9"/>
    <s v="ALP"/>
  </r>
  <r>
    <x v="997"/>
    <s v="FALP10"/>
    <s v="FALP10"/>
    <n v="67"/>
    <s v="18W000000000SCSQ"/>
    <x v="9"/>
    <s v="Venta"/>
    <s v="ALP"/>
    <s v="HISPE"/>
    <x v="0"/>
    <x v="43"/>
    <x v="9"/>
    <s v="ALP"/>
  </r>
  <r>
    <x v="998"/>
    <s v="FALP11"/>
    <s v="FALP11"/>
    <n v="23"/>
    <s v="18W000000000SQ4W"/>
    <x v="9"/>
    <s v="Venta"/>
    <s v="SZR"/>
    <s v="HISPE"/>
    <x v="0"/>
    <x v="43"/>
    <x v="9"/>
    <s v="SZR"/>
  </r>
  <r>
    <x v="999"/>
    <s v="FALP12"/>
    <s v="FALP12"/>
    <n v="7.2"/>
    <s v="18W000000000SVFW"/>
    <x v="9"/>
    <s v="Venta"/>
    <s v="SZR"/>
    <s v="HISPE"/>
    <x v="0"/>
    <x v="43"/>
    <x v="9"/>
    <s v="SZR"/>
  </r>
  <r>
    <x v="1000"/>
    <s v="FALP13"/>
    <s v="FALP13"/>
    <n v="9"/>
    <s v="18W000000000SVGU"/>
    <x v="9"/>
    <s v="Venta"/>
    <s v="SZR"/>
    <s v="HISPE"/>
    <x v="0"/>
    <x v="43"/>
    <x v="9"/>
    <s v="SZR"/>
  </r>
  <r>
    <x v="1001"/>
    <s v="FALP14"/>
    <s v="FALP14"/>
    <n v="8"/>
    <s v="18W000000000T6DX"/>
    <x v="9"/>
    <s v="Venta"/>
    <s v="SZR"/>
    <s v="HISPE"/>
    <x v="0"/>
    <x v="43"/>
    <x v="9"/>
    <s v="SZR"/>
  </r>
  <r>
    <x v="1002"/>
    <s v="FALP15"/>
    <s v="FALP15"/>
    <n v="8"/>
    <s v="18W000000000T6EV"/>
    <x v="9"/>
    <s v="Venta"/>
    <s v="SZR"/>
    <s v="HISPE"/>
    <x v="0"/>
    <x v="43"/>
    <x v="9"/>
    <s v="SZR"/>
  </r>
  <r>
    <x v="1003"/>
    <s v="FALP18"/>
    <s v="FALP18"/>
    <n v="45"/>
    <s v="18W000000000TGQE"/>
    <x v="9"/>
    <s v="Venta"/>
    <s v="SZR"/>
    <s v="HISPE"/>
    <x v="0"/>
    <x v="43"/>
    <x v="9"/>
    <s v="SZR"/>
  </r>
  <r>
    <x v="1004"/>
    <s v="FALP19"/>
    <s v="FALP19"/>
    <n v="40"/>
    <s v="18W000000000TGRC"/>
    <x v="9"/>
    <s v="Venta"/>
    <s v="SZR"/>
    <s v="HISPE"/>
    <x v="0"/>
    <x v="43"/>
    <x v="9"/>
    <s v="SZR"/>
  </r>
  <r>
    <x v="1005"/>
    <s v="FALP2"/>
    <s v="FALP2"/>
    <n v="40"/>
    <s v="18W000000000SCBN"/>
    <x v="9"/>
    <s v="Venta"/>
    <s v="ALP"/>
    <s v="HISPE"/>
    <x v="0"/>
    <x v="43"/>
    <x v="9"/>
    <s v="ALP"/>
  </r>
  <r>
    <x v="1006"/>
    <s v="FALP20"/>
    <s v="FALP20"/>
    <n v="40"/>
    <s v="18W000000000TGSA"/>
    <x v="9"/>
    <s v="Venta"/>
    <s v="SZR"/>
    <s v="HISPE"/>
    <x v="0"/>
    <x v="43"/>
    <x v="9"/>
    <s v="SZR"/>
  </r>
  <r>
    <x v="1007"/>
    <s v="FALP21"/>
    <s v="FALP21"/>
    <n v="19.600000000000001"/>
    <s v="18W000000000TN8T"/>
    <x v="9"/>
    <s v="Venta"/>
    <s v="SZR"/>
    <s v="HISPE"/>
    <x v="0"/>
    <x v="43"/>
    <x v="9"/>
    <s v="SZR"/>
  </r>
  <r>
    <x v="1008"/>
    <s v="FALP3"/>
    <s v="FALP3"/>
    <n v="42.1"/>
    <s v="18W000000000SCDJ"/>
    <x v="9"/>
    <s v="Venta"/>
    <s v="ALP"/>
    <s v="HISPE"/>
    <x v="0"/>
    <x v="43"/>
    <x v="9"/>
    <s v="ALP"/>
  </r>
  <r>
    <x v="1009"/>
    <s v="FALP4"/>
    <s v="FALP4"/>
    <n v="24.9"/>
    <s v="18W000000000SCFF"/>
    <x v="9"/>
    <s v="Venta"/>
    <s v="ALP"/>
    <s v="HISPE"/>
    <x v="0"/>
    <x v="43"/>
    <x v="9"/>
    <s v="ALP"/>
  </r>
  <r>
    <x v="1010"/>
    <s v="FALP5"/>
    <s v="FALP5"/>
    <n v="40"/>
    <s v="18W000000000SCHB"/>
    <x v="9"/>
    <s v="Venta"/>
    <s v="ALP"/>
    <s v="HISPE"/>
    <x v="0"/>
    <x v="43"/>
    <x v="9"/>
    <s v="ALP"/>
  </r>
  <r>
    <x v="1011"/>
    <s v="FALP6"/>
    <s v="FALP6"/>
    <n v="40"/>
    <s v="18W000000000SCJ7"/>
    <x v="9"/>
    <s v="Venta"/>
    <s v="ALP"/>
    <s v="HISPE"/>
    <x v="0"/>
    <x v="43"/>
    <x v="9"/>
    <s v="ALP"/>
  </r>
  <r>
    <x v="1012"/>
    <s v="FALP7"/>
    <s v="FALP7"/>
    <n v="29.6"/>
    <s v="18W000000000SCL3"/>
    <x v="9"/>
    <s v="Venta"/>
    <s v="ALP"/>
    <s v="HISPE"/>
    <x v="0"/>
    <x v="43"/>
    <x v="9"/>
    <s v="ALP"/>
  </r>
  <r>
    <x v="1013"/>
    <s v="FALP8"/>
    <s v="FALP8"/>
    <n v="29.6"/>
    <s v="18W000000000SCOY"/>
    <x v="9"/>
    <s v="Venta"/>
    <s v="ALP"/>
    <s v="HISPE"/>
    <x v="0"/>
    <x v="43"/>
    <x v="9"/>
    <s v="ALP"/>
  </r>
  <r>
    <x v="1014"/>
    <s v="FALP9"/>
    <s v="FALP9"/>
    <n v="35.1"/>
    <s v="18W000000000SCQU"/>
    <x v="9"/>
    <s v="Venta"/>
    <s v="ALP"/>
    <s v="HISPE"/>
    <x v="0"/>
    <x v="43"/>
    <x v="9"/>
    <s v="ALP"/>
  </r>
  <r>
    <x v="1015"/>
    <s v="FALQRIA"/>
    <s v="ALQUERIA"/>
    <n v="3.1"/>
    <s v="18W000000000O2TX"/>
    <x v="9"/>
    <s v="Venta"/>
    <s v="SZR"/>
    <s v="GESTE"/>
    <x v="0"/>
    <x v="219"/>
    <x v="9"/>
    <s v="SZR"/>
  </r>
  <r>
    <x v="1016"/>
    <s v="UP ALTCO"/>
    <s v="UP MAYOR 5MW ALTCO"/>
    <n v="7.8"/>
    <s v="18W000000000F23A"/>
    <x v="9"/>
    <s v="Venta"/>
    <s v="SZR"/>
    <s v="NEXU"/>
    <x v="0"/>
    <x v="187"/>
    <x v="9"/>
    <s v="SZR"/>
  </r>
  <r>
    <x v="1017"/>
    <s v="ALDEAMORET"/>
    <s v="PSF ALDEA MORET"/>
    <n v="10"/>
    <s v="18W000000000S9R0"/>
    <x v="9"/>
    <s v="Venta"/>
    <s v="WM1"/>
    <s v="WMARK"/>
    <x v="0"/>
    <x v="22"/>
    <x v="9"/>
    <s v="WM1"/>
  </r>
  <r>
    <x v="1018"/>
    <s v="FANGES1"/>
    <s v="FV CASA ANGEL RENOVALIA"/>
    <n v="12"/>
    <s v="18W000000000QDIE"/>
    <x v="9"/>
    <s v="Venta"/>
    <s v="SZR"/>
    <s v="CEG"/>
    <x v="0"/>
    <x v="124"/>
    <x v="9"/>
    <s v="SZR"/>
  </r>
  <r>
    <x v="1019"/>
    <s v="ANOVR"/>
    <s v="ANOVER"/>
    <n v="46.2"/>
    <s v="18W000000000LKID"/>
    <x v="9"/>
    <s v="Venta"/>
    <s v="SZR"/>
    <s v="GESTE"/>
    <x v="0"/>
    <x v="219"/>
    <x v="9"/>
    <s v="SZR"/>
  </r>
  <r>
    <x v="1020"/>
    <s v="FANPU"/>
    <s v="UP ANPU SOLAR"/>
    <n v="14"/>
    <s v="18W000000000MOZ0"/>
    <x v="9"/>
    <s v="Venta"/>
    <s v="SZR"/>
    <s v="EGLE"/>
    <x v="0"/>
    <x v="82"/>
    <x v="9"/>
    <s v="SZR"/>
  </r>
  <r>
    <x v="1021"/>
    <s v="FANSA"/>
    <s v="UP ANSA VIGILANCE"/>
    <n v="2.4"/>
    <s v="18W000000000RV7F"/>
    <x v="9"/>
    <s v="Venta"/>
    <s v="SZR"/>
    <s v="EGLE"/>
    <x v="0"/>
    <x v="82"/>
    <x v="9"/>
    <s v="SZR"/>
  </r>
  <r>
    <x v="1022"/>
    <s v="FANTU"/>
    <s v="UP ANTU SOLAR SL"/>
    <n v="9"/>
    <s v="18W000000000P7UC"/>
    <x v="9"/>
    <s v="Venta"/>
    <s v="SZR"/>
    <s v="EGLE"/>
    <x v="0"/>
    <x v="82"/>
    <x v="9"/>
    <s v="SZR"/>
  </r>
  <r>
    <x v="1023"/>
    <s v="PSF ARASUR"/>
    <s v="PSF ARASUR 1"/>
    <n v="10"/>
    <s v="18W000000000SQQP"/>
    <x v="9"/>
    <s v="Venta"/>
    <s v="WM1"/>
    <s v="WMARK"/>
    <x v="0"/>
    <x v="22"/>
    <x v="9"/>
    <s v="WM1"/>
  </r>
  <r>
    <x v="1024"/>
    <s v="PSF ARASUR"/>
    <s v="PSF ARASUR 2"/>
    <n v="10"/>
    <s v="18W000000000SQSL"/>
    <x v="9"/>
    <s v="Venta"/>
    <s v="WM1"/>
    <s v="WMARK"/>
    <x v="0"/>
    <x v="22"/>
    <x v="9"/>
    <s v="WM1"/>
  </r>
  <r>
    <x v="1025"/>
    <s v="FARBASL"/>
    <s v="UP SOLAR ARBA SOLAR 1"/>
    <n v="5"/>
    <s v="18W000000000RXYT"/>
    <x v="9"/>
    <s v="Venta"/>
    <s v="SZR"/>
    <s v="NEXU"/>
    <x v="0"/>
    <x v="187"/>
    <x v="9"/>
    <s v="SZR"/>
  </r>
  <r>
    <x v="1026"/>
    <s v="FARBYON"/>
    <s v="UP SOLAR ARABAYONA"/>
    <n v="3.5"/>
    <s v="18W000000000QFJ6"/>
    <x v="9"/>
    <s v="Venta"/>
    <s v="SZR"/>
    <s v="NEXU"/>
    <x v="0"/>
    <x v="187"/>
    <x v="9"/>
    <s v="SZR"/>
  </r>
  <r>
    <x v="1027"/>
    <s v="FARCA"/>
    <s v="UP SOLAR ARCA"/>
    <n v="1"/>
    <s v="18W000000000SCZC"/>
    <x v="9"/>
    <s v="Venta"/>
    <s v="SZR"/>
    <s v="NEXU"/>
    <x v="0"/>
    <x v="187"/>
    <x v="9"/>
    <s v="SZR"/>
  </r>
  <r>
    <x v="1028"/>
    <s v="ARCICLLR"/>
    <s v="ARCICOLLR"/>
    <n v="14.5"/>
    <s v="18W000000000O2R0"/>
    <x v="9"/>
    <s v="Venta"/>
    <s v="GST1"/>
    <s v="GESTE"/>
    <x v="0"/>
    <x v="219"/>
    <x v="9"/>
    <s v="GST"/>
  </r>
  <r>
    <x v="1029"/>
    <s v="FARCOS"/>
    <s v="UP SOLAR LOS ARCOS"/>
    <n v="40"/>
    <s v="18W000000000OK2X"/>
    <x v="9"/>
    <s v="Venta"/>
    <s v="NEXUS"/>
    <s v="NEXU"/>
    <x v="0"/>
    <x v="187"/>
    <x v="9"/>
    <s v="NEX"/>
  </r>
  <r>
    <x v="1030"/>
    <s v="PE_ARGASOL"/>
    <s v="PARQUE FV ARGASOL"/>
    <n v="10"/>
    <s v="18W000000000PXAB"/>
    <x v="9"/>
    <s v="Venta"/>
    <s v="SZR"/>
    <s v="EBLCO"/>
    <x v="0"/>
    <x v="158"/>
    <x v="9"/>
    <s v="SZR"/>
  </r>
  <r>
    <x v="1031"/>
    <s v="FAROBO"/>
    <s v="UP SOLAR ARROLLO"/>
    <n v="1.8"/>
    <s v="18W000000000QJMP"/>
    <x v="9"/>
    <s v="Venta"/>
    <s v="SZR"/>
    <s v="NEXU"/>
    <x v="0"/>
    <x v="187"/>
    <x v="9"/>
    <s v="SZR"/>
  </r>
  <r>
    <x v="1032"/>
    <s v="FARPAL"/>
    <s v="UP SOLAR ARPAL"/>
    <n v="8.5"/>
    <s v="18W000000000SYSY"/>
    <x v="9"/>
    <s v="Venta"/>
    <s v="SZR"/>
    <s v="NEXU"/>
    <x v="0"/>
    <x v="187"/>
    <x v="9"/>
    <s v="SZR"/>
  </r>
  <r>
    <x v="1033"/>
    <s v="PE_ASETYM"/>
    <s v="PARQUE FV ASETYM SOL DE MURCIA"/>
    <n v="3.5"/>
    <s v="18W000000000PX8F"/>
    <x v="9"/>
    <s v="Venta"/>
    <s v="SZR"/>
    <s v="EBLCO"/>
    <x v="0"/>
    <x v="158"/>
    <x v="9"/>
    <s v="SZR"/>
  </r>
  <r>
    <x v="1034"/>
    <s v="FASSENE"/>
    <s v="UP FV ASSET ENERGIA SOLAR"/>
    <n v="7"/>
    <s v="18WFASSENE-123-F"/>
    <x v="9"/>
    <s v="Venta"/>
    <s v="SZR"/>
    <s v="NEXU"/>
    <x v="0"/>
    <x v="187"/>
    <x v="9"/>
    <s v="SZR"/>
  </r>
  <r>
    <x v="1035"/>
    <s v="FASSEST"/>
    <s v="UP FV ASSET SESTRA"/>
    <n v="7.5"/>
    <s v="18WFASSEST-123-I"/>
    <x v="9"/>
    <s v="Venta"/>
    <s v="SZR"/>
    <s v="NEXU"/>
    <x v="0"/>
    <x v="187"/>
    <x v="9"/>
    <s v="SZR"/>
  </r>
  <r>
    <x v="1036"/>
    <s v="FASSLOG"/>
    <s v="UP FV ASSET LOGISTIC"/>
    <n v="7"/>
    <s v="18WFASSLOG-123-4"/>
    <x v="9"/>
    <s v="Venta"/>
    <s v="SZR"/>
    <s v="NEXU"/>
    <x v="0"/>
    <x v="187"/>
    <x v="9"/>
    <s v="SZR"/>
  </r>
  <r>
    <x v="1037"/>
    <s v="FASTC01"/>
    <s v="FASTL COMERCIALIZADORA"/>
    <n v="500"/>
    <s v="18W000000000S6QB"/>
    <x v="2"/>
    <s v="Compra"/>
    <s v="SZR"/>
    <s v="FASTL"/>
    <x v="1"/>
    <x v="296"/>
    <x v="2"/>
    <s v="SZR"/>
  </r>
  <r>
    <x v="1038"/>
    <s v="FATALAY"/>
    <s v="UP SOLAR ATALAYA"/>
    <n v="1.2"/>
    <s v="18W000000000R38N"/>
    <x v="9"/>
    <s v="Venta"/>
    <s v="SZR"/>
    <s v="NEXU"/>
    <x v="0"/>
    <x v="187"/>
    <x v="9"/>
    <s v="SZR"/>
  </r>
  <r>
    <x v="1039"/>
    <s v="FATQINS"/>
    <s v="UP SOLAR ATAQUINES"/>
    <n v="1.8"/>
    <s v="18W000000000SUYY"/>
    <x v="9"/>
    <s v="Venta"/>
    <s v="SZR"/>
    <s v="NEXU"/>
    <x v="0"/>
    <x v="187"/>
    <x v="9"/>
    <s v="SZR"/>
  </r>
  <r>
    <x v="1040"/>
    <s v="PV AUDAX"/>
    <s v="PV AUDAX"/>
    <n v="121.8"/>
    <s v="18W000000000I2K1"/>
    <x v="9"/>
    <s v="Venta"/>
    <s v="SZR"/>
    <s v="ADXRE"/>
    <x v="0"/>
    <x v="37"/>
    <x v="9"/>
    <s v="SZR"/>
  </r>
  <r>
    <x v="1041"/>
    <s v="UP AZARAR"/>
    <s v="UP SOLAR AZARA"/>
    <n v="9.8000000000000007"/>
    <s v="18W000000000IBZI"/>
    <x v="9"/>
    <s v="Venta"/>
    <s v="SZR"/>
    <s v="NEXU"/>
    <x v="0"/>
    <x v="187"/>
    <x v="9"/>
    <s v="SZR"/>
  </r>
  <r>
    <x v="1042"/>
    <s v="FAZUER1"/>
    <s v="UP SOLAR AZUER1"/>
    <n v="41"/>
    <s v="18W000000000LX7X"/>
    <x v="9"/>
    <s v="Venta"/>
    <s v="NEXUS"/>
    <s v="NEXU"/>
    <x v="0"/>
    <x v="187"/>
    <x v="9"/>
    <s v="NEX"/>
  </r>
  <r>
    <x v="1043"/>
    <s v="FAZUER2"/>
    <s v="UP SOLAR AZUER2"/>
    <n v="32"/>
    <s v="18W000000000LX9T"/>
    <x v="9"/>
    <s v="Venta"/>
    <s v="NEXUS"/>
    <s v="NEXU"/>
    <x v="0"/>
    <x v="187"/>
    <x v="9"/>
    <s v="NEX"/>
  </r>
  <r>
    <x v="1044"/>
    <s v="FBADJOZ"/>
    <s v="UP SOLAR BADAJOZ SOLAR 9"/>
    <n v="5"/>
    <s v="18W000000000RXNE"/>
    <x v="9"/>
    <s v="Venta"/>
    <s v="SZR"/>
    <s v="NEXU"/>
    <x v="0"/>
    <x v="187"/>
    <x v="9"/>
    <s v="SZR"/>
  </r>
  <r>
    <x v="1045"/>
    <s v="BARAD"/>
    <s v="FBARRAD"/>
    <n v="1.2"/>
    <s v="18W000000000JWFS"/>
    <x v="9"/>
    <s v="Venta"/>
    <s v="SZR"/>
    <s v="GESTE"/>
    <x v="0"/>
    <x v="219"/>
    <x v="9"/>
    <s v="SZR"/>
  </r>
  <r>
    <x v="1046"/>
    <s v="FBARCI"/>
    <s v="UP COLMENA SUN BARCIENCE"/>
    <n v="30"/>
    <s v="18W000000000R54P"/>
    <x v="9"/>
    <s v="Venta"/>
    <s v="SZR"/>
    <s v="EGLE"/>
    <x v="0"/>
    <x v="82"/>
    <x v="9"/>
    <s v="SZR"/>
  </r>
  <r>
    <x v="1047"/>
    <s v="BARGSNORT"/>
    <s v="BARGASNORTE"/>
    <n v="4.7"/>
    <s v="18W000000000PYGX"/>
    <x v="9"/>
    <s v="Venta"/>
    <s v="SZR"/>
    <s v="GESTE"/>
    <x v="0"/>
    <x v="219"/>
    <x v="9"/>
    <s v="SZR"/>
  </r>
  <r>
    <x v="1048"/>
    <s v="BRNSSUR"/>
    <s v="BARGSSUR"/>
    <n v="4.7"/>
    <s v="18W000000000PYIT"/>
    <x v="9"/>
    <s v="Venta"/>
    <s v="SZR"/>
    <s v="GESTE"/>
    <x v="0"/>
    <x v="219"/>
    <x v="9"/>
    <s v="SZR"/>
  </r>
  <r>
    <x v="1049"/>
    <s v="FBASIR"/>
    <s v="UP SOLAR BASIR"/>
    <n v="15.5"/>
    <s v="18W000000000SR7N"/>
    <x v="9"/>
    <s v="Venta"/>
    <s v="SZR"/>
    <s v="NEXU"/>
    <x v="0"/>
    <x v="187"/>
    <x v="9"/>
    <s v="SZR"/>
  </r>
  <r>
    <x v="1050"/>
    <s v="FBELCH1"/>
    <s v="BELINCHON1"/>
    <n v="44"/>
    <s v="18W000000000Q6KV"/>
    <x v="9"/>
    <s v="Venta"/>
    <s v="EVM"/>
    <s v="CEG"/>
    <x v="0"/>
    <x v="124"/>
    <x v="9"/>
    <s v="EVM"/>
  </r>
  <r>
    <x v="1051"/>
    <s v="FBELCH2"/>
    <s v="FBELCH2"/>
    <n v="44"/>
    <s v="18W000000000Q6LT"/>
    <x v="9"/>
    <s v="Venta"/>
    <s v="EVM"/>
    <s v="CEG"/>
    <x v="0"/>
    <x v="124"/>
    <x v="9"/>
    <s v="EVM"/>
  </r>
  <r>
    <x v="1052"/>
    <s v="FBELCH3"/>
    <s v="FBELCH3"/>
    <n v="44"/>
    <s v="18W000000000Q6MR"/>
    <x v="9"/>
    <s v="Venta"/>
    <s v="EVM"/>
    <s v="CEG"/>
    <x v="0"/>
    <x v="124"/>
    <x v="9"/>
    <s v="EVM"/>
  </r>
  <r>
    <x v="1053"/>
    <s v="FBELME1"/>
    <s v="UP SOLAR BELMEZ 1"/>
    <n v="0.9"/>
    <s v="18W000000000RCFJ"/>
    <x v="9"/>
    <s v="Venta"/>
    <s v="SZR"/>
    <s v="NEXU"/>
    <x v="0"/>
    <x v="187"/>
    <x v="9"/>
    <s v="SZR"/>
  </r>
  <r>
    <x v="1054"/>
    <s v="FBELME2"/>
    <s v="UP SOLAR BELMEZ2"/>
    <n v="0.9"/>
    <s v="18W000000000RCHF"/>
    <x v="9"/>
    <s v="Venta"/>
    <s v="SZR"/>
    <s v="NEXU"/>
    <x v="0"/>
    <x v="187"/>
    <x v="9"/>
    <s v="SZR"/>
  </r>
  <r>
    <x v="1055"/>
    <s v="FBELOS"/>
    <s v="UP FV BELOS"/>
    <n v="40"/>
    <s v="18W000000000I9DV"/>
    <x v="9"/>
    <s v="Venta"/>
    <s v="NEXUS"/>
    <s v="NEXU"/>
    <x v="0"/>
    <x v="187"/>
    <x v="9"/>
    <s v="NEX"/>
  </r>
  <r>
    <x v="1056"/>
    <s v="BENEIXAMA"/>
    <s v="PARQUE FV BENEIXAMA"/>
    <n v="19"/>
    <s v="18W000000000RTX6"/>
    <x v="9"/>
    <s v="Venta"/>
    <s v="SZR"/>
    <s v="EBLCO"/>
    <x v="0"/>
    <x v="158"/>
    <x v="9"/>
    <s v="SZR"/>
  </r>
  <r>
    <x v="1057"/>
    <s v="FBETULA"/>
    <s v="UP SOLAR BETULA"/>
    <n v="7.4"/>
    <s v="18W000000000SUU5"/>
    <x v="9"/>
    <s v="Venta"/>
    <s v="SZR"/>
    <s v="NEXU"/>
    <x v="0"/>
    <x v="187"/>
    <x v="9"/>
    <s v="SZR"/>
  </r>
  <r>
    <x v="1058"/>
    <s v="FBHIBHV"/>
    <s v="VENTA HIBRIDACION FV Y BATERIA"/>
    <n v="85"/>
    <s v="18W000000000Q3TM"/>
    <x v="22"/>
    <s v="Venta"/>
    <s v="SZR"/>
    <s v="IBGES"/>
    <x v="9"/>
    <x v="7"/>
    <x v="25"/>
    <s v="SZR"/>
  </r>
  <r>
    <x v="1059"/>
    <s v="BLNCA"/>
    <s v="CSBLANCA"/>
    <n v="2.1"/>
    <s v="18W000000000N7DH"/>
    <x v="9"/>
    <s v="Venta"/>
    <s v="SZR"/>
    <s v="GESTE"/>
    <x v="0"/>
    <x v="219"/>
    <x v="9"/>
    <s v="SZR"/>
  </r>
  <r>
    <x v="1060"/>
    <s v="FBLCON1"/>
    <s v="UP SOLAR BELINCHON1"/>
    <n v="41.2"/>
    <s v="18W000000000QAMF"/>
    <x v="9"/>
    <s v="Venta"/>
    <s v="NEXUS"/>
    <s v="NEXU"/>
    <x v="0"/>
    <x v="187"/>
    <x v="9"/>
    <s v="NEX"/>
  </r>
  <r>
    <x v="1061"/>
    <s v="FBLCON2"/>
    <s v="UP SOLAR BELINCHON 2"/>
    <n v="41.2"/>
    <s v="18W000000000QE50"/>
    <x v="9"/>
    <s v="Venta"/>
    <s v="NEXUS"/>
    <s v="NEXU"/>
    <x v="0"/>
    <x v="187"/>
    <x v="9"/>
    <s v="NEX"/>
  </r>
  <r>
    <x v="1062"/>
    <s v="FBLCON3"/>
    <s v="UP SOLAR BELINCHON3"/>
    <n v="41.2"/>
    <s v="18W000000000QTEB"/>
    <x v="9"/>
    <s v="Venta"/>
    <s v="NEXUS"/>
    <s v="NEXU"/>
    <x v="0"/>
    <x v="187"/>
    <x v="9"/>
    <s v="NEX"/>
  </r>
  <r>
    <x v="1063"/>
    <s v="BLDIO"/>
    <s v="BALDIO2"/>
    <n v="17"/>
    <s v="18W000000000MZ2X"/>
    <x v="9"/>
    <s v="Venta"/>
    <s v="SZR"/>
    <s v="GESTE"/>
    <x v="0"/>
    <x v="219"/>
    <x v="9"/>
    <s v="SZR"/>
  </r>
  <r>
    <x v="1064"/>
    <s v="FBLMER2"/>
    <s v="UP SOLAR MER2"/>
    <n v="14"/>
    <s v="18W000000000TEQK"/>
    <x v="9"/>
    <s v="Venta"/>
    <s v="SZR"/>
    <s v="NEXU"/>
    <x v="0"/>
    <x v="187"/>
    <x v="9"/>
    <s v="SZR"/>
  </r>
  <r>
    <x v="1065"/>
    <s v="FBLMER3"/>
    <s v="UP SOLAR MER3"/>
    <n v="7"/>
    <s v="18W000000000TERI"/>
    <x v="9"/>
    <s v="Venta"/>
    <s v="SZR"/>
    <s v="NEXU"/>
    <x v="0"/>
    <x v="187"/>
    <x v="9"/>
    <s v="SZR"/>
  </r>
  <r>
    <x v="1066"/>
    <s v="FBLOPR2"/>
    <s v="UP SOLAR PR2"/>
    <n v="9"/>
    <s v="18W000000000T856"/>
    <x v="9"/>
    <s v="Venta"/>
    <s v="SZR"/>
    <s v="NEXU"/>
    <x v="0"/>
    <x v="187"/>
    <x v="9"/>
    <s v="SZR"/>
  </r>
  <r>
    <x v="1067"/>
    <s v="FBLOPR3"/>
    <s v="UP SOLAR PR3"/>
    <n v="8"/>
    <s v="18W000000000T864"/>
    <x v="9"/>
    <s v="Venta"/>
    <s v="SZR"/>
    <s v="NEXU"/>
    <x v="0"/>
    <x v="187"/>
    <x v="9"/>
    <s v="SZR"/>
  </r>
  <r>
    <x v="1068"/>
    <s v="FBOLAR1"/>
    <s v="FBOLAR1"/>
    <n v="45"/>
    <s v="18W000000000T7R2"/>
    <x v="9"/>
    <s v="Venta"/>
    <s v="SZR"/>
    <s v="CEG"/>
    <x v="0"/>
    <x v="124"/>
    <x v="9"/>
    <s v="SZR"/>
  </r>
  <r>
    <x v="1069"/>
    <s v="FBOLAR2"/>
    <s v="FBOLAR2"/>
    <n v="45"/>
    <s v="18W000000000T7TZ"/>
    <x v="9"/>
    <s v="Venta"/>
    <s v="SZR"/>
    <s v="CEG"/>
    <x v="0"/>
    <x v="124"/>
    <x v="9"/>
    <s v="SZR"/>
  </r>
  <r>
    <x v="1070"/>
    <s v="FBOLAR3"/>
    <s v="FBOLAR3"/>
    <n v="23.5"/>
    <s v="18W000000000T7VV"/>
    <x v="9"/>
    <s v="Venta"/>
    <s v="SZR"/>
    <s v="CEG"/>
    <x v="0"/>
    <x v="124"/>
    <x v="9"/>
    <s v="SZR"/>
  </r>
  <r>
    <x v="1071"/>
    <s v="FBRCNES"/>
    <s v="UP SOLAR BARCONES"/>
    <n v="9"/>
    <s v="18W000000000SDAM"/>
    <x v="9"/>
    <s v="Venta"/>
    <s v="SZR"/>
    <s v="NEXU"/>
    <x v="0"/>
    <x v="187"/>
    <x v="9"/>
    <s v="SZR"/>
  </r>
  <r>
    <x v="1072"/>
    <s v="FBRDENAS"/>
    <s v="FBRDENAS"/>
    <n v="5.4"/>
    <s v="18W000000000IPXH"/>
    <x v="9"/>
    <s v="Venta"/>
    <s v="SZR"/>
    <s v="GESTE"/>
    <x v="0"/>
    <x v="219"/>
    <x v="9"/>
    <s v="SZR"/>
  </r>
  <r>
    <x v="1073"/>
    <s v="BRDNS"/>
    <s v="BRDNASS"/>
    <n v="2"/>
    <s v="18W000000000NDV0"/>
    <x v="9"/>
    <s v="Venta"/>
    <s v="SZR"/>
    <s v="GESTE"/>
    <x v="0"/>
    <x v="219"/>
    <x v="9"/>
    <s v="SZR"/>
  </r>
  <r>
    <x v="1074"/>
    <s v="BRERAS"/>
    <s v="LUMBRERAS"/>
    <n v="43.4"/>
    <s v="18W000000000NKK1"/>
    <x v="9"/>
    <s v="Venta"/>
    <s v="GST1"/>
    <s v="GESTE"/>
    <x v="0"/>
    <x v="219"/>
    <x v="9"/>
    <s v="GST"/>
  </r>
  <r>
    <x v="1075"/>
    <s v="FBRGAS"/>
    <s v="UP SOLAR BARGAS"/>
    <n v="5"/>
    <s v="18W000000000R56L"/>
    <x v="9"/>
    <s v="Venta"/>
    <s v="SZR"/>
    <s v="NEXU"/>
    <x v="0"/>
    <x v="187"/>
    <x v="9"/>
    <s v="SZR"/>
  </r>
  <r>
    <x v="1076"/>
    <s v="FBRISAS"/>
    <s v="UP SOLAR LAS BRISAS"/>
    <n v="2.4"/>
    <s v="18W000000000RT0Z"/>
    <x v="9"/>
    <s v="Venta"/>
    <s v="SZR"/>
    <s v="NEXU"/>
    <x v="0"/>
    <x v="187"/>
    <x v="9"/>
    <s v="SZR"/>
  </r>
  <r>
    <x v="1077"/>
    <s v="FBRVLS1"/>
    <s v="UP SOLAR BROVALES 1"/>
    <n v="40"/>
    <s v="18W000000000RQSP"/>
    <x v="9"/>
    <s v="Venta"/>
    <s v="NEXUS"/>
    <s v="NEXU"/>
    <x v="0"/>
    <x v="187"/>
    <x v="9"/>
    <s v="NEX"/>
  </r>
  <r>
    <x v="1078"/>
    <s v="FBRVLS2"/>
    <s v="UP SOLAR BROVALES 2"/>
    <n v="40"/>
    <s v="18W000000000RM0J"/>
    <x v="9"/>
    <s v="Venta"/>
    <s v="NEXUS"/>
    <s v="NEXU"/>
    <x v="0"/>
    <x v="187"/>
    <x v="9"/>
    <s v="NEX"/>
  </r>
  <r>
    <x v="1079"/>
    <s v="FBRVLS3"/>
    <s v="UP SOLAR BROVALES3"/>
    <n v="14"/>
    <s v="18W000000000RKLK"/>
    <x v="9"/>
    <s v="Venta"/>
    <s v="NEXUS"/>
    <s v="NEXU"/>
    <x v="0"/>
    <x v="187"/>
    <x v="9"/>
    <s v="NEX"/>
  </r>
  <r>
    <x v="1080"/>
    <s v="FBUIXEU"/>
    <s v="UP SOLAR BUIXALLEU"/>
    <n v="2.2000000000000002"/>
    <s v="18W000000000QHJ0"/>
    <x v="9"/>
    <s v="Venta"/>
    <s v="SZR"/>
    <s v="NEXU"/>
    <x v="0"/>
    <x v="187"/>
    <x v="9"/>
    <s v="SZR"/>
  </r>
  <r>
    <x v="1081"/>
    <s v="FBURGLL"/>
    <s v="UP SOLAR BURGUILLOS"/>
    <n v="21.2"/>
    <s v="18W000000000PVQM"/>
    <x v="9"/>
    <s v="Venta"/>
    <s v="NEXUS"/>
    <s v="NEXU"/>
    <x v="0"/>
    <x v="187"/>
    <x v="9"/>
    <s v="NEX"/>
  </r>
  <r>
    <x v="1082"/>
    <s v="FBURGO1"/>
    <s v="UP FBURGO 1"/>
    <n v="2.1"/>
    <s v="18W000000000RILQ"/>
    <x v="9"/>
    <s v="Venta"/>
    <s v="SZR"/>
    <s v="NEXU"/>
    <x v="0"/>
    <x v="187"/>
    <x v="9"/>
    <s v="SZR"/>
  </r>
  <r>
    <x v="1083"/>
    <s v="FBURGO2"/>
    <s v="UP FBURGO2"/>
    <n v="2.1"/>
    <s v="18W000000000RIMO"/>
    <x v="9"/>
    <s v="Venta"/>
    <s v="SZR"/>
    <s v="NEXU"/>
    <x v="0"/>
    <x v="187"/>
    <x v="9"/>
    <s v="SZR"/>
  </r>
  <r>
    <x v="1084"/>
    <s v="CABEZA"/>
    <s v="CABEZASS"/>
    <n v="1.6"/>
    <s v="18W000000000NDS6"/>
    <x v="9"/>
    <s v="Venta"/>
    <s v="SZR"/>
    <s v="GESTE"/>
    <x v="0"/>
    <x v="219"/>
    <x v="9"/>
    <s v="SZR"/>
  </r>
  <r>
    <x v="1085"/>
    <s v="FCABLDO"/>
    <s v="UP SOLAR CABILDO"/>
    <n v="2"/>
    <s v="18W000000000SUW1"/>
    <x v="9"/>
    <s v="Venta"/>
    <s v="SZR"/>
    <s v="NEXU"/>
    <x v="0"/>
    <x v="187"/>
    <x v="9"/>
    <s v="SZR"/>
  </r>
  <r>
    <x v="1086"/>
    <s v="FCABZLA"/>
    <s v="UP SOLAR CABEZUELAS"/>
    <n v="2.4"/>
    <s v="18W000000000RQUL"/>
    <x v="9"/>
    <s v="Venta"/>
    <s v="SZR"/>
    <s v="NEXU"/>
    <x v="0"/>
    <x v="187"/>
    <x v="9"/>
    <s v="SZR"/>
  </r>
  <r>
    <x v="1087"/>
    <s v="FCADIMA"/>
    <s v="UP FV CADIMA"/>
    <n v="33.1"/>
    <s v="18W000000000G2AT"/>
    <x v="9"/>
    <s v="Venta"/>
    <s v="NEXUS"/>
    <s v="NEXU"/>
    <x v="0"/>
    <x v="187"/>
    <x v="9"/>
    <s v="NEX"/>
  </r>
  <r>
    <x v="1088"/>
    <s v="FCALASP"/>
    <s v="FCALASP"/>
    <n v="8"/>
    <s v="18W000000000RL1K"/>
    <x v="9"/>
    <s v="Venta"/>
    <s v="SZR"/>
    <s v="CEG"/>
    <x v="0"/>
    <x v="124"/>
    <x v="9"/>
    <s v="SZR"/>
  </r>
  <r>
    <x v="1089"/>
    <s v="FCALCAL"/>
    <s v="UP FV CALCAL"/>
    <n v="10"/>
    <s v="18W000000000L28D"/>
    <x v="9"/>
    <s v="Venta"/>
    <s v="SZR"/>
    <s v="NEXU"/>
    <x v="0"/>
    <x v="187"/>
    <x v="9"/>
    <s v="SZR"/>
  </r>
  <r>
    <x v="1090"/>
    <s v="CALERA"/>
    <s v="CALERACHOZAS"/>
    <n v="13.4"/>
    <s v="18W000000000N0C3"/>
    <x v="9"/>
    <s v="Venta"/>
    <s v="SZR"/>
    <s v="GESTE"/>
    <x v="0"/>
    <x v="219"/>
    <x v="9"/>
    <s v="SZR"/>
  </r>
  <r>
    <x v="1091"/>
    <s v="FCALIG"/>
    <s v="UP SOLAR CALIG"/>
    <n v="3.2"/>
    <s v="18W000000000ONV3"/>
    <x v="9"/>
    <s v="Venta"/>
    <s v="SZR"/>
    <s v="NEXU"/>
    <x v="0"/>
    <x v="187"/>
    <x v="9"/>
    <s v="SZR"/>
  </r>
  <r>
    <x v="1092"/>
    <s v="FCP"/>
    <s v="FCPAM"/>
    <n v="31.5"/>
    <s v="18W000000000H0GJ"/>
    <x v="9"/>
    <s v="Venta"/>
    <s v="GST1"/>
    <s v="GESTE"/>
    <x v="0"/>
    <x v="219"/>
    <x v="9"/>
    <s v="GST"/>
  </r>
  <r>
    <x v="1093"/>
    <s v="SOLAR CAMP"/>
    <s v="SOLAR CAMPINA CORDOBESA"/>
    <n v="9.8000000000000007"/>
    <s v="18W000000000SQRN"/>
    <x v="9"/>
    <s v="Venta"/>
    <s v="SZR"/>
    <s v="WMARK"/>
    <x v="0"/>
    <x v="22"/>
    <x v="9"/>
    <s v="SZR"/>
  </r>
  <r>
    <x v="1094"/>
    <s v="FCAMPOS"/>
    <s v="UP SOLAR CAMPOS DEL RIO"/>
    <n v="8.5"/>
    <s v="18W000000000RPYG"/>
    <x v="9"/>
    <s v="Venta"/>
    <s v="SZR"/>
    <s v="NEXU"/>
    <x v="0"/>
    <x v="187"/>
    <x v="9"/>
    <s v="SZR"/>
  </r>
  <r>
    <x v="1095"/>
    <s v="UP CANAME"/>
    <s v="UP MAYOR 5MW CANAME"/>
    <n v="5.5"/>
    <s v="18W000000000FNMK"/>
    <x v="9"/>
    <s v="Venta"/>
    <s v="SZR"/>
    <s v="NEXU"/>
    <x v="0"/>
    <x v="187"/>
    <x v="9"/>
    <s v="SZR"/>
  </r>
  <r>
    <x v="1096"/>
    <s v="CAÑAVEROSA"/>
    <s v="CAÑAVEROSA"/>
    <n v="6"/>
    <s v="18WFCANAVE-123-Q"/>
    <x v="9"/>
    <s v="Venta"/>
    <s v="SZR"/>
    <s v="GESTE"/>
    <x v="0"/>
    <x v="219"/>
    <x v="9"/>
    <s v="SZR"/>
  </r>
  <r>
    <x v="1097"/>
    <s v="FCANES"/>
    <s v="UP SOLAR CANES"/>
    <n v="38.200000000000003"/>
    <s v="18W000000000T1AH"/>
    <x v="9"/>
    <s v="Venta"/>
    <s v="SZR"/>
    <s v="NEXU"/>
    <x v="0"/>
    <x v="187"/>
    <x v="9"/>
    <s v="SZR"/>
  </r>
  <r>
    <x v="1098"/>
    <s v="FCANILS"/>
    <s v="UP SOLAR CANILES"/>
    <n v="2.8"/>
    <s v="18W000000000S7WX"/>
    <x v="9"/>
    <s v="Venta"/>
    <s v="SZR"/>
    <s v="NEXU"/>
    <x v="0"/>
    <x v="187"/>
    <x v="9"/>
    <s v="SZR"/>
  </r>
  <r>
    <x v="1099"/>
    <s v="FCAPRI"/>
    <s v="FCAPRI"/>
    <n v="21.5"/>
    <s v="18W000000000KNDI"/>
    <x v="9"/>
    <s v="Venta"/>
    <s v="ALP"/>
    <s v="HISPE"/>
    <x v="0"/>
    <x v="43"/>
    <x v="9"/>
    <s v="ALP"/>
  </r>
  <r>
    <x v="1100"/>
    <s v="FCARAVA"/>
    <s v="FCARAVA"/>
    <n v="1.5"/>
    <s v="18W000000000QRDJ"/>
    <x v="9"/>
    <s v="Venta"/>
    <s v="SZR"/>
    <s v="CEG"/>
    <x v="0"/>
    <x v="124"/>
    <x v="9"/>
    <s v="SZR"/>
  </r>
  <r>
    <x v="1101"/>
    <s v="FCARMON"/>
    <s v="UP SOLAR CARMONA"/>
    <n v="5"/>
    <s v="18W000000000SEWC"/>
    <x v="9"/>
    <s v="Venta"/>
    <s v="SZR"/>
    <s v="NEXU"/>
    <x v="0"/>
    <x v="187"/>
    <x v="9"/>
    <s v="SZR"/>
  </r>
  <r>
    <x v="1102"/>
    <s v="FCARRIL"/>
    <s v="UP FV CARRIL"/>
    <n v="42.2"/>
    <s v="18W000000000HG5U"/>
    <x v="9"/>
    <s v="Venta"/>
    <s v="NEXUS"/>
    <s v="NEXU"/>
    <x v="0"/>
    <x v="187"/>
    <x v="9"/>
    <s v="NEX"/>
  </r>
  <r>
    <x v="1103"/>
    <s v="FCATUR"/>
    <s v="UP PSFV-CARTUJA"/>
    <n v="43"/>
    <s v="18W000000000LZED"/>
    <x v="9"/>
    <s v="Venta"/>
    <s v="SZR"/>
    <s v="EGLE"/>
    <x v="0"/>
    <x v="82"/>
    <x v="9"/>
    <s v="SZR"/>
  </r>
  <r>
    <x v="1104"/>
    <s v="CAR"/>
    <s v="CARAVACA"/>
    <n v="2"/>
    <s v="18W000000000R29O"/>
    <x v="9"/>
    <s v="Venta"/>
    <s v="SZR"/>
    <s v="GESTE"/>
    <x v="0"/>
    <x v="219"/>
    <x v="9"/>
    <s v="SZR"/>
  </r>
  <r>
    <x v="1105"/>
    <s v="FCASAQ1"/>
    <s v="CASAQUEMADA I"/>
    <n v="29"/>
    <s v="18W000000000Q1TS"/>
    <x v="9"/>
    <s v="Venta"/>
    <s v="EN1"/>
    <s v="EBLCO"/>
    <x v="0"/>
    <x v="158"/>
    <x v="9"/>
    <s v="EN1"/>
  </r>
  <r>
    <x v="1106"/>
    <s v="FCASAQ2"/>
    <s v="CASAQUEMADA II"/>
    <n v="29"/>
    <s v="18W000000000Q1UQ"/>
    <x v="9"/>
    <s v="Venta"/>
    <s v="EN1"/>
    <s v="EBLCO"/>
    <x v="0"/>
    <x v="158"/>
    <x v="9"/>
    <s v="EN1"/>
  </r>
  <r>
    <x v="1107"/>
    <s v="CASTEJ"/>
    <s v="CASTEJADA"/>
    <n v="1.4"/>
    <s v="18W000000000JQWC"/>
    <x v="9"/>
    <s v="Venta"/>
    <s v="SZR"/>
    <s v="GESTE"/>
    <x v="0"/>
    <x v="219"/>
    <x v="9"/>
    <s v="SZR"/>
  </r>
  <r>
    <x v="1108"/>
    <s v="FCASTJA"/>
    <s v="UP FV CASTJA"/>
    <n v="9.8000000000000007"/>
    <s v="18WFCASTJA-123-3"/>
    <x v="9"/>
    <s v="Venta"/>
    <s v="SZR"/>
    <s v="NEXU"/>
    <x v="0"/>
    <x v="187"/>
    <x v="9"/>
    <s v="SZR"/>
  </r>
  <r>
    <x v="1109"/>
    <s v="CASTOR"/>
    <s v="CASTOR"/>
    <n v="42.5"/>
    <s v="18W000000000MEKN"/>
    <x v="9"/>
    <s v="Venta"/>
    <s v="ALP"/>
    <s v="HISPE"/>
    <x v="0"/>
    <x v="43"/>
    <x v="9"/>
    <s v="ALP"/>
  </r>
  <r>
    <x v="1110"/>
    <s v="FCASTU"/>
    <s v="UP SOLAR CASTUERA"/>
    <n v="88"/>
    <s v="18W000000000TPWC"/>
    <x v="9"/>
    <s v="Venta"/>
    <s v="SZR"/>
    <s v="EGLE"/>
    <x v="0"/>
    <x v="82"/>
    <x v="9"/>
    <s v="SZR"/>
  </r>
  <r>
    <x v="1111"/>
    <s v="FCASTUR"/>
    <s v="UP SOLAR CASTUR"/>
    <n v="1.2"/>
    <s v="18W000000000QB3D"/>
    <x v="9"/>
    <s v="Venta"/>
    <s v="SZR"/>
    <s v="NEXU"/>
    <x v="0"/>
    <x v="187"/>
    <x v="9"/>
    <s v="SZR"/>
  </r>
  <r>
    <x v="1112"/>
    <s v="FCBROVA"/>
    <s v="UP SOLAR CABROVALES"/>
    <n v="41"/>
    <s v="18W000000000T83A"/>
    <x v="9"/>
    <s v="Venta"/>
    <s v="SZR"/>
    <s v="NEXU"/>
    <x v="0"/>
    <x v="187"/>
    <x v="9"/>
    <s v="SZR"/>
  </r>
  <r>
    <x v="1113"/>
    <s v="FCDSNOS"/>
    <s v="UP SOLAR CANDASNOS"/>
    <n v="2.7"/>
    <s v="18W000000000SLQ3"/>
    <x v="9"/>
    <s v="Venta"/>
    <s v="SZR"/>
    <s v="NEXU"/>
    <x v="0"/>
    <x v="187"/>
    <x v="9"/>
    <s v="SZR"/>
  </r>
  <r>
    <x v="1114"/>
    <s v="FCELEO"/>
    <s v="UP SOLAR CELEO"/>
    <n v="2"/>
    <s v="18W000000000SIU4"/>
    <x v="9"/>
    <s v="Venta"/>
    <s v="SZR"/>
    <s v="NEXU"/>
    <x v="0"/>
    <x v="187"/>
    <x v="9"/>
    <s v="SZR"/>
  </r>
  <r>
    <x v="1115"/>
    <s v="CENTAURUS"/>
    <s v="CENTUARUS SOLAR FV121"/>
    <n v="45.6"/>
    <s v="18W000000000T63G"/>
    <x v="9"/>
    <s v="Venta"/>
    <s v="SZR"/>
    <s v="SOLRC"/>
    <x v="0"/>
    <x v="297"/>
    <x v="9"/>
    <s v="SZR"/>
  </r>
  <r>
    <x v="1116"/>
    <s v="FCERRAT"/>
    <s v="FCERRAT"/>
    <n v="82"/>
    <s v="18W000000000SEDD"/>
    <x v="9"/>
    <s v="Venta"/>
    <s v="SZR"/>
    <s v="REPSB"/>
    <x v="0"/>
    <x v="29"/>
    <x v="9"/>
    <s v="SZR"/>
  </r>
  <r>
    <x v="1117"/>
    <s v="CIBA"/>
    <s v="CIBANAL"/>
    <n v="1.9"/>
    <s v="18W000000000RBLA"/>
    <x v="9"/>
    <s v="Venta"/>
    <s v="SZR"/>
    <s v="GESTE"/>
    <x v="0"/>
    <x v="219"/>
    <x v="9"/>
    <s v="SZR"/>
  </r>
  <r>
    <x v="1118"/>
    <s v="FCLASA"/>
    <s v="UP SOLAR CLASA"/>
    <n v="1.1000000000000001"/>
    <s v="18W000000000T32R"/>
    <x v="9"/>
    <s v="Venta"/>
    <s v="SZR"/>
    <s v="NEXU"/>
    <x v="0"/>
    <x v="187"/>
    <x v="9"/>
    <s v="SZR"/>
  </r>
  <r>
    <x v="1119"/>
    <s v="FCLMNTE"/>
    <s v="UP SOLAR SAN CLEMENTE"/>
    <n v="2"/>
    <s v="18W000000000SQFA"/>
    <x v="9"/>
    <s v="Venta"/>
    <s v="SZR"/>
    <s v="NEXU"/>
    <x v="0"/>
    <x v="187"/>
    <x v="9"/>
    <s v="SZR"/>
  </r>
  <r>
    <x v="1120"/>
    <s v="FCLUGAR"/>
    <s v="UP SOLAR CAMPO LUGAR"/>
    <n v="1.9"/>
    <s v="18W000000000T35L"/>
    <x v="9"/>
    <s v="Venta"/>
    <s v="SZR"/>
    <s v="NEXU"/>
    <x v="0"/>
    <x v="187"/>
    <x v="9"/>
    <s v="SZR"/>
  </r>
  <r>
    <x v="1121"/>
    <s v="FCLVRON"/>
    <s v="UP SOLAR CALAVERON"/>
    <n v="20"/>
    <s v="18W000000000LZZ8"/>
    <x v="9"/>
    <s v="Venta"/>
    <s v="SZR"/>
    <s v="NEXU"/>
    <x v="0"/>
    <x v="187"/>
    <x v="9"/>
    <s v="SZR"/>
  </r>
  <r>
    <x v="1122"/>
    <s v="FCMONA1"/>
    <s v="UP SOLAR CARMONA 1"/>
    <n v="5"/>
    <s v="18W000000000SEY8"/>
    <x v="9"/>
    <s v="Venta"/>
    <s v="SZR"/>
    <s v="NEXU"/>
    <x v="0"/>
    <x v="187"/>
    <x v="9"/>
    <s v="SZR"/>
  </r>
  <r>
    <x v="1123"/>
    <s v="FCNTRAS"/>
    <s v="UP SOLAR CONTRERAS"/>
    <n v="3"/>
    <s v="18W000000000QMOC"/>
    <x v="9"/>
    <s v="Venta"/>
    <s v="SZR"/>
    <s v="NEXU"/>
    <x v="0"/>
    <x v="187"/>
    <x v="9"/>
    <s v="SZR"/>
  </r>
  <r>
    <x v="1124"/>
    <s v="FCNVIA1"/>
    <s v="UP SOLAR CENTROVIA 1"/>
    <n v="9.1999999999999993"/>
    <s v="18W000000000SGKU"/>
    <x v="9"/>
    <s v="Venta"/>
    <s v="SZR"/>
    <s v="NEXU"/>
    <x v="0"/>
    <x v="187"/>
    <x v="9"/>
    <s v="SZR"/>
  </r>
  <r>
    <x v="1125"/>
    <s v="FCNVIA2"/>
    <s v="UP SOLAR CENTROVIA 2"/>
    <n v="9.1999999999999993"/>
    <s v="18W000000000SGLS"/>
    <x v="9"/>
    <s v="Venta"/>
    <s v="SZR"/>
    <s v="NEXU"/>
    <x v="0"/>
    <x v="187"/>
    <x v="9"/>
    <s v="SZR"/>
  </r>
  <r>
    <x v="1126"/>
    <s v="FCNVIA3"/>
    <s v="UP SOLAR CENTROVIA 3"/>
    <n v="9.1"/>
    <s v="18W000000000SGMQ"/>
    <x v="9"/>
    <s v="Venta"/>
    <s v="SZR"/>
    <s v="NEXU"/>
    <x v="0"/>
    <x v="187"/>
    <x v="9"/>
    <s v="SZR"/>
  </r>
  <r>
    <x v="1127"/>
    <s v="FCOLON"/>
    <s v="FCOLON"/>
    <n v="15.9"/>
    <s v="18W000000000SRPO"/>
    <x v="9"/>
    <s v="Venta"/>
    <s v="EVM"/>
    <s v="CEG"/>
    <x v="0"/>
    <x v="124"/>
    <x v="9"/>
    <s v="EVM"/>
  </r>
  <r>
    <x v="1128"/>
    <s v="PS CONSTAN"/>
    <s v="PS CONSTANTI 42"/>
    <n v="14.2"/>
    <s v="18W000000000SQUH"/>
    <x v="9"/>
    <s v="Venta"/>
    <s v="WM1"/>
    <s v="WMARK"/>
    <x v="0"/>
    <x v="22"/>
    <x v="9"/>
    <s v="WM1"/>
  </r>
  <r>
    <x v="1129"/>
    <s v="FCONTR1"/>
    <s v="UP SOLAR DE LA CONTRAVIESA 1"/>
    <n v="5"/>
    <s v="18W000000000RTD9"/>
    <x v="9"/>
    <s v="Venta"/>
    <s v="SZR"/>
    <s v="EFG"/>
    <x v="0"/>
    <x v="213"/>
    <x v="9"/>
    <s v="SZR"/>
  </r>
  <r>
    <x v="1130"/>
    <s v="FCONTR2"/>
    <s v="UP COLAR DE LA CONTRAVIESA 2 SL"/>
    <n v="3.6"/>
    <s v="18W000000000RTG3"/>
    <x v="9"/>
    <s v="Venta"/>
    <s v="SZR"/>
    <s v="EFG"/>
    <x v="0"/>
    <x v="213"/>
    <x v="9"/>
    <s v="SZR"/>
  </r>
  <r>
    <x v="1131"/>
    <s v="FCONV61"/>
    <s v="UP FV CONVERTIDOR SOLAR 66"/>
    <n v="7.2"/>
    <s v="18WFCONV61-123-B"/>
    <x v="9"/>
    <s v="Venta"/>
    <s v="SZR"/>
    <s v="NEXU"/>
    <x v="0"/>
    <x v="187"/>
    <x v="9"/>
    <s v="SZR"/>
  </r>
  <r>
    <x v="1132"/>
    <s v="FCORELA"/>
    <s v="FCORELA"/>
    <n v="7.3"/>
    <s v="18W000000000INEO"/>
    <x v="9"/>
    <s v="Venta"/>
    <s v="SZR"/>
    <s v="GESTE"/>
    <x v="0"/>
    <x v="219"/>
    <x v="9"/>
    <s v="SZR"/>
  </r>
  <r>
    <x v="1133"/>
    <s v="FCORESE"/>
    <s v="UP SOLAR CORESES"/>
    <n v="2.9"/>
    <s v="18W000000000MZUE"/>
    <x v="9"/>
    <s v="Venta"/>
    <s v="SZR"/>
    <s v="NEXU"/>
    <x v="0"/>
    <x v="187"/>
    <x v="9"/>
    <s v="SZR"/>
  </r>
  <r>
    <x v="1134"/>
    <s v="FCORIA"/>
    <s v="UP SOLAR AURA DE GUIJO DE CORIA"/>
    <n v="1.5"/>
    <s v="18W000000000OA0U"/>
    <x v="9"/>
    <s v="Venta"/>
    <s v="SZR"/>
    <s v="NEXU"/>
    <x v="0"/>
    <x v="187"/>
    <x v="9"/>
    <s v="SZR"/>
  </r>
  <r>
    <x v="1135"/>
    <s v="FCORONI"/>
    <s v="MORON TARIFA &gt;10MW"/>
    <n v="10"/>
    <s v="18WFCORONI-123-1"/>
    <x v="9"/>
    <s v="Venta"/>
    <s v="SZR"/>
    <s v="GNRA"/>
    <x v="0"/>
    <x v="46"/>
    <x v="9"/>
    <s v="SZR"/>
  </r>
  <r>
    <x v="1136"/>
    <s v="FCORVER"/>
    <s v="UP SOLAR CORVERA"/>
    <n v="3"/>
    <s v="18W000000000R9Q6"/>
    <x v="9"/>
    <s v="Venta"/>
    <s v="SZR"/>
    <s v="NEXU"/>
    <x v="0"/>
    <x v="187"/>
    <x v="9"/>
    <s v="SZR"/>
  </r>
  <r>
    <x v="1137"/>
    <s v="COSENT"/>
    <s v="COSENT"/>
    <n v="19.8"/>
    <s v="18W000000000NX8N"/>
    <x v="9"/>
    <s v="Venta"/>
    <s v="SZR"/>
    <s v="HISPE"/>
    <x v="0"/>
    <x v="43"/>
    <x v="9"/>
    <s v="SZR"/>
  </r>
  <r>
    <x v="1138"/>
    <s v="FCOTILL"/>
    <s v="UP FV TORRES COTILLAS"/>
    <n v="42.2"/>
    <s v="18W000000000G244"/>
    <x v="9"/>
    <s v="Venta"/>
    <s v="NEXUS"/>
    <s v="NEXU"/>
    <x v="0"/>
    <x v="187"/>
    <x v="9"/>
    <s v="NEX"/>
  </r>
  <r>
    <x v="1139"/>
    <s v="FCPILLA"/>
    <s v="UP SOLAR CAPILLA"/>
    <n v="42"/>
    <s v="18W000000000RIU8"/>
    <x v="9"/>
    <s v="Venta"/>
    <s v="NEXUS"/>
    <s v="NEXU"/>
    <x v="0"/>
    <x v="187"/>
    <x v="9"/>
    <s v="NEX"/>
  </r>
  <r>
    <x v="1140"/>
    <s v="FCRJOS1"/>
    <s v="UP SOLAR CARTUJOS 1"/>
    <n v="20"/>
    <s v="18W000000000QAIN"/>
    <x v="9"/>
    <s v="Venta"/>
    <s v="NEXUS"/>
    <s v="NEXU"/>
    <x v="0"/>
    <x v="187"/>
    <x v="9"/>
    <s v="NEX"/>
  </r>
  <r>
    <x v="1141"/>
    <s v="FCRJOS2"/>
    <s v="UP SOLAR CARTUJOS 2"/>
    <n v="10"/>
    <s v="18W000000000QAJL"/>
    <x v="9"/>
    <s v="Venta"/>
    <s v="NEXUS"/>
    <s v="NEXU"/>
    <x v="0"/>
    <x v="187"/>
    <x v="9"/>
    <s v="NEX"/>
  </r>
  <r>
    <x v="1142"/>
    <s v="CRONO"/>
    <s v="CRONOS"/>
    <n v="3.3"/>
    <s v="18W000000000MP2Q"/>
    <x v="9"/>
    <s v="Venta"/>
    <s v="SZR"/>
    <s v="GESTE"/>
    <x v="0"/>
    <x v="219"/>
    <x v="9"/>
    <s v="SZR"/>
  </r>
  <r>
    <x v="1143"/>
    <s v="FCRTBAL"/>
    <s v="UP SOLAR SAN CRISTOBAL"/>
    <n v="1.7"/>
    <s v="18W000000000SQ7Q"/>
    <x v="9"/>
    <s v="Venta"/>
    <s v="SZR"/>
    <s v="NEXU"/>
    <x v="0"/>
    <x v="187"/>
    <x v="9"/>
    <s v="SZR"/>
  </r>
  <r>
    <x v="1144"/>
    <s v="FCRUZ"/>
    <s v="FCRUZ"/>
    <n v="5"/>
    <s v="18W000000000SIA7"/>
    <x v="9"/>
    <s v="Venta"/>
    <s v="EVM"/>
    <s v="CEG"/>
    <x v="0"/>
    <x v="124"/>
    <x v="9"/>
    <s v="EVM"/>
  </r>
  <r>
    <x v="1145"/>
    <s v="FCRYLUS"/>
    <s v="UP SOLAR CORYLUS"/>
    <n v="2"/>
    <s v="18W000000000SUT7"/>
    <x v="9"/>
    <s v="Venta"/>
    <s v="SZR"/>
    <s v="NEXU"/>
    <x v="0"/>
    <x v="187"/>
    <x v="9"/>
    <s v="SZR"/>
  </r>
  <r>
    <x v="1146"/>
    <s v="FCSERAS"/>
    <s v="UP SOLAR CASTELSERAS"/>
    <n v="1.1000000000000001"/>
    <s v="18W000000000P9IU"/>
    <x v="9"/>
    <s v="Venta"/>
    <s v="SZR"/>
    <s v="NEXU"/>
    <x v="0"/>
    <x v="187"/>
    <x v="9"/>
    <s v="SZR"/>
  </r>
  <r>
    <x v="1147"/>
    <s v="FCSTEL1"/>
    <s v="UP SOLAR CASTELNOU"/>
    <n v="1.1000000000000001"/>
    <s v="18W000000000QJQH"/>
    <x v="9"/>
    <s v="Venta"/>
    <s v="SZR"/>
    <s v="NEXU"/>
    <x v="0"/>
    <x v="187"/>
    <x v="9"/>
    <s v="SZR"/>
  </r>
  <r>
    <x v="1148"/>
    <s v="FCASTEL2"/>
    <s v="UP SOLAR CASTELNOU II"/>
    <n v="1.8"/>
    <s v="18W000000000QJNN"/>
    <x v="9"/>
    <s v="Venta"/>
    <s v="SZR"/>
    <s v="NEXU"/>
    <x v="0"/>
    <x v="187"/>
    <x v="9"/>
    <s v="SZR"/>
  </r>
  <r>
    <x v="1149"/>
    <s v="FCTANEA"/>
    <s v="UP SOLAR CATANEA"/>
    <n v="2"/>
    <s v="18W000000000SUS9"/>
    <x v="9"/>
    <s v="Venta"/>
    <s v="SZR"/>
    <s v="NEXU"/>
    <x v="0"/>
    <x v="187"/>
    <x v="9"/>
    <s v="SZR"/>
  </r>
  <r>
    <x v="1150"/>
    <s v="FCTLINA"/>
    <s v="UP SOLAR SANTA CATALINA"/>
    <n v="30"/>
    <s v="18W000000000RWD0"/>
    <x v="9"/>
    <s v="Venta"/>
    <s v="SZR"/>
    <s v="NEXU"/>
    <x v="0"/>
    <x v="187"/>
    <x v="9"/>
    <s v="SZR"/>
  </r>
  <r>
    <x v="1151"/>
    <s v="FCTRAV2"/>
    <s v="UP SOLAR CALATRAVA2"/>
    <n v="41"/>
    <s v="18W000000000RJ3M"/>
    <x v="9"/>
    <s v="Venta"/>
    <s v="NEXUS"/>
    <s v="NEXU"/>
    <x v="0"/>
    <x v="187"/>
    <x v="9"/>
    <s v="NEX"/>
  </r>
  <r>
    <x v="1152"/>
    <s v="FCTUERA"/>
    <s v="UP SOLAR CASTUERA"/>
    <n v="1.5"/>
    <s v="18W000000000QMLI"/>
    <x v="9"/>
    <s v="Venta"/>
    <s v="SZR"/>
    <s v="NEXU"/>
    <x v="0"/>
    <x v="187"/>
    <x v="9"/>
    <s v="SZR"/>
  </r>
  <r>
    <x v="1153"/>
    <s v="FCUARTI"/>
    <s v="FV CUARTILLEJO"/>
    <n v="4.5999999999999996"/>
    <s v="18W000000000OR1E"/>
    <x v="9"/>
    <s v="Venta"/>
    <s v="SZR"/>
    <s v="CEG"/>
    <x v="0"/>
    <x v="124"/>
    <x v="9"/>
    <s v="SZR"/>
  </r>
  <r>
    <x v="1154"/>
    <s v="FCUBI"/>
    <s v="FCUBI"/>
    <n v="26"/>
    <s v="18W000000000SJT3"/>
    <x v="9"/>
    <s v="Venta"/>
    <s v="SZR"/>
    <s v="CEG"/>
    <x v="0"/>
    <x v="124"/>
    <x v="9"/>
    <s v="SZR"/>
  </r>
  <r>
    <x v="1155"/>
    <s v="FCUBLA"/>
    <s v="UP SOLAR CUBLA"/>
    <n v="3.6"/>
    <s v="18W000000000SZO2"/>
    <x v="9"/>
    <s v="Venta"/>
    <s v="SZR"/>
    <s v="NEXU"/>
    <x v="0"/>
    <x v="187"/>
    <x v="9"/>
    <s v="SZR"/>
  </r>
  <r>
    <x v="1156"/>
    <s v="VALDES"/>
    <s v="CASA VALDES"/>
    <n v="44"/>
    <s v="18W000000000P5RO"/>
    <x v="9"/>
    <s v="Venta"/>
    <s v="SZR"/>
    <s v="HISPE"/>
    <x v="0"/>
    <x v="43"/>
    <x v="9"/>
    <s v="SZR"/>
  </r>
  <r>
    <x v="1157"/>
    <s v="FDAGAC"/>
    <s v="FDAGAC"/>
    <n v="4"/>
    <s v="18W000000000RUQH"/>
    <x v="9"/>
    <s v="Venta"/>
    <s v="SZR"/>
    <s v="GAC"/>
    <x v="0"/>
    <x v="295"/>
    <x v="9"/>
    <s v="SZR"/>
  </r>
  <r>
    <x v="1158"/>
    <s v="FDARRO"/>
    <s v="18W000000000OBZV"/>
    <n v="3.6"/>
    <s v="18W000000000OBZV"/>
    <x v="9"/>
    <s v="Venta"/>
    <s v="SZR"/>
    <s v="EGLE"/>
    <x v="0"/>
    <x v="82"/>
    <x v="9"/>
    <s v="SZR"/>
  </r>
  <r>
    <x v="1159"/>
    <s v="FDBGAC"/>
    <s v="FDBGAC"/>
    <n v="4"/>
    <s v="18W000000000RURF"/>
    <x v="9"/>
    <s v="Venta"/>
    <s v="SZR"/>
    <s v="GAC"/>
    <x v="0"/>
    <x v="295"/>
    <x v="9"/>
    <s v="SZR"/>
  </r>
  <r>
    <x v="1160"/>
    <s v="FDCGAC"/>
    <s v="FDCGAC"/>
    <n v="5"/>
    <s v="18W000000000RUSD"/>
    <x v="9"/>
    <s v="Venta"/>
    <s v="SZR"/>
    <s v="GAC"/>
    <x v="0"/>
    <x v="295"/>
    <x v="9"/>
    <s v="SZR"/>
  </r>
  <r>
    <x v="1161"/>
    <s v="FDDGAC"/>
    <s v="FDDGAC"/>
    <n v="5"/>
    <s v="18W000000000RUTB"/>
    <x v="9"/>
    <s v="Venta"/>
    <s v="SZR"/>
    <s v="GAC"/>
    <x v="0"/>
    <x v="295"/>
    <x v="9"/>
    <s v="SZR"/>
  </r>
  <r>
    <x v="1162"/>
    <s v="MOTORS"/>
    <s v="TEST"/>
    <n v="10"/>
    <s v="18WFDERSC-1234-1"/>
    <x v="9"/>
    <s v="Venta"/>
    <s v="SZR"/>
    <s v="GNRA"/>
    <x v="0"/>
    <x v="46"/>
    <x v="9"/>
    <s v="SZR"/>
  </r>
  <r>
    <x v="1163"/>
    <s v="FDESENE"/>
    <s v="UP FV DESARROLLOS ENERGETICOS SOLARES"/>
    <n v="6.8"/>
    <s v="18WFDESENE-123-M"/>
    <x v="9"/>
    <s v="Venta"/>
    <s v="SZR"/>
    <s v="NEXU"/>
    <x v="0"/>
    <x v="187"/>
    <x v="9"/>
    <s v="SZR"/>
  </r>
  <r>
    <x v="1164"/>
    <s v="DEVA"/>
    <s v="DEVA RENOVABLES"/>
    <n v="1"/>
    <s v="18W0000000000O7X"/>
    <x v="9"/>
    <s v="Venta"/>
    <s v="SZR"/>
    <s v="GESTE"/>
    <x v="0"/>
    <x v="219"/>
    <x v="9"/>
    <s v="SZR"/>
  </r>
  <r>
    <x v="1165"/>
    <s v="FDHSLA"/>
    <s v="UP SOLAR DEHESILLA"/>
    <n v="1.6"/>
    <s v="18W000000000PVLW"/>
    <x v="9"/>
    <s v="Venta"/>
    <s v="SZR"/>
    <s v="NEXU"/>
    <x v="0"/>
    <x v="187"/>
    <x v="9"/>
    <s v="SZR"/>
  </r>
  <r>
    <x v="1166"/>
    <s v="DRACO"/>
    <s v="DRACOS"/>
    <n v="40"/>
    <s v="18W000000000O9E5"/>
    <x v="9"/>
    <s v="Venta"/>
    <s v="SZR"/>
    <s v="GESTE"/>
    <x v="0"/>
    <x v="219"/>
    <x v="9"/>
    <s v="SZR"/>
  </r>
  <r>
    <x v="1167"/>
    <s v="CLIMASTER"/>
    <s v="FV CLIMASTER"/>
    <n v="3.4"/>
    <s v="18W000000000GUF9"/>
    <x v="9"/>
    <s v="Venta"/>
    <s v="SZR"/>
    <s v="DREUA"/>
    <x v="0"/>
    <x v="179"/>
    <x v="9"/>
    <s v="SZR"/>
  </r>
  <r>
    <x v="1168"/>
    <s v="ZARZA"/>
    <s v="FV ZARZA"/>
    <n v="1.6"/>
    <s v="18W000000000H9ZS"/>
    <x v="9"/>
    <s v="Venta"/>
    <s v="SZR"/>
    <s v="DREUA"/>
    <x v="0"/>
    <x v="179"/>
    <x v="9"/>
    <s v="SZR"/>
  </r>
  <r>
    <x v="1169"/>
    <s v="GT PILAR"/>
    <s v="GT PILAR DE LA HORADADA"/>
    <n v="2"/>
    <s v="18W000000000M3FT"/>
    <x v="9"/>
    <s v="Venta"/>
    <s v="SZR"/>
    <s v="DREUA"/>
    <x v="0"/>
    <x v="179"/>
    <x v="9"/>
    <s v="SZR"/>
  </r>
  <r>
    <x v="1170"/>
    <s v="FV BANY 16"/>
    <s v="FV BANYERES 1600"/>
    <n v="1.6"/>
    <s v="18W000000000M3HP"/>
    <x v="9"/>
    <s v="Venta"/>
    <s v="SZR"/>
    <s v="DREUA"/>
    <x v="0"/>
    <x v="179"/>
    <x v="9"/>
    <s v="SZR"/>
  </r>
  <r>
    <x v="1171"/>
    <s v="FV BELINCH"/>
    <s v="FV BELINCHON"/>
    <n v="1.3"/>
    <s v="18W000000000NXG7"/>
    <x v="9"/>
    <s v="Venta"/>
    <s v="SZR"/>
    <s v="DREUA"/>
    <x v="0"/>
    <x v="179"/>
    <x v="9"/>
    <s v="SZR"/>
  </r>
  <r>
    <x v="1172"/>
    <s v="FV CHINEST"/>
    <s v="FV CHINESTRA"/>
    <n v="1.5"/>
    <s v="18W000000000SLWS"/>
    <x v="9"/>
    <s v="Venta"/>
    <s v="SZR"/>
    <s v="DREUA"/>
    <x v="0"/>
    <x v="179"/>
    <x v="9"/>
    <s v="SZR"/>
  </r>
  <r>
    <x v="1173"/>
    <s v="FV VILANOV"/>
    <s v="FV VILANOVA II"/>
    <n v="1.8"/>
    <s v="18W000000000SM2B"/>
    <x v="9"/>
    <s v="Venta"/>
    <s v="SZR"/>
    <s v="DREUA"/>
    <x v="0"/>
    <x v="179"/>
    <x v="9"/>
    <s v="SZR"/>
  </r>
  <r>
    <x v="1174"/>
    <s v="ALMANSA1"/>
    <s v="FV ALMANSA I"/>
    <n v="4.5999999999999996"/>
    <s v="18W000000000SMAW"/>
    <x v="9"/>
    <s v="Venta"/>
    <s v="SZR"/>
    <s v="DREUA"/>
    <x v="0"/>
    <x v="179"/>
    <x v="9"/>
    <s v="SZR"/>
  </r>
  <r>
    <x v="1175"/>
    <s v="ALMANSA2"/>
    <s v="FV ALMANSA II"/>
    <n v="2.6"/>
    <s v="18W000000000SMCS"/>
    <x v="9"/>
    <s v="Venta"/>
    <s v="SZR"/>
    <s v="DREUA"/>
    <x v="0"/>
    <x v="179"/>
    <x v="9"/>
    <s v="SZR"/>
  </r>
  <r>
    <x v="1176"/>
    <s v="TOBOSO 1"/>
    <s v="FV TOBOSO 1"/>
    <n v="1"/>
    <s v="18W000000000TN08"/>
    <x v="9"/>
    <s v="Venta"/>
    <s v="SZR"/>
    <s v="DREUA"/>
    <x v="0"/>
    <x v="179"/>
    <x v="9"/>
    <s v="SZR"/>
  </r>
  <r>
    <x v="1177"/>
    <s v="FDREUA"/>
    <s v="UP RD 413-2014"/>
    <n v="11.4"/>
    <s v="18WFDREUA-1234-N"/>
    <x v="9"/>
    <s v="Venta"/>
    <s v="SZR"/>
    <s v="DREUA"/>
    <x v="0"/>
    <x v="179"/>
    <x v="9"/>
    <s v="SZR"/>
  </r>
  <r>
    <x v="1178"/>
    <s v="FD2"/>
    <s v="FRODR2"/>
    <n v="40.299999999999997"/>
    <s v="18W000000000GTBK"/>
    <x v="9"/>
    <s v="Venta"/>
    <s v="SZR"/>
    <s v="GESTE"/>
    <x v="0"/>
    <x v="219"/>
    <x v="9"/>
    <s v="SZR"/>
  </r>
  <r>
    <x v="1179"/>
    <s v="RODRIG"/>
    <s v="FVDRODRIGO"/>
    <n v="148.30000000000001"/>
    <s v="18W000000000AI3J"/>
    <x v="9"/>
    <s v="Venta"/>
    <s v="SZR"/>
    <s v="GESTE"/>
    <x v="0"/>
    <x v="219"/>
    <x v="9"/>
    <s v="SZR"/>
  </r>
  <r>
    <x v="1180"/>
    <s v="DESERTO"/>
    <s v="DESIERTO"/>
    <n v="3.3"/>
    <s v="18W000000000P02F"/>
    <x v="9"/>
    <s v="Venta"/>
    <s v="SZR"/>
    <s v="GESTE"/>
    <x v="0"/>
    <x v="219"/>
    <x v="9"/>
    <s v="SZR"/>
  </r>
  <r>
    <x v="1181"/>
    <s v="FDULC5"/>
    <s v="UP SOLAR DULCINEA 5"/>
    <n v="5"/>
    <s v="18W000000000R5BB"/>
    <x v="9"/>
    <s v="Venta"/>
    <s v="SZR"/>
    <s v="NEXU"/>
    <x v="0"/>
    <x v="187"/>
    <x v="9"/>
    <s v="SZR"/>
  </r>
  <r>
    <x v="1182"/>
    <s v="FDULC6"/>
    <s v="UP SOLAR DULCINEA 6"/>
    <n v="5"/>
    <s v="18W000000000R5C9"/>
    <x v="9"/>
    <s v="Venta"/>
    <s v="SZR"/>
    <s v="NEXU"/>
    <x v="0"/>
    <x v="187"/>
    <x v="9"/>
    <s v="SZR"/>
  </r>
  <r>
    <x v="1183"/>
    <s v="FDUNAS"/>
    <s v="UP DUNAS DF8 SLU"/>
    <n v="17"/>
    <s v="18W000000000RHRH"/>
    <x v="9"/>
    <s v="Venta"/>
    <s v="AXPO"/>
    <s v="EGLE"/>
    <x v="0"/>
    <x v="82"/>
    <x v="9"/>
    <s v="AXP"/>
  </r>
  <r>
    <x v="1184"/>
    <s v="FEBISU"/>
    <s v="18W000000000HF6V"/>
    <n v="9.1"/>
    <s v="18W000000000HF6V"/>
    <x v="9"/>
    <s v="Venta"/>
    <s v="SZR"/>
    <s v="EGLE"/>
    <x v="0"/>
    <x v="82"/>
    <x v="9"/>
    <s v="SZR"/>
  </r>
  <r>
    <x v="1185"/>
    <s v="FEBLCO4"/>
    <s v="SENECA"/>
    <n v="38.9"/>
    <s v="18W000000000GFZE"/>
    <x v="9"/>
    <s v="Venta"/>
    <s v="SZR"/>
    <s v="EBLCO"/>
    <x v="0"/>
    <x v="158"/>
    <x v="9"/>
    <s v="SZR"/>
  </r>
  <r>
    <x v="1186"/>
    <s v="FECC01"/>
    <s v="FLUID ELECTRIC CAMPRODON II, S.L"/>
    <n v="2"/>
    <s v="18WFECC01-1234-K"/>
    <x v="2"/>
    <s v="Compra"/>
    <s v="SZR"/>
    <s v="FECII"/>
    <x v="1"/>
    <x v="298"/>
    <x v="2"/>
    <s v="SZR"/>
  </r>
  <r>
    <x v="1187"/>
    <s v="FECOEX1"/>
    <s v="UP FV ECOINVERSION EXTREMADURA1"/>
    <n v="9.9"/>
    <s v="18WFECOEX1-123-9"/>
    <x v="9"/>
    <s v="Venta"/>
    <s v="SZR"/>
    <s v="NEXU"/>
    <x v="0"/>
    <x v="187"/>
    <x v="9"/>
    <s v="SZR"/>
  </r>
  <r>
    <x v="1188"/>
    <s v="FECOEX2"/>
    <s v="UP FV ECOINVERSION EXT2"/>
    <n v="9.9"/>
    <s v="18WFECOEX2-123-2"/>
    <x v="9"/>
    <s v="Venta"/>
    <s v="SZR"/>
    <s v="NEXU"/>
    <x v="0"/>
    <x v="187"/>
    <x v="9"/>
    <s v="SZR"/>
  </r>
  <r>
    <x v="1189"/>
    <s v="FECOEX3"/>
    <s v="UP FV ECOINVERSION EXT3"/>
    <n v="9.9"/>
    <s v="18WFECOEX3-123-W"/>
    <x v="9"/>
    <s v="Venta"/>
    <s v="SZR"/>
    <s v="NEXU"/>
    <x v="0"/>
    <x v="187"/>
    <x v="9"/>
    <s v="SZR"/>
  </r>
  <r>
    <x v="1190"/>
    <s v="FEDAUP"/>
    <s v="FORCES ELECTRIQUES D'ANDORRA"/>
    <n v="107"/>
    <s v="18WFEDAC04-123-T"/>
    <x v="25"/>
    <s v="Compra"/>
    <s v="SZR"/>
    <s v="FEDA"/>
    <x v="7"/>
    <x v="299"/>
    <x v="31"/>
    <s v="SZR"/>
  </r>
  <r>
    <x v="1191"/>
    <s v="FEEDC"/>
    <s v="FEED PENINSULA"/>
    <n v="0.1"/>
    <s v="18W000000000K4HU"/>
    <x v="2"/>
    <s v="Compra"/>
    <s v="SZR"/>
    <s v="FEED"/>
    <x v="1"/>
    <x v="300"/>
    <x v="2"/>
    <s v="SZR"/>
  </r>
  <r>
    <x v="1192"/>
    <s v="FEGA"/>
    <s v="18W000000000NHCQ"/>
    <n v="26.9"/>
    <s v="18W000000000NHCQ"/>
    <x v="9"/>
    <s v="Venta"/>
    <s v="AXC"/>
    <s v="EGLE"/>
    <x v="0"/>
    <x v="82"/>
    <x v="9"/>
    <s v="AXC"/>
  </r>
  <r>
    <x v="1193"/>
    <s v="FEGPE1"/>
    <s v="FEGPE1"/>
    <n v="152.30000000000001"/>
    <s v="18W0000000005EQ5"/>
    <x v="9"/>
    <s v="Venta"/>
    <s v="SZR"/>
    <s v="ECYR"/>
    <x v="0"/>
    <x v="72"/>
    <x v="9"/>
    <s v="SZR"/>
  </r>
  <r>
    <x v="1194"/>
    <s v="FREGP2"/>
    <s v="FV 100 EGPE NO HAB NO"/>
    <n v="69.599999999999994"/>
    <s v="18WFEGPE2-1234-8"/>
    <x v="9"/>
    <s v="Venta"/>
    <s v="END"/>
    <s v="ECYR"/>
    <x v="0"/>
    <x v="72"/>
    <x v="9"/>
    <s v="END"/>
  </r>
  <r>
    <x v="1195"/>
    <s v="FEGPE3"/>
    <s v="FEGPE3 ZR"/>
    <n v="1.1000000000000001"/>
    <s v="18W0000000004SDU"/>
    <x v="9"/>
    <s v="Venta"/>
    <s v="SZR"/>
    <s v="ECYR"/>
    <x v="0"/>
    <x v="72"/>
    <x v="9"/>
    <s v="SZR"/>
  </r>
  <r>
    <x v="1196"/>
    <s v="FEGPE4"/>
    <s v="FEGPE4"/>
    <n v="39.9"/>
    <s v="18W000000000PLIV"/>
    <x v="9"/>
    <s v="Venta"/>
    <s v="END"/>
    <s v="ECYR"/>
    <x v="0"/>
    <x v="72"/>
    <x v="9"/>
    <s v="END"/>
  </r>
  <r>
    <x v="1197"/>
    <s v="FEGPE5"/>
    <s v="FEGPE5"/>
    <n v="95"/>
    <s v="18W000000000RHPL"/>
    <x v="9"/>
    <s v="Venta"/>
    <s v="END"/>
    <s v="ECYR"/>
    <x v="0"/>
    <x v="72"/>
    <x v="9"/>
    <s v="END"/>
  </r>
  <r>
    <x v="1198"/>
    <s v="FEGPE6"/>
    <s v="FV REP100 SI_ZR HAB_TER NO_RA"/>
    <n v="80"/>
    <s v="18W000000000RTJY"/>
    <x v="9"/>
    <s v="Venta"/>
    <s v="END"/>
    <s v="ECYR"/>
    <x v="0"/>
    <x v="72"/>
    <x v="9"/>
    <s v="END"/>
  </r>
  <r>
    <x v="1199"/>
    <s v="FV100EGHAB"/>
    <s v="FV100EGHAB"/>
    <n v="1287.9000000000001"/>
    <s v="18W000000000N85U"/>
    <x v="9"/>
    <s v="Venta"/>
    <s v="END"/>
    <s v="ECYR"/>
    <x v="0"/>
    <x v="72"/>
    <x v="9"/>
    <s v="END"/>
  </r>
  <r>
    <x v="1200"/>
    <s v="FEHIBHV"/>
    <s v="HIBRIDACION FV Y EOLICA"/>
    <n v="129"/>
    <s v="18W000000000QZS2"/>
    <x v="22"/>
    <s v="Venta"/>
    <s v="SZR"/>
    <s v="IBGES"/>
    <x v="9"/>
    <x v="7"/>
    <x v="30"/>
    <s v="SZR"/>
  </r>
  <r>
    <x v="1201"/>
    <s v="FEKIOLA"/>
    <s v="UP SOLAR EKIOLA"/>
    <n v="1"/>
    <s v="18W000000000SYTW"/>
    <x v="9"/>
    <s v="Venta"/>
    <s v="SZR"/>
    <s v="NEXU"/>
    <x v="0"/>
    <x v="187"/>
    <x v="9"/>
    <s v="SZR"/>
  </r>
  <r>
    <x v="1202"/>
    <s v="FELCAMP"/>
    <s v="PSFV-EL CAMPILLO"/>
    <n v="3"/>
    <s v="18W000000000RH6M"/>
    <x v="9"/>
    <s v="Venta"/>
    <s v="SZR"/>
    <s v="LAUEI"/>
    <x v="0"/>
    <x v="301"/>
    <x v="9"/>
    <s v="SZR"/>
  </r>
  <r>
    <x v="1203"/>
    <s v="FELLOM"/>
    <s v="18W000000000NQOC"/>
    <n v="25.6"/>
    <s v="18W000000000NQOC"/>
    <x v="9"/>
    <s v="Venta"/>
    <s v="SZR"/>
    <s v="EGLE"/>
    <x v="0"/>
    <x v="82"/>
    <x v="9"/>
    <s v="SZR"/>
  </r>
  <r>
    <x v="1204"/>
    <s v="FELTOLL"/>
    <s v="FELTOLL"/>
    <n v="3"/>
    <s v="18W000000000T3Y0"/>
    <x v="9"/>
    <s v="Venta"/>
    <s v="SZR"/>
    <s v="LAUEI"/>
    <x v="0"/>
    <x v="301"/>
    <x v="9"/>
    <s v="SZR"/>
  </r>
  <r>
    <x v="1205"/>
    <s v="MUSEROS"/>
    <s v="FLUIDO ELECTRICO DE MUSEROS, S.C.V."/>
    <n v="2.2000000000000002"/>
    <s v="18WFEMCC01-123-5"/>
    <x v="2"/>
    <s v="Compra"/>
    <s v="SZR"/>
    <s v="FEMCV"/>
    <x v="1"/>
    <x v="302"/>
    <x v="2"/>
    <s v="SZR"/>
  </r>
  <r>
    <x v="1206"/>
    <s v="FEN"/>
    <s v="FENIE ENERGIA"/>
    <n v="4"/>
    <s v="18WFENIEENERGIAA"/>
    <x v="2"/>
    <s v="Compra"/>
    <s v="SZR"/>
    <s v="FEN"/>
    <x v="1"/>
    <x v="154"/>
    <x v="2"/>
    <s v="SZR"/>
  </r>
  <r>
    <x v="1207"/>
    <s v="FENERL"/>
    <s v="UP SOLAR ENERLAND 2007"/>
    <n v="7.9"/>
    <s v="18W000000000P180"/>
    <x v="9"/>
    <s v="Venta"/>
    <s v="SZR"/>
    <s v="NEXU"/>
    <x v="0"/>
    <x v="187"/>
    <x v="9"/>
    <s v="SZR"/>
  </r>
  <r>
    <x v="1208"/>
    <s v="ENER"/>
    <s v="ENERLAN"/>
    <n v="2"/>
    <s v="18W000000000RI1T"/>
    <x v="9"/>
    <s v="Venta"/>
    <s v="SZR"/>
    <s v="GESTE"/>
    <x v="0"/>
    <x v="219"/>
    <x v="9"/>
    <s v="SZR"/>
  </r>
  <r>
    <x v="1209"/>
    <s v="PPC"/>
    <s v="PORFOLIOPC"/>
    <n v="9999"/>
    <s v="18W000000000OJ3Y"/>
    <x v="20"/>
    <s v="Compra"/>
    <s v="SZR"/>
    <s v="FEN"/>
    <x v="8"/>
    <x v="154"/>
    <x v="23"/>
    <s v="SZR"/>
  </r>
  <r>
    <x v="1210"/>
    <s v="PORFOLIOV"/>
    <s v="PORFOLIOV"/>
    <n v="9999"/>
    <s v="18W000000000OI6V"/>
    <x v="20"/>
    <s v="Venta"/>
    <s v="SZR"/>
    <s v="FEN"/>
    <x v="8"/>
    <x v="154"/>
    <x v="23"/>
    <s v="SZR"/>
  </r>
  <r>
    <x v="1211"/>
    <s v="FENRIOS"/>
    <s v="UP SOLAR FENRIOS"/>
    <n v="2"/>
    <s v="18W000000000SG6L"/>
    <x v="9"/>
    <s v="Venta"/>
    <s v="SZR"/>
    <s v="NEXU"/>
    <x v="0"/>
    <x v="187"/>
    <x v="9"/>
    <s v="SZR"/>
  </r>
  <r>
    <x v="1212"/>
    <s v="FERGON"/>
    <s v="UP SOLAR ERGON"/>
    <n v="1.1000000000000001"/>
    <s v="18W000000000TBBM"/>
    <x v="9"/>
    <s v="Venta"/>
    <s v="SZR"/>
    <s v="NEXU"/>
    <x v="0"/>
    <x v="187"/>
    <x v="9"/>
    <s v="SZR"/>
  </r>
  <r>
    <x v="1213"/>
    <s v="FERNOSO"/>
    <s v="UP SOLAR EL PEDERNOSO"/>
    <n v="2"/>
    <s v="18W000000000SQDE"/>
    <x v="9"/>
    <s v="Venta"/>
    <s v="SZR"/>
    <s v="NEXU"/>
    <x v="0"/>
    <x v="187"/>
    <x v="9"/>
    <s v="SZR"/>
  </r>
  <r>
    <x v="1214"/>
    <s v="FERUELA"/>
    <s v="UP SOLAR ERUELA"/>
    <n v="1.2"/>
    <s v="18W000000000SQBI"/>
    <x v="9"/>
    <s v="Venta"/>
    <s v="SZR"/>
    <s v="NEXU"/>
    <x v="0"/>
    <x v="187"/>
    <x v="9"/>
    <s v="SZR"/>
  </r>
  <r>
    <x v="1215"/>
    <s v="SCALN"/>
    <s v="ESCALNI"/>
    <n v="4.7"/>
    <s v="18W000000000HTY7"/>
    <x v="9"/>
    <s v="Venta"/>
    <s v="SZR"/>
    <s v="GESTE"/>
    <x v="0"/>
    <x v="219"/>
    <x v="9"/>
    <s v="SZR"/>
  </r>
  <r>
    <x v="1216"/>
    <s v="F ESLA"/>
    <s v="F ESLA RENOVABLES"/>
    <n v="3.6"/>
    <s v="18WFESLAR1-123-L"/>
    <x v="9"/>
    <s v="Venta"/>
    <s v="SZR"/>
    <s v="GESTE"/>
    <x v="0"/>
    <x v="219"/>
    <x v="9"/>
    <s v="SZR"/>
  </r>
  <r>
    <x v="1217"/>
    <s v="FESPARR"/>
    <s v="FESPARR PPA"/>
    <n v="42.3"/>
    <s v="18W000000000SH1S"/>
    <x v="9"/>
    <s v="Venta"/>
    <s v="END"/>
    <s v="ECYR"/>
    <x v="0"/>
    <x v="72"/>
    <x v="9"/>
    <s v="END"/>
  </r>
  <r>
    <x v="1218"/>
    <s v="FESTACN"/>
    <s v="UP SOLAR LA ESTACION"/>
    <n v="30"/>
    <s v="18W000000000PVNS"/>
    <x v="9"/>
    <s v="Venta"/>
    <s v="NEXUS"/>
    <s v="NEXU"/>
    <x v="0"/>
    <x v="187"/>
    <x v="9"/>
    <s v="NEX"/>
  </r>
  <r>
    <x v="1219"/>
    <s v="FFALAMO"/>
    <s v="UP FUENTE ALAMO"/>
    <n v="7"/>
    <s v="18W000000000G082"/>
    <x v="9"/>
    <s v="Venta"/>
    <s v="SZR"/>
    <s v="NEXU"/>
    <x v="0"/>
    <x v="187"/>
    <x v="9"/>
    <s v="SZR"/>
  </r>
  <r>
    <x v="1220"/>
    <s v="FFATFW"/>
    <s v="UP FUENTE ALAMO III FW"/>
    <n v="9.6"/>
    <s v="18WFFATFW-1234-W"/>
    <x v="9"/>
    <s v="Venta"/>
    <s v="SZR"/>
    <s v="GNRA"/>
    <x v="0"/>
    <x v="46"/>
    <x v="9"/>
    <s v="SZR"/>
  </r>
  <r>
    <x v="1221"/>
    <s v="FFCYE"/>
    <s v="UP REPR RE FV AGRUP"/>
    <n v="2"/>
    <s v="18W000000000QAQ7"/>
    <x v="9"/>
    <s v="Venta"/>
    <s v="SZR"/>
    <s v="CYE"/>
    <x v="0"/>
    <x v="163"/>
    <x v="9"/>
    <s v="SZR"/>
  </r>
  <r>
    <x v="1222"/>
    <s v="FFEDE"/>
    <s v="UP SOLAR FEDE"/>
    <n v="20"/>
    <s v="18W000000000QF15"/>
    <x v="9"/>
    <s v="Venta"/>
    <s v="NEXUS"/>
    <s v="NEXU"/>
    <x v="0"/>
    <x v="187"/>
    <x v="9"/>
    <s v="NEX"/>
  </r>
  <r>
    <x v="1223"/>
    <s v="FFEGED"/>
    <s v="FFEGED"/>
    <n v="2.1"/>
    <s v="18W000000000I2NW"/>
    <x v="9"/>
    <s v="Venta"/>
    <s v="SZR"/>
    <s v="EGED"/>
    <x v="0"/>
    <x v="186"/>
    <x v="9"/>
    <s v="SZR"/>
  </r>
  <r>
    <x v="1224"/>
    <s v="FFERNAN"/>
    <s v="UP FV FERNANDINA II"/>
    <n v="45.8"/>
    <s v="18W000000000FT7W"/>
    <x v="9"/>
    <s v="Venta"/>
    <s v="NEXUS"/>
    <s v="NEXU"/>
    <x v="0"/>
    <x v="187"/>
    <x v="9"/>
    <s v="NEX"/>
  </r>
  <r>
    <x v="1225"/>
    <s v="FFFGASN"/>
    <s v="FFFGASN"/>
    <n v="141.1"/>
    <s v="18W000000000O9Z0"/>
    <x v="9"/>
    <s v="Venta"/>
    <s v="SZR"/>
    <s v="GNCO"/>
    <x v="0"/>
    <x v="8"/>
    <x v="9"/>
    <s v="SZR"/>
  </r>
  <r>
    <x v="1226"/>
    <s v="FFGAC"/>
    <s v="FFGAC"/>
    <n v="5"/>
    <s v="18W000000000RUIX"/>
    <x v="9"/>
    <s v="Venta"/>
    <s v="SZR"/>
    <s v="GAC"/>
    <x v="0"/>
    <x v="295"/>
    <x v="9"/>
    <s v="SZR"/>
  </r>
  <r>
    <x v="1227"/>
    <s v="FFGASN"/>
    <s v="FFGASN"/>
    <n v="0.5"/>
    <s v="18W000000000G53Y"/>
    <x v="9"/>
    <s v="Venta"/>
    <s v="SZR"/>
    <s v="GNCO"/>
    <x v="0"/>
    <x v="8"/>
    <x v="9"/>
    <s v="SZR"/>
  </r>
  <r>
    <x v="1228"/>
    <s v="FFIBGES"/>
    <s v="FFIBGES"/>
    <n v="205.6"/>
    <s v="18W000000000I7A6"/>
    <x v="9"/>
    <s v="Venta"/>
    <s v="SZR"/>
    <s v="IBGES"/>
    <x v="0"/>
    <x v="7"/>
    <x v="9"/>
    <s v="SZR"/>
  </r>
  <r>
    <x v="1229"/>
    <s v="FIRST WAVE"/>
    <s v="FIRST WAVE SERVICES"/>
    <n v="4.5"/>
    <s v="18W000000000PXD5"/>
    <x v="9"/>
    <s v="Venta"/>
    <s v="SZR"/>
    <s v="EBLCO"/>
    <x v="0"/>
    <x v="158"/>
    <x v="9"/>
    <s v="SZR"/>
  </r>
  <r>
    <x v="1230"/>
    <s v="FFNEXU"/>
    <s v="RE TARIFA (AGRUPACION)"/>
    <n v="116.2"/>
    <s v="18WFFNEXU-1234-4"/>
    <x v="9"/>
    <s v="Venta"/>
    <s v="SZR"/>
    <s v="NEXU"/>
    <x v="0"/>
    <x v="187"/>
    <x v="9"/>
    <s v="SZR"/>
  </r>
  <r>
    <x v="1231"/>
    <s v="FFRSPRA"/>
    <s v="18WFFRSPRA-123-B"/>
    <n v="29.4"/>
    <s v="18WFFRSPRA-123-B"/>
    <x v="9"/>
    <s v="Venta"/>
    <s v="SZR"/>
    <s v="RSPRA"/>
    <x v="0"/>
    <x v="101"/>
    <x v="9"/>
    <s v="SZR"/>
  </r>
  <r>
    <x v="1232"/>
    <s v="FFRSPRE"/>
    <s v="FFRSPRE"/>
    <n v="2"/>
    <s v="18W0000000007A1M"/>
    <x v="9"/>
    <s v="Venta"/>
    <s v="SZR"/>
    <s v="RSPRE"/>
    <x v="0"/>
    <x v="303"/>
    <x v="9"/>
    <s v="SZR"/>
  </r>
  <r>
    <x v="1233"/>
    <s v="FFUNDI"/>
    <s v="UP FUNDICI HIVE SLU"/>
    <n v="42.6"/>
    <s v="18W000000000SF4S"/>
    <x v="9"/>
    <s v="Venta"/>
    <s v="SZR"/>
    <s v="EGLE"/>
    <x v="0"/>
    <x v="82"/>
    <x v="9"/>
    <s v="SZR"/>
  </r>
  <r>
    <x v="1234"/>
    <s v="FFV124"/>
    <s v="18W000000000OMJU"/>
    <n v="43.7"/>
    <s v="18W000000000OMJU"/>
    <x v="9"/>
    <s v="Venta"/>
    <s v="AXPO"/>
    <s v="EGLE"/>
    <x v="0"/>
    <x v="82"/>
    <x v="9"/>
    <s v="AXP"/>
  </r>
  <r>
    <x v="1235"/>
    <s v="FFV154"/>
    <s v="UP PLANTA FV 154 SL"/>
    <n v="40"/>
    <s v="18W000000000R34V"/>
    <x v="9"/>
    <s v="Venta"/>
    <s v="AXPO"/>
    <s v="EGLE"/>
    <x v="0"/>
    <x v="82"/>
    <x v="9"/>
    <s v="AXP"/>
  </r>
  <r>
    <x v="1236"/>
    <s v="FFV155"/>
    <s v="UP PLANTA FV 155 SL"/>
    <n v="40"/>
    <s v="18W000000000R35T"/>
    <x v="9"/>
    <s v="Venta"/>
    <s v="AXPO"/>
    <s v="EGLE"/>
    <x v="0"/>
    <x v="82"/>
    <x v="9"/>
    <s v="AXP"/>
  </r>
  <r>
    <x v="1237"/>
    <s v="FFWMARK"/>
    <s v="FOTOVOLTAICA MAYOR DE 10 MW WMARK"/>
    <n v="75.8"/>
    <s v="18WFFWMARK-123-7"/>
    <x v="9"/>
    <s v="Venta"/>
    <s v="SZR"/>
    <s v="WMARK"/>
    <x v="0"/>
    <x v="22"/>
    <x v="9"/>
    <s v="SZR"/>
  </r>
  <r>
    <x v="1238"/>
    <s v="FFYECL1"/>
    <s v="UP SOLAR YECLA 1"/>
    <n v="2.7"/>
    <s v="18W000000000R6T9"/>
    <x v="9"/>
    <s v="Venta"/>
    <s v="SZR"/>
    <s v="NEXU"/>
    <x v="0"/>
    <x v="187"/>
    <x v="9"/>
    <s v="SZR"/>
  </r>
  <r>
    <x v="1239"/>
    <s v="FFYECL2"/>
    <s v="UP SOLAR YECLA 2"/>
    <n v="2.4"/>
    <s v="18W000000000R6U7"/>
    <x v="9"/>
    <s v="Venta"/>
    <s v="SZR"/>
    <s v="NEXU"/>
    <x v="0"/>
    <x v="187"/>
    <x v="9"/>
    <s v="SZR"/>
  </r>
  <r>
    <x v="1240"/>
    <s v="FFYECL3"/>
    <s v="UP SOLAR YECLA 3"/>
    <n v="2.4"/>
    <s v="18W000000000R6V5"/>
    <x v="9"/>
    <s v="Venta"/>
    <s v="SZR"/>
    <s v="NEXU"/>
    <x v="0"/>
    <x v="187"/>
    <x v="9"/>
    <s v="SZR"/>
  </r>
  <r>
    <x v="1241"/>
    <s v="FGALERA"/>
    <s v="UP SOLAR LA GALERA"/>
    <n v="2"/>
    <s v="18W000000000SUB6"/>
    <x v="9"/>
    <s v="Venta"/>
    <s v="SZR"/>
    <s v="NEXU"/>
    <x v="0"/>
    <x v="187"/>
    <x v="9"/>
    <s v="SZR"/>
  </r>
  <r>
    <x v="1242"/>
    <s v="FGAMNSA"/>
    <s v="UP SOLAR"/>
    <n v="1.5"/>
    <s v="18W000000000SUV3"/>
    <x v="9"/>
    <s v="Venta"/>
    <s v="SZR"/>
    <s v="NEXU"/>
    <x v="0"/>
    <x v="187"/>
    <x v="9"/>
    <s v="SZR"/>
  </r>
  <r>
    <x v="1243"/>
    <s v="GMNL"/>
    <s v="GAMONAL"/>
    <n v="5.7"/>
    <s v="18W000000000Q7F1"/>
    <x v="9"/>
    <s v="Venta"/>
    <s v="SZR"/>
    <s v="GESTE"/>
    <x v="0"/>
    <x v="219"/>
    <x v="9"/>
    <s v="SZR"/>
  </r>
  <r>
    <x v="1244"/>
    <s v="FGASN2U"/>
    <s v="FGASN2U"/>
    <n v="90"/>
    <s v="18W000000000TMCO"/>
    <x v="9"/>
    <s v="Venta"/>
    <s v="NTG"/>
    <s v="GNCO"/>
    <x v="0"/>
    <x v="8"/>
    <x v="9"/>
    <s v="GN"/>
  </r>
  <r>
    <x v="1245"/>
    <s v="FGASNE2"/>
    <s v="FGASNE2"/>
    <n v="441.1"/>
    <s v="18W000000000IT2U"/>
    <x v="9"/>
    <s v="Venta"/>
    <s v="NTG"/>
    <s v="GNCO"/>
    <x v="0"/>
    <x v="8"/>
    <x v="9"/>
    <s v="GN"/>
  </r>
  <r>
    <x v="1246"/>
    <s v="FGAZ1"/>
    <s v="FGAZ1"/>
    <n v="46"/>
    <s v="18W000000000R1M1"/>
    <x v="9"/>
    <s v="Venta"/>
    <s v="SZR"/>
    <s v="HISPE"/>
    <x v="0"/>
    <x v="43"/>
    <x v="9"/>
    <s v="SZR"/>
  </r>
  <r>
    <x v="1247"/>
    <s v="GAZ2"/>
    <s v="GAZ2"/>
    <n v="46"/>
    <s v="18W000000000R799"/>
    <x v="9"/>
    <s v="Venta"/>
    <s v="SZR"/>
    <s v="HISPE"/>
    <x v="0"/>
    <x v="43"/>
    <x v="9"/>
    <s v="SZR"/>
  </r>
  <r>
    <x v="1248"/>
    <s v="FGEFG"/>
    <s v="FOTOV SUP 1MW"/>
    <n v="65.900000000000006"/>
    <s v="18WFGEFG-12345-6"/>
    <x v="9"/>
    <s v="Venta"/>
    <s v="SZR"/>
    <s v="EFG"/>
    <x v="0"/>
    <x v="213"/>
    <x v="9"/>
    <s v="SZR"/>
  </r>
  <r>
    <x v="1249"/>
    <s v="FGENIA"/>
    <s v="18W000000000N00R"/>
    <n v="250"/>
    <s v="18W000000000N00R"/>
    <x v="9"/>
    <s v="Venta"/>
    <s v="SZR"/>
    <s v="EGLE"/>
    <x v="0"/>
    <x v="82"/>
    <x v="9"/>
    <s v="SZR"/>
  </r>
  <r>
    <x v="1250"/>
    <s v="GNL1"/>
    <s v="GENIL1"/>
    <n v="4.2"/>
    <s v="18W000000000NXWC"/>
    <x v="9"/>
    <s v="Venta"/>
    <s v="SZR"/>
    <s v="GESTE"/>
    <x v="0"/>
    <x v="219"/>
    <x v="9"/>
    <s v="SZR"/>
  </r>
  <r>
    <x v="1251"/>
    <s v="GEL2"/>
    <s v="GENIL2"/>
    <n v="1.2"/>
    <s v="18W000000000NXXA"/>
    <x v="9"/>
    <s v="Venta"/>
    <s v="SZR"/>
    <s v="GESTE"/>
    <x v="0"/>
    <x v="219"/>
    <x v="9"/>
    <s v="SZR"/>
  </r>
  <r>
    <x v="1252"/>
    <s v="FGFBAR"/>
    <s v="UP GENERACIN FOTOVOLTAICA DE BARGAS SL"/>
    <n v="38.4"/>
    <s v="18W000000000SXP6"/>
    <x v="9"/>
    <s v="Venta"/>
    <s v="SZR"/>
    <s v="EGLE"/>
    <x v="0"/>
    <x v="82"/>
    <x v="9"/>
    <s v="SZR"/>
  </r>
  <r>
    <x v="1253"/>
    <s v="FGIL1"/>
    <s v="FGIL1"/>
    <n v="10"/>
    <s v="18W000000000TB9Q"/>
    <x v="9"/>
    <s v="Venta"/>
    <s v="SZR"/>
    <s v="CEG"/>
    <x v="0"/>
    <x v="124"/>
    <x v="9"/>
    <s v="SZR"/>
  </r>
  <r>
    <x v="1254"/>
    <s v="GILLENA"/>
    <s v="GUILLENA"/>
    <n v="37.200000000000003"/>
    <s v="18W000000000PU8O"/>
    <x v="9"/>
    <s v="Venta"/>
    <s v="SZR"/>
    <s v="GESTE"/>
    <x v="0"/>
    <x v="219"/>
    <x v="9"/>
    <s v="SZR"/>
  </r>
  <r>
    <x v="1255"/>
    <s v="FGMNRJ"/>
    <s v="UP SOLAR GAMONAREJO"/>
    <n v="43.1"/>
    <s v="18W000000000K2JW"/>
    <x v="9"/>
    <s v="Venta"/>
    <s v="NEXUS"/>
    <s v="NEXU"/>
    <x v="0"/>
    <x v="187"/>
    <x v="9"/>
    <s v="NEX"/>
  </r>
  <r>
    <x v="1256"/>
    <s v="FGORBEI"/>
    <s v="UP SOLAR GORBEIALDEKO"/>
    <n v="1"/>
    <s v="18W000000000T70J"/>
    <x v="9"/>
    <s v="Venta"/>
    <s v="SZR"/>
    <s v="NEXU"/>
    <x v="0"/>
    <x v="187"/>
    <x v="9"/>
    <s v="SZR"/>
  </r>
  <r>
    <x v="1257"/>
    <s v="FGROMAN"/>
    <s v="UP SOLAR GUARROMAN 81"/>
    <n v="5"/>
    <s v="18W000000000SKT0"/>
    <x v="9"/>
    <s v="Venta"/>
    <s v="SZR"/>
    <s v="NEXU"/>
    <x v="0"/>
    <x v="187"/>
    <x v="9"/>
    <s v="SZR"/>
  </r>
  <r>
    <x v="1258"/>
    <s v="TORRE"/>
    <s v="TORRECILLA1"/>
    <n v="3.5"/>
    <s v="18W000000000RSEA"/>
    <x v="9"/>
    <s v="Venta"/>
    <s v="SZR"/>
    <s v="GESTE"/>
    <x v="0"/>
    <x v="219"/>
    <x v="9"/>
    <s v="SZR"/>
  </r>
  <r>
    <x v="1259"/>
    <s v="TORREC"/>
    <s v="TORRECILLA2"/>
    <n v="2.2000000000000002"/>
    <s v="18W000000000RSG6"/>
    <x v="9"/>
    <s v="Venta"/>
    <s v="SZR"/>
    <s v="GESTE"/>
    <x v="0"/>
    <x v="219"/>
    <x v="9"/>
    <s v="SZR"/>
  </r>
  <r>
    <x v="1260"/>
    <s v="FGST137"/>
    <s v="FGST137"/>
    <n v="41.2"/>
    <s v="18W000000000RSKZ"/>
    <x v="9"/>
    <s v="Venta"/>
    <s v="SZR"/>
    <s v="GESTE"/>
    <x v="0"/>
    <x v="219"/>
    <x v="9"/>
    <s v="SZR"/>
  </r>
  <r>
    <x v="1261"/>
    <s v="FGST138"/>
    <s v="FGST138"/>
    <n v="41.2"/>
    <s v="18W000000000RSMV"/>
    <x v="9"/>
    <s v="Venta"/>
    <s v="SZR"/>
    <s v="GESTE"/>
    <x v="0"/>
    <x v="219"/>
    <x v="9"/>
    <s v="SZR"/>
  </r>
  <r>
    <x v="1262"/>
    <s v="FGST139"/>
    <s v="FGST139"/>
    <n v="41.2"/>
    <s v="18W000000000RSOR"/>
    <x v="9"/>
    <s v="Venta"/>
    <s v="SZR"/>
    <s v="GESTE"/>
    <x v="0"/>
    <x v="219"/>
    <x v="9"/>
    <s v="SZR"/>
  </r>
  <r>
    <x v="1263"/>
    <s v="FGST140"/>
    <s v="FGST140"/>
    <n v="41.2"/>
    <s v="18W000000000RSQN"/>
    <x v="9"/>
    <s v="Venta"/>
    <s v="SZR"/>
    <s v="GESTE"/>
    <x v="0"/>
    <x v="219"/>
    <x v="9"/>
    <s v="SZR"/>
  </r>
  <r>
    <x v="1264"/>
    <s v="FGST141"/>
    <s v="FGST141"/>
    <n v="41.2"/>
    <s v="18W000000000RSSJ"/>
    <x v="9"/>
    <s v="Venta"/>
    <s v="SZR"/>
    <s v="GESTE"/>
    <x v="0"/>
    <x v="219"/>
    <x v="9"/>
    <s v="SZR"/>
  </r>
  <r>
    <x v="1265"/>
    <s v="FGST142"/>
    <s v="FGST142"/>
    <n v="41.2"/>
    <s v="18W000000000RSUF"/>
    <x v="9"/>
    <s v="Venta"/>
    <s v="SZR"/>
    <s v="GESTE"/>
    <x v="0"/>
    <x v="219"/>
    <x v="9"/>
    <s v="SZR"/>
  </r>
  <r>
    <x v="1266"/>
    <s v="FGST143"/>
    <s v="FGST143"/>
    <n v="41.2"/>
    <s v="18W000000000RSWB"/>
    <x v="9"/>
    <s v="Venta"/>
    <s v="SZR"/>
    <s v="GESTE"/>
    <x v="0"/>
    <x v="219"/>
    <x v="9"/>
    <s v="SZR"/>
  </r>
  <r>
    <x v="1267"/>
    <s v="ALTOM"/>
    <s v="ALTOMOMPLANETE"/>
    <n v="0.9"/>
    <s v="18W000000000RTTE"/>
    <x v="9"/>
    <s v="Venta"/>
    <s v="SZR"/>
    <s v="GESTE"/>
    <x v="0"/>
    <x v="219"/>
    <x v="9"/>
    <s v="SZR"/>
  </r>
  <r>
    <x v="1268"/>
    <s v="FGST145"/>
    <s v="FGST145"/>
    <n v="40"/>
    <s v="18W000000000RV2P"/>
    <x v="9"/>
    <s v="Venta"/>
    <s v="GST1"/>
    <s v="GESTE"/>
    <x v="0"/>
    <x v="219"/>
    <x v="9"/>
    <s v="GST"/>
  </r>
  <r>
    <x v="1269"/>
    <s v="FGST150"/>
    <s v="FGST150"/>
    <n v="100"/>
    <s v="18W000000000RX3H"/>
    <x v="9"/>
    <s v="Venta"/>
    <s v="SZR"/>
    <s v="GESTE"/>
    <x v="0"/>
    <x v="219"/>
    <x v="9"/>
    <s v="SZR"/>
  </r>
  <r>
    <x v="1270"/>
    <s v="FGST151"/>
    <s v="FGST151"/>
    <n v="150"/>
    <s v="18W000000000RX5D"/>
    <x v="9"/>
    <s v="Venta"/>
    <s v="SZR"/>
    <s v="GESTE"/>
    <x v="0"/>
    <x v="219"/>
    <x v="9"/>
    <s v="SZR"/>
  </r>
  <r>
    <x v="1271"/>
    <s v="FGST152"/>
    <s v="FGST152"/>
    <n v="150"/>
    <s v="18W000000000RX79"/>
    <x v="9"/>
    <s v="Venta"/>
    <s v="SZR"/>
    <s v="GESTE"/>
    <x v="0"/>
    <x v="219"/>
    <x v="9"/>
    <s v="SZR"/>
  </r>
  <r>
    <x v="1272"/>
    <s v="FGST153"/>
    <s v="FGST153"/>
    <n v="1.4"/>
    <s v="18W000000000S120"/>
    <x v="9"/>
    <s v="Venta"/>
    <s v="SZR"/>
    <s v="GESTE"/>
    <x v="0"/>
    <x v="219"/>
    <x v="9"/>
    <s v="SZR"/>
  </r>
  <r>
    <x v="1273"/>
    <s v="FGST154"/>
    <s v="FGST154"/>
    <n v="1"/>
    <s v="18W000000000S1UI"/>
    <x v="9"/>
    <s v="Venta"/>
    <s v="SZR"/>
    <s v="GESTE"/>
    <x v="0"/>
    <x v="219"/>
    <x v="9"/>
    <s v="SZR"/>
  </r>
  <r>
    <x v="1274"/>
    <s v="FGST155"/>
    <s v="FGST155"/>
    <n v="1.4"/>
    <s v="18W000000000S43Q"/>
    <x v="9"/>
    <s v="Venta"/>
    <s v="SZR"/>
    <s v="GESTE"/>
    <x v="0"/>
    <x v="219"/>
    <x v="9"/>
    <s v="SZR"/>
  </r>
  <r>
    <x v="1275"/>
    <s v="FGST156"/>
    <s v="FGST156"/>
    <n v="3"/>
    <s v="18W000000000S4IX"/>
    <x v="9"/>
    <s v="Venta"/>
    <s v="SZR"/>
    <s v="GESTE"/>
    <x v="0"/>
    <x v="219"/>
    <x v="9"/>
    <s v="SZR"/>
  </r>
  <r>
    <x v="1276"/>
    <s v="FGST157"/>
    <s v="FGST157"/>
    <n v="2"/>
    <s v="18W000000000S8BZ"/>
    <x v="9"/>
    <s v="Venta"/>
    <s v="SZR"/>
    <s v="GESTE"/>
    <x v="0"/>
    <x v="219"/>
    <x v="9"/>
    <s v="SZR"/>
  </r>
  <r>
    <x v="1277"/>
    <s v="FGST158"/>
    <s v="FGST158"/>
    <n v="0.5"/>
    <s v="18W000000000SA54"/>
    <x v="9"/>
    <s v="Venta"/>
    <s v="SZR"/>
    <s v="GESTE"/>
    <x v="0"/>
    <x v="219"/>
    <x v="9"/>
    <s v="SZR"/>
  </r>
  <r>
    <x v="1278"/>
    <s v="FGST159"/>
    <s v="FGST159"/>
    <n v="0.9"/>
    <s v="18W000000000SAAV"/>
    <x v="9"/>
    <s v="Venta"/>
    <s v="SZR"/>
    <s v="GESTE"/>
    <x v="0"/>
    <x v="219"/>
    <x v="9"/>
    <s v="SZR"/>
  </r>
  <r>
    <x v="1279"/>
    <s v="FGST160"/>
    <s v="FGST160"/>
    <n v="3.5"/>
    <s v="18W000000000SFF6"/>
    <x v="9"/>
    <s v="Venta"/>
    <s v="SZR"/>
    <s v="GESTE"/>
    <x v="0"/>
    <x v="219"/>
    <x v="9"/>
    <s v="SZR"/>
  </r>
  <r>
    <x v="1280"/>
    <s v="FGST161"/>
    <s v="FGST161"/>
    <n v="4"/>
    <s v="18W000000000SFH2"/>
    <x v="9"/>
    <s v="Venta"/>
    <s v="SZR"/>
    <s v="GESTE"/>
    <x v="0"/>
    <x v="219"/>
    <x v="9"/>
    <s v="SZR"/>
  </r>
  <r>
    <x v="1281"/>
    <s v="FGST162"/>
    <s v="FGST162"/>
    <n v="22.8"/>
    <s v="18W000000000SIHU"/>
    <x v="9"/>
    <s v="Venta"/>
    <s v="SZR"/>
    <s v="GESTE"/>
    <x v="0"/>
    <x v="219"/>
    <x v="9"/>
    <s v="SZR"/>
  </r>
  <r>
    <x v="1282"/>
    <s v="FGST167"/>
    <s v="FGST167"/>
    <n v="1.9"/>
    <s v="18W000000000SMIG"/>
    <x v="9"/>
    <s v="Venta"/>
    <s v="SZR"/>
    <s v="GESTE"/>
    <x v="0"/>
    <x v="219"/>
    <x v="9"/>
    <s v="SZR"/>
  </r>
  <r>
    <x v="1283"/>
    <s v="FGST168"/>
    <s v="FGST168"/>
    <n v="16.399999999999999"/>
    <s v="18W000000000SXR2"/>
    <x v="9"/>
    <s v="Venta"/>
    <s v="SZR"/>
    <s v="GESTE"/>
    <x v="0"/>
    <x v="219"/>
    <x v="9"/>
    <s v="SZR"/>
  </r>
  <r>
    <x v="1284"/>
    <s v="FGST169"/>
    <s v="FGST169"/>
    <n v="1.2"/>
    <s v="18W000000000SYFN"/>
    <x v="9"/>
    <s v="Venta"/>
    <s v="SZR"/>
    <s v="GESTE"/>
    <x v="0"/>
    <x v="219"/>
    <x v="9"/>
    <s v="SZR"/>
  </r>
  <r>
    <x v="1285"/>
    <s v="FGST170"/>
    <s v="FGST170"/>
    <n v="5"/>
    <s v="18W000000000SYHJ"/>
    <x v="9"/>
    <s v="Venta"/>
    <s v="SZR"/>
    <s v="GESTE"/>
    <x v="0"/>
    <x v="219"/>
    <x v="9"/>
    <s v="SZR"/>
  </r>
  <r>
    <x v="1286"/>
    <s v="FGST171"/>
    <s v="FGST171"/>
    <n v="4.4000000000000004"/>
    <s v="18W000000000SYKD"/>
    <x v="9"/>
    <s v="Venta"/>
    <s v="SZR"/>
    <s v="GESTE"/>
    <x v="0"/>
    <x v="219"/>
    <x v="9"/>
    <s v="SZR"/>
  </r>
  <r>
    <x v="1287"/>
    <s v="FGST176"/>
    <s v="FGST176"/>
    <n v="130"/>
    <s v="18W000000000T3JU"/>
    <x v="9"/>
    <s v="Venta"/>
    <s v="SZR"/>
    <s v="GESTE"/>
    <x v="0"/>
    <x v="219"/>
    <x v="9"/>
    <s v="SZR"/>
  </r>
  <r>
    <x v="1288"/>
    <s v="FGST177"/>
    <s v="FGST177"/>
    <n v="193.2"/>
    <s v="18W000000000T3LQ"/>
    <x v="9"/>
    <s v="Venta"/>
    <s v="SZR"/>
    <s v="GESTE"/>
    <x v="0"/>
    <x v="219"/>
    <x v="9"/>
    <s v="SZR"/>
  </r>
  <r>
    <x v="1289"/>
    <s v="FGST178"/>
    <s v="FGST178"/>
    <n v="4.7"/>
    <s v="18W000000000T3QG"/>
    <x v="9"/>
    <s v="Venta"/>
    <s v="SZR"/>
    <s v="GESTE"/>
    <x v="0"/>
    <x v="219"/>
    <x v="9"/>
    <s v="SZR"/>
  </r>
  <r>
    <x v="1290"/>
    <s v="FGST179"/>
    <s v="FGST179"/>
    <n v="3"/>
    <s v="18W000000000T4OH"/>
    <x v="9"/>
    <s v="Venta"/>
    <s v="SZR"/>
    <s v="GESTE"/>
    <x v="0"/>
    <x v="219"/>
    <x v="9"/>
    <s v="SZR"/>
  </r>
  <r>
    <x v="1291"/>
    <s v="FGST180"/>
    <s v="FGST180"/>
    <n v="3"/>
    <s v="18W000000000T4QD"/>
    <x v="9"/>
    <s v="Venta"/>
    <s v="SZR"/>
    <s v="GESTE"/>
    <x v="0"/>
    <x v="219"/>
    <x v="9"/>
    <s v="SZR"/>
  </r>
  <r>
    <x v="1292"/>
    <s v="FGST181"/>
    <s v="FGST181"/>
    <n v="3"/>
    <s v="18W000000000T4S9"/>
    <x v="9"/>
    <s v="Venta"/>
    <s v="SZR"/>
    <s v="GESTE"/>
    <x v="0"/>
    <x v="219"/>
    <x v="9"/>
    <s v="SZR"/>
  </r>
  <r>
    <x v="1293"/>
    <s v="FGST182"/>
    <s v="FGST182"/>
    <n v="1.9"/>
    <s v="18W000000000T4W1"/>
    <x v="9"/>
    <s v="Venta"/>
    <s v="SZR"/>
    <s v="GESTE"/>
    <x v="0"/>
    <x v="219"/>
    <x v="9"/>
    <s v="SZR"/>
  </r>
  <r>
    <x v="1294"/>
    <s v="FGST183"/>
    <s v="FGST183"/>
    <n v="2.8"/>
    <s v="18W000000000T6Q7"/>
    <x v="9"/>
    <s v="Venta"/>
    <s v="SZR"/>
    <s v="GESTE"/>
    <x v="0"/>
    <x v="219"/>
    <x v="9"/>
    <s v="SZR"/>
  </r>
  <r>
    <x v="1295"/>
    <s v="FGST184"/>
    <s v="FGST184"/>
    <n v="4"/>
    <s v="18W000000000T6S3"/>
    <x v="9"/>
    <s v="Venta"/>
    <s v="SZR"/>
    <s v="GESTE"/>
    <x v="0"/>
    <x v="219"/>
    <x v="9"/>
    <s v="SZR"/>
  </r>
  <r>
    <x v="1296"/>
    <s v="FGST185"/>
    <s v="FGST185"/>
    <n v="6"/>
    <s v="18W000000000T6VY"/>
    <x v="9"/>
    <s v="Venta"/>
    <s v="SZR"/>
    <s v="GESTE"/>
    <x v="0"/>
    <x v="219"/>
    <x v="9"/>
    <s v="SZR"/>
  </r>
  <r>
    <x v="1297"/>
    <s v="FGST186"/>
    <s v="FGST186"/>
    <n v="3"/>
    <s v="18W000000000T791"/>
    <x v="9"/>
    <s v="Venta"/>
    <s v="SZR"/>
    <s v="GESTE"/>
    <x v="0"/>
    <x v="219"/>
    <x v="9"/>
    <s v="SZR"/>
  </r>
  <r>
    <x v="1298"/>
    <s v="FGST187"/>
    <s v="FGST187"/>
    <n v="0.9"/>
    <s v="18W000000000T7CW"/>
    <x v="9"/>
    <s v="Venta"/>
    <s v="SZR"/>
    <s v="GESTE"/>
    <x v="0"/>
    <x v="219"/>
    <x v="9"/>
    <s v="SZR"/>
  </r>
  <r>
    <x v="1299"/>
    <s v="FGST189"/>
    <s v="FGST189"/>
    <n v="4.7"/>
    <s v="18W000000000T90D"/>
    <x v="9"/>
    <s v="Venta"/>
    <s v="SZR"/>
    <s v="GESTE"/>
    <x v="0"/>
    <x v="219"/>
    <x v="9"/>
    <s v="SZR"/>
  </r>
  <r>
    <x v="1300"/>
    <s v="FGST193"/>
    <s v="FGST193"/>
    <n v="2.4"/>
    <s v="18W000000000TAAR"/>
    <x v="9"/>
    <s v="Venta"/>
    <s v="SZR"/>
    <s v="GESTE"/>
    <x v="0"/>
    <x v="219"/>
    <x v="9"/>
    <s v="SZR"/>
  </r>
  <r>
    <x v="1301"/>
    <s v="FGST194"/>
    <s v="FGST194"/>
    <n v="1.5"/>
    <s v="18W000000000TADL"/>
    <x v="9"/>
    <s v="Venta"/>
    <s v="SZR"/>
    <s v="GESTE"/>
    <x v="0"/>
    <x v="219"/>
    <x v="9"/>
    <s v="SZR"/>
  </r>
  <r>
    <x v="1302"/>
    <s v="FGST196"/>
    <s v="FGST196"/>
    <n v="3.7"/>
    <s v="18W000000000TAK7"/>
    <x v="9"/>
    <s v="Venta"/>
    <s v="SZR"/>
    <s v="GESTE"/>
    <x v="0"/>
    <x v="219"/>
    <x v="9"/>
    <s v="SZR"/>
  </r>
  <r>
    <x v="1303"/>
    <s v="FGST197"/>
    <s v="FGST197"/>
    <n v="4.0999999999999996"/>
    <s v="18W000000000TAPY"/>
    <x v="9"/>
    <s v="Venta"/>
    <s v="SZR"/>
    <s v="GESTE"/>
    <x v="0"/>
    <x v="219"/>
    <x v="9"/>
    <s v="SZR"/>
  </r>
  <r>
    <x v="1304"/>
    <s v="FGST198"/>
    <s v="FGST198"/>
    <n v="1.4"/>
    <s v="18W000000000TARU"/>
    <x v="9"/>
    <s v="Venta"/>
    <s v="SZR"/>
    <s v="GESTE"/>
    <x v="0"/>
    <x v="219"/>
    <x v="9"/>
    <s v="SZR"/>
  </r>
  <r>
    <x v="1305"/>
    <s v="FGST199"/>
    <s v="FGST199"/>
    <n v="1.2"/>
    <s v="18W000000000TATQ"/>
    <x v="9"/>
    <s v="Venta"/>
    <s v="SZR"/>
    <s v="GESTE"/>
    <x v="0"/>
    <x v="219"/>
    <x v="9"/>
    <s v="SZR"/>
  </r>
  <r>
    <x v="1306"/>
    <s v="FGST204"/>
    <s v="FGST204"/>
    <n v="2"/>
    <s v="18W000000000TCI5"/>
    <x v="9"/>
    <s v="Venta"/>
    <s v="SZR"/>
    <s v="GESTE"/>
    <x v="0"/>
    <x v="219"/>
    <x v="9"/>
    <s v="SZR"/>
  </r>
  <r>
    <x v="1307"/>
    <s v="FGST205"/>
    <s v="FGST205"/>
    <n v="3"/>
    <s v="18W000000000TCK1"/>
    <x v="9"/>
    <s v="Venta"/>
    <s v="SZR"/>
    <s v="GESTE"/>
    <x v="0"/>
    <x v="219"/>
    <x v="9"/>
    <s v="SZR"/>
  </r>
  <r>
    <x v="1308"/>
    <s v="FGST206"/>
    <s v="FGST206"/>
    <n v="2"/>
    <s v="18W000000000TCNW"/>
    <x v="9"/>
    <s v="Venta"/>
    <s v="SZR"/>
    <s v="GESTE"/>
    <x v="0"/>
    <x v="219"/>
    <x v="9"/>
    <s v="SZR"/>
  </r>
  <r>
    <x v="1309"/>
    <s v="FGST210"/>
    <s v="FGST210"/>
    <n v="4.2"/>
    <s v="18W000000000TFRF"/>
    <x v="9"/>
    <s v="Venta"/>
    <s v="SZR"/>
    <s v="GESTE"/>
    <x v="0"/>
    <x v="219"/>
    <x v="9"/>
    <s v="SZR"/>
  </r>
  <r>
    <x v="1310"/>
    <s v="FGST211"/>
    <s v="FGST211"/>
    <n v="3"/>
    <s v="18W000000000TFTB"/>
    <x v="9"/>
    <s v="Venta"/>
    <s v="SZR"/>
    <s v="GESTE"/>
    <x v="0"/>
    <x v="219"/>
    <x v="9"/>
    <s v="SZR"/>
  </r>
  <r>
    <x v="1311"/>
    <s v="FGST212"/>
    <s v="FGST212"/>
    <n v="3"/>
    <s v="18W000000000TFV7"/>
    <x v="9"/>
    <s v="Venta"/>
    <s v="SZR"/>
    <s v="GESTE"/>
    <x v="0"/>
    <x v="219"/>
    <x v="9"/>
    <s v="SZR"/>
  </r>
  <r>
    <x v="1312"/>
    <s v="FGST213"/>
    <s v="FGST213"/>
    <n v="3.3"/>
    <s v="18W000000000THLL"/>
    <x v="9"/>
    <s v="Venta"/>
    <s v="SZR"/>
    <s v="GESTE"/>
    <x v="0"/>
    <x v="219"/>
    <x v="9"/>
    <s v="SZR"/>
  </r>
  <r>
    <x v="1313"/>
    <s v="FGST214"/>
    <s v="FGST214"/>
    <n v="0.9"/>
    <s v="18W000000000TJ68"/>
    <x v="9"/>
    <s v="Venta"/>
    <s v="SZR"/>
    <s v="GESTE"/>
    <x v="0"/>
    <x v="219"/>
    <x v="9"/>
    <s v="SZR"/>
  </r>
  <r>
    <x v="1314"/>
    <s v="FGUADA"/>
    <s v="FV GRADARRANQUE"/>
    <n v="12.3"/>
    <s v="18W000000000OOZT"/>
    <x v="9"/>
    <s v="Venta"/>
    <s v="SZR"/>
    <s v="CEG"/>
    <x v="0"/>
    <x v="124"/>
    <x v="9"/>
    <s v="SZR"/>
  </r>
  <r>
    <x v="1315"/>
    <s v="SFGUILLENA"/>
    <s v="SFGUILLENA"/>
    <n v="100"/>
    <s v="18W000000000H6OM"/>
    <x v="9"/>
    <s v="Venta"/>
    <s v="SZR"/>
    <s v="HISPE"/>
    <x v="0"/>
    <x v="43"/>
    <x v="9"/>
    <s v="SZR"/>
  </r>
  <r>
    <x v="1316"/>
    <s v="FGUZMAN"/>
    <s v="UP SOLAR GUZMAN"/>
    <n v="42.4"/>
    <s v="18W000000000RE7T"/>
    <x v="9"/>
    <s v="Venta"/>
    <s v="NEXUS"/>
    <s v="NEXU"/>
    <x v="0"/>
    <x v="187"/>
    <x v="9"/>
    <s v="NEX"/>
  </r>
  <r>
    <x v="1317"/>
    <s v="FHELIO1"/>
    <s v="UP SOLAR HELIOS 1"/>
    <n v="10"/>
    <s v="18W000000000M17E"/>
    <x v="9"/>
    <s v="Venta"/>
    <s v="SZR"/>
    <s v="NEXU"/>
    <x v="0"/>
    <x v="187"/>
    <x v="9"/>
    <s v="SZR"/>
  </r>
  <r>
    <x v="1318"/>
    <s v="FHELIO2"/>
    <s v="UP SOLAR HELIOS 2"/>
    <n v="10"/>
    <s v="18W000000000M18C"/>
    <x v="9"/>
    <s v="Venta"/>
    <s v="SZR"/>
    <s v="NEXU"/>
    <x v="0"/>
    <x v="187"/>
    <x v="9"/>
    <s v="SZR"/>
  </r>
  <r>
    <x v="1319"/>
    <s v="FHIBGES"/>
    <s v="FOTOVOLTAICA HABILITADA EN ZR"/>
    <n v="157.1"/>
    <s v="18W000000000NXPQ"/>
    <x v="9"/>
    <s v="Venta"/>
    <s v="SZR"/>
    <s v="IBGES"/>
    <x v="0"/>
    <x v="7"/>
    <x v="9"/>
    <s v="SZR"/>
  </r>
  <r>
    <x v="1320"/>
    <s v="FHOTEI"/>
    <s v="UP HOTEI SOLAR SL"/>
    <n v="45"/>
    <s v="18W000000000T4D2"/>
    <x v="9"/>
    <s v="Venta"/>
    <s v="SZR"/>
    <s v="EGLE"/>
    <x v="0"/>
    <x v="82"/>
    <x v="9"/>
    <s v="SZR"/>
  </r>
  <r>
    <x v="1321"/>
    <s v="FHRRERA"/>
    <s v="UP SOLAR LA HERRERA"/>
    <n v="4"/>
    <s v="18W000000000R9NC"/>
    <x v="9"/>
    <s v="Venta"/>
    <s v="SZR"/>
    <s v="NEXU"/>
    <x v="0"/>
    <x v="187"/>
    <x v="9"/>
    <s v="SZR"/>
  </r>
  <r>
    <x v="1322"/>
    <s v="FIBGEAR"/>
    <s v="FIBGEAR"/>
    <n v="106"/>
    <s v="18W000000000RHX5"/>
    <x v="9"/>
    <s v="Venta"/>
    <s v="IBEG"/>
    <s v="IBGES"/>
    <x v="0"/>
    <x v="7"/>
    <x v="9"/>
    <s v="IMA"/>
  </r>
  <r>
    <x v="1323"/>
    <s v="FIBGECA"/>
    <s v="HIBRIDACION FV CAMPOARAÑUELO"/>
    <n v="31"/>
    <s v="18W000000000RQXF"/>
    <x v="22"/>
    <s v="Venta"/>
    <s v="IBEG"/>
    <s v="IBGES"/>
    <x v="9"/>
    <x v="7"/>
    <x v="25"/>
    <s v="IMA"/>
  </r>
  <r>
    <x v="1324"/>
    <s v="FIBGECE"/>
    <s v="FIBGECE"/>
    <n v="267"/>
    <s v="18W000000000RHZ1"/>
    <x v="9"/>
    <s v="Venta"/>
    <s v="SZR"/>
    <s v="IBGES"/>
    <x v="0"/>
    <x v="7"/>
    <x v="9"/>
    <s v="SZR"/>
  </r>
  <r>
    <x v="1325"/>
    <s v="FIBGECP"/>
    <s v="FIBGECP"/>
    <n v="250"/>
    <s v="18W000000000TGOI"/>
    <x v="9"/>
    <s v="Venta"/>
    <s v="SZR"/>
    <s v="IBGES"/>
    <x v="0"/>
    <x v="7"/>
    <x v="9"/>
    <s v="SZR"/>
  </r>
  <r>
    <x v="1326"/>
    <s v="FIBGECR"/>
    <s v="FV CIUDAD RODRIGO"/>
    <n v="236"/>
    <s v="18W000000000THNH"/>
    <x v="9"/>
    <s v="Venta"/>
    <s v="SZR"/>
    <s v="IBGES"/>
    <x v="0"/>
    <x v="7"/>
    <x v="9"/>
    <s v="SZR"/>
  </r>
  <r>
    <x v="1327"/>
    <s v="FIBGEMS"/>
    <s v="FIBGEMS"/>
    <n v="76"/>
    <s v="18W000000000TGJS"/>
    <x v="9"/>
    <s v="Venta"/>
    <s v="IBEG"/>
    <s v="IBGES"/>
    <x v="0"/>
    <x v="7"/>
    <x v="9"/>
    <s v="IMA"/>
  </r>
  <r>
    <x v="1328"/>
    <s v="FIBGENB"/>
    <s v="FV NUÑEZ DE BALBOA"/>
    <n v="391"/>
    <s v="18W000000000RHW7"/>
    <x v="9"/>
    <s v="Venta"/>
    <s v="IBEG"/>
    <s v="IBGES"/>
    <x v="0"/>
    <x v="7"/>
    <x v="9"/>
    <s v="IMA"/>
  </r>
  <r>
    <x v="1329"/>
    <s v="FIBGEOR"/>
    <s v="FOTOVOLTAICA ORIOL"/>
    <n v="237"/>
    <s v="18W000000000RHY3"/>
    <x v="9"/>
    <s v="Venta"/>
    <s v="IBEG"/>
    <s v="IBGES"/>
    <x v="0"/>
    <x v="7"/>
    <x v="9"/>
    <s v="IMA"/>
  </r>
  <r>
    <x v="1330"/>
    <s v="FIBGEPE"/>
    <s v="FIBGEPE"/>
    <n v="41.1"/>
    <s v="18W000000000TGNK"/>
    <x v="9"/>
    <s v="Venta"/>
    <s v="SZR"/>
    <s v="IBGES"/>
    <x v="0"/>
    <x v="7"/>
    <x v="9"/>
    <s v="SZR"/>
  </r>
  <r>
    <x v="1331"/>
    <s v="FIBGEPI"/>
    <s v="FV FRANCISCO PIZARRO"/>
    <n v="430"/>
    <s v="18W000000000RHV9"/>
    <x v="9"/>
    <s v="Venta"/>
    <s v="IBEG"/>
    <s v="IBGES"/>
    <x v="0"/>
    <x v="7"/>
    <x v="9"/>
    <s v="IMA"/>
  </r>
  <r>
    <x v="1332"/>
    <s v="FIEBGETA"/>
    <s v="FIBGETA"/>
    <n v="325"/>
    <s v="18W000000000S9TX"/>
    <x v="9"/>
    <s v="Venta"/>
    <s v="SZR"/>
    <s v="IBGES"/>
    <x v="0"/>
    <x v="7"/>
    <x v="9"/>
    <s v="SZR"/>
  </r>
  <r>
    <x v="1333"/>
    <s v="FIBGEVE"/>
    <s v="FIBGEVE"/>
    <n v="250"/>
    <s v="18W000000000S9UV"/>
    <x v="9"/>
    <s v="Venta"/>
    <s v="SZR"/>
    <s v="IBGES"/>
    <x v="0"/>
    <x v="7"/>
    <x v="9"/>
    <s v="SZR"/>
  </r>
  <r>
    <x v="1334"/>
    <s v="FIBGEVI"/>
    <s v="FIBGEVI"/>
    <n v="37.5"/>
    <s v="18W000000000TGMM"/>
    <x v="9"/>
    <s v="Venta"/>
    <s v="SZR"/>
    <s v="IBGES"/>
    <x v="0"/>
    <x v="7"/>
    <x v="9"/>
    <s v="SZR"/>
  </r>
  <r>
    <x v="1335"/>
    <s v="FIBGT12"/>
    <s v="FIBGT12"/>
    <n v="74"/>
    <s v="18W000000000TGKQ"/>
    <x v="9"/>
    <s v="Venta"/>
    <s v="SZR"/>
    <s v="IBGES"/>
    <x v="0"/>
    <x v="7"/>
    <x v="9"/>
    <s v="SZR"/>
  </r>
  <r>
    <x v="1336"/>
    <s v="FIBGT34"/>
    <s v="FIBGT34"/>
    <n v="74"/>
    <s v="18W000000000TGLO"/>
    <x v="9"/>
    <s v="Venta"/>
    <s v="SZR"/>
    <s v="IBGES"/>
    <x v="0"/>
    <x v="7"/>
    <x v="9"/>
    <s v="SZR"/>
  </r>
  <r>
    <x v="1337"/>
    <s v="GACFOTOV2"/>
    <s v="GAC FOTOV MAYOR 1MW"/>
    <n v="2"/>
    <s v="18W000000000NLLX"/>
    <x v="9"/>
    <s v="Venta"/>
    <s v="SZR"/>
    <s v="GAC"/>
    <x v="0"/>
    <x v="295"/>
    <x v="9"/>
    <s v="SZR"/>
  </r>
  <r>
    <x v="1338"/>
    <s v="FIIBGES"/>
    <s v="FIIBGES"/>
    <n v="372.3"/>
    <s v="18W000000000Q7E3"/>
    <x v="9"/>
    <s v="Venta"/>
    <s v="IBEG"/>
    <s v="IBGES"/>
    <x v="0"/>
    <x v="7"/>
    <x v="9"/>
    <s v="IMA"/>
  </r>
  <r>
    <x v="1339"/>
    <s v="IM2"/>
    <s v="IM2SOLAR"/>
    <n v="1"/>
    <s v="18W000000000KSNK"/>
    <x v="9"/>
    <s v="Venta"/>
    <s v="SZR"/>
    <s v="GESTE"/>
    <x v="0"/>
    <x v="219"/>
    <x v="9"/>
    <s v="SZR"/>
  </r>
  <r>
    <x v="1340"/>
    <s v="FINDINA"/>
    <s v="UF SOLAR LA INDIANA"/>
    <n v="3.3"/>
    <s v="18W000000000RN64"/>
    <x v="9"/>
    <s v="Venta"/>
    <s v="SZR"/>
    <s v="NEXU"/>
    <x v="0"/>
    <x v="187"/>
    <x v="9"/>
    <s v="SZR"/>
  </r>
  <r>
    <x v="1341"/>
    <s v="FINFREN"/>
    <s v="UP FV INFRACLASS RENEWABLES SPAIN SL"/>
    <n v="6.7"/>
    <s v="18WFINFREN-123-X"/>
    <x v="9"/>
    <s v="Venta"/>
    <s v="SZR"/>
    <s v="NEXU"/>
    <x v="0"/>
    <x v="187"/>
    <x v="9"/>
    <s v="SZR"/>
  </r>
  <r>
    <x v="1342"/>
    <s v="FJALON1"/>
    <s v="FJALON1"/>
    <n v="46.5"/>
    <s v="18W000000000TB5Y"/>
    <x v="9"/>
    <s v="Venta"/>
    <s v="SZR"/>
    <s v="CEG"/>
    <x v="0"/>
    <x v="124"/>
    <x v="9"/>
    <s v="SZR"/>
  </r>
  <r>
    <x v="1343"/>
    <s v="D JUNCAL"/>
    <s v="DUERO JUNCAL"/>
    <n v="9.9"/>
    <s v="18WFJUNCAL-123-8"/>
    <x v="9"/>
    <s v="Venta"/>
    <s v="SZR"/>
    <s v="GESTE"/>
    <x v="0"/>
    <x v="219"/>
    <x v="9"/>
    <s v="SZR"/>
  </r>
  <r>
    <x v="1344"/>
    <s v="FJUNEDA"/>
    <s v="UP SOLAR JUNEDA"/>
    <n v="1.7"/>
    <s v="18W000000000RCDN"/>
    <x v="9"/>
    <s v="Venta"/>
    <s v="SZR"/>
    <s v="NEXU"/>
    <x v="0"/>
    <x v="187"/>
    <x v="9"/>
    <s v="SZR"/>
  </r>
  <r>
    <x v="1345"/>
    <s v="FKALEL"/>
    <s v="UP KALEL SN POWER"/>
    <n v="2.1"/>
    <s v="18W000000000QXD1"/>
    <x v="9"/>
    <s v="Venta"/>
    <s v="SZR"/>
    <s v="EGLE"/>
    <x v="0"/>
    <x v="82"/>
    <x v="9"/>
    <s v="SZR"/>
  </r>
  <r>
    <x v="1346"/>
    <s v="FKAPPA"/>
    <s v="FKAPPA"/>
    <n v="30.3"/>
    <s v="18W000000000KOAL"/>
    <x v="9"/>
    <s v="Venta"/>
    <s v="SZR"/>
    <s v="REPSB"/>
    <x v="0"/>
    <x v="29"/>
    <x v="9"/>
    <s v="SZR"/>
  </r>
  <r>
    <x v="1347"/>
    <s v="KAPPAG"/>
    <s v="KAPPA GESTIONABLE"/>
    <n v="75.900000000000006"/>
    <s v="18W000000000PD65"/>
    <x v="9"/>
    <s v="Venta"/>
    <s v="REPSOL"/>
    <s v="REPSB"/>
    <x v="0"/>
    <x v="29"/>
    <x v="9"/>
    <s v="EV"/>
  </r>
  <r>
    <x v="1348"/>
    <s v="FKELLY"/>
    <s v="UP KELLY SOLAR SL"/>
    <n v="4.5"/>
    <s v="18W000000000SG3R"/>
    <x v="9"/>
    <s v="Venta"/>
    <s v="SZR"/>
    <s v="EGLE"/>
    <x v="0"/>
    <x v="82"/>
    <x v="9"/>
    <s v="SZR"/>
  </r>
  <r>
    <x v="1349"/>
    <s v="GACFOTOV3"/>
    <s v="GAC FOTOV MAYOR 1MW"/>
    <n v="3"/>
    <s v="18W000000000NLKZ"/>
    <x v="9"/>
    <s v="Venta"/>
    <s v="SZR"/>
    <s v="GAC"/>
    <x v="0"/>
    <x v="295"/>
    <x v="9"/>
    <s v="SZR"/>
  </r>
  <r>
    <x v="1350"/>
    <s v="LACABRITA"/>
    <s v="LACABRITA"/>
    <n v="42.4"/>
    <s v="18W000000000KZBN"/>
    <x v="9"/>
    <s v="Venta"/>
    <s v="ALP"/>
    <s v="HISPE"/>
    <x v="0"/>
    <x v="43"/>
    <x v="9"/>
    <s v="ALP"/>
  </r>
  <r>
    <x v="1351"/>
    <s v="FLAISLA"/>
    <s v="UP SOLAR LA ISLA"/>
    <n v="157.5"/>
    <s v="18W000000000R310"/>
    <x v="9"/>
    <s v="Venta"/>
    <s v="SZR"/>
    <s v="NEXU"/>
    <x v="0"/>
    <x v="187"/>
    <x v="9"/>
    <s v="SZR"/>
  </r>
  <r>
    <x v="1352"/>
    <s v="FLAMC01"/>
    <s v="FLAMAGAS LLINARS SLU"/>
    <n v="1.4"/>
    <s v="18W000000000AQEA"/>
    <x v="6"/>
    <s v="Compra"/>
    <s v="SZR"/>
    <s v="FLAMA"/>
    <x v="3"/>
    <x v="304"/>
    <x v="6"/>
    <s v="SZR"/>
  </r>
  <r>
    <x v="1353"/>
    <s v="LARRAL"/>
    <s v="UP SOLAR LARRAL"/>
    <n v="40"/>
    <s v="18W000000000RPGF"/>
    <x v="9"/>
    <s v="Venta"/>
    <s v="NEXUS"/>
    <s v="NEXU"/>
    <x v="0"/>
    <x v="187"/>
    <x v="9"/>
    <s v="NEX"/>
  </r>
  <r>
    <x v="1354"/>
    <s v="LSTS"/>
    <s v="LASTRA"/>
    <n v="35"/>
    <s v="18W000000000NZY2"/>
    <x v="9"/>
    <s v="Venta"/>
    <s v="SZR"/>
    <s v="GESTE"/>
    <x v="0"/>
    <x v="219"/>
    <x v="9"/>
    <s v="SZR"/>
  </r>
  <r>
    <x v="1355"/>
    <s v="LASTRA"/>
    <s v="FVLASTRA"/>
    <n v="1.3"/>
    <s v="18W000000000G9U5"/>
    <x v="9"/>
    <s v="Venta"/>
    <s v="SZR"/>
    <s v="GESTE"/>
    <x v="0"/>
    <x v="219"/>
    <x v="9"/>
    <s v="SZR"/>
  </r>
  <r>
    <x v="1356"/>
    <s v="FLASVAG"/>
    <s v="FLASVAG"/>
    <n v="10"/>
    <s v="18W000000000QBTZ"/>
    <x v="9"/>
    <s v="Venta"/>
    <s v="SZR"/>
    <s v="HISPE"/>
    <x v="0"/>
    <x v="43"/>
    <x v="9"/>
    <s v="SZR"/>
  </r>
  <r>
    <x v="1357"/>
    <s v="FLEAIKO"/>
    <s v="UP SOLAR LEA ARTIBAIKO"/>
    <n v="0.9"/>
    <s v="18W000000000T6ZQ"/>
    <x v="9"/>
    <s v="Venta"/>
    <s v="SZR"/>
    <s v="NEXU"/>
    <x v="0"/>
    <x v="187"/>
    <x v="9"/>
    <s v="SZR"/>
  </r>
  <r>
    <x v="1358"/>
    <s v="FAB PAN"/>
    <s v="FABRICA PAN"/>
    <n v="0.6"/>
    <s v="18W0000000001QI1"/>
    <x v="6"/>
    <s v="Compra"/>
    <s v="SZR"/>
    <s v="FLECA"/>
    <x v="3"/>
    <x v="305"/>
    <x v="6"/>
    <s v="SZR"/>
  </r>
  <r>
    <x v="1359"/>
    <s v="FLEMAZR"/>
    <s v="UP SOLAR LEYRENE 2"/>
    <n v="1.6"/>
    <s v="18W000000000RY84"/>
    <x v="9"/>
    <s v="Venta"/>
    <s v="SZR"/>
    <s v="NEXU"/>
    <x v="0"/>
    <x v="187"/>
    <x v="9"/>
    <s v="SZR"/>
  </r>
  <r>
    <x v="1360"/>
    <s v="FLENOEZ"/>
    <s v="UP SOLAR LEYRENE"/>
    <n v="1.4"/>
    <s v="18W000000000RY68"/>
    <x v="9"/>
    <s v="Venta"/>
    <s v="SZR"/>
    <s v="NEXU"/>
    <x v="0"/>
    <x v="187"/>
    <x v="9"/>
    <s v="SZR"/>
  </r>
  <r>
    <x v="1361"/>
    <s v="FLILLAN"/>
    <s v="UP SOLAR LO ILLAN"/>
    <n v="2"/>
    <s v="18W000000000QMU0"/>
    <x v="9"/>
    <s v="Venta"/>
    <s v="SZR"/>
    <s v="NEXU"/>
    <x v="0"/>
    <x v="187"/>
    <x v="9"/>
    <s v="SZR"/>
  </r>
  <r>
    <x v="1362"/>
    <s v="FLLANO1"/>
    <s v="FV LLANO1"/>
    <n v="42.2"/>
    <s v="18W000000000P86K"/>
    <x v="9"/>
    <s v="Venta"/>
    <s v="EVM"/>
    <s v="CEG"/>
    <x v="0"/>
    <x v="124"/>
    <x v="9"/>
    <s v="EVM"/>
  </r>
  <r>
    <x v="1363"/>
    <s v="FLLANO2"/>
    <s v="FV LLANO2"/>
    <n v="42.2"/>
    <s v="18W000000000P88G"/>
    <x v="9"/>
    <s v="Venta"/>
    <s v="SZR"/>
    <s v="CEG"/>
    <x v="0"/>
    <x v="124"/>
    <x v="9"/>
    <s v="SZR"/>
  </r>
  <r>
    <x v="1364"/>
    <s v="FLLANO3"/>
    <s v="FV LLANO3"/>
    <n v="40.200000000000003"/>
    <s v="18W000000000Q3ZA"/>
    <x v="9"/>
    <s v="Venta"/>
    <s v="SZR"/>
    <s v="CEG"/>
    <x v="0"/>
    <x v="124"/>
    <x v="9"/>
    <s v="SZR"/>
  </r>
  <r>
    <x v="1365"/>
    <s v="LLANOS"/>
    <s v="LLANOS"/>
    <n v="42.3"/>
    <s v="18W000000000QPWO"/>
    <x v="9"/>
    <s v="Venta"/>
    <s v="SZR"/>
    <s v="GNRA"/>
    <x v="0"/>
    <x v="46"/>
    <x v="9"/>
    <s v="SZR"/>
  </r>
  <r>
    <x v="1366"/>
    <s v="FLMULAS"/>
    <s v="UP SOLAR MULAS"/>
    <n v="19.2"/>
    <s v="18W000000000RIW4"/>
    <x v="9"/>
    <s v="Venta"/>
    <s v="NEXUS"/>
    <s v="NEXU"/>
    <x v="0"/>
    <x v="187"/>
    <x v="9"/>
    <s v="NEX"/>
  </r>
  <r>
    <x v="1367"/>
    <s v="FLNTSCO"/>
    <s v="UP SOLAR LENTISCO"/>
    <n v="5"/>
    <s v="18W000000000RJ0S"/>
    <x v="9"/>
    <s v="Venta"/>
    <s v="SZR"/>
    <s v="NEXU"/>
    <x v="0"/>
    <x v="187"/>
    <x v="9"/>
    <s v="SZR"/>
  </r>
  <r>
    <x v="1368"/>
    <s v="FLOBSIL"/>
    <s v="UP LOBOSILLO"/>
    <n v="4"/>
    <s v="18W000000000M7XI"/>
    <x v="9"/>
    <s v="Venta"/>
    <s v="SZR"/>
    <s v="NEXU"/>
    <x v="0"/>
    <x v="187"/>
    <x v="9"/>
    <s v="SZR"/>
  </r>
  <r>
    <x v="1369"/>
    <s v="FLOCABA"/>
    <s v="UP SOLAR LOCABA"/>
    <n v="4"/>
    <s v="18W000000000QMPA"/>
    <x v="9"/>
    <s v="Venta"/>
    <s v="SZR"/>
    <s v="NEXU"/>
    <x v="0"/>
    <x v="187"/>
    <x v="9"/>
    <s v="SZR"/>
  </r>
  <r>
    <x v="1370"/>
    <s v="LOGROSAN"/>
    <s v="FLOGROSAN"/>
    <n v="5"/>
    <s v="18WFLOGROS-123-9"/>
    <x v="9"/>
    <s v="Venta"/>
    <s v="SZR"/>
    <s v="GESTE"/>
    <x v="0"/>
    <x v="219"/>
    <x v="9"/>
    <s v="SZR"/>
  </r>
  <r>
    <x v="1371"/>
    <s v="FLOMOS2"/>
    <s v="UP SOLAR LOMOS II"/>
    <n v="2.2000000000000002"/>
    <s v="18W000000000NH29"/>
    <x v="9"/>
    <s v="Venta"/>
    <s v="SZR"/>
    <s v="NEXU"/>
    <x v="0"/>
    <x v="187"/>
    <x v="9"/>
    <s v="SZR"/>
  </r>
  <r>
    <x v="1372"/>
    <s v="FLPENA1"/>
    <s v="UP SOLAR LA PENA 1"/>
    <n v="40"/>
    <s v="18W000000000RT2V"/>
    <x v="9"/>
    <s v="Venta"/>
    <s v="SZR"/>
    <s v="NEXU"/>
    <x v="0"/>
    <x v="187"/>
    <x v="9"/>
    <s v="SZR"/>
  </r>
  <r>
    <x v="1373"/>
    <s v="FLPENA2"/>
    <s v="UP SOLAR LA PENA 2"/>
    <n v="40"/>
    <s v="18W000000000RT3T"/>
    <x v="9"/>
    <s v="Venta"/>
    <s v="SZR"/>
    <s v="NEXU"/>
    <x v="0"/>
    <x v="187"/>
    <x v="9"/>
    <s v="SZR"/>
  </r>
  <r>
    <x v="1374"/>
    <s v="PICOS"/>
    <s v="LPICOS"/>
    <n v="16.8"/>
    <s v="18W000000000QPSW"/>
    <x v="9"/>
    <s v="Venta"/>
    <s v="SZR"/>
    <s v="GNRA"/>
    <x v="0"/>
    <x v="46"/>
    <x v="9"/>
    <s v="SZR"/>
  </r>
  <r>
    <x v="1375"/>
    <s v="FLSENIA"/>
    <s v="UP SOLAR LA SENIA"/>
    <n v="1.1000000000000001"/>
    <s v="18W000000000QMQ8"/>
    <x v="9"/>
    <s v="Venta"/>
    <s v="SZR"/>
    <s v="NEXU"/>
    <x v="0"/>
    <x v="187"/>
    <x v="9"/>
    <s v="SZR"/>
  </r>
  <r>
    <x v="1376"/>
    <s v="FLSOLAN"/>
    <s v="UP FLSOLAN"/>
    <n v="6"/>
    <s v="18W000000000L9L3"/>
    <x v="9"/>
    <s v="Venta"/>
    <s v="SZR"/>
    <s v="NEXU"/>
    <x v="0"/>
    <x v="187"/>
    <x v="9"/>
    <s v="SZR"/>
  </r>
  <r>
    <x v="1377"/>
    <s v="FLTORRE"/>
    <s v="FLATORRE"/>
    <n v="42"/>
    <s v="18W000000000P04B"/>
    <x v="9"/>
    <s v="Venta"/>
    <s v="SZR"/>
    <s v="GESTE"/>
    <x v="0"/>
    <x v="219"/>
    <x v="9"/>
    <s v="SZR"/>
  </r>
  <r>
    <x v="1378"/>
    <s v="FLUANDA"/>
    <s v="18W000000000MZWA"/>
    <n v="39.799999999999997"/>
    <s v="18W000000000MZWA"/>
    <x v="9"/>
    <s v="Venta"/>
    <s v="AXPO"/>
    <s v="EGLE"/>
    <x v="0"/>
    <x v="82"/>
    <x v="9"/>
    <s v="AXP"/>
  </r>
  <r>
    <x v="1379"/>
    <s v="FLUCA"/>
    <s v="FV LUCAINENA"/>
    <n v="33.1"/>
    <s v="18W000000000S5T8"/>
    <x v="9"/>
    <s v="Venta"/>
    <s v="EVM"/>
    <s v="CEG"/>
    <x v="0"/>
    <x v="124"/>
    <x v="9"/>
    <s v="EVM"/>
  </r>
  <r>
    <x v="1380"/>
    <s v="FMAGVE"/>
    <s v="UP SOLAR MAGASQUILLA"/>
    <n v="10"/>
    <s v="18W000000000JRZ3"/>
    <x v="9"/>
    <s v="Venta"/>
    <s v="SZR"/>
    <s v="NEXU"/>
    <x v="0"/>
    <x v="187"/>
    <x v="9"/>
    <s v="SZR"/>
  </r>
  <r>
    <x v="1381"/>
    <s v="PE_MAHORA"/>
    <s v="PARQUE FV MAHORA"/>
    <n v="15"/>
    <s v="18W000000000PXC7"/>
    <x v="9"/>
    <s v="Venta"/>
    <s v="SZR"/>
    <s v="EBLCO"/>
    <x v="0"/>
    <x v="158"/>
    <x v="9"/>
    <s v="SZR"/>
  </r>
  <r>
    <x v="1382"/>
    <s v="FMAMAQ"/>
    <s v="UP MAMA QUILLA SOLAR SL"/>
    <n v="10"/>
    <s v="18W000000000T2KV"/>
    <x v="9"/>
    <s v="Venta"/>
    <s v="SZR"/>
    <s v="EGLE"/>
    <x v="0"/>
    <x v="82"/>
    <x v="9"/>
    <s v="SZR"/>
  </r>
  <r>
    <x v="1383"/>
    <s v="FMANDLA"/>
    <s v="UP SOLAR MANDALA"/>
    <n v="1.7"/>
    <s v="18W000000000P28Y"/>
    <x v="9"/>
    <s v="Venta"/>
    <s v="SZR"/>
    <s v="NEXU"/>
    <x v="0"/>
    <x v="187"/>
    <x v="9"/>
    <s v="SZR"/>
  </r>
  <r>
    <x v="1384"/>
    <s v="FMANZAN"/>
    <s v="UP SOLAR MANZANARES"/>
    <n v="33"/>
    <s v="18W000000000OK1Z"/>
    <x v="9"/>
    <s v="Venta"/>
    <s v="NEXUS"/>
    <s v="NEXU"/>
    <x v="0"/>
    <x v="187"/>
    <x v="9"/>
    <s v="NEX"/>
  </r>
  <r>
    <x v="1385"/>
    <s v="FMANZQE"/>
    <s v="UP SOLAR MANZANEQUE"/>
    <n v="1.5"/>
    <s v="18W000000000SU3M"/>
    <x v="9"/>
    <s v="Venta"/>
    <s v="SZR"/>
    <s v="NEXU"/>
    <x v="0"/>
    <x v="187"/>
    <x v="9"/>
    <s v="SZR"/>
  </r>
  <r>
    <x v="1386"/>
    <s v="FMARQUE"/>
    <s v="FMARQUE"/>
    <n v="9.9"/>
    <s v="18W000000000HIAE"/>
    <x v="9"/>
    <s v="Venta"/>
    <s v="SZR"/>
    <s v="HISPE"/>
    <x v="0"/>
    <x v="43"/>
    <x v="9"/>
    <s v="SZR"/>
  </r>
  <r>
    <x v="1387"/>
    <s v="FMARTON"/>
    <s v="MARTON"/>
    <n v="10"/>
    <s v="18W000000000R8S5"/>
    <x v="9"/>
    <s v="Venta"/>
    <s v="WM1"/>
    <s v="WMARK"/>
    <x v="0"/>
    <x v="22"/>
    <x v="9"/>
    <s v="WM1"/>
  </r>
  <r>
    <x v="1388"/>
    <s v="FMATAS"/>
    <s v="UP SOLAR MATAS"/>
    <n v="2.2000000000000002"/>
    <s v="18W000000000P9HW"/>
    <x v="9"/>
    <s v="Venta"/>
    <s v="SZR"/>
    <s v="NEXU"/>
    <x v="0"/>
    <x v="187"/>
    <x v="9"/>
    <s v="SZR"/>
  </r>
  <r>
    <x v="1389"/>
    <s v="FMBAIDA"/>
    <s v="UP SOLAR MIRALBAIDA 15"/>
    <n v="1.5"/>
    <s v="18W000000000SYUU"/>
    <x v="9"/>
    <s v="Venta"/>
    <s v="SZR"/>
    <s v="NEXU"/>
    <x v="0"/>
    <x v="187"/>
    <x v="9"/>
    <s v="SZR"/>
  </r>
  <r>
    <x v="1390"/>
    <s v="FMBUENA"/>
    <s v="UP SOLAR MIRABUENA"/>
    <n v="5.7"/>
    <s v="18W000000000T72F"/>
    <x v="9"/>
    <s v="Venta"/>
    <s v="SZR"/>
    <s v="NEXU"/>
    <x v="0"/>
    <x v="187"/>
    <x v="9"/>
    <s v="SZR"/>
  </r>
  <r>
    <x v="1391"/>
    <s v="FMERI19"/>
    <s v="UF SOLAR MERIDA SOLAR 19"/>
    <n v="5"/>
    <s v="18W000000000RXS4"/>
    <x v="9"/>
    <s v="Venta"/>
    <s v="SZR"/>
    <s v="NEXU"/>
    <x v="0"/>
    <x v="187"/>
    <x v="9"/>
    <s v="SZR"/>
  </r>
  <r>
    <x v="1392"/>
    <s v="FOT 1MW"/>
    <s v="FOT MAYORES 1MW"/>
    <n v="52.1"/>
    <s v="18WFMFEN-12345-I"/>
    <x v="9"/>
    <s v="Venta"/>
    <s v="SZR"/>
    <s v="FEN"/>
    <x v="0"/>
    <x v="154"/>
    <x v="9"/>
    <s v="SZR"/>
  </r>
  <r>
    <x v="1393"/>
    <s v="FMILGRO"/>
    <s v="FMILGRO"/>
    <n v="7"/>
    <s v="18W000000000IPVL"/>
    <x v="9"/>
    <s v="Venta"/>
    <s v="SZR"/>
    <s v="GESTE"/>
    <x v="0"/>
    <x v="219"/>
    <x v="9"/>
    <s v="SZR"/>
  </r>
  <r>
    <x v="1394"/>
    <s v="FMIRAMU"/>
    <s v="UP FV MIRAMUNDO"/>
    <n v="45.8"/>
    <s v="18W000000000FT8U"/>
    <x v="9"/>
    <s v="Venta"/>
    <s v="NEXUS"/>
    <s v="NEXU"/>
    <x v="0"/>
    <x v="187"/>
    <x v="9"/>
    <s v="NEX"/>
  </r>
  <r>
    <x v="1395"/>
    <s v="FMISTRA"/>
    <s v="UP SOLAR LOS MISTRALES"/>
    <n v="3.3"/>
    <s v="18W000000000PR44"/>
    <x v="9"/>
    <s v="Venta"/>
    <s v="SZR"/>
    <s v="NEXU"/>
    <x v="0"/>
    <x v="187"/>
    <x v="9"/>
    <s v="SZR"/>
  </r>
  <r>
    <x v="1396"/>
    <s v="MNZS"/>
    <s v="MNZANRES"/>
    <n v="30"/>
    <s v="18W000000000QR32"/>
    <x v="9"/>
    <s v="Venta"/>
    <s v="SZR"/>
    <s v="GNRA"/>
    <x v="0"/>
    <x v="46"/>
    <x v="9"/>
    <s v="SZR"/>
  </r>
  <r>
    <x v="1397"/>
    <s v="FMOJADO"/>
    <s v="FMOJADO"/>
    <n v="4.5999999999999996"/>
    <s v="18W000000000SKLG"/>
    <x v="9"/>
    <s v="Venta"/>
    <s v="SZR"/>
    <s v="CEG"/>
    <x v="0"/>
    <x v="124"/>
    <x v="9"/>
    <s v="SZR"/>
  </r>
  <r>
    <x v="1398"/>
    <s v="FMOLINO"/>
    <s v="UP SOLAR CAÑADA MOLINO"/>
    <n v="1.4"/>
    <s v="18W000000000PK3R"/>
    <x v="9"/>
    <s v="Venta"/>
    <s v="SZR"/>
    <s v="NEXU"/>
    <x v="0"/>
    <x v="187"/>
    <x v="9"/>
    <s v="SZR"/>
  </r>
  <r>
    <x v="1399"/>
    <s v="FMONTESOL"/>
    <s v="UP FV MONTESOL"/>
    <n v="40"/>
    <s v="18W000000000IG6O"/>
    <x v="9"/>
    <s v="Venta"/>
    <s v="NEXUS"/>
    <s v="NEXU"/>
    <x v="0"/>
    <x v="187"/>
    <x v="9"/>
    <s v="NEX"/>
  </r>
  <r>
    <x v="1400"/>
    <s v="FMONTFV"/>
    <s v="UP FV MONTILLA FOTOVOLTAICA"/>
    <n v="7.1"/>
    <s v="18WFMONTFV-123-Y"/>
    <x v="9"/>
    <s v="Venta"/>
    <s v="SZR"/>
    <s v="NEXU"/>
    <x v="0"/>
    <x v="187"/>
    <x v="9"/>
    <s v="SZR"/>
  </r>
  <r>
    <x v="1401"/>
    <s v="FMORALA"/>
    <s v="FMORALA"/>
    <n v="5"/>
    <s v="18W000000000RFAK"/>
    <x v="9"/>
    <s v="Venta"/>
    <s v="SZR"/>
    <s v="CEG"/>
    <x v="0"/>
    <x v="124"/>
    <x v="9"/>
    <s v="SZR"/>
  </r>
  <r>
    <x v="1402"/>
    <s v="FMRPANI"/>
    <s v="UP SOLAR MARPANI"/>
    <n v="42.2"/>
    <s v="18W000000000QB4B"/>
    <x v="9"/>
    <s v="Venta"/>
    <s v="NEXUS"/>
    <s v="NEXU"/>
    <x v="0"/>
    <x v="187"/>
    <x v="9"/>
    <s v="NEX"/>
  </r>
  <r>
    <x v="1403"/>
    <s v="FMRTLLA"/>
    <s v="UP SOLAR MORATALLA"/>
    <n v="30"/>
    <s v="18W000000000S9DS"/>
    <x v="9"/>
    <s v="Venta"/>
    <s v="SZR"/>
    <s v="NEXU"/>
    <x v="0"/>
    <x v="187"/>
    <x v="9"/>
    <s v="SZR"/>
  </r>
  <r>
    <x v="1404"/>
    <s v="FMUDARA"/>
    <s v="FMUDARA"/>
    <n v="2"/>
    <s v="18W000000000R3RM"/>
    <x v="9"/>
    <s v="Venta"/>
    <s v="SZR"/>
    <s v="CEG"/>
    <x v="0"/>
    <x v="124"/>
    <x v="9"/>
    <s v="SZR"/>
  </r>
  <r>
    <x v="1405"/>
    <s v="FMUELLE"/>
    <s v="UP FV MUELLE"/>
    <n v="9"/>
    <s v="18W000000000I9FR"/>
    <x v="9"/>
    <s v="Venta"/>
    <s v="NEXUS"/>
    <s v="NEXU"/>
    <x v="0"/>
    <x v="187"/>
    <x v="9"/>
    <s v="NEX"/>
  </r>
  <r>
    <x v="1406"/>
    <s v="FMYRTE1"/>
    <s v="FMYRTE1"/>
    <n v="34.6"/>
    <s v="18W000000000TEX6"/>
    <x v="9"/>
    <s v="Venta"/>
    <s v="SZR"/>
    <s v="CEG"/>
    <x v="0"/>
    <x v="124"/>
    <x v="9"/>
    <s v="SZR"/>
  </r>
  <r>
    <x v="1407"/>
    <s v="FNARGS"/>
    <s v="18W000000000MZZ4"/>
    <n v="39.799999999999997"/>
    <s v="18W000000000MZZ4"/>
    <x v="9"/>
    <s v="Venta"/>
    <s v="AXPO"/>
    <s v="EGLE"/>
    <x v="0"/>
    <x v="82"/>
    <x v="9"/>
    <s v="AXP"/>
  </r>
  <r>
    <x v="1408"/>
    <s v="FNAVA1"/>
    <s v="FNAVA1"/>
    <n v="38"/>
    <s v="18W000000000TDQN"/>
    <x v="9"/>
    <s v="Venta"/>
    <s v="SZR"/>
    <s v="CEG"/>
    <x v="0"/>
    <x v="124"/>
    <x v="9"/>
    <s v="SZR"/>
  </r>
  <r>
    <x v="1409"/>
    <s v="FNAVA2"/>
    <s v="FNAVA2"/>
    <n v="7"/>
    <s v="18W000000000TB7U"/>
    <x v="9"/>
    <s v="Venta"/>
    <s v="SZR"/>
    <s v="CEG"/>
    <x v="0"/>
    <x v="124"/>
    <x v="9"/>
    <s v="SZR"/>
  </r>
  <r>
    <x v="1410"/>
    <s v="NAVALMORAL"/>
    <s v="PARQUE FV NAVALMORALES"/>
    <n v="6.6"/>
    <s v="18W000000000PX9D"/>
    <x v="9"/>
    <s v="Venta"/>
    <s v="SZR"/>
    <s v="EBLCO"/>
    <x v="0"/>
    <x v="158"/>
    <x v="9"/>
    <s v="SZR"/>
  </r>
  <r>
    <x v="1411"/>
    <s v="FNAVARR"/>
    <s v="FNAVARRA"/>
    <n v="1"/>
    <s v="18W000000000B7N8"/>
    <x v="9"/>
    <s v="Venta"/>
    <s v="SZR"/>
    <s v="GESTE"/>
    <x v="0"/>
    <x v="219"/>
    <x v="9"/>
    <s v="SZR"/>
  </r>
  <r>
    <x v="1412"/>
    <s v="FNAVID"/>
    <s v="18W000000000MZY6"/>
    <n v="39.799999999999997"/>
    <s v="18W000000000MZY6"/>
    <x v="9"/>
    <s v="Venta"/>
    <s v="AXPO"/>
    <s v="EGLE"/>
    <x v="0"/>
    <x v="82"/>
    <x v="9"/>
    <s v="AXP"/>
  </r>
  <r>
    <x v="1413"/>
    <s v="FNEFTI"/>
    <s v="18W000000000MZX8"/>
    <n v="39.799999999999997"/>
    <s v="18W000000000MZX8"/>
    <x v="9"/>
    <s v="Venta"/>
    <s v="AXC"/>
    <s v="EGLE"/>
    <x v="0"/>
    <x v="82"/>
    <x v="9"/>
    <s v="AXC"/>
  </r>
  <r>
    <x v="1414"/>
    <s v="FNEOSOL"/>
    <s v="FNEOSOL"/>
    <n v="9"/>
    <s v="18W000000000TEOO"/>
    <x v="9"/>
    <s v="Venta"/>
    <s v="SZR"/>
    <s v="CEG"/>
    <x v="0"/>
    <x v="124"/>
    <x v="9"/>
    <s v="SZR"/>
  </r>
  <r>
    <x v="1415"/>
    <s v="FNOBLEJ"/>
    <s v="UP SOLAR NOBLEJAS"/>
    <n v="4"/>
    <s v="18W000000000R9P8"/>
    <x v="9"/>
    <s v="Venta"/>
    <s v="SZR"/>
    <s v="NEXU"/>
    <x v="0"/>
    <x v="187"/>
    <x v="9"/>
    <s v="SZR"/>
  </r>
  <r>
    <x v="1416"/>
    <s v="FNOCTI6"/>
    <s v="UP SOLAR SOLNOCTIS 6"/>
    <n v="1.6"/>
    <s v="18W000000000S6XY"/>
    <x v="9"/>
    <s v="Venta"/>
    <s v="SZR"/>
    <s v="NEXU"/>
    <x v="0"/>
    <x v="187"/>
    <x v="9"/>
    <s v="SZR"/>
  </r>
  <r>
    <x v="1417"/>
    <s v="FNOVELD"/>
    <s v="UP SOLAR NOVELDA"/>
    <n v="0.9"/>
    <s v="18W000000000S1NW"/>
    <x v="9"/>
    <s v="Venta"/>
    <s v="SZR"/>
    <s v="NEXU"/>
    <x v="0"/>
    <x v="187"/>
    <x v="9"/>
    <s v="SZR"/>
  </r>
  <r>
    <x v="1418"/>
    <s v="FONTIVEROS"/>
    <s v="UP SOLAR FONTIVEROS"/>
    <n v="6.9"/>
    <s v="18W000000000M03P"/>
    <x v="9"/>
    <s v="Venta"/>
    <s v="SZR"/>
    <s v="NEXU"/>
    <x v="0"/>
    <x v="187"/>
    <x v="9"/>
    <s v="SZR"/>
  </r>
  <r>
    <x v="1419"/>
    <s v="FNUMAN"/>
    <s v="FNUMAN"/>
    <n v="21.5"/>
    <s v="18W000000000T1WA"/>
    <x v="9"/>
    <s v="Venta"/>
    <s v="SZR"/>
    <s v="CEG"/>
    <x v="0"/>
    <x v="124"/>
    <x v="9"/>
    <s v="SZR"/>
  </r>
  <r>
    <x v="1420"/>
    <s v="FNVELOS"/>
    <s v="UP SOLAR NAVELOS"/>
    <n v="15.5"/>
    <s v="18W000000000SR8L"/>
    <x v="9"/>
    <s v="Venta"/>
    <s v="SZR"/>
    <s v="NEXU"/>
    <x v="0"/>
    <x v="187"/>
    <x v="9"/>
    <s v="SZR"/>
  </r>
  <r>
    <x v="1421"/>
    <s v="FOBAGLS"/>
    <s v="UP SOLAR OBAGOLS"/>
    <n v="1"/>
    <s v="18W000000000S7NE"/>
    <x v="9"/>
    <s v="Venta"/>
    <s v="SZR"/>
    <s v="NEXU"/>
    <x v="0"/>
    <x v="187"/>
    <x v="9"/>
    <s v="SZR"/>
  </r>
  <r>
    <x v="1422"/>
    <s v="FOBISPO"/>
    <s v="UP SOLAR LOSA DEL OBISPO"/>
    <n v="2.9"/>
    <s v="18W000000000R9KI"/>
    <x v="9"/>
    <s v="Venta"/>
    <s v="SZR"/>
    <s v="NEXU"/>
    <x v="0"/>
    <x v="187"/>
    <x v="9"/>
    <s v="SZR"/>
  </r>
  <r>
    <x v="1423"/>
    <s v="FOGAC"/>
    <s v="GAC FOTOV MAYOR 1MW"/>
    <n v="1.7"/>
    <s v="18W000000000P3VM"/>
    <x v="9"/>
    <s v="Venta"/>
    <s v="SZR"/>
    <s v="GAC"/>
    <x v="0"/>
    <x v="295"/>
    <x v="9"/>
    <s v="SZR"/>
  </r>
  <r>
    <x v="1424"/>
    <s v="FOITURA"/>
    <s v="UP SOLAR OITURA"/>
    <n v="5"/>
    <s v="18W000000000SIFY"/>
    <x v="9"/>
    <s v="Venta"/>
    <s v="SZR"/>
    <s v="NEXU"/>
    <x v="0"/>
    <x v="187"/>
    <x v="9"/>
    <s v="SZR"/>
  </r>
  <r>
    <x v="1425"/>
    <s v="FOLIVA"/>
    <s v="UP SOLAR OLIVA"/>
    <n v="50"/>
    <s v="18W000000000SR9J"/>
    <x v="9"/>
    <s v="Venta"/>
    <s v="SZR"/>
    <s v="NEXU"/>
    <x v="0"/>
    <x v="187"/>
    <x v="9"/>
    <s v="SZR"/>
  </r>
  <r>
    <x v="1426"/>
    <s v="FOLIVR2"/>
    <s v="UP SOLAR OLVARES2"/>
    <n v="1.8"/>
    <s v="18W000000000QHDC"/>
    <x v="9"/>
    <s v="Venta"/>
    <s v="SZR"/>
    <s v="NEXU"/>
    <x v="0"/>
    <x v="187"/>
    <x v="9"/>
    <s v="SZR"/>
  </r>
  <r>
    <x v="1427"/>
    <s v="FOLIVR3"/>
    <s v="UP SOLAR OLIVARES3"/>
    <n v="1.8"/>
    <s v="18W000000000QHF8"/>
    <x v="9"/>
    <s v="Venta"/>
    <s v="SZR"/>
    <s v="NEXU"/>
    <x v="0"/>
    <x v="187"/>
    <x v="9"/>
    <s v="SZR"/>
  </r>
  <r>
    <x v="1428"/>
    <s v="FOLIVR4"/>
    <s v="UP SOLAR FOLIVR4"/>
    <n v="1.8"/>
    <s v="18W000000000QHH4"/>
    <x v="9"/>
    <s v="Venta"/>
    <s v="SZR"/>
    <s v="NEXU"/>
    <x v="0"/>
    <x v="187"/>
    <x v="9"/>
    <s v="SZR"/>
  </r>
  <r>
    <x v="1429"/>
    <s v="FOLIVRS"/>
    <s v="UP SOLAR OLIVARES"/>
    <n v="1.8"/>
    <s v="18W000000000QFHA"/>
    <x v="9"/>
    <s v="Venta"/>
    <s v="SZR"/>
    <s v="NEXU"/>
    <x v="0"/>
    <x v="187"/>
    <x v="9"/>
    <s v="SZR"/>
  </r>
  <r>
    <x v="1430"/>
    <s v="FOLMALC"/>
    <s v="UP SOLAR OMALC"/>
    <n v="4.5999999999999996"/>
    <s v="18W000000000P2GI"/>
    <x v="9"/>
    <s v="Venta"/>
    <s v="SZR"/>
    <s v="NEXU"/>
    <x v="0"/>
    <x v="187"/>
    <x v="9"/>
    <s v="SZR"/>
  </r>
  <r>
    <x v="1431"/>
    <s v="FOLMEDA"/>
    <s v="UP SOLAR OLMEDA"/>
    <n v="6"/>
    <s v="18W000000000LEV5"/>
    <x v="9"/>
    <s v="Venta"/>
    <s v="SZR"/>
    <s v="NEXU"/>
    <x v="0"/>
    <x v="187"/>
    <x v="9"/>
    <s v="SZR"/>
  </r>
  <r>
    <x v="1432"/>
    <s v="FOLMFW"/>
    <s v="OLMEDILLA1"/>
    <n v="10"/>
    <s v="18WFOLMFW-1234-L"/>
    <x v="9"/>
    <s v="Venta"/>
    <s v="SZR"/>
    <s v="GNRA"/>
    <x v="0"/>
    <x v="46"/>
    <x v="9"/>
    <s v="SZR"/>
  </r>
  <r>
    <x v="1433"/>
    <s v="FOLVNZ"/>
    <s v="UF OLIVENZA"/>
    <n v="5.3"/>
    <s v="18W000000000L9J7"/>
    <x v="9"/>
    <s v="Venta"/>
    <s v="SZR"/>
    <s v="NEXU"/>
    <x v="0"/>
    <x v="187"/>
    <x v="9"/>
    <s v="SZR"/>
  </r>
  <r>
    <x v="1434"/>
    <s v="FOLVNZ1"/>
    <s v="UP SOLAR OLIVENZA1"/>
    <n v="5"/>
    <s v="18W000000000QKE1"/>
    <x v="9"/>
    <s v="Venta"/>
    <s v="SZR"/>
    <s v="NEXU"/>
    <x v="0"/>
    <x v="187"/>
    <x v="9"/>
    <s v="SZR"/>
  </r>
  <r>
    <x v="1435"/>
    <s v="FOLVNZ2"/>
    <s v="UP SOLAR OLIVENZA2"/>
    <n v="4.7"/>
    <s v="18W000000000QKGY"/>
    <x v="9"/>
    <s v="Venta"/>
    <s v="SZR"/>
    <s v="NEXU"/>
    <x v="0"/>
    <x v="187"/>
    <x v="9"/>
    <s v="SZR"/>
  </r>
  <r>
    <x v="1436"/>
    <s v="NDAB"/>
    <s v="ONDAB"/>
    <n v="1.1000000000000001"/>
    <s v="18W000000000JLLC"/>
    <x v="9"/>
    <s v="Venta"/>
    <s v="SZR"/>
    <s v="GESTE"/>
    <x v="0"/>
    <x v="219"/>
    <x v="9"/>
    <s v="SZR"/>
  </r>
  <r>
    <x v="1437"/>
    <s v="FOPPI"/>
    <s v="FV-OPPIDUM"/>
    <n v="0"/>
    <s v="18WFOPPI-12345-4"/>
    <x v="9"/>
    <s v="Venta"/>
    <s v="SZR"/>
    <s v="OPPI"/>
    <x v="0"/>
    <x v="306"/>
    <x v="9"/>
    <s v="SZR"/>
  </r>
  <r>
    <x v="1438"/>
    <s v="FORTC01"/>
    <s v="ENERGIA PARA GRANDES CONSUMIDORES INDUSTRIALES (FORTIA)"/>
    <n v="2500"/>
    <s v="18WFORTC01-123-U"/>
    <x v="2"/>
    <s v="Compra"/>
    <s v="SZR"/>
    <s v="FORTI"/>
    <x v="1"/>
    <x v="307"/>
    <x v="2"/>
    <s v="SZR"/>
  </r>
  <r>
    <x v="1439"/>
    <s v="FORTR01"/>
    <s v="RESPUESTA ACTIVA GRANDES CONSUMIDORES"/>
    <n v="45"/>
    <s v="18W000000000ONYY"/>
    <x v="2"/>
    <s v="Compra"/>
    <s v="SZR"/>
    <s v="FORTI"/>
    <x v="1"/>
    <x v="307"/>
    <x v="2"/>
    <s v="SZR"/>
  </r>
  <r>
    <x v="1440"/>
    <s v="FOXC01"/>
    <s v="FOX ENERGIA"/>
    <n v="0.2"/>
    <s v="18WFOXC01-1234-2"/>
    <x v="2"/>
    <s v="Compra"/>
    <s v="SZR"/>
    <s v="FOX"/>
    <x v="1"/>
    <x v="308"/>
    <x v="2"/>
    <s v="SZR"/>
  </r>
  <r>
    <x v="1441"/>
    <s v="FPALMRA"/>
    <s v="UP SOLAR PALOMERA"/>
    <n v="3"/>
    <s v="18W000000000TNYE"/>
    <x v="9"/>
    <s v="Venta"/>
    <s v="SZR"/>
    <s v="NEXU"/>
    <x v="0"/>
    <x v="187"/>
    <x v="9"/>
    <s v="SZR"/>
  </r>
  <r>
    <x v="1442"/>
    <s v="FPALO"/>
    <s v="FPALO"/>
    <n v="10"/>
    <s v="18W000000000SVXX"/>
    <x v="9"/>
    <s v="Venta"/>
    <s v="SZR"/>
    <s v="CEG"/>
    <x v="0"/>
    <x v="124"/>
    <x v="9"/>
    <s v="SZR"/>
  </r>
  <r>
    <x v="1443"/>
    <s v="PARADAS"/>
    <s v="PARQUE FV PARADAS"/>
    <n v="3"/>
    <s v="18W000000000PXB9"/>
    <x v="9"/>
    <s v="Venta"/>
    <s v="SZR"/>
    <s v="EBLCO"/>
    <x v="0"/>
    <x v="158"/>
    <x v="9"/>
    <s v="SZR"/>
  </r>
  <r>
    <x v="1444"/>
    <s v="FPARCAS"/>
    <s v="UP FV PARCAS"/>
    <n v="33.1"/>
    <s v="18W000000000G2BR"/>
    <x v="9"/>
    <s v="Venta"/>
    <s v="NEXUS"/>
    <s v="NEXU"/>
    <x v="0"/>
    <x v="187"/>
    <x v="9"/>
    <s v="NEX"/>
  </r>
  <r>
    <x v="1445"/>
    <s v="FPARED3"/>
    <s v="UP SOLAR PARED 3"/>
    <n v="42"/>
    <s v="18W000000000SYO5"/>
    <x v="9"/>
    <s v="Venta"/>
    <s v="SZR"/>
    <s v="NEXU"/>
    <x v="0"/>
    <x v="187"/>
    <x v="9"/>
    <s v="SZR"/>
  </r>
  <r>
    <x v="1446"/>
    <s v="FPARED4"/>
    <s v="UP SOLAR PARED 4"/>
    <n v="42"/>
    <s v="18W000000000SYN7"/>
    <x v="9"/>
    <s v="Venta"/>
    <s v="SZR"/>
    <s v="NEXU"/>
    <x v="0"/>
    <x v="187"/>
    <x v="9"/>
    <s v="SZR"/>
  </r>
  <r>
    <x v="1447"/>
    <s v="FPARED5"/>
    <s v="UP SOLAR PARED 5"/>
    <n v="42"/>
    <s v="18W000000000SYQ1"/>
    <x v="9"/>
    <s v="Venta"/>
    <s v="SZR"/>
    <s v="NEXU"/>
    <x v="0"/>
    <x v="187"/>
    <x v="9"/>
    <s v="SZR"/>
  </r>
  <r>
    <x v="1448"/>
    <s v="FPARED6"/>
    <s v="UP SOLAR PARED 6"/>
    <n v="42"/>
    <s v="18W000000000SYM9"/>
    <x v="9"/>
    <s v="Venta"/>
    <s v="SZR"/>
    <s v="NEXU"/>
    <x v="0"/>
    <x v="187"/>
    <x v="9"/>
    <s v="SZR"/>
  </r>
  <r>
    <x v="1449"/>
    <s v="FPARED7"/>
    <s v="UP SOLAR PARED 7"/>
    <n v="42"/>
    <s v="18W000000000SYP3"/>
    <x v="9"/>
    <s v="Venta"/>
    <s v="SZR"/>
    <s v="NEXU"/>
    <x v="0"/>
    <x v="187"/>
    <x v="9"/>
    <s v="SZR"/>
  </r>
  <r>
    <x v="1450"/>
    <s v="FPCSTRO"/>
    <s v="UP SOLAR PUEBLA DE CASTRO"/>
    <n v="1.2"/>
    <s v="18W000000000RT4R"/>
    <x v="9"/>
    <s v="Venta"/>
    <s v="SZR"/>
    <s v="NEXU"/>
    <x v="0"/>
    <x v="187"/>
    <x v="9"/>
    <s v="SZR"/>
  </r>
  <r>
    <x v="1451"/>
    <s v="FPEDROL"/>
    <s v="UP SOLAR PEDROLA"/>
    <n v="3.7"/>
    <s v="18W000000000T0J2"/>
    <x v="9"/>
    <s v="Venta"/>
    <s v="SZR"/>
    <s v="NEXU"/>
    <x v="0"/>
    <x v="187"/>
    <x v="9"/>
    <s v="SZR"/>
  </r>
  <r>
    <x v="1452"/>
    <s v="FPEEXXI"/>
    <s v="ENDESA CUR ( FOTOVOLTAICA, PRUEBAS)"/>
    <n v="2.6"/>
    <s v="18WFPEEXXI-123-Z"/>
    <x v="9"/>
    <s v="Venta"/>
    <s v="SZR"/>
    <s v="EEXXI"/>
    <x v="0"/>
    <x v="72"/>
    <x v="9"/>
    <s v="SZR"/>
  </r>
  <r>
    <x v="1453"/>
    <s v="FPELEAS"/>
    <s v="UP SOLAR PELEAS 14"/>
    <n v="5"/>
    <s v="18W000000000RXPA"/>
    <x v="9"/>
    <s v="Venta"/>
    <s v="SZR"/>
    <s v="NEXU"/>
    <x v="0"/>
    <x v="187"/>
    <x v="9"/>
    <s v="SZR"/>
  </r>
  <r>
    <x v="1454"/>
    <s v="FPENAZA"/>
    <s v="UP SOLAR LA PEÑAZA"/>
    <n v="10"/>
    <s v="18W000000000RPIB"/>
    <x v="9"/>
    <s v="Venta"/>
    <s v="NEXUS"/>
    <s v="NEXU"/>
    <x v="0"/>
    <x v="187"/>
    <x v="9"/>
    <s v="NEX"/>
  </r>
  <r>
    <x v="1455"/>
    <s v="FPEONUR"/>
    <s v="E.ON CUR ( FOTOVOLTAICA, PRUEBAS)"/>
    <n v="0.1"/>
    <s v="18WFPEONUR-123-N"/>
    <x v="9"/>
    <s v="Venta"/>
    <s v="SZR"/>
    <s v="EONUR"/>
    <x v="0"/>
    <x v="270"/>
    <x v="9"/>
    <s v="SZR"/>
  </r>
  <r>
    <x v="1456"/>
    <s v="FPEROGO"/>
    <s v="UP FV PEROGORDO"/>
    <n v="38.700000000000003"/>
    <s v="18W000000000G2GH"/>
    <x v="9"/>
    <s v="Venta"/>
    <s v="NEXUS"/>
    <s v="NEXU"/>
    <x v="0"/>
    <x v="187"/>
    <x v="9"/>
    <s v="NEX"/>
  </r>
  <r>
    <x v="1457"/>
    <s v="FPFAGUS"/>
    <s v="UP SOLAR FAGUS"/>
    <n v="1.4"/>
    <s v="18W000000000SURB"/>
    <x v="9"/>
    <s v="Venta"/>
    <s v="SZR"/>
    <s v="NEXU"/>
    <x v="0"/>
    <x v="187"/>
    <x v="9"/>
    <s v="SZR"/>
  </r>
  <r>
    <x v="1458"/>
    <s v="FPFLOR"/>
    <s v="FOTOVOLTAICA PEÑAFLOR"/>
    <n v="100"/>
    <s v="18W000000000TCRO"/>
    <x v="9"/>
    <s v="Venta"/>
    <s v="SZR"/>
    <s v="HC G"/>
    <x v="0"/>
    <x v="3"/>
    <x v="9"/>
    <s v="SZR"/>
  </r>
  <r>
    <x v="1459"/>
    <s v="FPGAC"/>
    <s v="FPGAC"/>
    <n v="1.7"/>
    <s v="18W000000000S7R6"/>
    <x v="9"/>
    <s v="Venta"/>
    <s v="SZR"/>
    <s v="GAC"/>
    <x v="0"/>
    <x v="295"/>
    <x v="9"/>
    <s v="SZR"/>
  </r>
  <r>
    <x v="1460"/>
    <s v="FPHCCUR"/>
    <s v="HIDROCANTABRICO CUR ( FOTOVOLTAICA, PRUEBAS"/>
    <n v="0"/>
    <s v="18WFPHCCUR-123-O"/>
    <x v="9"/>
    <s v="Venta"/>
    <s v="SZR"/>
    <s v="HCCUR"/>
    <x v="0"/>
    <x v="273"/>
    <x v="9"/>
    <s v="SZR"/>
  </r>
  <r>
    <x v="1461"/>
    <s v="FPHLIPS"/>
    <s v="UP SOLAR FPHLIPS"/>
    <n v="1.2"/>
    <s v="18W000000000SZP0"/>
    <x v="9"/>
    <s v="Venta"/>
    <s v="SZR"/>
    <s v="NEXU"/>
    <x v="0"/>
    <x v="187"/>
    <x v="9"/>
    <s v="SZR"/>
  </r>
  <r>
    <x v="1462"/>
    <s v="FPIBCUR"/>
    <s v="IBERDROLA CUR ( FOTOVOLTAICA, PRUEBAS)"/>
    <n v="19.2"/>
    <s v="18WFPIBCUR-123-N"/>
    <x v="9"/>
    <s v="Venta"/>
    <s v="SZR"/>
    <s v="IBCUR"/>
    <x v="0"/>
    <x v="7"/>
    <x v="9"/>
    <s v="SZR"/>
  </r>
  <r>
    <x v="1463"/>
    <s v="FPINILA"/>
    <s v="UP SOLAR PINILLA"/>
    <n v="43.8"/>
    <s v="18W000000000HG6S"/>
    <x v="9"/>
    <s v="Venta"/>
    <s v="NEXUS"/>
    <s v="NEXU"/>
    <x v="0"/>
    <x v="187"/>
    <x v="9"/>
    <s v="NEX"/>
  </r>
  <r>
    <x v="1464"/>
    <s v="FPITIEG"/>
    <s v="UP SOLAR PITIEGUA"/>
    <n v="3.8"/>
    <s v="18W000000000R9OA"/>
    <x v="9"/>
    <s v="Venta"/>
    <s v="SZR"/>
    <s v="NEXU"/>
    <x v="0"/>
    <x v="187"/>
    <x v="9"/>
    <s v="SZR"/>
  </r>
  <r>
    <x v="1465"/>
    <s v="FPIZAII"/>
    <s v="PSF LA PIZARRA II"/>
    <n v="4.9000000000000004"/>
    <s v="18W000000000SC08"/>
    <x v="9"/>
    <s v="Venta"/>
    <s v="SZR"/>
    <s v="WMARK"/>
    <x v="0"/>
    <x v="22"/>
    <x v="9"/>
    <s v="SZR"/>
  </r>
  <r>
    <x v="1466"/>
    <s v="FPJRTOS"/>
    <s v="UP SOLAR PAJARITOS"/>
    <n v="2.4"/>
    <s v="18W000000000PVE9"/>
    <x v="9"/>
    <s v="Venta"/>
    <s v="SZR"/>
    <s v="NEXU"/>
    <x v="0"/>
    <x v="187"/>
    <x v="9"/>
    <s v="SZR"/>
  </r>
  <r>
    <x v="1467"/>
    <s v="PLASENS1"/>
    <s v="PLASENS1"/>
    <n v="10"/>
    <s v="18W000000000MFA3"/>
    <x v="9"/>
    <s v="Venta"/>
    <s v="SZR"/>
    <s v="NEXU"/>
    <x v="0"/>
    <x v="187"/>
    <x v="9"/>
    <s v="SZR"/>
  </r>
  <r>
    <x v="1468"/>
    <s v="FPLAZA"/>
    <s v="UP SOLAR PLAZA"/>
    <n v="1.5"/>
    <s v="18W000000000QJOL"/>
    <x v="9"/>
    <s v="Venta"/>
    <s v="SZR"/>
    <s v="NEXU"/>
    <x v="0"/>
    <x v="187"/>
    <x v="9"/>
    <s v="SZR"/>
  </r>
  <r>
    <x v="1469"/>
    <s v="FPMLCND"/>
    <s v="UP SOLAR PALMA CONDADO"/>
    <n v="5"/>
    <s v="18W000000000SO33"/>
    <x v="9"/>
    <s v="Venta"/>
    <s v="SZR"/>
    <s v="NEXU"/>
    <x v="0"/>
    <x v="187"/>
    <x v="9"/>
    <s v="SZR"/>
  </r>
  <r>
    <x v="1470"/>
    <s v="FPLUNA1"/>
    <s v="FV PRADO DE LUNA 1"/>
    <n v="4.5999999999999996"/>
    <s v="18W000000000OQYP"/>
    <x v="9"/>
    <s v="Venta"/>
    <s v="SZR"/>
    <s v="CEG"/>
    <x v="0"/>
    <x v="124"/>
    <x v="9"/>
    <s v="SZR"/>
  </r>
  <r>
    <x v="1471"/>
    <s v="FPLUNA2"/>
    <s v="FV PRADOS DE LUNA 2"/>
    <n v="4.5999999999999996"/>
    <s v="18W000000000OQZN"/>
    <x v="9"/>
    <s v="Venta"/>
    <s v="SZR"/>
    <s v="CEG"/>
    <x v="0"/>
    <x v="124"/>
    <x v="9"/>
    <s v="SZR"/>
  </r>
  <r>
    <x v="1472"/>
    <s v="FPLUNA3"/>
    <s v="FV PRADO DE LUNA 3"/>
    <n v="4.5999999999999996"/>
    <s v="18W000000000OR0G"/>
    <x v="9"/>
    <s v="Venta"/>
    <s v="SZR"/>
    <s v="CEG"/>
    <x v="0"/>
    <x v="124"/>
    <x v="9"/>
    <s v="SZR"/>
  </r>
  <r>
    <x v="1473"/>
    <s v="FPOCICO"/>
    <s v="UP POCICO SALAO"/>
    <n v="4.4000000000000004"/>
    <s v="18W000000000M01T"/>
    <x v="9"/>
    <s v="Venta"/>
    <s v="SZR"/>
    <s v="NEXU"/>
    <x v="0"/>
    <x v="187"/>
    <x v="9"/>
    <s v="SZR"/>
  </r>
  <r>
    <x v="1474"/>
    <s v="FPOLLOS"/>
    <s v="UP SOLAR POLLOS"/>
    <n v="8.1"/>
    <s v="18W000000000RTAF"/>
    <x v="9"/>
    <s v="Venta"/>
    <s v="SZR"/>
    <s v="NEXU"/>
    <x v="0"/>
    <x v="187"/>
    <x v="9"/>
    <s v="SZR"/>
  </r>
  <r>
    <x v="1475"/>
    <s v="FPPIEDR"/>
    <s v="UP PUENTE DE PIEDRA"/>
    <n v="2.2000000000000002"/>
    <s v="18W000000000M807"/>
    <x v="9"/>
    <s v="Venta"/>
    <s v="SZR"/>
    <s v="NEXU"/>
    <x v="0"/>
    <x v="187"/>
    <x v="9"/>
    <s v="SZR"/>
  </r>
  <r>
    <x v="1476"/>
    <s v="FPRQUE1"/>
    <s v="UP SOLAR PARQUE1"/>
    <n v="9"/>
    <s v="18W000000000TAWK"/>
    <x v="9"/>
    <s v="Venta"/>
    <s v="SZR"/>
    <s v="NEXU"/>
    <x v="0"/>
    <x v="187"/>
    <x v="9"/>
    <s v="SZR"/>
  </r>
  <r>
    <x v="1477"/>
    <s v="FPRQUE2"/>
    <s v="UP SOLAR PARQUE2"/>
    <n v="8"/>
    <s v="18W000000000SW78"/>
    <x v="9"/>
    <s v="Venta"/>
    <s v="SZR"/>
    <s v="NEXU"/>
    <x v="0"/>
    <x v="187"/>
    <x v="9"/>
    <s v="SZR"/>
  </r>
  <r>
    <x v="1478"/>
    <s v="FPRUELA"/>
    <s v="UP SOLAR PALLERUELA"/>
    <n v="9"/>
    <s v="18W000000000T71H"/>
    <x v="9"/>
    <s v="Venta"/>
    <s v="SZR"/>
    <s v="NEXU"/>
    <x v="0"/>
    <x v="187"/>
    <x v="9"/>
    <s v="SZR"/>
  </r>
  <r>
    <x v="1479"/>
    <s v="FPSFAGA"/>
    <s v="PSF AGATHA"/>
    <n v="40.799999999999997"/>
    <s v="18W000000000SBWL"/>
    <x v="9"/>
    <s v="Venta"/>
    <s v="SZR"/>
    <s v="WMARK"/>
    <x v="0"/>
    <x v="22"/>
    <x v="9"/>
    <s v="SZR"/>
  </r>
  <r>
    <x v="1480"/>
    <s v="FPSFART"/>
    <s v="PSF ARTEMISA"/>
    <n v="40.799999999999997"/>
    <s v="18W000000000SBXJ"/>
    <x v="9"/>
    <s v="Venta"/>
    <s v="SZR"/>
    <s v="WMARK"/>
    <x v="0"/>
    <x v="22"/>
    <x v="9"/>
    <s v="SZR"/>
  </r>
  <r>
    <x v="1481"/>
    <s v="FPSFESM"/>
    <s v="PSF ESMERALDA"/>
    <n v="40.799999999999997"/>
    <s v="18W000000000SBYH"/>
    <x v="9"/>
    <s v="Venta"/>
    <s v="SZR"/>
    <s v="WMARK"/>
    <x v="0"/>
    <x v="22"/>
    <x v="9"/>
    <s v="SZR"/>
  </r>
  <r>
    <x v="1482"/>
    <s v="FPSFGES"/>
    <s v="PSF GESTENIA"/>
    <n v="40.799999999999997"/>
    <s v="18W000000000SBTR"/>
    <x v="9"/>
    <s v="Venta"/>
    <s v="SZR"/>
    <s v="WMARK"/>
    <x v="0"/>
    <x v="22"/>
    <x v="9"/>
    <s v="SZR"/>
  </r>
  <r>
    <x v="1483"/>
    <s v="FPSFHER"/>
    <s v="PSF HERACLES"/>
    <n v="40.799999999999997"/>
    <s v="18W000000000SBZF"/>
    <x v="9"/>
    <s v="Venta"/>
    <s v="SZR"/>
    <s v="WMARK"/>
    <x v="0"/>
    <x v="22"/>
    <x v="9"/>
    <s v="SZR"/>
  </r>
  <r>
    <x v="1484"/>
    <s v="FPSFJAD"/>
    <s v="PSF JADE"/>
    <n v="40.799999999999997"/>
    <s v="18W000000000SBVN"/>
    <x v="9"/>
    <s v="Venta"/>
    <s v="SZR"/>
    <s v="WMARK"/>
    <x v="0"/>
    <x v="22"/>
    <x v="9"/>
    <s v="SZR"/>
  </r>
  <r>
    <x v="1485"/>
    <s v="SAX"/>
    <s v="PARQUESAX"/>
    <n v="3"/>
    <s v="18W000000000RKNG"/>
    <x v="9"/>
    <s v="Venta"/>
    <s v="SZR"/>
    <s v="GESTE"/>
    <x v="0"/>
    <x v="219"/>
    <x v="9"/>
    <s v="SZR"/>
  </r>
  <r>
    <x v="1486"/>
    <s v="FPSFSES"/>
    <s v="PSF SENEN"/>
    <n v="40.799999999999997"/>
    <s v="18W000000000SBUP"/>
    <x v="9"/>
    <s v="Venta"/>
    <s v="SZR"/>
    <s v="WMARK"/>
    <x v="0"/>
    <x v="22"/>
    <x v="9"/>
    <s v="SZR"/>
  </r>
  <r>
    <x v="1487"/>
    <s v="FPSJESO"/>
    <s v="UP FOTOVOLTAICA PASAJESOL"/>
    <n v="10"/>
    <s v="18W000000000K0WC"/>
    <x v="9"/>
    <s v="Venta"/>
    <s v="SZR"/>
    <s v="NEXU"/>
    <x v="0"/>
    <x v="187"/>
    <x v="9"/>
    <s v="SZR"/>
  </r>
  <r>
    <x v="1488"/>
    <s v="PSOL"/>
    <s v="FV PUERTA DEL SOL"/>
    <n v="44"/>
    <s v="18W000000000PYPF"/>
    <x v="9"/>
    <s v="Venta"/>
    <s v="SZR"/>
    <s v="HISPE"/>
    <x v="0"/>
    <x v="43"/>
    <x v="9"/>
    <s v="SZR"/>
  </r>
  <r>
    <x v="1489"/>
    <s v="FPTREAL"/>
    <s v="FV PUERTO REAL"/>
    <n v="44"/>
    <s v="18W000000000OOXX"/>
    <x v="9"/>
    <s v="Venta"/>
    <s v="SZR"/>
    <s v="CEG"/>
    <x v="0"/>
    <x v="124"/>
    <x v="9"/>
    <s v="SZR"/>
  </r>
  <r>
    <x v="1490"/>
    <s v="LAS PUCELA"/>
    <s v="UP FV LAS PUCELAS"/>
    <n v="15.9"/>
    <s v="18W000000000FYZZ"/>
    <x v="9"/>
    <s v="Venta"/>
    <s v="SZR"/>
    <s v="NEXU"/>
    <x v="0"/>
    <x v="187"/>
    <x v="9"/>
    <s v="SZR"/>
  </r>
  <r>
    <x v="1491"/>
    <s v="FPZHON"/>
    <s v="UP SOLAR POZOHONDO"/>
    <n v="3"/>
    <s v="18W000000000R9ME"/>
    <x v="9"/>
    <s v="Venta"/>
    <s v="SZR"/>
    <s v="NEXU"/>
    <x v="0"/>
    <x v="187"/>
    <x v="9"/>
    <s v="SZR"/>
  </r>
  <r>
    <x v="1492"/>
    <s v="FQIJOT3"/>
    <s v="UP SOLAR QUIJOTE 3"/>
    <n v="5"/>
    <s v="18W000000000R5PK"/>
    <x v="9"/>
    <s v="Venta"/>
    <s v="SZR"/>
    <s v="NEXU"/>
    <x v="0"/>
    <x v="187"/>
    <x v="9"/>
    <s v="SZR"/>
  </r>
  <r>
    <x v="1493"/>
    <s v="FQUIJOTE"/>
    <s v="UP QUIJOTE"/>
    <n v="10"/>
    <s v="18W000000000LFGW"/>
    <x v="9"/>
    <s v="Venta"/>
    <s v="SZR"/>
    <s v="NEXU"/>
    <x v="0"/>
    <x v="187"/>
    <x v="9"/>
    <s v="SZR"/>
  </r>
  <r>
    <x v="1494"/>
    <s v="ES-QUEMAD2"/>
    <s v="ES-QUEMAD2"/>
    <n v="10"/>
    <s v="18W000000000SQTJ"/>
    <x v="9"/>
    <s v="Venta"/>
    <s v="WM1"/>
    <s v="WMARK"/>
    <x v="0"/>
    <x v="22"/>
    <x v="9"/>
    <s v="WM1"/>
  </r>
  <r>
    <x v="1495"/>
    <s v="FRANC01"/>
    <s v="FRANK ENERGIA IBERIA"/>
    <n v="0"/>
    <s v="18W000000000Q1QY"/>
    <x v="2"/>
    <s v="Compra"/>
    <s v="SZR"/>
    <s v="FRANK"/>
    <x v="1"/>
    <x v="309"/>
    <x v="2"/>
    <s v="SZR"/>
  </r>
  <r>
    <x v="1496"/>
    <s v="RIBADELAGO"/>
    <s v="UP SOLAR RIBADELAGO"/>
    <n v="31.3"/>
    <s v="18W000000000T6YS"/>
    <x v="9"/>
    <s v="Venta"/>
    <s v="SZR"/>
    <s v="NEXU"/>
    <x v="0"/>
    <x v="187"/>
    <x v="9"/>
    <s v="SZR"/>
  </r>
  <r>
    <x v="1497"/>
    <s v="FREGANT"/>
    <s v="FREGANT"/>
    <n v="3.5"/>
    <s v="18W000000000Q48O"/>
    <x v="9"/>
    <s v="Venta"/>
    <s v="SZR"/>
    <s v="CEG"/>
    <x v="0"/>
    <x v="124"/>
    <x v="9"/>
    <s v="SZR"/>
  </r>
  <r>
    <x v="1498"/>
    <s v="FVRDES1MW"/>
    <s v="FV REP DES &lt;1MW"/>
    <n v="0"/>
    <s v="18WFREGP3-1234-5"/>
    <x v="9"/>
    <s v="Venta"/>
    <s v="SZR"/>
    <s v="ECYR"/>
    <x v="0"/>
    <x v="72"/>
    <x v="9"/>
    <s v="SZR"/>
  </r>
  <r>
    <x v="1499"/>
    <s v="FREGPEM"/>
    <s v="FV REPRESENTADA _PROP_100_MERCADOS_AJUSTE"/>
    <n v="68.599999999999994"/>
    <s v="18W000000000LD1V"/>
    <x v="9"/>
    <s v="Venta"/>
    <s v="SZR"/>
    <s v="ECYR"/>
    <x v="0"/>
    <x v="72"/>
    <x v="9"/>
    <s v="SZR"/>
  </r>
  <r>
    <x v="1500"/>
    <s v="FRENEDO"/>
    <s v="UP SOLAR RENEDO"/>
    <n v="25.9"/>
    <s v="18W000000000QKA9"/>
    <x v="9"/>
    <s v="Venta"/>
    <s v="SZR"/>
    <s v="NEXU"/>
    <x v="0"/>
    <x v="187"/>
    <x v="9"/>
    <s v="SZR"/>
  </r>
  <r>
    <x v="1501"/>
    <s v="FRETA"/>
    <s v="FRETA"/>
    <n v="5"/>
    <s v="18W000000000SDMZ"/>
    <x v="9"/>
    <s v="Venta"/>
    <s v="EVM"/>
    <s v="CEG"/>
    <x v="0"/>
    <x v="124"/>
    <x v="9"/>
    <s v="EVM"/>
  </r>
  <r>
    <x v="1502"/>
    <s v="FRGAC"/>
    <s v="FRGAC"/>
    <n v="2.9"/>
    <s v="18W000000000RUKT"/>
    <x v="9"/>
    <s v="Venta"/>
    <s v="SZR"/>
    <s v="GAC"/>
    <x v="0"/>
    <x v="295"/>
    <x v="9"/>
    <s v="SZR"/>
  </r>
  <r>
    <x v="1503"/>
    <s v="FRIGAL1"/>
    <s v="UP SOLAR MADRIGAL 1"/>
    <n v="3.3"/>
    <s v="18W000000000SMEO"/>
    <x v="9"/>
    <s v="Venta"/>
    <s v="SZR"/>
    <s v="NEXU"/>
    <x v="0"/>
    <x v="187"/>
    <x v="9"/>
    <s v="SZR"/>
  </r>
  <r>
    <x v="1504"/>
    <s v="FRIGAL2"/>
    <s v="UP SOLAR MADRIGAL 2"/>
    <n v="3.3"/>
    <s v="18W000000000SMFM"/>
    <x v="9"/>
    <s v="Venta"/>
    <s v="SZR"/>
    <s v="NEXU"/>
    <x v="0"/>
    <x v="187"/>
    <x v="9"/>
    <s v="SZR"/>
  </r>
  <r>
    <x v="1505"/>
    <s v="FRINCO"/>
    <s v="FRINCO"/>
    <n v="5"/>
    <s v="18W000000000SDOV"/>
    <x v="9"/>
    <s v="Venta"/>
    <s v="EVM"/>
    <s v="CEG"/>
    <x v="0"/>
    <x v="124"/>
    <x v="9"/>
    <s v="EVM"/>
  </r>
  <r>
    <x v="1506"/>
    <s v="FRIXRAB"/>
    <s v="UP SOLAR RIXIRABA"/>
    <n v="12"/>
    <s v="18W000000000LUES"/>
    <x v="9"/>
    <s v="Venta"/>
    <s v="SZR"/>
    <s v="NEXU"/>
    <x v="0"/>
    <x v="187"/>
    <x v="9"/>
    <s v="SZR"/>
  </r>
  <r>
    <x v="1507"/>
    <s v="FROBLA3"/>
    <s v="FROBLA3"/>
    <n v="5"/>
    <s v="18W000000000R3PQ"/>
    <x v="9"/>
    <s v="Venta"/>
    <s v="SZR"/>
    <s v="CEG"/>
    <x v="0"/>
    <x v="124"/>
    <x v="9"/>
    <s v="SZR"/>
  </r>
  <r>
    <x v="1508"/>
    <s v="FROBLA5"/>
    <s v="FROBLA5"/>
    <n v="5"/>
    <s v="18W000000000R3QO"/>
    <x v="9"/>
    <s v="Venta"/>
    <s v="SZR"/>
    <s v="CEG"/>
    <x v="0"/>
    <x v="124"/>
    <x v="9"/>
    <s v="SZR"/>
  </r>
  <r>
    <x v="1509"/>
    <s v="FRODEO"/>
    <s v="UP SOLAR EL RODEO"/>
    <n v="5"/>
    <s v="18W000000000TMXJ"/>
    <x v="9"/>
    <s v="Venta"/>
    <s v="SZR"/>
    <s v="NEXU"/>
    <x v="0"/>
    <x v="187"/>
    <x v="9"/>
    <s v="SZR"/>
  </r>
  <r>
    <x v="1510"/>
    <s v="ROT1"/>
    <s v="ROTON1"/>
    <n v="17.5"/>
    <s v="18W000000000PR7Z"/>
    <x v="9"/>
    <s v="Venta"/>
    <s v="SZR"/>
    <s v="GNRA"/>
    <x v="0"/>
    <x v="46"/>
    <x v="9"/>
    <s v="SZR"/>
  </r>
  <r>
    <x v="1511"/>
    <s v="ROT2"/>
    <s v="ROTON2"/>
    <n v="17.5"/>
    <s v="18W000000000PR9V"/>
    <x v="9"/>
    <s v="Venta"/>
    <s v="SZR"/>
    <s v="GNRA"/>
    <x v="0"/>
    <x v="46"/>
    <x v="9"/>
    <s v="SZR"/>
  </r>
  <r>
    <x v="1512"/>
    <s v="ROT3"/>
    <s v="ROTD3"/>
    <n v="34.5"/>
    <s v="18W000000000PRBR"/>
    <x v="9"/>
    <s v="Venta"/>
    <s v="SZR"/>
    <s v="GNRA"/>
    <x v="0"/>
    <x v="46"/>
    <x v="9"/>
    <s v="SZR"/>
  </r>
  <r>
    <x v="1513"/>
    <s v="FROZAS"/>
    <s v="FROZAS"/>
    <n v="31.5"/>
    <s v="18W000000000T2SF"/>
    <x v="9"/>
    <s v="Venta"/>
    <s v="SZR"/>
    <s v="CEG"/>
    <x v="0"/>
    <x v="124"/>
    <x v="9"/>
    <s v="SZR"/>
  </r>
  <r>
    <x v="1514"/>
    <s v="FRREGOS"/>
    <s v="UP LOS BORREGOS"/>
    <n v="38.4"/>
    <s v="18W000000000S7T2"/>
    <x v="9"/>
    <s v="Venta"/>
    <s v="SZR"/>
    <s v="EGLE"/>
    <x v="0"/>
    <x v="82"/>
    <x v="9"/>
    <s v="SZR"/>
  </r>
  <r>
    <x v="1515"/>
    <s v="FRSIGMA"/>
    <s v="FRSIGMA"/>
    <n v="169.5"/>
    <s v="18W000000000Q5F7"/>
    <x v="9"/>
    <s v="Venta"/>
    <s v="SZR"/>
    <s v="REPSB"/>
    <x v="0"/>
    <x v="29"/>
    <x v="9"/>
    <s v="SZR"/>
  </r>
  <r>
    <x v="1516"/>
    <s v="FRTS1"/>
    <s v="FV RENOV RTS1 1MW"/>
    <n v="1.2"/>
    <s v="18WFRTS1-12345-A"/>
    <x v="9"/>
    <s v="Venta"/>
    <s v="SZR"/>
    <s v="CEG"/>
    <x v="0"/>
    <x v="124"/>
    <x v="9"/>
    <s v="SZR"/>
  </r>
  <r>
    <x v="1517"/>
    <s v="FRULAOR"/>
    <s v="UP SOLAR RULAOR"/>
    <n v="1"/>
    <s v="18W000000000SZSV"/>
    <x v="9"/>
    <s v="Venta"/>
    <s v="SZR"/>
    <s v="NEXU"/>
    <x v="0"/>
    <x v="187"/>
    <x v="9"/>
    <s v="SZR"/>
  </r>
  <r>
    <x v="1518"/>
    <s v="FSACIMP"/>
    <s v="UP SOLAR SAC IMP"/>
    <n v="2.2999999999999998"/>
    <s v="18W000000000NH1B"/>
    <x v="9"/>
    <s v="Venta"/>
    <s v="SZR"/>
    <s v="NEXU"/>
    <x v="0"/>
    <x v="187"/>
    <x v="9"/>
    <s v="SZR"/>
  </r>
  <r>
    <x v="1519"/>
    <s v="SALOBRAL"/>
    <s v="SALOBRAL"/>
    <n v="38"/>
    <s v="18W000000000HTPP"/>
    <x v="9"/>
    <s v="Venta"/>
    <s v="SZR"/>
    <s v="HISPE"/>
    <x v="0"/>
    <x v="43"/>
    <x v="9"/>
    <s v="SZR"/>
  </r>
  <r>
    <x v="1520"/>
    <s v="FSANCTE"/>
    <s v="UP SOLAR SAN CLEMENTE"/>
    <n v="5"/>
    <s v="18W000000000SUPF"/>
    <x v="9"/>
    <s v="Venta"/>
    <s v="SZR"/>
    <s v="NEXU"/>
    <x v="0"/>
    <x v="187"/>
    <x v="9"/>
    <s v="SZR"/>
  </r>
  <r>
    <x v="1521"/>
    <s v="FSARDA"/>
    <s v="UP SARDA"/>
    <n v="1.6"/>
    <s v="18W000000000LF1P"/>
    <x v="9"/>
    <s v="Venta"/>
    <s v="SZR"/>
    <s v="NEXU"/>
    <x v="0"/>
    <x v="187"/>
    <x v="9"/>
    <s v="SZR"/>
  </r>
  <r>
    <x v="1522"/>
    <s v="FSARIUM"/>
    <s v="UP FV FOTOSOLARIUM 10"/>
    <n v="6.3"/>
    <s v="18WFSARIUM-123-7"/>
    <x v="9"/>
    <s v="Venta"/>
    <s v="SZR"/>
    <s v="NEXU"/>
    <x v="0"/>
    <x v="187"/>
    <x v="9"/>
    <s v="SZR"/>
  </r>
  <r>
    <x v="1523"/>
    <s v="SCAL"/>
    <s v="SCAL2"/>
    <n v="3.6"/>
    <s v="18W000000000L2OI"/>
    <x v="9"/>
    <s v="Venta"/>
    <s v="SZR"/>
    <s v="GESTE"/>
    <x v="0"/>
    <x v="219"/>
    <x v="9"/>
    <s v="SZR"/>
  </r>
  <r>
    <x v="1524"/>
    <s v="SCALNA"/>
    <s v="ESCALONA"/>
    <n v="17.3"/>
    <s v="18W000000000MCJV"/>
    <x v="9"/>
    <s v="Venta"/>
    <s v="GST1"/>
    <s v="GESTE"/>
    <x v="0"/>
    <x v="219"/>
    <x v="9"/>
    <s v="GST"/>
  </r>
  <r>
    <x v="1525"/>
    <s v="FSCASTU"/>
    <s v="UP MAYOR 5 MW CASTUERA"/>
    <n v="19.8"/>
    <s v="18WFSCASTU-123-H"/>
    <x v="9"/>
    <s v="Venta"/>
    <s v="SZR"/>
    <s v="NEXU"/>
    <x v="0"/>
    <x v="187"/>
    <x v="9"/>
    <s v="SZR"/>
  </r>
  <r>
    <x v="1526"/>
    <s v="SEGROGRAN"/>
    <s v="FV SEGRO GRANOLLERS"/>
    <n v="2"/>
    <s v="18W000000000RZ49"/>
    <x v="9"/>
    <s v="Venta"/>
    <s v="SZR"/>
    <s v="CONEC"/>
    <x v="0"/>
    <x v="149"/>
    <x v="9"/>
    <s v="SZR"/>
  </r>
  <r>
    <x v="1527"/>
    <s v="FSEQUIN"/>
    <s v="FSEQUIN"/>
    <n v="49.9"/>
    <s v="18W000000000RYO9"/>
    <x v="9"/>
    <s v="Venta"/>
    <s v="EVM"/>
    <s v="CEG"/>
    <x v="0"/>
    <x v="124"/>
    <x v="9"/>
    <s v="EVM"/>
  </r>
  <r>
    <x v="1528"/>
    <s v="FSERRZL"/>
    <s v="UP SOLAR SERREZUELA"/>
    <n v="4.5999999999999996"/>
    <s v="18W000000000MXWG"/>
    <x v="9"/>
    <s v="Venta"/>
    <s v="SZR"/>
    <s v="NEXU"/>
    <x v="0"/>
    <x v="187"/>
    <x v="9"/>
    <s v="SZR"/>
  </r>
  <r>
    <x v="1529"/>
    <s v="SRVN3"/>
    <s v="SERVAN3"/>
    <n v="41.6"/>
    <s v="18W000000000P3ZE"/>
    <x v="9"/>
    <s v="Venta"/>
    <s v="SZR"/>
    <s v="GESTE"/>
    <x v="0"/>
    <x v="219"/>
    <x v="9"/>
    <s v="SZR"/>
  </r>
  <r>
    <x v="1530"/>
    <s v="SERVN4"/>
    <s v="SERVAN4"/>
    <n v="41.6"/>
    <s v="18W000000000P415"/>
    <x v="9"/>
    <s v="Venta"/>
    <s v="SZR"/>
    <s v="GESTE"/>
    <x v="0"/>
    <x v="219"/>
    <x v="9"/>
    <s v="SZR"/>
  </r>
  <r>
    <x v="1531"/>
    <s v="SERVN5"/>
    <s v="SERVAN5"/>
    <n v="41.6"/>
    <s v="18W000000000P431"/>
    <x v="9"/>
    <s v="Venta"/>
    <s v="SZR"/>
    <s v="GESTE"/>
    <x v="0"/>
    <x v="219"/>
    <x v="9"/>
    <s v="SZR"/>
  </r>
  <r>
    <x v="1532"/>
    <s v="FSERXXI"/>
    <s v="REGIMEN ESPECIAL TARIFA"/>
    <n v="10"/>
    <s v="18WFSERXXI-12--T"/>
    <x v="9"/>
    <s v="Venta"/>
    <s v="SZR"/>
    <s v="NEXU"/>
    <x v="0"/>
    <x v="187"/>
    <x v="9"/>
    <s v="SZR"/>
  </r>
  <r>
    <x v="1533"/>
    <s v="FSEVILLA"/>
    <s v="UP FV SEVILLA"/>
    <n v="33.200000000000003"/>
    <s v="18W000000000G28X"/>
    <x v="9"/>
    <s v="Venta"/>
    <s v="NEXUS"/>
    <s v="NEXU"/>
    <x v="0"/>
    <x v="187"/>
    <x v="9"/>
    <s v="NEX"/>
  </r>
  <r>
    <x v="1534"/>
    <s v="FSIBERI"/>
    <s v="UP SOLAR SIBERI"/>
    <n v="10"/>
    <s v="18W000000000SIT6"/>
    <x v="9"/>
    <s v="Venta"/>
    <s v="SZR"/>
    <s v="NEXU"/>
    <x v="0"/>
    <x v="187"/>
    <x v="9"/>
    <s v="SZR"/>
  </r>
  <r>
    <x v="1535"/>
    <s v="SIGMA"/>
    <s v="SIGMA"/>
    <n v="24.1"/>
    <s v="18W000000000LQJU"/>
    <x v="9"/>
    <s v="Venta"/>
    <s v="ALP"/>
    <s v="HISPE"/>
    <x v="0"/>
    <x v="43"/>
    <x v="9"/>
    <s v="ALP"/>
  </r>
  <r>
    <x v="1536"/>
    <s v="SIRIUS"/>
    <s v="FVSIRIUS"/>
    <n v="57.5"/>
    <s v="18W000000000MP4M"/>
    <x v="9"/>
    <s v="Venta"/>
    <s v="SZR"/>
    <s v="GESTE"/>
    <x v="0"/>
    <x v="219"/>
    <x v="9"/>
    <s v="SZR"/>
  </r>
  <r>
    <x v="1537"/>
    <s v="FSJORGE"/>
    <s v="UP SOLAR SAN JORGE"/>
    <n v="21.2"/>
    <s v="18W000000000PVRK"/>
    <x v="9"/>
    <s v="Venta"/>
    <s v="NEXUS"/>
    <s v="NEXU"/>
    <x v="0"/>
    <x v="187"/>
    <x v="9"/>
    <s v="NEX"/>
  </r>
  <r>
    <x v="1538"/>
    <s v="SLINAS"/>
    <s v="SALINAS"/>
    <n v="25.5"/>
    <s v="18W000000000QPUS"/>
    <x v="9"/>
    <s v="Venta"/>
    <s v="SZR"/>
    <s v="GNRA"/>
    <x v="0"/>
    <x v="46"/>
    <x v="9"/>
    <s v="SZR"/>
  </r>
  <r>
    <x v="1539"/>
    <s v="FSLNOC1"/>
    <s v="UP SOLAR SOLNOCTIS3"/>
    <n v="1.8"/>
    <s v="18W000000000PT30"/>
    <x v="9"/>
    <s v="Venta"/>
    <s v="SZR"/>
    <s v="NEXU"/>
    <x v="0"/>
    <x v="187"/>
    <x v="9"/>
    <s v="SZR"/>
  </r>
  <r>
    <x v="1540"/>
    <s v="UP LOBON"/>
    <s v="UP SOLAR LOBON"/>
    <n v="2.7"/>
    <s v="18W000000000MGXS"/>
    <x v="9"/>
    <s v="Venta"/>
    <s v="SZR"/>
    <s v="NEXU"/>
    <x v="0"/>
    <x v="187"/>
    <x v="9"/>
    <s v="SZR"/>
  </r>
  <r>
    <x v="1541"/>
    <s v="FSMURC"/>
    <s v="UP SOLAR VERGELES SOLARES"/>
    <n v="3.3"/>
    <s v="18W000000000PVG5"/>
    <x v="9"/>
    <s v="Venta"/>
    <s v="SZR"/>
    <s v="NEXU"/>
    <x v="0"/>
    <x v="187"/>
    <x v="9"/>
    <s v="SZR"/>
  </r>
  <r>
    <x v="1542"/>
    <s v="SANABRIA"/>
    <s v="UP SOLAR SANABRIA"/>
    <n v="37"/>
    <s v="18W000000000T6XU"/>
    <x v="9"/>
    <s v="Venta"/>
    <s v="SZR"/>
    <s v="NEXU"/>
    <x v="0"/>
    <x v="187"/>
    <x v="9"/>
    <s v="SZR"/>
  </r>
  <r>
    <x v="1543"/>
    <s v="FSOCO2"/>
    <s v="FSOCO2"/>
    <n v="25.6"/>
    <s v="18W000000000TIWX"/>
    <x v="9"/>
    <s v="Venta"/>
    <s v="SZR"/>
    <s v="CEG"/>
    <x v="0"/>
    <x v="124"/>
    <x v="9"/>
    <s v="SZR"/>
  </r>
  <r>
    <x v="1544"/>
    <s v="FSOL14"/>
    <s v="UP SOL20120014"/>
    <n v="6"/>
    <s v="18W000000000TFBA"/>
    <x v="9"/>
    <s v="Venta"/>
    <s v="SZR"/>
    <s v="EGLE"/>
    <x v="0"/>
    <x v="82"/>
    <x v="9"/>
    <s v="SZR"/>
  </r>
  <r>
    <x v="1545"/>
    <s v="FSOL16"/>
    <s v="UP SOL20120016"/>
    <n v="6"/>
    <s v="18W000000000TFD6"/>
    <x v="9"/>
    <s v="Venta"/>
    <s v="SZR"/>
    <s v="EGLE"/>
    <x v="0"/>
    <x v="82"/>
    <x v="9"/>
    <s v="SZR"/>
  </r>
  <r>
    <x v="1546"/>
    <s v="FSOLANG"/>
    <s v="FSOLANG"/>
    <n v="9.1"/>
    <s v="18W000000000Q4J2"/>
    <x v="9"/>
    <s v="Venta"/>
    <s v="SZR"/>
    <s v="CEG"/>
    <x v="0"/>
    <x v="124"/>
    <x v="9"/>
    <s v="SZR"/>
  </r>
  <r>
    <x v="1547"/>
    <s v="FSOLARG"/>
    <s v="FSOLARG"/>
    <n v="7"/>
    <s v="18W000000000Q56P"/>
    <x v="9"/>
    <s v="Venta"/>
    <s v="SZR"/>
    <s v="CEG"/>
    <x v="0"/>
    <x v="124"/>
    <x v="9"/>
    <s v="SZR"/>
  </r>
  <r>
    <x v="1548"/>
    <s v="FSOLLAN"/>
    <s v="UP SOLAR LA SOLLANA"/>
    <n v="1.2"/>
    <s v="18W000000000QMR6"/>
    <x v="9"/>
    <s v="Venta"/>
    <s v="SZR"/>
    <s v="NEXU"/>
    <x v="0"/>
    <x v="187"/>
    <x v="9"/>
    <s v="SZR"/>
  </r>
  <r>
    <x v="1549"/>
    <s v="SOLMATCH"/>
    <s v="SOLMATCH"/>
    <n v="0.1"/>
    <s v="18W000000000PK1V"/>
    <x v="9"/>
    <s v="Venta"/>
    <s v="SZR"/>
    <s v="VIEE"/>
    <x v="0"/>
    <x v="310"/>
    <x v="9"/>
    <s v="SZR"/>
  </r>
  <r>
    <x v="1550"/>
    <s v="FSOLRC"/>
    <s v="FSOLRC"/>
    <n v="10"/>
    <s v="18W000000000SOOZ"/>
    <x v="9"/>
    <s v="Venta"/>
    <s v="SZR"/>
    <s v="SOLRC"/>
    <x v="0"/>
    <x v="297"/>
    <x v="9"/>
    <s v="SZR"/>
  </r>
  <r>
    <x v="1551"/>
    <s v="FSONAV"/>
    <s v="UP SOLEN ENERGA LA NAVA"/>
    <n v="45"/>
    <s v="18W000000000SXNA"/>
    <x v="9"/>
    <s v="Venta"/>
    <s v="SZR"/>
    <s v="EGLE"/>
    <x v="0"/>
    <x v="82"/>
    <x v="9"/>
    <s v="SZR"/>
  </r>
  <r>
    <x v="1552"/>
    <s v="FSONDAA"/>
    <s v="UF SOLAR CUBIERTA ONDA A"/>
    <n v="1.1000000000000001"/>
    <s v="18W000000000SUOH"/>
    <x v="9"/>
    <s v="Venta"/>
    <s v="SZR"/>
    <s v="NEXU"/>
    <x v="0"/>
    <x v="187"/>
    <x v="9"/>
    <s v="SZR"/>
  </r>
  <r>
    <x v="1553"/>
    <s v="FSOVAL"/>
    <s v="UP SOLEN ENERGA VALDELAFUENTE"/>
    <n v="45"/>
    <s v="18W000000000SSNP"/>
    <x v="9"/>
    <s v="Venta"/>
    <s v="SZR"/>
    <s v="EGLE"/>
    <x v="0"/>
    <x v="82"/>
    <x v="9"/>
    <s v="SZR"/>
  </r>
  <r>
    <x v="1554"/>
    <s v="FSPARRA"/>
    <s v="UP FV CALASPARRA"/>
    <n v="12"/>
    <s v="18WFSPARRA-123-2"/>
    <x v="9"/>
    <s v="Venta"/>
    <s v="SZR"/>
    <s v="GNRA"/>
    <x v="0"/>
    <x v="46"/>
    <x v="9"/>
    <s v="SZR"/>
  </r>
  <r>
    <x v="1555"/>
    <s v="FSPELYO"/>
    <s v="UP SOLAR SAN PELAYO"/>
    <n v="2.8"/>
    <s v="18W000000000QRAP"/>
    <x v="9"/>
    <s v="Venta"/>
    <s v="SZR"/>
    <s v="NEXU"/>
    <x v="0"/>
    <x v="187"/>
    <x v="9"/>
    <s v="SZR"/>
  </r>
  <r>
    <x v="1556"/>
    <s v="FSPV10"/>
    <s v="UP WATT DEVELOPMENT SPV 10 SL"/>
    <n v="30.8"/>
    <s v="18W000000000RNVS"/>
    <x v="9"/>
    <s v="Venta"/>
    <s v="SZR"/>
    <s v="EGLE"/>
    <x v="0"/>
    <x v="82"/>
    <x v="9"/>
    <s v="SZR"/>
  </r>
  <r>
    <x v="1557"/>
    <s v="FSPV3"/>
    <s v="UP WATT DEVELOPMENT SPV 3 SL"/>
    <n v="17"/>
    <s v="18W000000000RNXO"/>
    <x v="9"/>
    <s v="Venta"/>
    <s v="SZR"/>
    <s v="EGLE"/>
    <x v="0"/>
    <x v="82"/>
    <x v="9"/>
    <s v="SZR"/>
  </r>
  <r>
    <x v="1558"/>
    <s v="FSRRANA"/>
    <s v="UP LA SERRANA"/>
    <n v="5.5"/>
    <s v="18W000000000M05L"/>
    <x v="9"/>
    <s v="Venta"/>
    <s v="SZR"/>
    <s v="NEXU"/>
    <x v="0"/>
    <x v="187"/>
    <x v="9"/>
    <s v="SZR"/>
  </r>
  <r>
    <x v="1559"/>
    <s v="FSTATON"/>
    <s v="UP SOLAR STATION"/>
    <n v="3"/>
    <s v="18W000000000SSJX"/>
    <x v="9"/>
    <s v="Venta"/>
    <s v="SZR"/>
    <s v="NEXU"/>
    <x v="0"/>
    <x v="187"/>
    <x v="9"/>
    <s v="SZR"/>
  </r>
  <r>
    <x v="1560"/>
    <s v="FSTOMAS"/>
    <s v="UP SOLAR ST TOMAS"/>
    <n v="17.2"/>
    <s v="18W000000000QKB7"/>
    <x v="9"/>
    <s v="Venta"/>
    <s v="SZR"/>
    <s v="NEXU"/>
    <x v="0"/>
    <x v="187"/>
    <x v="9"/>
    <s v="SZR"/>
  </r>
  <r>
    <x v="1561"/>
    <s v="TABRNAS"/>
    <s v="TABERNASII"/>
    <n v="41.6"/>
    <s v="18W000000000NKNW"/>
    <x v="9"/>
    <s v="Venta"/>
    <s v="SZR"/>
    <s v="GESTE"/>
    <x v="0"/>
    <x v="219"/>
    <x v="9"/>
    <s v="SZR"/>
  </r>
  <r>
    <x v="1562"/>
    <s v="FTALAR1"/>
    <s v="UP FV TALARRUBIAS I"/>
    <n v="34.299999999999997"/>
    <s v="18W000000000G252"/>
    <x v="9"/>
    <s v="Venta"/>
    <s v="NEXUS"/>
    <s v="NEXU"/>
    <x v="0"/>
    <x v="187"/>
    <x v="9"/>
    <s v="NEX"/>
  </r>
  <r>
    <x v="1563"/>
    <s v="FTALAR2"/>
    <s v="UP FV TALARRUBIASII"/>
    <n v="34.299999999999997"/>
    <s v="18W000000000G260"/>
    <x v="9"/>
    <s v="Venta"/>
    <s v="NEXUS"/>
    <s v="NEXU"/>
    <x v="0"/>
    <x v="187"/>
    <x v="9"/>
    <s v="NEX"/>
  </r>
  <r>
    <x v="1564"/>
    <s v="FTALARR"/>
    <s v="F TALARRUBIAS"/>
    <n v="1.9"/>
    <s v="18WFTALARR-123-5"/>
    <x v="9"/>
    <s v="Venta"/>
    <s v="SZR"/>
    <s v="GESTE"/>
    <x v="0"/>
    <x v="219"/>
    <x v="9"/>
    <s v="SZR"/>
  </r>
  <r>
    <x v="1565"/>
    <s v="FTALEGA"/>
    <s v="FTALEGA"/>
    <n v="1.6"/>
    <s v="18W000000000ROBS"/>
    <x v="9"/>
    <s v="Venta"/>
    <s v="SZR"/>
    <s v="CEG"/>
    <x v="0"/>
    <x v="124"/>
    <x v="9"/>
    <s v="SZR"/>
  </r>
  <r>
    <x v="1566"/>
    <s v="FTALIA1"/>
    <s v="FTALIA1"/>
    <n v="5.0999999999999996"/>
    <s v="18W000000000TH2M"/>
    <x v="9"/>
    <s v="Venta"/>
    <s v="SZR"/>
    <s v="ATENC"/>
    <x v="0"/>
    <x v="77"/>
    <x v="9"/>
    <s v="SZR"/>
  </r>
  <r>
    <x v="1567"/>
    <s v="FTALIA2"/>
    <s v="FTALIA2"/>
    <n v="7.8"/>
    <s v="18W000000000TH3K"/>
    <x v="9"/>
    <s v="Venta"/>
    <s v="SZR"/>
    <s v="ATENC"/>
    <x v="0"/>
    <x v="77"/>
    <x v="9"/>
    <s v="SZR"/>
  </r>
  <r>
    <x v="1568"/>
    <s v="FTALTOS"/>
    <s v="FTALTOS"/>
    <n v="1.8"/>
    <s v="18W000000000SD13"/>
    <x v="9"/>
    <s v="Venta"/>
    <s v="SZR"/>
    <s v="DETIC"/>
    <x v="0"/>
    <x v="71"/>
    <x v="9"/>
    <s v="SZR"/>
  </r>
  <r>
    <x v="1569"/>
    <s v="TALYELA"/>
    <s v="TALAYUELAS2"/>
    <n v="44"/>
    <s v="18W000000000PWRH"/>
    <x v="9"/>
    <s v="Venta"/>
    <s v="GST1"/>
    <s v="GESTE"/>
    <x v="0"/>
    <x v="219"/>
    <x v="9"/>
    <s v="GST"/>
  </r>
  <r>
    <x v="1570"/>
    <s v="TARC"/>
    <s v="TARANA"/>
    <n v="6.6"/>
    <s v="18W000000000QIH1"/>
    <x v="9"/>
    <s v="Venta"/>
    <s v="SZR"/>
    <s v="GESTE"/>
    <x v="0"/>
    <x v="219"/>
    <x v="9"/>
    <s v="SZR"/>
  </r>
  <r>
    <x v="1571"/>
    <s v="TARACS"/>
    <s v="TARACNS"/>
    <n v="5.0999999999999996"/>
    <s v="18W000000000QIKW"/>
    <x v="9"/>
    <s v="Venta"/>
    <s v="SZR"/>
    <s v="GESTE"/>
    <x v="0"/>
    <x v="219"/>
    <x v="9"/>
    <s v="SZR"/>
  </r>
  <r>
    <x v="1572"/>
    <s v="FTASOL"/>
    <s v="UP TALASOL SOLAR SL"/>
    <n v="243.9"/>
    <s v="18W000000000MOY2"/>
    <x v="9"/>
    <s v="Venta"/>
    <s v="SZR"/>
    <s v="EGLE"/>
    <x v="0"/>
    <x v="82"/>
    <x v="9"/>
    <s v="SZR"/>
  </r>
  <r>
    <x v="1573"/>
    <s v="FTAUSTE"/>
    <s v="UP SOLAR TAUSTE"/>
    <n v="1.9"/>
    <s v="18W000000000SZAU"/>
    <x v="9"/>
    <s v="Venta"/>
    <s v="SZR"/>
    <s v="NEXU"/>
    <x v="0"/>
    <x v="187"/>
    <x v="9"/>
    <s v="SZR"/>
  </r>
  <r>
    <x v="1574"/>
    <s v="FTEBAR"/>
    <s v="UP SOLAR TEBAR"/>
    <n v="1"/>
    <s v="18W000000000SZBS"/>
    <x v="9"/>
    <s v="Venta"/>
    <s v="SZR"/>
    <s v="NEXU"/>
    <x v="0"/>
    <x v="187"/>
    <x v="9"/>
    <s v="SZR"/>
  </r>
  <r>
    <x v="1575"/>
    <s v="FTEJEDA"/>
    <s v="FTEJEDA"/>
    <n v="5"/>
    <s v="18W000000000Q4G8"/>
    <x v="9"/>
    <s v="Venta"/>
    <s v="SZR"/>
    <s v="CEG"/>
    <x v="0"/>
    <x v="124"/>
    <x v="9"/>
    <s v="SZR"/>
  </r>
  <r>
    <x v="1576"/>
    <s v="FTEQUI1"/>
    <s v="UP SOLAR TEQUI1"/>
    <n v="5"/>
    <s v="18W000000000RBN6"/>
    <x v="9"/>
    <s v="Venta"/>
    <s v="SZR"/>
    <s v="NEXU"/>
    <x v="0"/>
    <x v="187"/>
    <x v="9"/>
    <s v="SZR"/>
  </r>
  <r>
    <x v="1577"/>
    <s v="FORESTA"/>
    <s v="FORESTA TERRENOS SL"/>
    <n v="0.8"/>
    <s v="18WFTERC01-123-M"/>
    <x v="6"/>
    <s v="Compra"/>
    <s v="SZR"/>
    <s v="FORTE"/>
    <x v="3"/>
    <x v="311"/>
    <x v="6"/>
    <s v="SZR"/>
  </r>
  <r>
    <x v="1578"/>
    <s v="FTERRER"/>
    <s v="UP SOLAR TERRER"/>
    <n v="107.5"/>
    <s v="18W000000000TGB7"/>
    <x v="9"/>
    <s v="Venta"/>
    <s v="SZR"/>
    <s v="NEXU"/>
    <x v="0"/>
    <x v="187"/>
    <x v="9"/>
    <s v="SZR"/>
  </r>
  <r>
    <x v="1579"/>
    <s v="TFAPRO"/>
    <s v="TARIFA&gt;10 FV VALDECABALLEROS"/>
    <n v="10"/>
    <s v="18WFTFAPRO-123-K"/>
    <x v="9"/>
    <s v="Venta"/>
    <s v="SZR"/>
    <s v="NEXU"/>
    <x v="0"/>
    <x v="187"/>
    <x v="9"/>
    <s v="SZR"/>
  </r>
  <r>
    <x v="1580"/>
    <s v="FTINJR1"/>
    <s v="UP SOLAR TINAJEROS 1"/>
    <n v="5"/>
    <s v="18W000000000R58H"/>
    <x v="9"/>
    <s v="Venta"/>
    <s v="SZR"/>
    <s v="NEXU"/>
    <x v="0"/>
    <x v="187"/>
    <x v="9"/>
    <s v="SZR"/>
  </r>
  <r>
    <x v="1581"/>
    <s v="FTINJR2"/>
    <s v="UP SOLAR TINAJEROS 2"/>
    <n v="5"/>
    <s v="18W000000000R59F"/>
    <x v="9"/>
    <s v="Venta"/>
    <s v="SZR"/>
    <s v="NEXU"/>
    <x v="0"/>
    <x v="187"/>
    <x v="9"/>
    <s v="SZR"/>
  </r>
  <r>
    <x v="1582"/>
    <s v="FTLAYL1"/>
    <s v="UP SOLAR TALAYUELA 1"/>
    <n v="5"/>
    <s v="18W000000000R9IM"/>
    <x v="9"/>
    <s v="Venta"/>
    <s v="SZR"/>
    <s v="NEXU"/>
    <x v="0"/>
    <x v="187"/>
    <x v="9"/>
    <s v="SZR"/>
  </r>
  <r>
    <x v="1583"/>
    <s v="FTLAYL2"/>
    <s v="UP SOLAR TALAYUELA 2"/>
    <n v="5"/>
    <s v="18W000000000R9JK"/>
    <x v="9"/>
    <s v="Venta"/>
    <s v="SZR"/>
    <s v="NEXU"/>
    <x v="0"/>
    <x v="187"/>
    <x v="9"/>
    <s v="SZR"/>
  </r>
  <r>
    <x v="1584"/>
    <s v="FTOLLO1"/>
    <s v="UP SOLAR TOLLO 1"/>
    <n v="4"/>
    <s v="18W000000000SG7J"/>
    <x v="9"/>
    <s v="Venta"/>
    <s v="SZR"/>
    <s v="NEXU"/>
    <x v="0"/>
    <x v="187"/>
    <x v="9"/>
    <s v="SZR"/>
  </r>
  <r>
    <x v="1585"/>
    <s v="FTOLLO2"/>
    <s v="UP SOLAR TOLLO 2"/>
    <n v="2.9"/>
    <s v="18W000000000SG8H"/>
    <x v="9"/>
    <s v="Venta"/>
    <s v="SZR"/>
    <s v="NEXU"/>
    <x v="0"/>
    <x v="187"/>
    <x v="9"/>
    <s v="SZR"/>
  </r>
  <r>
    <x v="1586"/>
    <s v="FTOLLO3"/>
    <s v="UP SOLAR TOLLO 3"/>
    <n v="3"/>
    <s v="18W000000000SG9F"/>
    <x v="9"/>
    <s v="Venta"/>
    <s v="SZR"/>
    <s v="NEXU"/>
    <x v="0"/>
    <x v="187"/>
    <x v="9"/>
    <s v="SZR"/>
  </r>
  <r>
    <x v="1587"/>
    <s v="FTOMI"/>
    <s v="EL TOMILLAR"/>
    <n v="13"/>
    <s v="18W000000000RM3D"/>
    <x v="9"/>
    <s v="Venta"/>
    <s v="REPSOL"/>
    <s v="REPSB"/>
    <x v="0"/>
    <x v="29"/>
    <x v="9"/>
    <s v="EV"/>
  </r>
  <r>
    <x v="1588"/>
    <s v="TORDE"/>
    <s v="TORDESILLS"/>
    <n v="34.299999999999997"/>
    <s v="18W000000000LCRJ"/>
    <x v="9"/>
    <s v="Venta"/>
    <s v="SZR"/>
    <s v="GESTE"/>
    <x v="0"/>
    <x v="219"/>
    <x v="9"/>
    <s v="SZR"/>
  </r>
  <r>
    <x v="1589"/>
    <s v="TORIJ"/>
    <s v="TORIJA2"/>
    <n v="4.7"/>
    <s v="18W000000000G7PL"/>
    <x v="9"/>
    <s v="Venta"/>
    <s v="SZR"/>
    <s v="GESTE"/>
    <x v="0"/>
    <x v="219"/>
    <x v="9"/>
    <s v="SZR"/>
  </r>
  <r>
    <x v="1590"/>
    <s v="TJ3"/>
    <s v="TRJA3"/>
    <n v="4.7"/>
    <s v="18W000000000IRUH"/>
    <x v="9"/>
    <s v="Venta"/>
    <s v="SZR"/>
    <s v="GESTE"/>
    <x v="0"/>
    <x v="219"/>
    <x v="9"/>
    <s v="SZR"/>
  </r>
  <r>
    <x v="1591"/>
    <s v="TRJ4"/>
    <s v="TORIJA4"/>
    <n v="4.7"/>
    <s v="18W000000000KSPG"/>
    <x v="9"/>
    <s v="Venta"/>
    <s v="SZR"/>
    <s v="GESTE"/>
    <x v="0"/>
    <x v="219"/>
    <x v="9"/>
    <s v="SZR"/>
  </r>
  <r>
    <x v="1592"/>
    <s v="TOR"/>
    <s v="TORRIJOS EW"/>
    <n v="42.5"/>
    <s v="18W000000000PKPK"/>
    <x v="9"/>
    <s v="Venta"/>
    <s v="IGR"/>
    <s v="IGNIS"/>
    <x v="0"/>
    <x v="28"/>
    <x v="9"/>
    <s v="IGR"/>
  </r>
  <r>
    <x v="1593"/>
    <s v="TORRIJOS"/>
    <s v="UP SF ELAWAN TORRIJOS"/>
    <n v="30"/>
    <s v="18W000000000MBAF"/>
    <x v="9"/>
    <s v="Venta"/>
    <s v="IGR"/>
    <s v="IGNIS"/>
    <x v="0"/>
    <x v="28"/>
    <x v="9"/>
    <s v="IGR"/>
  </r>
  <r>
    <x v="1594"/>
    <s v="FTOTANA"/>
    <s v="UP SOLAR TOTANA"/>
    <n v="4.5"/>
    <s v="18W000000000RN56"/>
    <x v="9"/>
    <s v="Venta"/>
    <s v="SZR"/>
    <s v="NEXU"/>
    <x v="0"/>
    <x v="187"/>
    <x v="9"/>
    <s v="SZR"/>
  </r>
  <r>
    <x v="1595"/>
    <s v="FTRDESI"/>
    <s v="UP FTRDESI"/>
    <n v="9.9"/>
    <s v="18W000000000L9OY"/>
    <x v="9"/>
    <s v="Venta"/>
    <s v="SZR"/>
    <s v="NEXU"/>
    <x v="0"/>
    <x v="187"/>
    <x v="9"/>
    <s v="SZR"/>
  </r>
  <r>
    <x v="1596"/>
    <s v="FTRDSL"/>
    <s v="UP SOLAR TORDESILLAS"/>
    <n v="2.9"/>
    <s v="18W000000000R9LG"/>
    <x v="9"/>
    <s v="Venta"/>
    <s v="SZR"/>
    <s v="NEXU"/>
    <x v="0"/>
    <x v="187"/>
    <x v="9"/>
    <s v="SZR"/>
  </r>
  <r>
    <x v="1597"/>
    <s v="FTREVAG"/>
    <s v="FTREVAGO Y FTREVEU PPA"/>
    <n v="59.9"/>
    <s v="18W000000000SH0U"/>
    <x v="9"/>
    <s v="Venta"/>
    <s v="END"/>
    <s v="ECYR"/>
    <x v="0"/>
    <x v="72"/>
    <x v="9"/>
    <s v="END"/>
  </r>
  <r>
    <x v="1598"/>
    <s v="FTRI"/>
    <s v="FTRILLO"/>
    <n v="170"/>
    <s v="18W000000000S76B"/>
    <x v="9"/>
    <s v="Venta"/>
    <s v="SZR"/>
    <s v="REPSB"/>
    <x v="0"/>
    <x v="29"/>
    <x v="9"/>
    <s v="SZR"/>
  </r>
  <r>
    <x v="1599"/>
    <s v="FTRUCHA"/>
    <s v="UP SOLAR TRUCHA"/>
    <n v="33"/>
    <s v="18W000000000RISC"/>
    <x v="9"/>
    <s v="Venta"/>
    <s v="NEXUS"/>
    <s v="NEXU"/>
    <x v="0"/>
    <x v="187"/>
    <x v="9"/>
    <s v="NEX"/>
  </r>
  <r>
    <x v="1600"/>
    <s v="FORTU PEN"/>
    <s v="FORTULUZ PENINSULAR"/>
    <n v="1"/>
    <s v="18WFTULC01-123-H"/>
    <x v="2"/>
    <s v="Compra"/>
    <s v="SZR"/>
    <s v="FORTU"/>
    <x v="1"/>
    <x v="312"/>
    <x v="2"/>
    <s v="SZR"/>
  </r>
  <r>
    <x v="1601"/>
    <s v="FTURBIN"/>
    <s v="UP SOLAR TURBINTO"/>
    <n v="2"/>
    <s v="18W000000000QMT2"/>
    <x v="9"/>
    <s v="Venta"/>
    <s v="SZR"/>
    <s v="NEXU"/>
    <x v="0"/>
    <x v="187"/>
    <x v="9"/>
    <s v="SZR"/>
  </r>
  <r>
    <x v="1602"/>
    <s v="FTURRON"/>
    <s v="UP SOLAR TURRONEROS"/>
    <n v="42.2"/>
    <s v="18W000000000LPY3"/>
    <x v="9"/>
    <s v="Venta"/>
    <s v="SZR"/>
    <s v="NEXU"/>
    <x v="0"/>
    <x v="187"/>
    <x v="9"/>
    <s v="SZR"/>
  </r>
  <r>
    <x v="1603"/>
    <s v="FTZNETA"/>
    <s v="UP SOLAR ATZENETA"/>
    <n v="1.5"/>
    <s v="18W000000000T33P"/>
    <x v="9"/>
    <s v="Venta"/>
    <s v="SZR"/>
    <s v="NEXU"/>
    <x v="0"/>
    <x v="187"/>
    <x v="9"/>
    <s v="SZR"/>
  </r>
  <r>
    <x v="1604"/>
    <s v="FUEPA"/>
    <s v="FUEPA"/>
    <n v="6.1"/>
    <s v="18W000000000F9RF"/>
    <x v="9"/>
    <s v="Venta"/>
    <s v="SZR"/>
    <s v="GNRA"/>
    <x v="0"/>
    <x v="46"/>
    <x v="9"/>
    <s v="SZR"/>
  </r>
  <r>
    <x v="1605"/>
    <s v="FUKAC01"/>
    <s v="COMPRA COMERCIALIZADORA"/>
    <n v="1"/>
    <s v="18W000000000RRBJ"/>
    <x v="2"/>
    <s v="Compra"/>
    <s v="SZR"/>
    <s v="FUKA"/>
    <x v="1"/>
    <x v="313"/>
    <x v="2"/>
    <s v="SZR"/>
  </r>
  <r>
    <x v="1606"/>
    <s v="FULCONA"/>
    <s v="UP SOLAR ULLDECONA"/>
    <n v="2"/>
    <s v="18W000000000SU9A"/>
    <x v="9"/>
    <s v="Venta"/>
    <s v="SZR"/>
    <s v="NEXU"/>
    <x v="0"/>
    <x v="187"/>
    <x v="9"/>
    <s v="SZR"/>
  </r>
  <r>
    <x v="1607"/>
    <s v="URSA"/>
    <s v="URSAMAIOR"/>
    <n v="42.5"/>
    <s v="18W000000000NDQA"/>
    <x v="9"/>
    <s v="Venta"/>
    <s v="SZR"/>
    <s v="GESTE"/>
    <x v="0"/>
    <x v="219"/>
    <x v="9"/>
    <s v="SZR"/>
  </r>
  <r>
    <x v="1608"/>
    <s v="FUTETEM"/>
    <s v="FOTOVOLTAICA UTETEM"/>
    <n v="0.2"/>
    <s v="18WFUTETEM-123-7"/>
    <x v="9"/>
    <s v="Venta"/>
    <s v="SZR"/>
    <s v="EGED"/>
    <x v="0"/>
    <x v="186"/>
    <x v="9"/>
    <s v="SZR"/>
  </r>
  <r>
    <x v="1609"/>
    <s v="FV_RETAMAR"/>
    <s v="DESARROLLO PROYECTO FOTOVOLTAICO I"/>
    <n v="3"/>
    <s v="18W000000000SJHR"/>
    <x v="9"/>
    <s v="Venta"/>
    <s v="SZR"/>
    <s v="ELEIA"/>
    <x v="0"/>
    <x v="90"/>
    <x v="9"/>
    <s v="SZR"/>
  </r>
  <r>
    <x v="1610"/>
    <s v="FVAFROD"/>
    <s v="PSF AFRODITA"/>
    <n v="40.799999999999997"/>
    <s v="18W000000000SN52"/>
    <x v="9"/>
    <s v="Venta"/>
    <s v="SZR"/>
    <s v="WMARK"/>
    <x v="0"/>
    <x v="22"/>
    <x v="9"/>
    <s v="SZR"/>
  </r>
  <r>
    <x v="1611"/>
    <s v="FVALAMO"/>
    <s v="FV ALAMO"/>
    <n v="15"/>
    <s v="18W000000000PA4I"/>
    <x v="9"/>
    <s v="Venta"/>
    <s v="EVM"/>
    <s v="CEG"/>
    <x v="0"/>
    <x v="124"/>
    <x v="9"/>
    <s v="EVM"/>
  </r>
  <r>
    <x v="1612"/>
    <s v="FVALCAII"/>
    <s v="FV LOS ALCAZARES II"/>
    <n v="2"/>
    <s v="18W000000000TE4R"/>
    <x v="9"/>
    <s v="Venta"/>
    <s v="SZR"/>
    <s v="WMARK"/>
    <x v="0"/>
    <x v="22"/>
    <x v="9"/>
    <s v="SZR"/>
  </r>
  <r>
    <x v="1613"/>
    <s v="FVALCAZI"/>
    <s v="FV LOS ALCAZARES I"/>
    <n v="4.7"/>
    <s v="18W000000000TE5P"/>
    <x v="9"/>
    <s v="Venta"/>
    <s v="SZR"/>
    <s v="WMARK"/>
    <x v="0"/>
    <x v="22"/>
    <x v="9"/>
    <s v="SZR"/>
  </r>
  <r>
    <x v="1614"/>
    <s v="FVALD1"/>
    <s v="FVALD1"/>
    <n v="3.8"/>
    <s v="18W000000000SDQR"/>
    <x v="9"/>
    <s v="Venta"/>
    <s v="EVM"/>
    <s v="CEG"/>
    <x v="0"/>
    <x v="124"/>
    <x v="9"/>
    <s v="EVM"/>
  </r>
  <r>
    <x v="1615"/>
    <s v="FVALD2"/>
    <s v="FVALD2"/>
    <n v="5"/>
    <s v="18W000000000SDSN"/>
    <x v="9"/>
    <s v="Venta"/>
    <s v="EVM"/>
    <s v="CEG"/>
    <x v="0"/>
    <x v="124"/>
    <x v="9"/>
    <s v="EVM"/>
  </r>
  <r>
    <x v="1616"/>
    <s v="FVALDEC"/>
    <s v="UP SOLAR VALDECARRETAS"/>
    <n v="30"/>
    <s v="18W000000000Q6E6"/>
    <x v="9"/>
    <s v="Venta"/>
    <s v="SZR"/>
    <s v="NEXU"/>
    <x v="0"/>
    <x v="187"/>
    <x v="9"/>
    <s v="SZR"/>
  </r>
  <r>
    <x v="1617"/>
    <s v="VALDESOLAR"/>
    <s v="VALDESOLAR"/>
    <n v="206.2"/>
    <s v="18W000000000L44F"/>
    <x v="9"/>
    <s v="Venta"/>
    <s v="REPSOL"/>
    <s v="REPSB"/>
    <x v="0"/>
    <x v="29"/>
    <x v="9"/>
    <s v="EV"/>
  </r>
  <r>
    <x v="1618"/>
    <s v="FVALENT"/>
    <s v="UP SOLAR ELS VALENTINS"/>
    <n v="9"/>
    <s v="18W000000000TNSQ"/>
    <x v="9"/>
    <s v="Venta"/>
    <s v="SZR"/>
    <s v="NEXU"/>
    <x v="0"/>
    <x v="187"/>
    <x v="9"/>
    <s v="SZR"/>
  </r>
  <r>
    <x v="1619"/>
    <s v="VALFW"/>
    <s v="VALFW"/>
    <n v="10"/>
    <s v="18WFVALFW-1234-V"/>
    <x v="9"/>
    <s v="Venta"/>
    <s v="SZR"/>
    <s v="GNRA"/>
    <x v="0"/>
    <x v="46"/>
    <x v="9"/>
    <s v="SZR"/>
  </r>
  <r>
    <x v="1620"/>
    <s v="FVALLKA"/>
    <s v="FVALLKA"/>
    <n v="1.2"/>
    <s v="18W000000000QRCL"/>
    <x v="9"/>
    <s v="Venta"/>
    <s v="SZR"/>
    <s v="CEG"/>
    <x v="0"/>
    <x v="124"/>
    <x v="9"/>
    <s v="SZR"/>
  </r>
  <r>
    <x v="1621"/>
    <s v="FVALLOB"/>
    <s v="UP SOLAR VALLOBAR"/>
    <n v="40"/>
    <s v="18W000000000RT1X"/>
    <x v="9"/>
    <s v="Venta"/>
    <s v="SZR"/>
    <s v="NEXU"/>
    <x v="0"/>
    <x v="187"/>
    <x v="9"/>
    <s v="SZR"/>
  </r>
  <r>
    <x v="1622"/>
    <s v="FV ALAMAK"/>
    <s v="UP SOLAR ALAMAK"/>
    <n v="19.100000000000001"/>
    <s v="18W000000000RGF7"/>
    <x v="9"/>
    <s v="Venta"/>
    <s v="NEXUS"/>
    <s v="NEXU"/>
    <x v="0"/>
    <x v="187"/>
    <x v="9"/>
    <s v="NEX"/>
  </r>
  <r>
    <x v="1623"/>
    <s v="FV ALYA"/>
    <s v="UP SOLAR ALYA"/>
    <n v="41"/>
    <s v="18W000000000RGDB"/>
    <x v="9"/>
    <s v="Venta"/>
    <s v="NEXUS"/>
    <s v="NEXU"/>
    <x v="0"/>
    <x v="187"/>
    <x v="9"/>
    <s v="NEX"/>
  </r>
  <r>
    <x v="1624"/>
    <s v="FVANUBI"/>
    <s v="PSF ANUBIS"/>
    <n v="40.799999999999997"/>
    <s v="18W000000000SN36"/>
    <x v="9"/>
    <s v="Venta"/>
    <s v="SZR"/>
    <s v="WMARK"/>
    <x v="0"/>
    <x v="22"/>
    <x v="9"/>
    <s v="SZR"/>
  </r>
  <r>
    <x v="1625"/>
    <s v="ARBOTANTE"/>
    <s v="ARBOTANTE SOLAR"/>
    <n v="45"/>
    <s v="18W000000000SBRV"/>
    <x v="9"/>
    <s v="Venta"/>
    <s v="SZR"/>
    <s v="TOTGA"/>
    <x v="0"/>
    <x v="141"/>
    <x v="9"/>
    <s v="SZR"/>
  </r>
  <r>
    <x v="1626"/>
    <s v="FVASIE5MW"/>
    <s v="FV MAYOR - IGUAL 5MW"/>
    <n v="41.2"/>
    <s v="18W000000000P38V"/>
    <x v="9"/>
    <s v="Venta"/>
    <s v="SZR"/>
    <s v="ASIE"/>
    <x v="0"/>
    <x v="73"/>
    <x v="9"/>
    <s v="SZR"/>
  </r>
  <r>
    <x v="1627"/>
    <s v="FVBOTOA"/>
    <s v="VEGA DE BOTOA"/>
    <n v="2.5"/>
    <s v="18WFVBOTOA-123-N"/>
    <x v="9"/>
    <s v="Venta"/>
    <s v="SZR"/>
    <s v="GESTE"/>
    <x v="0"/>
    <x v="219"/>
    <x v="9"/>
    <s v="SZR"/>
  </r>
  <r>
    <x v="1628"/>
    <s v="CARRASCOSA"/>
    <s v="LA CARRASCOSA"/>
    <n v="42.6"/>
    <s v="18W000000000SDFC"/>
    <x v="9"/>
    <s v="Venta"/>
    <s v="SZR"/>
    <s v="TOTGA"/>
    <x v="0"/>
    <x v="141"/>
    <x v="9"/>
    <s v="SZR"/>
  </r>
  <r>
    <x v="1629"/>
    <s v="FVCARR"/>
    <s v="FVCARR"/>
    <n v="17.5"/>
    <s v="18W000000000R7MK"/>
    <x v="9"/>
    <s v="Venta"/>
    <s v="GN3"/>
    <s v="GNRA"/>
    <x v="0"/>
    <x v="46"/>
    <x v="9"/>
    <s v="GN3"/>
  </r>
  <r>
    <x v="1630"/>
    <s v="TORRECOT2"/>
    <s v="TORRES COTILLAS II"/>
    <n v="5.3"/>
    <s v="18W000000000TEKW"/>
    <x v="9"/>
    <s v="Venta"/>
    <s v="SZR"/>
    <s v="WMARK"/>
    <x v="0"/>
    <x v="22"/>
    <x v="9"/>
    <s v="SZR"/>
  </r>
  <r>
    <x v="1631"/>
    <s v="FVCOTILL"/>
    <s v="FVCOTILLAS"/>
    <n v="3.3"/>
    <s v="18W000000000TE6N"/>
    <x v="9"/>
    <s v="Venta"/>
    <s v="SZR"/>
    <s v="WMARK"/>
    <x v="0"/>
    <x v="22"/>
    <x v="9"/>
    <s v="SZR"/>
  </r>
  <r>
    <x v="1632"/>
    <s v="FVDEMET"/>
    <s v="PSF DEMETER"/>
    <n v="40.799999999999997"/>
    <s v="18W000000000SN44"/>
    <x v="9"/>
    <s v="Venta"/>
    <s v="SZR"/>
    <s v="WMARK"/>
    <x v="0"/>
    <x v="22"/>
    <x v="9"/>
    <s v="SZR"/>
  </r>
  <r>
    <x v="1633"/>
    <s v="PFV DNR"/>
    <s v="PFV DEHESA NUEVA DEL REY"/>
    <n v="46.2"/>
    <s v="18W000000000SPAN"/>
    <x v="9"/>
    <s v="Venta"/>
    <s v="SZR"/>
    <s v="TOTGA"/>
    <x v="0"/>
    <x v="141"/>
    <x v="9"/>
    <s v="SZR"/>
  </r>
  <r>
    <x v="1634"/>
    <s v="FVECOIB"/>
    <s v="FVECOIB"/>
    <n v="10"/>
    <s v="18W000000000Q49M"/>
    <x v="9"/>
    <s v="Venta"/>
    <s v="SZR"/>
    <s v="CEG"/>
    <x v="0"/>
    <x v="124"/>
    <x v="9"/>
    <s v="SZR"/>
  </r>
  <r>
    <x v="1635"/>
    <s v="FV ECOSOLA"/>
    <s v="FV ECOSOLAR"/>
    <n v="4"/>
    <s v="18W000000000SRY6"/>
    <x v="9"/>
    <s v="Venta"/>
    <s v="SZR"/>
    <s v="WMARK"/>
    <x v="0"/>
    <x v="22"/>
    <x v="9"/>
    <s v="SZR"/>
  </r>
  <r>
    <x v="1636"/>
    <s v="FVEIBC1"/>
    <s v="VENTA EXCEDENTES FV"/>
    <n v="1.8"/>
    <s v="18W000000000QIRI"/>
    <x v="9"/>
    <s v="Venta"/>
    <s v="SZR"/>
    <s v="IBGES"/>
    <x v="0"/>
    <x v="7"/>
    <x v="9"/>
    <s v="SZR"/>
  </r>
  <r>
    <x v="1637"/>
    <s v="FVEMINN"/>
    <s v="FVEMINN"/>
    <n v="124"/>
    <s v="18W000000000RAR1"/>
    <x v="9"/>
    <s v="Venta"/>
    <s v="END"/>
    <s v="ECYR"/>
    <x v="0"/>
    <x v="72"/>
    <x v="9"/>
    <s v="END"/>
  </r>
  <r>
    <x v="1638"/>
    <s v="VNZA"/>
    <s v="LIVENZA"/>
    <n v="4.7"/>
    <s v="18W000000000JVXW"/>
    <x v="9"/>
    <s v="Venta"/>
    <s v="SZR"/>
    <s v="GESTE"/>
    <x v="0"/>
    <x v="219"/>
    <x v="9"/>
    <s v="SZR"/>
  </r>
  <r>
    <x v="1639"/>
    <s v="FVERDLS"/>
    <s v="UP SOLAR VERDINALES"/>
    <n v="15"/>
    <s v="18W000000000S6U3"/>
    <x v="9"/>
    <s v="Venta"/>
    <s v="SZR"/>
    <s v="NEXU"/>
    <x v="0"/>
    <x v="187"/>
    <x v="9"/>
    <s v="SZR"/>
  </r>
  <r>
    <x v="1640"/>
    <s v="FVESCANOR"/>
    <s v="ESCALONILLA NORTE"/>
    <n v="4.7"/>
    <s v="18W000000000TE9H"/>
    <x v="9"/>
    <s v="Venta"/>
    <s v="SZR"/>
    <s v="WMARK"/>
    <x v="0"/>
    <x v="22"/>
    <x v="9"/>
    <s v="SZR"/>
  </r>
  <r>
    <x v="1641"/>
    <s v="FVESCASUR"/>
    <s v="ESCALONILLA SUR"/>
    <n v="4.7"/>
    <s v="18W000000000TEAF"/>
    <x v="9"/>
    <s v="Venta"/>
    <s v="SZR"/>
    <s v="WMARK"/>
    <x v="0"/>
    <x v="22"/>
    <x v="9"/>
    <s v="SZR"/>
  </r>
  <r>
    <x v="1642"/>
    <s v="FVFRA"/>
    <s v="FVFRA"/>
    <n v="40.200000000000003"/>
    <s v="18W000000000P4OX"/>
    <x v="9"/>
    <s v="Venta"/>
    <s v="SZR"/>
    <s v="GNRA"/>
    <x v="0"/>
    <x v="46"/>
    <x v="9"/>
    <s v="SZR"/>
  </r>
  <r>
    <x v="1643"/>
    <s v="FUENTEE"/>
    <s v="FUENTE DEL ANO"/>
    <n v="2.5"/>
    <s v="18W0000000000YAY"/>
    <x v="9"/>
    <s v="Venta"/>
    <s v="SZR"/>
    <s v="GESTE"/>
    <x v="0"/>
    <x v="219"/>
    <x v="9"/>
    <s v="SZR"/>
  </r>
  <r>
    <x v="1644"/>
    <s v="FVGALAZ"/>
    <s v="GALAZOCAN SOLAR"/>
    <n v="4.8"/>
    <s v="18W000000000RWR9"/>
    <x v="9"/>
    <s v="Venta"/>
    <s v="SZR"/>
    <s v="WMARK"/>
    <x v="0"/>
    <x v="22"/>
    <x v="9"/>
    <s v="SZR"/>
  </r>
  <r>
    <x v="1645"/>
    <s v="SOLARES 1"/>
    <s v="SOLARES MAYOR 1"/>
    <n v="678.9"/>
    <s v="18W000000000A0UJ"/>
    <x v="9"/>
    <s v="Venta"/>
    <s v="SZR"/>
    <s v="GNRA"/>
    <x v="0"/>
    <x v="46"/>
    <x v="9"/>
    <s v="SZR"/>
  </r>
  <r>
    <x v="1646"/>
    <s v="FVGREEN"/>
    <s v="FV EGREEN ZR"/>
    <n v="208"/>
    <s v="18W000000000PVZ4"/>
    <x v="9"/>
    <s v="Venta"/>
    <s v="ACC"/>
    <s v="EGED"/>
    <x v="0"/>
    <x v="186"/>
    <x v="9"/>
    <s v="ACC"/>
  </r>
  <r>
    <x v="1647"/>
    <s v="FVHIBRC"/>
    <s v="UFI COMPRA BATERIA EXTREM3"/>
    <n v="2.2000000000000002"/>
    <s v="18W000000000SNAT"/>
    <x v="12"/>
    <s v="Compra"/>
    <s v="SZR"/>
    <s v="EGED"/>
    <x v="5"/>
    <x v="186"/>
    <x v="12"/>
    <s v="SZR"/>
  </r>
  <r>
    <x v="1648"/>
    <s v="FVHIBRV"/>
    <s v="UP HIBRIDA VENTA EXTREMADURA 3"/>
    <n v="21.8"/>
    <s v="18W000000000TNUM"/>
    <x v="22"/>
    <s v="Venta"/>
    <s v="SZR"/>
    <s v="EGED"/>
    <x v="9"/>
    <x v="186"/>
    <x v="25"/>
    <s v="SZR"/>
  </r>
  <r>
    <x v="1649"/>
    <s v="FVHITA"/>
    <s v="FVHITA"/>
    <n v="1.7"/>
    <s v="18W000000000RTVA"/>
    <x v="9"/>
    <s v="Venta"/>
    <s v="SZR"/>
    <s v="CEG"/>
    <x v="0"/>
    <x v="124"/>
    <x v="9"/>
    <s v="SZR"/>
  </r>
  <r>
    <x v="1650"/>
    <s v="FVIENTO"/>
    <s v="UP SOLAR VIENTO"/>
    <n v="1.8"/>
    <s v="18W000000000SZQZ"/>
    <x v="9"/>
    <s v="Venta"/>
    <s v="SZR"/>
    <s v="NEXU"/>
    <x v="0"/>
    <x v="187"/>
    <x v="9"/>
    <s v="SZR"/>
  </r>
  <r>
    <x v="1651"/>
    <s v="VILLA"/>
    <s v="VILLAVALIENTE"/>
    <n v="4"/>
    <s v="18W000000000R213"/>
    <x v="9"/>
    <s v="Venta"/>
    <s v="SZR"/>
    <s v="GESTE"/>
    <x v="0"/>
    <x v="219"/>
    <x v="9"/>
    <s v="SZR"/>
  </r>
  <r>
    <x v="1652"/>
    <s v="VIÑAS"/>
    <s v="VIÑASGOMEZ"/>
    <n v="2.8"/>
    <s v="18W000000000RP6Z"/>
    <x v="9"/>
    <s v="Venta"/>
    <s v="SZR"/>
    <s v="GESTE"/>
    <x v="0"/>
    <x v="219"/>
    <x v="9"/>
    <s v="SZR"/>
  </r>
  <r>
    <x v="1653"/>
    <s v="FVITEC"/>
    <s v="FVITEC"/>
    <n v="3.4"/>
    <s v="18W000000000MZRK"/>
    <x v="9"/>
    <s v="Venta"/>
    <s v="SZR"/>
    <s v="VITEC"/>
    <x v="0"/>
    <x v="314"/>
    <x v="9"/>
    <s v="SZR"/>
  </r>
  <r>
    <x v="1654"/>
    <s v="FVITEC2"/>
    <s v="FV MAYOR 1"/>
    <n v="1.9"/>
    <s v="18W000000000TH0Q"/>
    <x v="9"/>
    <s v="Venta"/>
    <s v="SZR"/>
    <s v="VITEC"/>
    <x v="0"/>
    <x v="314"/>
    <x v="9"/>
    <s v="SZR"/>
  </r>
  <r>
    <x v="1655"/>
    <s v="VITIGUDINA"/>
    <s v="PARQUE FV VITIGUDINA"/>
    <n v="3"/>
    <s v="18W000000000P1EP"/>
    <x v="9"/>
    <s v="Venta"/>
    <s v="SZR"/>
    <s v="EBLCO"/>
    <x v="0"/>
    <x v="158"/>
    <x v="9"/>
    <s v="SZR"/>
  </r>
  <r>
    <x v="1656"/>
    <s v="VVL"/>
    <s v="VIVLS"/>
    <n v="1.2"/>
    <s v="18W000000000JX90"/>
    <x v="9"/>
    <s v="Venta"/>
    <s v="SZR"/>
    <s v="GESTE"/>
    <x v="0"/>
    <x v="219"/>
    <x v="9"/>
    <s v="SZR"/>
  </r>
  <r>
    <x v="1657"/>
    <s v="FVJADRA"/>
    <s v="PSF JADRAQUE"/>
    <n v="2"/>
    <s v="18W000000000S8GP"/>
    <x v="9"/>
    <s v="Venta"/>
    <s v="SZR"/>
    <s v="WMARK"/>
    <x v="0"/>
    <x v="22"/>
    <x v="9"/>
    <s v="SZR"/>
  </r>
  <r>
    <x v="1658"/>
    <s v="FVLAUEI"/>
    <s v="FV MAS DE 1MW"/>
    <n v="3.2"/>
    <s v="18W000000000OWSJ"/>
    <x v="9"/>
    <s v="Venta"/>
    <s v="SZR"/>
    <s v="LAUEI"/>
    <x v="0"/>
    <x v="301"/>
    <x v="9"/>
    <s v="SZR"/>
  </r>
  <r>
    <x v="1659"/>
    <s v="VLLNA"/>
    <s v="VILLANUEVA"/>
    <n v="42.2"/>
    <s v="18W000000000PWNP"/>
    <x v="9"/>
    <s v="Venta"/>
    <s v="GST1"/>
    <s v="GESTE"/>
    <x v="0"/>
    <x v="219"/>
    <x v="9"/>
    <s v="GST"/>
  </r>
  <r>
    <x v="1660"/>
    <s v="FVLOREN"/>
    <s v="FV LORENZO SOLAR"/>
    <n v="3.6"/>
    <s v="18W000000000RQ31"/>
    <x v="9"/>
    <s v="Venta"/>
    <s v="SZR"/>
    <s v="WMARK"/>
    <x v="0"/>
    <x v="22"/>
    <x v="9"/>
    <s v="SZR"/>
  </r>
  <r>
    <x v="1661"/>
    <s v="FVLVERD"/>
    <s v="UP SOLAR VALVERDE"/>
    <n v="2.4"/>
    <s v="18W000000000QMJM"/>
    <x v="9"/>
    <s v="Venta"/>
    <s v="SZR"/>
    <s v="NEXU"/>
    <x v="0"/>
    <x v="187"/>
    <x v="9"/>
    <s v="SZR"/>
  </r>
  <r>
    <x v="1662"/>
    <s v="FVMAYOR"/>
    <s v="UP SOLAR VILLAMAYOR"/>
    <n v="8.6"/>
    <s v="18W000000000SR6P"/>
    <x v="9"/>
    <s v="Venta"/>
    <s v="SZR"/>
    <s v="NEXU"/>
    <x v="0"/>
    <x v="187"/>
    <x v="9"/>
    <s v="SZR"/>
  </r>
  <r>
    <x v="1663"/>
    <s v="FVMAZO"/>
    <s v="FVMAZO"/>
    <n v="12.5"/>
    <s v="18W000000000R7KO"/>
    <x v="9"/>
    <s v="Venta"/>
    <s v="GN3"/>
    <s v="GNRA"/>
    <x v="0"/>
    <x v="46"/>
    <x v="9"/>
    <s v="GN3"/>
  </r>
  <r>
    <x v="1664"/>
    <s v="LA NORIA"/>
    <s v="FV LA NORIA"/>
    <n v="42.6"/>
    <s v="18W000000000SDGA"/>
    <x v="9"/>
    <s v="Venta"/>
    <s v="SZR"/>
    <s v="TOTGA"/>
    <x v="0"/>
    <x v="141"/>
    <x v="9"/>
    <s v="SZR"/>
  </r>
  <r>
    <x v="1665"/>
    <s v="FVNSER"/>
    <s v="FVNSER"/>
    <n v="40"/>
    <s v="18W000000000MSEU"/>
    <x v="9"/>
    <s v="Venta"/>
    <s v="SZR"/>
    <s v="GNRA"/>
    <x v="0"/>
    <x v="46"/>
    <x v="9"/>
    <s v="SZR"/>
  </r>
  <r>
    <x v="1666"/>
    <s v="FVPEDRAJ"/>
    <s v="LA PEDRAJA I"/>
    <n v="3.2"/>
    <s v="18W000000000TE8J"/>
    <x v="9"/>
    <s v="Venta"/>
    <s v="SZR"/>
    <s v="WMARK"/>
    <x v="0"/>
    <x v="22"/>
    <x v="9"/>
    <s v="SZR"/>
  </r>
  <r>
    <x v="1667"/>
    <s v="PILASTRA S"/>
    <s v="PILASTRA SOLAR"/>
    <n v="40"/>
    <s v="18W000000000S9ZL"/>
    <x v="9"/>
    <s v="Venta"/>
    <s v="SZR"/>
    <s v="TOTGA"/>
    <x v="0"/>
    <x v="141"/>
    <x v="9"/>
    <s v="SZR"/>
  </r>
  <r>
    <x v="1668"/>
    <s v="FVPON"/>
    <s v="FVPON"/>
    <n v="12.5"/>
    <s v="18W000000000P3FH"/>
    <x v="9"/>
    <s v="Venta"/>
    <s v="GN3"/>
    <s v="GNRA"/>
    <x v="0"/>
    <x v="46"/>
    <x v="9"/>
    <s v="GN3"/>
  </r>
  <r>
    <x v="1669"/>
    <s v="FVPOSA"/>
    <s v="FVPOSA"/>
    <n v="10"/>
    <s v="18W000000000R7JQ"/>
    <x v="9"/>
    <s v="Venta"/>
    <s v="GN3"/>
    <s v="GNRA"/>
    <x v="0"/>
    <x v="46"/>
    <x v="9"/>
    <s v="GN3"/>
  </r>
  <r>
    <x v="1670"/>
    <s v="POSTIGO SO"/>
    <s v="POSTIGO SOLAR"/>
    <n v="40"/>
    <s v="18W000000000SA1C"/>
    <x v="9"/>
    <s v="Venta"/>
    <s v="TOTENERG"/>
    <s v="TOTGA"/>
    <x v="0"/>
    <x v="141"/>
    <x v="9"/>
    <s v="TTE"/>
  </r>
  <r>
    <x v="1671"/>
    <s v="FV RIOJA"/>
    <s v="FV RIOJA"/>
    <n v="1.7"/>
    <s v="18W000000000ODYR"/>
    <x v="9"/>
    <s v="Venta"/>
    <s v="SZR"/>
    <s v="LMER"/>
    <x v="0"/>
    <x v="89"/>
    <x v="9"/>
    <s v="SZR"/>
  </r>
  <r>
    <x v="1672"/>
    <s v="FV SAN MIG"/>
    <s v="FV SAN MIGUEL D"/>
    <n v="33.200000000000003"/>
    <s v="18W000000000T41Q"/>
    <x v="9"/>
    <s v="Venta"/>
    <s v="SZR"/>
    <s v="WMARK"/>
    <x v="0"/>
    <x v="22"/>
    <x v="9"/>
    <s v="SZR"/>
  </r>
  <r>
    <x v="1673"/>
    <s v="FVSESAN"/>
    <s v="FVSESAN"/>
    <n v="39.6"/>
    <s v="18W000000000MSIM"/>
    <x v="9"/>
    <s v="Venta"/>
    <s v="SZR"/>
    <s v="GNRA"/>
    <x v="0"/>
    <x v="46"/>
    <x v="9"/>
    <s v="SZR"/>
  </r>
  <r>
    <x v="1674"/>
    <s v="FVSSVAN"/>
    <s v="FVSSVAN"/>
    <n v="40"/>
    <s v="18W000000000MSGQ"/>
    <x v="9"/>
    <s v="Venta"/>
    <s v="SZR"/>
    <s v="GNRA"/>
    <x v="0"/>
    <x v="46"/>
    <x v="9"/>
    <s v="SZR"/>
  </r>
  <r>
    <x v="1675"/>
    <s v="FVTABA"/>
    <s v="FVTABA"/>
    <n v="12.5"/>
    <s v="18W000000000R7LM"/>
    <x v="9"/>
    <s v="Venta"/>
    <s v="GN3"/>
    <s v="GNRA"/>
    <x v="0"/>
    <x v="46"/>
    <x v="9"/>
    <s v="GN3"/>
  </r>
  <r>
    <x v="1676"/>
    <s v="FVTEJES"/>
    <s v="FVTEJES"/>
    <n v="7"/>
    <s v="18W000000000N2XT"/>
    <x v="9"/>
    <s v="Venta"/>
    <s v="SZR"/>
    <s v="GNRA"/>
    <x v="0"/>
    <x v="46"/>
    <x v="9"/>
    <s v="SZR"/>
  </r>
  <r>
    <x v="1677"/>
    <s v="FVTORRNOR"/>
    <s v="TORRIJOS NORTE"/>
    <n v="4.7"/>
    <s v="18W000000000TEBD"/>
    <x v="9"/>
    <s v="Venta"/>
    <s v="SZR"/>
    <s v="WMARK"/>
    <x v="0"/>
    <x v="22"/>
    <x v="9"/>
    <s v="SZR"/>
  </r>
  <r>
    <x v="1678"/>
    <s v="FVTORRSUR"/>
    <s v="TORRIJOS SUR"/>
    <n v="4.7"/>
    <s v="18W000000000TECB"/>
    <x v="9"/>
    <s v="Venta"/>
    <s v="SZR"/>
    <s v="WMARK"/>
    <x v="0"/>
    <x v="22"/>
    <x v="9"/>
    <s v="SZR"/>
  </r>
  <r>
    <x v="1679"/>
    <s v="VALIENTES"/>
    <s v="VALIENTES 1"/>
    <n v="9"/>
    <s v="18W000000000SBIC"/>
    <x v="9"/>
    <s v="Venta"/>
    <s v="SZR"/>
    <s v="TOTGA"/>
    <x v="0"/>
    <x v="141"/>
    <x v="9"/>
    <s v="SZR"/>
  </r>
  <r>
    <x v="1680"/>
    <s v="VALIENTES2"/>
    <s v="FV VALIENTES 2"/>
    <n v="3.6"/>
    <s v="18W000000000SBN2"/>
    <x v="9"/>
    <s v="Venta"/>
    <s v="SZR"/>
    <s v="TOTGA"/>
    <x v="0"/>
    <x v="141"/>
    <x v="9"/>
    <s v="SZR"/>
  </r>
  <r>
    <x v="1681"/>
    <s v="FXRSPRE"/>
    <s v="FXRSPRE"/>
    <n v="0.8"/>
    <s v="18W00000000079YX"/>
    <x v="9"/>
    <s v="Venta"/>
    <s v="SZR"/>
    <s v="RSPRE"/>
    <x v="0"/>
    <x v="303"/>
    <x v="9"/>
    <s v="SZR"/>
  </r>
  <r>
    <x v="1682"/>
    <s v="FYAGENT"/>
    <s v="AGENT ( FOTOVOLTAICA,TARIFA,NO EXENTO )"/>
    <n v="2.1"/>
    <s v="18WFYAGENT-123-E"/>
    <x v="9"/>
    <s v="Venta"/>
    <s v="SZR"/>
    <s v="AGENT"/>
    <x v="0"/>
    <x v="315"/>
    <x v="9"/>
    <s v="SZR"/>
  </r>
  <r>
    <x v="1683"/>
    <s v="FYAGREN"/>
    <s v="FYAGREN"/>
    <n v="0.2"/>
    <s v="18W000000000ROL8"/>
    <x v="9"/>
    <s v="Venta"/>
    <s v="SZR"/>
    <s v="AGREN"/>
    <x v="0"/>
    <x v="27"/>
    <x v="9"/>
    <s v="SZR"/>
  </r>
  <r>
    <x v="1684"/>
    <s v="FYALBA1"/>
    <s v="FYALBA1"/>
    <n v="5.2"/>
    <s v="18W000000000Q2RT"/>
    <x v="9"/>
    <s v="Venta"/>
    <s v="SZR"/>
    <s v="CEG"/>
    <x v="0"/>
    <x v="124"/>
    <x v="9"/>
    <s v="SZR"/>
  </r>
  <r>
    <x v="1685"/>
    <s v="FYALBA2"/>
    <s v="FYALBA2"/>
    <n v="4.7"/>
    <s v="18W000000000Q2TP"/>
    <x v="9"/>
    <s v="Venta"/>
    <s v="SZR"/>
    <s v="CEG"/>
    <x v="0"/>
    <x v="124"/>
    <x v="9"/>
    <s v="SZR"/>
  </r>
  <r>
    <x v="1686"/>
    <s v="FYAME"/>
    <s v="FOTOVOLTAICA MENOS 1 MW"/>
    <n v="1.1000000000000001"/>
    <s v="18WFYAME-12345-4"/>
    <x v="9"/>
    <s v="Venta"/>
    <s v="SZR"/>
    <s v="AME"/>
    <x v="0"/>
    <x v="0"/>
    <x v="9"/>
    <s v="SZR"/>
  </r>
  <r>
    <x v="1687"/>
    <s v="FOTVREGESP"/>
    <s v="FOTOVOLTAICA RETRIBUCION ESPECIFICA"/>
    <n v="0"/>
    <s v="18WFYASIE-1234-5"/>
    <x v="9"/>
    <s v="Venta"/>
    <s v="SZR"/>
    <s v="ASIE"/>
    <x v="0"/>
    <x v="73"/>
    <x v="9"/>
    <s v="SZR"/>
  </r>
  <r>
    <x v="1688"/>
    <s v="FYATENC"/>
    <s v="FYATENC"/>
    <n v="1.4"/>
    <s v="18W000000000TH1O"/>
    <x v="9"/>
    <s v="Venta"/>
    <s v="SZR"/>
    <s v="ATENC"/>
    <x v="0"/>
    <x v="77"/>
    <x v="9"/>
    <s v="SZR"/>
  </r>
  <r>
    <x v="1689"/>
    <s v="FYATLAS"/>
    <s v="FYATLAS"/>
    <n v="2.2000000000000002"/>
    <s v="18W000000000JMYK"/>
    <x v="9"/>
    <s v="Venta"/>
    <s v="SZR"/>
    <s v="ATLAS"/>
    <x v="0"/>
    <x v="78"/>
    <x v="9"/>
    <s v="SZR"/>
  </r>
  <r>
    <x v="1690"/>
    <s v="FYBSG"/>
    <s v="FYBSG"/>
    <n v="14.4"/>
    <s v="18W000000000BCMW"/>
    <x v="9"/>
    <s v="Venta"/>
    <s v="SZR"/>
    <s v="BSGEA"/>
    <x v="0"/>
    <x v="106"/>
    <x v="9"/>
    <s v="SZR"/>
  </r>
  <r>
    <x v="1691"/>
    <s v="FYCEG"/>
    <s v="CEG ( FOTOVOLTAICA,TARIFA,NO EXENTO )"/>
    <n v="51.6"/>
    <s v="18WFYCEG-12345-7"/>
    <x v="9"/>
    <s v="Venta"/>
    <s v="SZR"/>
    <s v="CEG"/>
    <x v="0"/>
    <x v="124"/>
    <x v="9"/>
    <s v="SZR"/>
  </r>
  <r>
    <x v="1692"/>
    <s v="FYCESOS"/>
    <s v="UP FOTOVOLTAICA CESOS"/>
    <n v="0.5"/>
    <s v="18W000000000R0N2"/>
    <x v="9"/>
    <s v="Venta"/>
    <s v="SZR"/>
    <s v="CESOS"/>
    <x v="0"/>
    <x v="3"/>
    <x v="9"/>
    <s v="SZR"/>
  </r>
  <r>
    <x v="1693"/>
    <s v="FYCEXXI"/>
    <s v="ENDESA CUR FOTOVOL MAYOR 100"/>
    <n v="0"/>
    <s v="18W000000000FDMD"/>
    <x v="9"/>
    <s v="Venta"/>
    <s v="SZR"/>
    <s v="EEXXI"/>
    <x v="0"/>
    <x v="72"/>
    <x v="9"/>
    <s v="SZR"/>
  </r>
  <r>
    <x v="1694"/>
    <s v="RET SUP 15"/>
    <s v="REGIMEN ESPECIAL TARIFA &gt;15"/>
    <n v="8.5"/>
    <s v="18WFYCLIDM-123-Z"/>
    <x v="9"/>
    <s v="Venta"/>
    <s v="SZR"/>
    <s v="CLIDM"/>
    <x v="0"/>
    <x v="143"/>
    <x v="9"/>
    <s v="SZR"/>
  </r>
  <r>
    <x v="1695"/>
    <s v="UPRREFVCD"/>
    <s v="UP REPRESENTACION RE FV CON DESVIOS"/>
    <n v="11.6"/>
    <s v="18WFYCYE-12345-A"/>
    <x v="9"/>
    <s v="Venta"/>
    <s v="SZR"/>
    <s v="CYE"/>
    <x v="0"/>
    <x v="163"/>
    <x v="9"/>
    <s v="SZR"/>
  </r>
  <r>
    <x v="1696"/>
    <s v="FYDETIC"/>
    <s v="DETIC ( FOTOVOLTAICA,TARIFA,NO EXENTO )"/>
    <n v="4.2"/>
    <s v="18WFYDETIC-123-P"/>
    <x v="9"/>
    <s v="Venta"/>
    <s v="SZR"/>
    <s v="DETIC"/>
    <x v="0"/>
    <x v="71"/>
    <x v="9"/>
    <s v="SZR"/>
  </r>
  <r>
    <x v="1697"/>
    <s v="FYEBEN"/>
    <s v="COLMENA SUN YEBENES"/>
    <n v="1"/>
    <s v="18W000000000OYU9"/>
    <x v="9"/>
    <s v="Venta"/>
    <s v="SZR"/>
    <s v="EGLE"/>
    <x v="0"/>
    <x v="82"/>
    <x v="9"/>
    <s v="SZR"/>
  </r>
  <r>
    <x v="1698"/>
    <s v="FYEBLCO"/>
    <s v="EBLCO ( FOTOVOLTAICA,TARIFA,NO EXENTO )"/>
    <n v="5.5"/>
    <s v="18WFYEBLCO-123-6"/>
    <x v="9"/>
    <s v="Venta"/>
    <s v="SZR"/>
    <s v="EBLCO"/>
    <x v="0"/>
    <x v="158"/>
    <x v="9"/>
    <s v="SZR"/>
  </r>
  <r>
    <x v="1699"/>
    <s v="FYEEXXI"/>
    <s v="ENDESA CUR ( TARIFA, FOTOVOLTAICA, NO EXENTA)"/>
    <n v="281.3"/>
    <s v="18WFYEEXXI-123-1"/>
    <x v="9"/>
    <s v="Venta"/>
    <s v="SZR"/>
    <s v="EEXXI"/>
    <x v="0"/>
    <x v="72"/>
    <x v="9"/>
    <s v="SZR"/>
  </r>
  <r>
    <x v="1700"/>
    <s v="FYEFG"/>
    <s v="EFG ( FOTOVOLTAICA,TARIFA,NO EXENTO )"/>
    <n v="67.8"/>
    <s v="18WFYEFG-12345-C"/>
    <x v="9"/>
    <s v="Venta"/>
    <s v="SZR"/>
    <s v="EFG"/>
    <x v="0"/>
    <x v="213"/>
    <x v="9"/>
    <s v="SZR"/>
  </r>
  <r>
    <x v="1701"/>
    <s v="FYEGED"/>
    <s v="FYEGED"/>
    <n v="0.8"/>
    <s v="18W000000000Q00F"/>
    <x v="9"/>
    <s v="Venta"/>
    <s v="SZR"/>
    <s v="EGED"/>
    <x v="0"/>
    <x v="186"/>
    <x v="9"/>
    <s v="SZR"/>
  </r>
  <r>
    <x v="1702"/>
    <s v="FYEGLE"/>
    <s v="EGLE ( FOTOVOLTAICA,TARIFA,NO EXENTO )"/>
    <n v="9"/>
    <s v="18WFYEGLE-1234-H"/>
    <x v="9"/>
    <s v="Venta"/>
    <s v="SZR"/>
    <s v="EGLE"/>
    <x v="0"/>
    <x v="82"/>
    <x v="9"/>
    <s v="SZR"/>
  </r>
  <r>
    <x v="1703"/>
    <s v="FYEGUAS"/>
    <s v="FYEGUAS"/>
    <n v="3"/>
    <s v="18W000000000SKNC"/>
    <x v="9"/>
    <s v="Venta"/>
    <s v="SZR"/>
    <s v="CEG"/>
    <x v="0"/>
    <x v="124"/>
    <x v="9"/>
    <s v="SZR"/>
  </r>
  <r>
    <x v="1704"/>
    <s v="FYENDG"/>
    <s v="FYENDG"/>
    <n v="0.4"/>
    <s v="18WFYENDG-1234-3"/>
    <x v="9"/>
    <s v="Venta"/>
    <s v="SZR"/>
    <s v="ENDG"/>
    <x v="0"/>
    <x v="72"/>
    <x v="9"/>
    <s v="SZR"/>
  </r>
  <r>
    <x v="1705"/>
    <s v="FYEONUR"/>
    <s v="E.ON CUR ( TARIFA, FOTOVOLTAICA, NO EXENTA)"/>
    <n v="2.4"/>
    <s v="18WFYEONUR-123-Q"/>
    <x v="9"/>
    <s v="Venta"/>
    <s v="SZR"/>
    <s v="EONUR"/>
    <x v="0"/>
    <x v="270"/>
    <x v="9"/>
    <s v="SZR"/>
  </r>
  <r>
    <x v="1706"/>
    <s v="YPS"/>
    <s v="FOTYEPES"/>
    <n v="2.8"/>
    <s v="18W000000000IWWZ"/>
    <x v="9"/>
    <s v="Venta"/>
    <s v="SZR"/>
    <s v="GESTE"/>
    <x v="0"/>
    <x v="219"/>
    <x v="9"/>
    <s v="SZR"/>
  </r>
  <r>
    <x v="1707"/>
    <s v="FYESERA"/>
    <s v="UP FV YESERAS"/>
    <n v="10.199999999999999"/>
    <s v="18W000000000FYY0"/>
    <x v="9"/>
    <s v="Venta"/>
    <s v="NEXUS"/>
    <s v="NEXU"/>
    <x v="0"/>
    <x v="187"/>
    <x v="9"/>
    <s v="NEX"/>
  </r>
  <r>
    <x v="1708"/>
    <s v="FYFEN"/>
    <s v="FOTOVOLTAICA MAYOR 15 KW"/>
    <n v="210.7"/>
    <s v="18WFYFEN-12345-M"/>
    <x v="9"/>
    <s v="Venta"/>
    <s v="SZR"/>
    <s v="FEN"/>
    <x v="0"/>
    <x v="154"/>
    <x v="9"/>
    <s v="SZR"/>
  </r>
  <r>
    <x v="1709"/>
    <s v="UP FYFUTGR"/>
    <s v="UP FOTOVOLTAICA FUTURA GREEN"/>
    <n v="0.6"/>
    <s v="18WFYFUTGR-123-D"/>
    <x v="9"/>
    <s v="Venta"/>
    <s v="SZR"/>
    <s v="FUTGR"/>
    <x v="0"/>
    <x v="146"/>
    <x v="9"/>
    <s v="SZR"/>
  </r>
  <r>
    <x v="1710"/>
    <s v="FYGAC"/>
    <s v="GAC ( FOTOVOLTAICA,TARIFA,NO EXENTO )"/>
    <n v="30.1"/>
    <s v="18WFYGAC-12345-2"/>
    <x v="9"/>
    <s v="Venta"/>
    <s v="SZR"/>
    <s v="GAC"/>
    <x v="0"/>
    <x v="295"/>
    <x v="9"/>
    <s v="SZR"/>
  </r>
  <r>
    <x v="1711"/>
    <s v="GEM FV"/>
    <s v="GEM FV"/>
    <n v="0.1"/>
    <s v="18W000000000F5CK"/>
    <x v="9"/>
    <s v="Venta"/>
    <s v="SZR"/>
    <s v="GEMSL"/>
    <x v="0"/>
    <x v="280"/>
    <x v="9"/>
    <s v="SZR"/>
  </r>
  <r>
    <x v="1712"/>
    <s v="FYGENER"/>
    <s v="GENER ( FOTOVOLTAICA,TARIFA,NO EXENTO )"/>
    <n v="1.4"/>
    <s v="18WFYGENER-123-A"/>
    <x v="9"/>
    <s v="Venta"/>
    <s v="SZR"/>
    <s v="ADXRE"/>
    <x v="0"/>
    <x v="37"/>
    <x v="9"/>
    <s v="SZR"/>
  </r>
  <r>
    <x v="1713"/>
    <s v="FYGESTE"/>
    <s v="GESTE ( FOTOVOLTAICA,TARIFA,NO EXENTO )"/>
    <n v="334.1"/>
    <s v="18WFYGESTE-123-A"/>
    <x v="9"/>
    <s v="Venta"/>
    <s v="SZR"/>
    <s v="GESTE"/>
    <x v="0"/>
    <x v="219"/>
    <x v="9"/>
    <s v="SZR"/>
  </r>
  <r>
    <x v="1714"/>
    <s v="FYGNRA"/>
    <s v="GNRA ( FOTOVOLTAICA,TARIFA,NO EXENTO )"/>
    <n v="183.5"/>
    <s v="18WFYGNRA-1234-E"/>
    <x v="9"/>
    <s v="Venta"/>
    <s v="SZR"/>
    <s v="GNRA"/>
    <x v="0"/>
    <x v="46"/>
    <x v="9"/>
    <s v="SZR"/>
  </r>
  <r>
    <x v="1715"/>
    <s v="FYGNSUR"/>
    <s v="GAS NATURAL SUR SDG ( TARIFA, FOTOVOLTAICA, NO EXENTA)"/>
    <n v="316.89999999999998"/>
    <s v="18WFYGNSUR-123-6"/>
    <x v="9"/>
    <s v="Venta"/>
    <s v="SZR"/>
    <s v="GNSUR"/>
    <x v="0"/>
    <x v="8"/>
    <x v="9"/>
    <s v="SZR"/>
  </r>
  <r>
    <x v="1716"/>
    <s v="GSE S.A."/>
    <s v="GLOBAL SOLAR ENERGY S.A."/>
    <n v="12.6"/>
    <s v="18WFYGSETT-123-2"/>
    <x v="9"/>
    <s v="Venta"/>
    <s v="SZR"/>
    <s v="GSETT"/>
    <x v="0"/>
    <x v="316"/>
    <x v="9"/>
    <s v="SZR"/>
  </r>
  <r>
    <x v="1717"/>
    <s v="FYHCCUR"/>
    <s v="HIDROCANTABRICO CUR ( TARIFA, FOTOVOLTAICA, NO EXENTA)"/>
    <n v="4.2"/>
    <s v="18WFYHCCUR-123-R"/>
    <x v="9"/>
    <s v="Venta"/>
    <s v="SZR"/>
    <s v="HCCUR"/>
    <x v="0"/>
    <x v="273"/>
    <x v="9"/>
    <s v="SZR"/>
  </r>
  <r>
    <x v="1718"/>
    <s v="FYHCG"/>
    <s v="UP FOTOVOLTAICA HCG"/>
    <n v="0"/>
    <s v="18W000000000CRRA"/>
    <x v="9"/>
    <s v="Venta"/>
    <s v="SZR"/>
    <s v="HC G"/>
    <x v="0"/>
    <x v="3"/>
    <x v="9"/>
    <s v="SZR"/>
  </r>
  <r>
    <x v="1719"/>
    <s v="FYHELIO"/>
    <s v="HELIO ( FOTOVOLTAICA,TARIFA,NO EXENTO )"/>
    <n v="2.9"/>
    <s v="18WFYHELIO-123-6"/>
    <x v="9"/>
    <s v="Venta"/>
    <s v="SZR"/>
    <s v="HELIO"/>
    <x v="0"/>
    <x v="317"/>
    <x v="9"/>
    <s v="SZR"/>
  </r>
  <r>
    <x v="1720"/>
    <s v="FYIBCUR"/>
    <s v="IBERDROLA CUR ( TARIFA, FOTOVOLTAICA, NO EXENTA)"/>
    <n v="574.9"/>
    <s v="18WFYIBCUR-123-Q"/>
    <x v="9"/>
    <s v="Venta"/>
    <s v="SZR"/>
    <s v="IBCUR"/>
    <x v="0"/>
    <x v="7"/>
    <x v="9"/>
    <s v="SZR"/>
  </r>
  <r>
    <x v="1721"/>
    <s v="FYIBGES"/>
    <s v="FYIBGES"/>
    <n v="0"/>
    <s v="18WFYIBGES-123-0"/>
    <x v="9"/>
    <s v="Venta"/>
    <s v="SZR"/>
    <s v="IBGES"/>
    <x v="0"/>
    <x v="7"/>
    <x v="9"/>
    <s v="SZR"/>
  </r>
  <r>
    <x v="1722"/>
    <s v="IGNI FY"/>
    <s v="IGNIS AGRUPACION SOLAR FOTOVOLTAICA"/>
    <n v="1.8"/>
    <s v="18W000000000PZQA"/>
    <x v="9"/>
    <s v="Venta"/>
    <s v="SZR"/>
    <s v="IGNIS"/>
    <x v="0"/>
    <x v="28"/>
    <x v="9"/>
    <s v="SZR"/>
  </r>
  <r>
    <x v="1723"/>
    <s v="FYLAUEI"/>
    <s v="REPRESENTANTE &gt;15 KW"/>
    <n v="15.1"/>
    <s v="18WFYLAUEI-123-W"/>
    <x v="9"/>
    <s v="Venta"/>
    <s v="SZR"/>
    <s v="LAUEI"/>
    <x v="0"/>
    <x v="301"/>
    <x v="9"/>
    <s v="SZR"/>
  </r>
  <r>
    <x v="1724"/>
    <s v="FYLMER"/>
    <s v="LMER ( FOTOVOLTAICA,TARIFA,NO EXENTO )"/>
    <n v="7.5"/>
    <s v="18WFYLMER-1234-O"/>
    <x v="9"/>
    <s v="Venta"/>
    <s v="SZR"/>
    <s v="LMER"/>
    <x v="0"/>
    <x v="89"/>
    <x v="9"/>
    <s v="SZR"/>
  </r>
  <r>
    <x v="1725"/>
    <s v="FYNEXU"/>
    <s v="NEXU ( FOTOVOLTAICA,TARIFA,NO EXENTO )"/>
    <n v="838.1"/>
    <s v="18WFYNEXU-1234-Z"/>
    <x v="9"/>
    <s v="Venta"/>
    <s v="SZR"/>
    <s v="NEXU"/>
    <x v="0"/>
    <x v="187"/>
    <x v="9"/>
    <s v="SZR"/>
  </r>
  <r>
    <x v="1726"/>
    <s v="FYNRENO"/>
    <s v="NRENO ( FOTOVOLTAICA,TARIFA,NO EXENTO )"/>
    <n v="1.8"/>
    <s v="18WFYNRENO-123-I"/>
    <x v="9"/>
    <s v="Venta"/>
    <s v="SZR"/>
    <s v="NRENO"/>
    <x v="0"/>
    <x v="187"/>
    <x v="9"/>
    <s v="SZR"/>
  </r>
  <r>
    <x v="1727"/>
    <s v="FYREN2"/>
    <s v="FYREN2"/>
    <n v="95.1"/>
    <s v="18W000000000PM99"/>
    <x v="9"/>
    <s v="Venta"/>
    <s v="SZR"/>
    <s v="CEG"/>
    <x v="0"/>
    <x v="124"/>
    <x v="9"/>
    <s v="SZR"/>
  </r>
  <r>
    <x v="1728"/>
    <s v="FYRSPRA"/>
    <s v="FYRSPRA"/>
    <n v="31.5"/>
    <s v="18WFYRSPRA-123-5"/>
    <x v="9"/>
    <s v="Venta"/>
    <s v="SZR"/>
    <s v="RSPRA"/>
    <x v="0"/>
    <x v="101"/>
    <x v="9"/>
    <s v="SZR"/>
  </r>
  <r>
    <x v="1729"/>
    <s v="FOT AGRUPA"/>
    <s v="FOTOVOLTAICA AGRUPACION"/>
    <n v="7.3"/>
    <s v="18W000000000BWM9"/>
    <x v="9"/>
    <s v="Venta"/>
    <s v="SZR"/>
    <s v="SHELL"/>
    <x v="0"/>
    <x v="318"/>
    <x v="9"/>
    <s v="SZR"/>
  </r>
  <r>
    <x v="1730"/>
    <s v="TERSAFVOL"/>
    <s v="TERSA SOLAR FOTOVOLTAICA"/>
    <n v="2.6"/>
    <s v="18W0000000007AJN"/>
    <x v="9"/>
    <s v="Venta"/>
    <s v="SZR"/>
    <s v="TERSA"/>
    <x v="0"/>
    <x v="319"/>
    <x v="9"/>
    <s v="SZR"/>
  </r>
  <r>
    <x v="1731"/>
    <s v="FYUNQUE"/>
    <s v="UP SOLAR YUNQUERAS"/>
    <n v="1.1000000000000001"/>
    <s v="18W000000000SUQD"/>
    <x v="9"/>
    <s v="Venta"/>
    <s v="SZR"/>
    <s v="NEXU"/>
    <x v="0"/>
    <x v="187"/>
    <x v="9"/>
    <s v="SZR"/>
  </r>
  <r>
    <x v="1732"/>
    <s v="FYWMARK"/>
    <s v="WMARK ( FOTOVOLTAICA,TARIFA,NO EXENTO )"/>
    <n v="37"/>
    <s v="18WFYWMARK-123-1"/>
    <x v="9"/>
    <s v="Venta"/>
    <s v="SZR"/>
    <s v="WMARK"/>
    <x v="0"/>
    <x v="22"/>
    <x v="9"/>
    <s v="SZR"/>
  </r>
  <r>
    <x v="1733"/>
    <s v="UP ZAFRA"/>
    <s v="UP FV ZAFRA"/>
    <n v="45.8"/>
    <s v="18W000000000FT9S"/>
    <x v="9"/>
    <s v="Venta"/>
    <s v="SZR"/>
    <s v="NEXU"/>
    <x v="0"/>
    <x v="187"/>
    <x v="9"/>
    <s v="SZR"/>
  </r>
  <r>
    <x v="1734"/>
    <s v="FZARZMS"/>
    <s v="UP FV ZARZA M SOLAR"/>
    <n v="7"/>
    <s v="18WFZARZMS-123-E"/>
    <x v="9"/>
    <s v="Venta"/>
    <s v="SZR"/>
    <s v="NEXU"/>
    <x v="0"/>
    <x v="187"/>
    <x v="9"/>
    <s v="SZR"/>
  </r>
  <r>
    <x v="1735"/>
    <s v="FZNCONE"/>
    <s v="UP SOLAR ZANCONES"/>
    <n v="6"/>
    <s v="18W000000000SQMX"/>
    <x v="9"/>
    <s v="Venta"/>
    <s v="SZR"/>
    <s v="NEXU"/>
    <x v="0"/>
    <x v="187"/>
    <x v="9"/>
    <s v="SZR"/>
  </r>
  <r>
    <x v="1736"/>
    <s v="FZORITA"/>
    <s v="FZORITA"/>
    <n v="38.200000000000003"/>
    <s v="18W000000000SPVI"/>
    <x v="9"/>
    <s v="Venta"/>
    <s v="SZR"/>
    <s v="CEG"/>
    <x v="0"/>
    <x v="124"/>
    <x v="9"/>
    <s v="SZR"/>
  </r>
  <r>
    <x v="1737"/>
    <s v="FZRATAN"/>
    <s v="UP SOLAR ZARATAN"/>
    <n v="20.5"/>
    <s v="18W000000000TIA3"/>
    <x v="9"/>
    <s v="Venta"/>
    <s v="SZR"/>
    <s v="NEXU"/>
    <x v="0"/>
    <x v="187"/>
    <x v="9"/>
    <s v="SZR"/>
  </r>
  <r>
    <x v="1738"/>
    <s v="FZRPCOS"/>
    <s v="UP SOLAR ZARAPICOS"/>
    <n v="1.7"/>
    <s v="18W000000000RL4E"/>
    <x v="9"/>
    <s v="Venta"/>
    <s v="SZR"/>
    <s v="NEXU"/>
    <x v="0"/>
    <x v="187"/>
    <x v="9"/>
    <s v="SZR"/>
  </r>
  <r>
    <x v="1739"/>
    <s v="FZUERAA2"/>
    <s v="FZUERAA2"/>
    <n v="9.9"/>
    <s v="18W000000000MEYW"/>
    <x v="9"/>
    <s v="Venta"/>
    <s v="SZR"/>
    <s v="NEXU"/>
    <x v="0"/>
    <x v="187"/>
    <x v="9"/>
    <s v="SZR"/>
  </r>
  <r>
    <x v="1740"/>
    <s v="FZUERAA"/>
    <s v="FZUERAA"/>
    <n v="9"/>
    <s v="18W000000000MEXY"/>
    <x v="9"/>
    <s v="Venta"/>
    <s v="SZR"/>
    <s v="NEXU"/>
    <x v="0"/>
    <x v="187"/>
    <x v="9"/>
    <s v="SZR"/>
  </r>
  <r>
    <x v="1741"/>
    <s v="GABA"/>
    <s v="GABA COMERCIALIZADORA DE ELECTRICIDAD SLU"/>
    <n v="3"/>
    <s v="18W000000000N5ZG"/>
    <x v="2"/>
    <s v="Compra"/>
    <s v="SZR"/>
    <s v="GABAC"/>
    <x v="1"/>
    <x v="320"/>
    <x v="2"/>
    <s v="SZR"/>
  </r>
  <r>
    <x v="1742"/>
    <s v="GACC01"/>
    <s v="GEOATLANTER COMPRA"/>
    <n v="0.8"/>
    <s v="18WGEOATLANTERP1"/>
    <x v="2"/>
    <s v="Compra"/>
    <s v="SZR"/>
    <s v="GAC"/>
    <x v="1"/>
    <x v="295"/>
    <x v="2"/>
    <s v="SZR"/>
  </r>
  <r>
    <x v="1743"/>
    <s v="GAENER1"/>
    <s v="GAENER1"/>
    <n v="100"/>
    <s v="18W000000000I1QT"/>
    <x v="26"/>
    <s v="Compra"/>
    <s v="SZR"/>
    <s v="AENER"/>
    <x v="12"/>
    <x v="23"/>
    <x v="32"/>
    <s v="SZR"/>
  </r>
  <r>
    <x v="1744"/>
    <s v="GAIA COMER"/>
    <s v="GAIA COMERCIALIZADORA"/>
    <n v="0.1"/>
    <s v="18W000000000CG2J"/>
    <x v="2"/>
    <s v="Compra"/>
    <s v="SZR"/>
    <s v="GGLOB"/>
    <x v="1"/>
    <x v="321"/>
    <x v="2"/>
    <s v="SZR"/>
  </r>
  <r>
    <x v="1745"/>
    <s v="GALAC01"/>
    <s v="GALAC01"/>
    <n v="0.5"/>
    <s v="18WGALAC01-123-Y"/>
    <x v="2"/>
    <s v="Compra"/>
    <s v="SZR"/>
    <s v="GALA1"/>
    <x v="1"/>
    <x v="322"/>
    <x v="2"/>
    <s v="SZR"/>
  </r>
  <r>
    <x v="1746"/>
    <s v="GALPUP"/>
    <s v="GALP ENERGÍA ESPAÑA, S.A.U."/>
    <n v="9.3000000000000007"/>
    <s v="18WGALPC01-12--7"/>
    <x v="2"/>
    <s v="Compra"/>
    <s v="SZR"/>
    <s v="GALP"/>
    <x v="1"/>
    <x v="323"/>
    <x v="2"/>
    <s v="SZR"/>
  </r>
  <r>
    <x v="1747"/>
    <s v="GALPSRAD"/>
    <s v="GALPSRAD"/>
    <n v="8"/>
    <s v="18W000000000QKT8"/>
    <x v="2"/>
    <s v="Compra"/>
    <s v="SZR"/>
    <s v="GALP"/>
    <x v="1"/>
    <x v="323"/>
    <x v="2"/>
    <s v="SZR"/>
  </r>
  <r>
    <x v="1748"/>
    <s v="GALPV1"/>
    <s v="GALP VENTA 1"/>
    <n v="41"/>
    <s v="18W000000000LYAO"/>
    <x v="9"/>
    <s v="Venta"/>
    <s v="GAL"/>
    <s v="GALP"/>
    <x v="0"/>
    <x v="323"/>
    <x v="9"/>
    <s v="GAL"/>
  </r>
  <r>
    <x v="1749"/>
    <s v="GALPS2"/>
    <s v="GALP VENTA 2"/>
    <n v="36"/>
    <s v="18W000000000LYBM"/>
    <x v="9"/>
    <s v="Venta"/>
    <s v="GAL"/>
    <s v="GALP"/>
    <x v="0"/>
    <x v="323"/>
    <x v="9"/>
    <s v="GAL"/>
  </r>
  <r>
    <x v="1750"/>
    <s v="LOGRO"/>
    <s v="PARQUE LOGRO"/>
    <n v="44.1"/>
    <s v="18W000000000N3GN"/>
    <x v="9"/>
    <s v="Venta"/>
    <s v="GAL"/>
    <s v="GALP"/>
    <x v="0"/>
    <x v="323"/>
    <x v="9"/>
    <s v="GAL"/>
  </r>
  <r>
    <x v="1751"/>
    <s v="IALCI"/>
    <s v="ICTIO ALCAZAR I"/>
    <n v="44.4"/>
    <s v="18W000000000NHP0"/>
    <x v="9"/>
    <s v="Venta"/>
    <s v="GAL"/>
    <s v="GALP"/>
    <x v="0"/>
    <x v="323"/>
    <x v="9"/>
    <s v="GAL"/>
  </r>
  <r>
    <x v="1752"/>
    <s v="IALCI"/>
    <s v="ICTIO ALACAZAR II"/>
    <n v="44.4"/>
    <s v="18W000000000NHQZ"/>
    <x v="9"/>
    <s v="Venta"/>
    <s v="GAL"/>
    <s v="GALP"/>
    <x v="0"/>
    <x v="323"/>
    <x v="9"/>
    <s v="GAL"/>
  </r>
  <r>
    <x v="1753"/>
    <s v="IALCAIII"/>
    <s v="ICTIO ALCAZAR III"/>
    <n v="44.4"/>
    <s v="18W000000000NHRX"/>
    <x v="9"/>
    <s v="Venta"/>
    <s v="GAL"/>
    <s v="GALP"/>
    <x v="0"/>
    <x v="323"/>
    <x v="9"/>
    <s v="GAL"/>
  </r>
  <r>
    <x v="1754"/>
    <s v="ALCAZAR II"/>
    <s v="ALCAZAR II"/>
    <n v="36"/>
    <s v="18W000000000OV04"/>
    <x v="9"/>
    <s v="Venta"/>
    <s v="GAL"/>
    <s v="GALP"/>
    <x v="0"/>
    <x v="323"/>
    <x v="9"/>
    <s v="GAL"/>
  </r>
  <r>
    <x v="1755"/>
    <s v="VALDIVIESO"/>
    <s v="VALDIVIESO"/>
    <n v="41"/>
    <s v="18W000000000OV20"/>
    <x v="9"/>
    <s v="Venta"/>
    <s v="GAL"/>
    <s v="GALP"/>
    <x v="0"/>
    <x v="323"/>
    <x v="9"/>
    <s v="GAL"/>
  </r>
  <r>
    <x v="1756"/>
    <s v="RIBAGRANDE"/>
    <s v="RIBAGRANDE"/>
    <n v="38.1"/>
    <s v="18W000000000PAFX"/>
    <x v="9"/>
    <s v="Venta"/>
    <s v="GAL"/>
    <s v="GALP"/>
    <x v="0"/>
    <x v="323"/>
    <x v="9"/>
    <s v="GAL"/>
  </r>
  <r>
    <x v="1757"/>
    <s v="GALPS3"/>
    <s v="GALP VENTA 3"/>
    <n v="35"/>
    <s v="18W000000000M8EG"/>
    <x v="9"/>
    <s v="Venta"/>
    <s v="GAL"/>
    <s v="GALP"/>
    <x v="0"/>
    <x v="323"/>
    <x v="9"/>
    <s v="GAL"/>
  </r>
  <r>
    <x v="1758"/>
    <s v="SIERREZUEL"/>
    <s v="SIERREZUELA"/>
    <n v="38.200000000000003"/>
    <s v="18W000000000PDR0"/>
    <x v="9"/>
    <s v="Venta"/>
    <s v="GAL"/>
    <s v="GALP"/>
    <x v="0"/>
    <x v="323"/>
    <x v="9"/>
    <s v="GAL"/>
  </r>
  <r>
    <x v="1759"/>
    <s v="ESCARNES"/>
    <s v="ESCARNES"/>
    <n v="32.799999999999997"/>
    <s v="18W000000000PGGD"/>
    <x v="9"/>
    <s v="Venta"/>
    <s v="GAL"/>
    <s v="GALP"/>
    <x v="0"/>
    <x v="323"/>
    <x v="9"/>
    <s v="GAL"/>
  </r>
  <r>
    <x v="1760"/>
    <s v="ENVITERO"/>
    <s v="ENVITERO"/>
    <n v="35"/>
    <s v="18W000000000PGHB"/>
    <x v="9"/>
    <s v="Venta"/>
    <s v="GAL"/>
    <s v="GALP"/>
    <x v="0"/>
    <x v="323"/>
    <x v="9"/>
    <s v="GAL"/>
  </r>
  <r>
    <x v="1761"/>
    <s v="MOCATERO"/>
    <s v="MOCATERO"/>
    <n v="30.3"/>
    <s v="18W000000000PGI9"/>
    <x v="9"/>
    <s v="Venta"/>
    <s v="GAL"/>
    <s v="GALP"/>
    <x v="0"/>
    <x v="323"/>
    <x v="9"/>
    <s v="GAL"/>
  </r>
  <r>
    <x v="1762"/>
    <s v="IGNISSOLAR"/>
    <s v="IGNIS SOLAR I"/>
    <n v="37.9"/>
    <s v="18W000000000PGJ7"/>
    <x v="9"/>
    <s v="Venta"/>
    <s v="GAL"/>
    <s v="GALP"/>
    <x v="0"/>
    <x v="323"/>
    <x v="9"/>
    <s v="GAL"/>
  </r>
  <r>
    <x v="1763"/>
    <s v="MEDIOMONTE"/>
    <s v="MEDIOMONTE"/>
    <n v="37.9"/>
    <s v="18W000000000PGK5"/>
    <x v="9"/>
    <s v="Venta"/>
    <s v="GAL"/>
    <s v="GALP"/>
    <x v="0"/>
    <x v="323"/>
    <x v="9"/>
    <s v="GAL"/>
  </r>
  <r>
    <x v="1764"/>
    <s v="EMOCION"/>
    <s v="EMOCION"/>
    <n v="38.1"/>
    <s v="18W000000000PGL3"/>
    <x v="9"/>
    <s v="Venta"/>
    <s v="GAL"/>
    <s v="GALP"/>
    <x v="0"/>
    <x v="323"/>
    <x v="9"/>
    <s v="GAL"/>
  </r>
  <r>
    <x v="1765"/>
    <s v="ESCATRNSII"/>
    <s v="ESCATRON SOLAR II"/>
    <n v="38"/>
    <s v="18W000000000PGM1"/>
    <x v="9"/>
    <s v="Venta"/>
    <s v="GAL"/>
    <s v="GALP"/>
    <x v="0"/>
    <x v="323"/>
    <x v="9"/>
    <s v="GAL"/>
  </r>
  <r>
    <x v="1766"/>
    <s v="PALABRA"/>
    <s v="PALABRA"/>
    <n v="40.200000000000003"/>
    <s v="18W000000000PGOY"/>
    <x v="9"/>
    <s v="Venta"/>
    <s v="GAL"/>
    <s v="GALP"/>
    <x v="0"/>
    <x v="323"/>
    <x v="9"/>
    <s v="GAL"/>
  </r>
  <r>
    <x v="1767"/>
    <s v="VALDELAGUA"/>
    <s v="VALDELAGUA"/>
    <n v="40.4"/>
    <s v="18W000000000PGPW"/>
    <x v="9"/>
    <s v="Venta"/>
    <s v="GAL"/>
    <s v="GALP"/>
    <x v="0"/>
    <x v="323"/>
    <x v="9"/>
    <s v="GAL"/>
  </r>
  <r>
    <x v="1768"/>
    <s v="EL ROBLEDO"/>
    <s v="EL ROBLEDO"/>
    <n v="38"/>
    <s v="18W000000000PGQU"/>
    <x v="9"/>
    <s v="Venta"/>
    <s v="GAL"/>
    <s v="GALP"/>
    <x v="0"/>
    <x v="323"/>
    <x v="9"/>
    <s v="GAL"/>
  </r>
  <r>
    <x v="1769"/>
    <s v="HAZAÑA SOL"/>
    <s v="HAZAÑA SOLAR"/>
    <n v="38.1"/>
    <s v="18W000000000PGRS"/>
    <x v="9"/>
    <s v="Venta"/>
    <s v="GAL"/>
    <s v="GALP"/>
    <x v="0"/>
    <x v="323"/>
    <x v="9"/>
    <s v="GAL"/>
  </r>
  <r>
    <x v="1770"/>
    <s v="TALENTO"/>
    <s v="TALENTO"/>
    <n v="38.200000000000003"/>
    <s v="18W000000000PGSQ"/>
    <x v="9"/>
    <s v="Venta"/>
    <s v="GAL"/>
    <s v="GALP"/>
    <x v="0"/>
    <x v="323"/>
    <x v="9"/>
    <s v="GAL"/>
  </r>
  <r>
    <x v="1771"/>
    <s v="ESPLENDOR"/>
    <s v="ESPLENDOR"/>
    <n v="40.200000000000003"/>
    <s v="18W000000000PGTO"/>
    <x v="9"/>
    <s v="Venta"/>
    <s v="GAL"/>
    <s v="GALP"/>
    <x v="0"/>
    <x v="323"/>
    <x v="9"/>
    <s v="GAL"/>
  </r>
  <r>
    <x v="1772"/>
    <s v="PITARCO"/>
    <s v="PITARCO ABC"/>
    <n v="47.8"/>
    <s v="18W000000000PH21"/>
    <x v="9"/>
    <s v="Venta"/>
    <s v="SZR"/>
    <s v="GALP"/>
    <x v="0"/>
    <x v="323"/>
    <x v="9"/>
    <s v="SZR"/>
  </r>
  <r>
    <x v="1773"/>
    <s v="ALBARREAL"/>
    <s v="ALBARREAL"/>
    <n v="44.2"/>
    <s v="18W000000000QFEG"/>
    <x v="9"/>
    <s v="Venta"/>
    <s v="SZR"/>
    <s v="GALP"/>
    <x v="0"/>
    <x v="323"/>
    <x v="9"/>
    <s v="SZR"/>
  </r>
  <r>
    <x v="1774"/>
    <s v="GALPS54"/>
    <s v="GALPS54"/>
    <n v="40.799999999999997"/>
    <s v="18W000000000RGTG"/>
    <x v="9"/>
    <s v="Venta"/>
    <s v="SZR"/>
    <s v="GALP"/>
    <x v="0"/>
    <x v="323"/>
    <x v="9"/>
    <s v="SZR"/>
  </r>
  <r>
    <x v="1775"/>
    <s v="GALPS55"/>
    <s v="GALPS55"/>
    <n v="40.799999999999997"/>
    <s v="18W000000000RGVC"/>
    <x v="9"/>
    <s v="Venta"/>
    <s v="SZR"/>
    <s v="GALP"/>
    <x v="0"/>
    <x v="323"/>
    <x v="9"/>
    <s v="SZR"/>
  </r>
  <r>
    <x v="1776"/>
    <s v="MONTEGORDO"/>
    <s v="MONTEGORDO"/>
    <n v="48"/>
    <s v="18W000000000RVSA"/>
    <x v="11"/>
    <s v="Venta"/>
    <s v="SZR"/>
    <s v="GALP"/>
    <x v="0"/>
    <x v="323"/>
    <x v="11"/>
    <s v="SZR"/>
  </r>
  <r>
    <x v="1777"/>
    <s v="CARBAS"/>
    <s v="CARBAS"/>
    <n v="40"/>
    <s v="18W000000000RVT8"/>
    <x v="11"/>
    <s v="Venta"/>
    <s v="GAL"/>
    <s v="GALP"/>
    <x v="0"/>
    <x v="323"/>
    <x v="11"/>
    <s v="GAL"/>
  </r>
  <r>
    <x v="1778"/>
    <s v="CALDERA"/>
    <s v="CALDERA"/>
    <n v="22.5"/>
    <s v="18W000000000RVU6"/>
    <x v="11"/>
    <s v="Venta"/>
    <s v="GAL"/>
    <s v="GALP"/>
    <x v="0"/>
    <x v="323"/>
    <x v="11"/>
    <s v="GAL"/>
  </r>
  <r>
    <x v="1779"/>
    <s v="TESOSANTO"/>
    <s v="TESOSANTO"/>
    <n v="50"/>
    <s v="18W000000000RVV4"/>
    <x v="11"/>
    <s v="Venta"/>
    <s v="GAL"/>
    <s v="GALP"/>
    <x v="0"/>
    <x v="323"/>
    <x v="11"/>
    <s v="GAL"/>
  </r>
  <r>
    <x v="1780"/>
    <s v="EXTRESOL 1"/>
    <s v="EXTRESOL 1"/>
    <n v="50"/>
    <s v="18W000000000RVW2"/>
    <x v="27"/>
    <s v="Venta"/>
    <s v="SZR"/>
    <s v="GALP"/>
    <x v="0"/>
    <x v="323"/>
    <x v="33"/>
    <s v="SZR"/>
  </r>
  <r>
    <x v="1781"/>
    <s v="FUEN"/>
    <s v="FUENMAYOR"/>
    <n v="9.9"/>
    <s v="18W000000000SAM7"/>
    <x v="9"/>
    <s v="Venta"/>
    <s v="SZR"/>
    <s v="GALP"/>
    <x v="0"/>
    <x v="323"/>
    <x v="9"/>
    <s v="SZR"/>
  </r>
  <r>
    <x v="1782"/>
    <s v="MAGACELA"/>
    <s v="MAGACELA"/>
    <n v="10"/>
    <s v="18W000000000SAO3"/>
    <x v="9"/>
    <s v="Venta"/>
    <s v="SZR"/>
    <s v="GALP"/>
    <x v="0"/>
    <x v="323"/>
    <x v="9"/>
    <s v="SZR"/>
  </r>
  <r>
    <x v="1783"/>
    <s v="VALDELOSA"/>
    <s v="VALDELOSA"/>
    <n v="24.9"/>
    <s v="18W000000000SAP1"/>
    <x v="9"/>
    <s v="Venta"/>
    <s v="GAL"/>
    <s v="GALP"/>
    <x v="0"/>
    <x v="323"/>
    <x v="9"/>
    <s v="GAL"/>
  </r>
  <r>
    <x v="1784"/>
    <s v="ARZOBISPO"/>
    <s v="ARZOBISPO"/>
    <n v="24.9"/>
    <s v="18W000000000SARY"/>
    <x v="9"/>
    <s v="Venta"/>
    <s v="GAL"/>
    <s v="GALP"/>
    <x v="0"/>
    <x v="323"/>
    <x v="9"/>
    <s v="GAL"/>
  </r>
  <r>
    <x v="1785"/>
    <s v="BALDIO"/>
    <s v="BALDIO"/>
    <n v="16.100000000000001"/>
    <s v="18W000000000SASW"/>
    <x v="9"/>
    <s v="Venta"/>
    <s v="GAL"/>
    <s v="GALP"/>
    <x v="0"/>
    <x v="323"/>
    <x v="9"/>
    <s v="GAL"/>
  </r>
  <r>
    <x v="1786"/>
    <s v="TORDESILLA"/>
    <s v="TORDESILLAS"/>
    <n v="11.5"/>
    <s v="18W000000000SATU"/>
    <x v="9"/>
    <s v="Venta"/>
    <s v="GAL"/>
    <s v="GALP"/>
    <x v="0"/>
    <x v="323"/>
    <x v="9"/>
    <s v="GAL"/>
  </r>
  <r>
    <x v="1787"/>
    <s v="AURIGA"/>
    <s v="AURIGA"/>
    <n v="24.9"/>
    <s v="18W000000000SAUS"/>
    <x v="9"/>
    <s v="Venta"/>
    <s v="SZR"/>
    <s v="GALP"/>
    <x v="0"/>
    <x v="323"/>
    <x v="9"/>
    <s v="SZR"/>
  </r>
  <r>
    <x v="1788"/>
    <s v="BELINCHON"/>
    <s v="BELINCHON"/>
    <n v="19.899999999999999"/>
    <s v="18W000000000SAVQ"/>
    <x v="9"/>
    <s v="Venta"/>
    <s v="SZR"/>
    <s v="GALP"/>
    <x v="0"/>
    <x v="323"/>
    <x v="9"/>
    <s v="SZR"/>
  </r>
  <r>
    <x v="1789"/>
    <s v="CEPHEUS"/>
    <s v="CEPHEUS"/>
    <n v="30.4"/>
    <s v="18W000000000SAWO"/>
    <x v="9"/>
    <s v="Venta"/>
    <s v="SZR"/>
    <s v="GALP"/>
    <x v="0"/>
    <x v="323"/>
    <x v="9"/>
    <s v="SZR"/>
  </r>
  <r>
    <x v="1790"/>
    <s v="MEDINA"/>
    <s v="MEDINA"/>
    <n v="24.9"/>
    <s v="18W000000000SAXM"/>
    <x v="9"/>
    <s v="Venta"/>
    <s v="SZR"/>
    <s v="GALP"/>
    <x v="0"/>
    <x v="323"/>
    <x v="9"/>
    <s v="SZR"/>
  </r>
  <r>
    <x v="1791"/>
    <s v="HERCUL"/>
    <s v="HERCUL"/>
    <n v="24.1"/>
    <s v="18W000000000SAYK"/>
    <x v="9"/>
    <s v="Venta"/>
    <s v="GAL"/>
    <s v="GALP"/>
    <x v="0"/>
    <x v="323"/>
    <x v="9"/>
    <s v="GAL"/>
  </r>
  <r>
    <x v="1792"/>
    <s v="ALMARAZ"/>
    <s v="ALMARAZ"/>
    <n v="38.200000000000003"/>
    <s v="18W000000000TBPV"/>
    <x v="9"/>
    <s v="Venta"/>
    <s v="SZR"/>
    <s v="GALP"/>
    <x v="0"/>
    <x v="323"/>
    <x v="9"/>
    <s v="SZR"/>
  </r>
  <r>
    <x v="1793"/>
    <s v="TOLEDO"/>
    <s v="TOLEDO"/>
    <n v="42.8"/>
    <s v="18W000000000TBQT"/>
    <x v="9"/>
    <s v="Venta"/>
    <s v="SZR"/>
    <s v="GALP"/>
    <x v="0"/>
    <x v="323"/>
    <x v="9"/>
    <s v="SZR"/>
  </r>
  <r>
    <x v="1794"/>
    <s v="AHIN"/>
    <s v="AHIN"/>
    <n v="13.1"/>
    <s v="18W000000000TBRR"/>
    <x v="9"/>
    <s v="Venta"/>
    <s v="SZR"/>
    <s v="GALP"/>
    <x v="0"/>
    <x v="323"/>
    <x v="9"/>
    <s v="SZR"/>
  </r>
  <r>
    <x v="1795"/>
    <s v="CBLANCA"/>
    <s v="CBLANCA"/>
    <n v="49.9"/>
    <s v="18W000000000TL9X"/>
    <x v="27"/>
    <s v="Venta"/>
    <s v="SZR"/>
    <s v="GALP"/>
    <x v="0"/>
    <x v="323"/>
    <x v="33"/>
    <s v="SZR"/>
  </r>
  <r>
    <x v="1796"/>
    <s v="ABUELA"/>
    <s v="ABUELA"/>
    <n v="49.5"/>
    <s v="18W000000000TLAV"/>
    <x v="11"/>
    <s v="Venta"/>
    <s v="SZR"/>
    <s v="GALP"/>
    <x v="0"/>
    <x v="323"/>
    <x v="11"/>
    <s v="SZR"/>
  </r>
  <r>
    <x v="1797"/>
    <s v="COLMENAR"/>
    <s v="COLMENAR"/>
    <n v="28"/>
    <s v="18W000000000TLBT"/>
    <x v="11"/>
    <s v="Venta"/>
    <s v="SZR"/>
    <s v="GALP"/>
    <x v="0"/>
    <x v="323"/>
    <x v="11"/>
    <s v="SZR"/>
  </r>
  <r>
    <x v="1798"/>
    <s v="NOGUERA"/>
    <s v="NOGUERA"/>
    <n v="28.9"/>
    <s v="18W000000000TLCR"/>
    <x v="11"/>
    <s v="Venta"/>
    <s v="SZR"/>
    <s v="GALP"/>
    <x v="0"/>
    <x v="323"/>
    <x v="11"/>
    <s v="SZR"/>
  </r>
  <r>
    <x v="1799"/>
    <s v="VEGAS"/>
    <s v="VEGAS"/>
    <n v="48"/>
    <s v="18W000000000TLDP"/>
    <x v="11"/>
    <s v="Venta"/>
    <s v="SZR"/>
    <s v="GALP"/>
    <x v="0"/>
    <x v="323"/>
    <x v="11"/>
    <s v="SZR"/>
  </r>
  <r>
    <x v="1800"/>
    <s v="SERON1"/>
    <s v="SERON1"/>
    <n v="49.5"/>
    <s v="18W000000000TLEN"/>
    <x v="11"/>
    <s v="Venta"/>
    <s v="SZR"/>
    <s v="GALP"/>
    <x v="0"/>
    <x v="323"/>
    <x v="11"/>
    <s v="SZR"/>
  </r>
  <r>
    <x v="1801"/>
    <s v="SERON2"/>
    <s v="SERON2"/>
    <n v="10"/>
    <s v="18W000000000TLFL"/>
    <x v="11"/>
    <s v="Venta"/>
    <s v="SZR"/>
    <s v="GALP"/>
    <x v="0"/>
    <x v="323"/>
    <x v="11"/>
    <s v="SZR"/>
  </r>
  <r>
    <x v="1802"/>
    <s v="TIJOLA"/>
    <s v="TIJOLA"/>
    <n v="36"/>
    <s v="18W000000000TLGJ"/>
    <x v="11"/>
    <s v="Venta"/>
    <s v="SZR"/>
    <s v="GALP"/>
    <x v="0"/>
    <x v="323"/>
    <x v="11"/>
    <s v="SZR"/>
  </r>
  <r>
    <x v="1803"/>
    <s v="GAMBASTAR"/>
    <s v="GAMBASTAR S.L"/>
    <n v="1"/>
    <s v="18WGAMBC01-123-D"/>
    <x v="6"/>
    <s v="Compra"/>
    <s v="SZR"/>
    <s v="GAMB"/>
    <x v="3"/>
    <x v="324"/>
    <x v="6"/>
    <s v="SZR"/>
  </r>
  <r>
    <x v="1804"/>
    <s v="GAMBITO"/>
    <s v="GAMBITO ENERGY SL"/>
    <n v="0"/>
    <s v="18W000000000PW8I"/>
    <x v="2"/>
    <s v="Compra"/>
    <s v="SZR"/>
    <s v="GAMBI"/>
    <x v="1"/>
    <x v="325"/>
    <x v="2"/>
    <s v="SZR"/>
  </r>
  <r>
    <x v="1805"/>
    <s v="GANA ENER"/>
    <s v="GANA ENERGÍA"/>
    <n v="0.1"/>
    <s v="18WGAOLC01-123-2"/>
    <x v="2"/>
    <s v="Compra"/>
    <s v="SZR"/>
    <s v="GAOLA"/>
    <x v="1"/>
    <x v="326"/>
    <x v="2"/>
    <s v="SZR"/>
  </r>
  <r>
    <x v="1806"/>
    <s v="GASRGAN"/>
    <s v="GAS RESIDUOS GANADEROS"/>
    <n v="4.0999999999999996"/>
    <s v="18W000000000LUYP"/>
    <x v="18"/>
    <s v="Venta"/>
    <s v="SZR"/>
    <s v="LMER"/>
    <x v="0"/>
    <x v="89"/>
    <x v="20"/>
    <s v="SZR"/>
  </r>
  <r>
    <x v="1807"/>
    <s v="GASTU1"/>
    <s v="GASTU1"/>
    <n v="2"/>
    <s v="18W0000000000TQH"/>
    <x v="26"/>
    <s v="Compra"/>
    <s v="SZR"/>
    <s v="AST"/>
    <x v="12"/>
    <x v="75"/>
    <x v="32"/>
    <s v="SZR"/>
  </r>
  <r>
    <x v="1808"/>
    <s v="GAUDAX"/>
    <s v="UNIDAD GENERICA"/>
    <n v="700"/>
    <s v="18W000000000816Z"/>
    <x v="26"/>
    <s v="Compra"/>
    <s v="SZR"/>
    <s v="ADXRE"/>
    <x v="12"/>
    <x v="37"/>
    <x v="32"/>
    <s v="SZR"/>
  </r>
  <r>
    <x v="1809"/>
    <s v="GAVIAEG"/>
    <s v="18W00000000037AT"/>
    <n v="4.5"/>
    <s v="18W00000000037AT"/>
    <x v="11"/>
    <s v="Venta"/>
    <s v="SZR"/>
    <s v="EGLE"/>
    <x v="0"/>
    <x v="82"/>
    <x v="11"/>
    <s v="SZR"/>
  </r>
  <r>
    <x v="1810"/>
    <s v="GAVIPLAS"/>
    <s v="GAVIPLAS"/>
    <n v="1.3"/>
    <s v="18WGAVIC01-123-T"/>
    <x v="6"/>
    <s v="Compra"/>
    <s v="SZR"/>
    <s v="GAVIP"/>
    <x v="3"/>
    <x v="327"/>
    <x v="6"/>
    <s v="SZR"/>
  </r>
  <r>
    <x v="1811"/>
    <s v="GB ENERGIA"/>
    <s v="GLOBAL BIOSFERA ENERGIA"/>
    <n v="0.1"/>
    <s v="18WGBENC01-123-6"/>
    <x v="2"/>
    <s v="Compra"/>
    <s v="SZR"/>
    <s v="GBENE"/>
    <x v="1"/>
    <x v="328"/>
    <x v="2"/>
    <s v="SZR"/>
  </r>
  <r>
    <x v="1812"/>
    <s v="GBNPRV1"/>
    <s v="BONPREU GENERICA"/>
    <n v="35"/>
    <s v="18W000000000R1CL"/>
    <x v="26"/>
    <s v="Compra"/>
    <s v="SZR"/>
    <s v="BNPRU"/>
    <x v="12"/>
    <x v="102"/>
    <x v="32"/>
    <s v="SZR"/>
  </r>
  <r>
    <x v="1813"/>
    <s v="GBPG1"/>
    <s v="UNIDAD GENERICA BP"/>
    <n v="300"/>
    <s v="18W000000000T20Y"/>
    <x v="26"/>
    <s v="Compra"/>
    <s v="SZR"/>
    <s v="BP"/>
    <x v="12"/>
    <x v="104"/>
    <x v="32"/>
    <s v="SZR"/>
  </r>
  <r>
    <x v="1814"/>
    <s v="GC2 PRO"/>
    <s v="GC2 PROYECTOS"/>
    <n v="0.1"/>
    <s v="18WGC21-123456-I"/>
    <x v="2"/>
    <s v="Compra"/>
    <s v="SZR"/>
    <s v="GC2"/>
    <x v="1"/>
    <x v="329"/>
    <x v="2"/>
    <s v="SZR"/>
  </r>
  <r>
    <x v="1815"/>
    <s v="GCENES1"/>
    <s v="CENTRICA ENERGIAS ESPECIALES"/>
    <n v="0"/>
    <s v="18WGCENES1-123-B"/>
    <x v="26"/>
    <s v="Compra"/>
    <s v="SZR"/>
    <s v="CENES"/>
    <x v="12"/>
    <x v="124"/>
    <x v="32"/>
    <s v="SZR"/>
  </r>
  <r>
    <x v="1816"/>
    <s v="GCENTE1"/>
    <s v="CENTRICA ENERGIA S.L.U. ( G )"/>
    <n v="500"/>
    <s v="18WGCENTE1-123-P"/>
    <x v="26"/>
    <s v="Compra"/>
    <s v="SZR"/>
    <s v="CENTE"/>
    <x v="12"/>
    <x v="124"/>
    <x v="32"/>
    <s v="SZR"/>
  </r>
  <r>
    <x v="1817"/>
    <s v="GDETI1"/>
    <s v="DETISA ( G )"/>
    <n v="0"/>
    <s v="18WGDETI1-1234-Z"/>
    <x v="26"/>
    <s v="Compra"/>
    <s v="SZR"/>
    <s v="DETIC"/>
    <x v="12"/>
    <x v="71"/>
    <x v="32"/>
    <s v="SZR"/>
  </r>
  <r>
    <x v="1818"/>
    <s v="GDIVC01"/>
    <s v="GDIVC01_PEN"/>
    <n v="0.1"/>
    <s v="18WGDIVC01-123-6"/>
    <x v="2"/>
    <s v="Compra"/>
    <s v="SZR"/>
    <s v="GDIVE"/>
    <x v="1"/>
    <x v="330"/>
    <x v="2"/>
    <s v="SZR"/>
  </r>
  <r>
    <x v="1819"/>
    <s v="GUADALQUIV"/>
    <s v="UGH. GUADALQUIVIR"/>
    <n v="423.9"/>
    <s v="18WGDLQ-12345-0A"/>
    <x v="1"/>
    <s v="Venta"/>
    <s v="END"/>
    <s v="ENDG"/>
    <x v="0"/>
    <x v="72"/>
    <x v="1"/>
    <s v="END"/>
  </r>
  <r>
    <x v="1820"/>
    <s v="GDLQB"/>
    <s v="UGH. GUADALQUIVIR - BOMBEO"/>
    <n v="14.4"/>
    <s v="18WGDLQB-12345-Z"/>
    <x v="13"/>
    <s v="Compra"/>
    <s v="SZR"/>
    <s v="ENDG"/>
    <x v="6"/>
    <x v="72"/>
    <x v="13"/>
    <s v="SZR"/>
  </r>
  <r>
    <x v="1821"/>
    <s v="GUADIANA"/>
    <s v="UGH. GUADIANA"/>
    <n v="218.6"/>
    <s v="18WGDNA-12345-00"/>
    <x v="1"/>
    <s v="Venta"/>
    <s v="END"/>
    <s v="ENDG"/>
    <x v="0"/>
    <x v="72"/>
    <x v="1"/>
    <s v="END"/>
  </r>
  <r>
    <x v="1822"/>
    <s v="UG FOENER"/>
    <s v="GENERICA FOENER ENERGIA SL"/>
    <n v="20"/>
    <s v="18W000000000Q144"/>
    <x v="26"/>
    <s v="Compra"/>
    <s v="SZR"/>
    <s v="DREUA"/>
    <x v="12"/>
    <x v="179"/>
    <x v="32"/>
    <s v="SZR"/>
  </r>
  <r>
    <x v="1823"/>
    <s v="GDUFER1"/>
    <s v="DUFENERGY TRADING"/>
    <n v="400"/>
    <s v="18WGDUFER1-123-M"/>
    <x v="26"/>
    <s v="Compra"/>
    <s v="SZR"/>
    <s v="DUFER"/>
    <x v="12"/>
    <x v="183"/>
    <x v="32"/>
    <s v="SZR"/>
  </r>
  <r>
    <x v="1824"/>
    <s v="GEBLCO1"/>
    <s v="GENERICA EBLCO"/>
    <n v="200"/>
    <s v="18W000000000IZ56"/>
    <x v="26"/>
    <s v="Compra"/>
    <s v="SZR"/>
    <s v="EBLCO"/>
    <x v="12"/>
    <x v="158"/>
    <x v="32"/>
    <s v="SZR"/>
  </r>
  <r>
    <x v="1825"/>
    <s v="GEDFT1"/>
    <s v="EDF TRADING LIMITED ( G )"/>
    <n v="0"/>
    <s v="18WGEDFT1-1234-1"/>
    <x v="26"/>
    <s v="Compra"/>
    <s v="SZR"/>
    <s v="EDFT"/>
    <x v="12"/>
    <x v="209"/>
    <x v="32"/>
    <s v="SZR"/>
  </r>
  <r>
    <x v="1826"/>
    <s v="GEFG1"/>
    <s v="FACTOR ENERGIA ( G )"/>
    <n v="150"/>
    <s v="18WGEFG1-12345-K"/>
    <x v="26"/>
    <s v="Compra"/>
    <s v="SZR"/>
    <s v="EFG"/>
    <x v="12"/>
    <x v="213"/>
    <x v="32"/>
    <s v="SZR"/>
  </r>
  <r>
    <x v="1827"/>
    <s v="ENERG"/>
    <s v="GRUPO ENERGALICIA, S.A."/>
    <n v="0.1"/>
    <s v="18WGEGC01-1234-0"/>
    <x v="2"/>
    <s v="Compra"/>
    <s v="SZR"/>
    <s v="ENERG"/>
    <x v="1"/>
    <x v="331"/>
    <x v="2"/>
    <s v="SZR"/>
  </r>
  <r>
    <x v="1828"/>
    <s v="GEGED1"/>
    <s v="ACCIONA GREEN ENERGY DEVELOPMENTS, S.L. ( G )"/>
    <n v="0"/>
    <s v="18WGEGED1-1234-B"/>
    <x v="26"/>
    <s v="Compra"/>
    <s v="SZR"/>
    <s v="EGED"/>
    <x v="12"/>
    <x v="186"/>
    <x v="32"/>
    <s v="SZR"/>
  </r>
  <r>
    <x v="1829"/>
    <s v="GEGLE1"/>
    <s v="EGL ESPAÑA, S. L. ( G )"/>
    <n v="0"/>
    <s v="18WGEGLE1-1234-6"/>
    <x v="26"/>
    <s v="Compra"/>
    <s v="SZR"/>
    <s v="EGLE"/>
    <x v="12"/>
    <x v="82"/>
    <x v="32"/>
    <s v="SZR"/>
  </r>
  <r>
    <x v="1830"/>
    <s v="VD"/>
    <s v="VILADECAVALS"/>
    <n v="1.3"/>
    <s v="18W000000000IDYE"/>
    <x v="6"/>
    <s v="Compra"/>
    <s v="SZR"/>
    <s v="GEISA"/>
    <x v="3"/>
    <x v="332"/>
    <x v="6"/>
    <s v="SZR"/>
  </r>
  <r>
    <x v="1831"/>
    <s v="GENAH"/>
    <s v="GENAH"/>
    <n v="4.5"/>
    <s v="18W000000000T1Y6"/>
    <x v="18"/>
    <s v="Venta"/>
    <s v="SZR"/>
    <s v="AME"/>
    <x v="0"/>
    <x v="0"/>
    <x v="34"/>
    <s v="SZR"/>
  </r>
  <r>
    <x v="1832"/>
    <s v="GENENCEG"/>
    <s v="GENERICA INTERCONEXION ENCEG"/>
    <n v="30"/>
    <s v="18W000000000OZ3N"/>
    <x v="26"/>
    <s v="Compra"/>
    <s v="SZR"/>
    <s v="EENER"/>
    <x v="12"/>
    <x v="211"/>
    <x v="32"/>
    <s v="SZR"/>
  </r>
  <r>
    <x v="1833"/>
    <s v="GENDG1"/>
    <s v="ENDESA GENERACION, S.A."/>
    <n v="0"/>
    <s v="18WGENDG1-1234-S"/>
    <x v="26"/>
    <s v="Venta"/>
    <s v="SZR"/>
    <s v="ENDG"/>
    <x v="12"/>
    <x v="72"/>
    <x v="32"/>
    <s v="SZR"/>
  </r>
  <r>
    <x v="1834"/>
    <s v="GEN GES3"/>
    <s v="NEO SC CINCA VERDE"/>
    <n v="24.9"/>
    <s v="18W0000000001DRM"/>
    <x v="10"/>
    <s v="Venta"/>
    <s v="ALP"/>
    <s v="HISPE"/>
    <x v="0"/>
    <x v="43"/>
    <x v="10"/>
    <s v="ALP"/>
  </r>
  <r>
    <x v="1835"/>
    <s v="GEN GEST"/>
    <s v="EL GRADO"/>
    <n v="24.9"/>
    <s v="18WGENGEST-123-L"/>
    <x v="10"/>
    <s v="Venta"/>
    <s v="ALP"/>
    <s v="HISPE"/>
    <x v="0"/>
    <x v="43"/>
    <x v="10"/>
    <s v="ALP"/>
  </r>
  <r>
    <x v="1836"/>
    <s v="GEOAC01"/>
    <s v="UP COMPRA 1"/>
    <n v="3"/>
    <s v="18WGEOAC01-123-R"/>
    <x v="2"/>
    <s v="Compra"/>
    <s v="SZR"/>
    <s v="GEOAL"/>
    <x v="1"/>
    <x v="333"/>
    <x v="2"/>
    <s v="SZR"/>
  </r>
  <r>
    <x v="1837"/>
    <s v="GEO LUZ Y"/>
    <s v="GEO LUZ Y GAS SLU"/>
    <n v="0.6"/>
    <s v="18W000000000R1J7"/>
    <x v="2"/>
    <s v="Compra"/>
    <s v="SZR"/>
    <s v="GEOLU"/>
    <x v="1"/>
    <x v="334"/>
    <x v="2"/>
    <s v="SZR"/>
  </r>
  <r>
    <x v="1838"/>
    <s v="GEPLAS"/>
    <s v="GE PLASTICS (ENERGY WORKS CARTAGENA, S.L.)"/>
    <n v="97.9"/>
    <s v="18WGEPLAS--12-0K"/>
    <x v="10"/>
    <s v="Venta"/>
    <s v="SZR"/>
    <s v="EWCA"/>
    <x v="0"/>
    <x v="335"/>
    <x v="10"/>
    <s v="SZR"/>
  </r>
  <r>
    <x v="1839"/>
    <s v="GEN EROUTE"/>
    <s v="ELECTROROUTE ENERGY TRADING LIMITED"/>
    <n v="50"/>
    <s v="18WGEROUT1-123-F"/>
    <x v="26"/>
    <s v="Compra"/>
    <s v="SZR"/>
    <s v="EROUT"/>
    <x v="12"/>
    <x v="276"/>
    <x v="32"/>
    <s v="SZR"/>
  </r>
  <r>
    <x v="1840"/>
    <s v="GESTINER"/>
    <s v="GESTINER INGENIEROS"/>
    <n v="0.5"/>
    <s v="18WGESIC01-123-E"/>
    <x v="2"/>
    <s v="Compra"/>
    <s v="SZR"/>
    <s v="GESTI"/>
    <x v="1"/>
    <x v="336"/>
    <x v="2"/>
    <s v="SZR"/>
  </r>
  <r>
    <x v="1841"/>
    <s v="GESL"/>
    <s v="GENERG"/>
    <n v="9"/>
    <s v="18W000000000IOID"/>
    <x v="2"/>
    <s v="Compra"/>
    <s v="SZR"/>
    <s v="GESL"/>
    <x v="1"/>
    <x v="337"/>
    <x v="2"/>
    <s v="SZR"/>
  </r>
  <r>
    <x v="1842"/>
    <s v="PORGENC"/>
    <s v="PORT_GEN_CMPRA"/>
    <n v="9999"/>
    <s v="18W000000000LOUE"/>
    <x v="20"/>
    <s v="Compra"/>
    <s v="SZR"/>
    <s v="GESTE"/>
    <x v="8"/>
    <x v="219"/>
    <x v="23"/>
    <s v="SZR"/>
  </r>
  <r>
    <x v="1843"/>
    <s v="PORGENV"/>
    <s v="PORT_GEN_VNTA"/>
    <n v="9999"/>
    <s v="18W000000000LOVC"/>
    <x v="20"/>
    <s v="Venta"/>
    <s v="SZR"/>
    <s v="GESTE"/>
    <x v="8"/>
    <x v="219"/>
    <x v="23"/>
    <s v="SZR"/>
  </r>
  <r>
    <x v="1844"/>
    <s v="GESS"/>
    <s v="GESTIONNA"/>
    <n v="0.1"/>
    <s v="18WGESSC01-123-P"/>
    <x v="2"/>
    <s v="Compra"/>
    <s v="SZR"/>
    <s v="GEST"/>
    <x v="1"/>
    <x v="338"/>
    <x v="2"/>
    <s v="SZR"/>
  </r>
  <r>
    <x v="1845"/>
    <s v="GESTC01"/>
    <s v="GESTERNOVA S.A."/>
    <n v="0.1"/>
    <s v="18WGESTC01-123-F"/>
    <x v="2"/>
    <s v="Compra"/>
    <s v="SZR"/>
    <s v="GESTE"/>
    <x v="1"/>
    <x v="219"/>
    <x v="2"/>
    <s v="SZR"/>
  </r>
  <r>
    <x v="1846"/>
    <s v="GESTCOM"/>
    <s v="GESTCOM"/>
    <n v="1.5"/>
    <s v="18W000000000M9SM"/>
    <x v="18"/>
    <s v="Venta"/>
    <s v="SZR"/>
    <s v="DETIC"/>
    <x v="0"/>
    <x v="71"/>
    <x v="20"/>
    <s v="SZR"/>
  </r>
  <r>
    <x v="1847"/>
    <s v="GEXTRESIII"/>
    <s v="GEXTRESOLIII"/>
    <n v="49.9"/>
    <s v="18W000000000QC72"/>
    <x v="27"/>
    <s v="Venta"/>
    <s v="SZR"/>
    <s v="GALP"/>
    <x v="0"/>
    <x v="323"/>
    <x v="33"/>
    <s v="SZR"/>
  </r>
  <r>
    <x v="1848"/>
    <s v="GEXTRESOLI"/>
    <s v="GEXTRESOLII"/>
    <n v="49.9"/>
    <s v="18W000000000QC64"/>
    <x v="27"/>
    <s v="Venta"/>
    <s v="SZR"/>
    <s v="GALP"/>
    <x v="0"/>
    <x v="323"/>
    <x v="33"/>
    <s v="SZR"/>
  </r>
  <r>
    <x v="1849"/>
    <s v="FORTGEN"/>
    <s v="FORTIA GENERICA"/>
    <n v="600"/>
    <s v="18W000000000RS2Y"/>
    <x v="26"/>
    <s v="Compra"/>
    <s v="SZR"/>
    <s v="FORTI"/>
    <x v="12"/>
    <x v="307"/>
    <x v="32"/>
    <s v="SZR"/>
  </r>
  <r>
    <x v="1850"/>
    <s v="GST"/>
    <s v="GDF SUEZ TRADING"/>
    <n v="300"/>
    <s v="18WGFR-GS1-12--T"/>
    <x v="26"/>
    <s v="Compra"/>
    <s v="SZR"/>
    <s v="FR_GS"/>
    <x v="12"/>
    <x v="339"/>
    <x v="32"/>
    <s v="SZR"/>
  </r>
  <r>
    <x v="1851"/>
    <s v="GGAC1"/>
    <s v="GEOATLANTER S.L. (GENERICA)"/>
    <n v="0"/>
    <s v="18WGGAC1-12345-H"/>
    <x v="26"/>
    <s v="Compra"/>
    <s v="SZR"/>
    <s v="GAC"/>
    <x v="12"/>
    <x v="295"/>
    <x v="32"/>
    <s v="SZR"/>
  </r>
  <r>
    <x v="1852"/>
    <s v="GMT"/>
    <s v="GAZPROM MARKETING &amp; TRADING (GENÉRICA)"/>
    <n v="200"/>
    <s v="18WGGMT1-12345-B"/>
    <x v="26"/>
    <s v="Compra"/>
    <s v="SZR"/>
    <s v="GMT"/>
    <x v="12"/>
    <x v="340"/>
    <x v="32"/>
    <s v="SZR"/>
  </r>
  <r>
    <x v="1853"/>
    <s v="GEN"/>
    <s v="UNIDAD GENÉRICA GNCOM"/>
    <n v="4000"/>
    <s v="18WGGNCO1-1234-G"/>
    <x v="26"/>
    <s v="Compra"/>
    <s v="SZR"/>
    <s v="GNCO"/>
    <x v="12"/>
    <x v="8"/>
    <x v="32"/>
    <s v="SZR"/>
  </r>
  <r>
    <x v="1854"/>
    <s v="GGNRA1"/>
    <s v="UP GENERICA GNERA"/>
    <n v="400"/>
    <s v="18WGGNRA1-1234-T"/>
    <x v="26"/>
    <s v="Compra"/>
    <s v="SZR"/>
    <s v="GNRA"/>
    <x v="12"/>
    <x v="46"/>
    <x v="32"/>
    <s v="SZR"/>
  </r>
  <r>
    <x v="1855"/>
    <s v="GGSLZ1"/>
    <s v="GGSLZ1"/>
    <n v="50"/>
    <s v="18W000000000R5F3"/>
    <x v="26"/>
    <s v="Compra"/>
    <s v="SZR"/>
    <s v="GSLZE"/>
    <x v="12"/>
    <x v="341"/>
    <x v="32"/>
    <s v="SZR"/>
  </r>
  <r>
    <x v="1856"/>
    <s v="GGUNV1"/>
    <s v="GGUNV1"/>
    <n v="10"/>
    <s v="18W000000000LVP3"/>
    <x v="26"/>
    <s v="Compra"/>
    <s v="SZR"/>
    <s v="GUNVOR"/>
    <x v="12"/>
    <x v="342"/>
    <x v="32"/>
    <s v="SZR"/>
  </r>
  <r>
    <x v="1857"/>
    <s v="GHCG1"/>
    <s v="HIDROELECTRICA DEL CANTABRICO ( G )"/>
    <n v="0"/>
    <s v="18WGHCG1-12345-H"/>
    <x v="26"/>
    <s v="Compra"/>
    <s v="SZR"/>
    <s v="HC G"/>
    <x v="12"/>
    <x v="3"/>
    <x v="32"/>
    <s v="SZR"/>
  </r>
  <r>
    <x v="1858"/>
    <s v="GHISPE1"/>
    <s v="HISPAELEC ENERGÍA ( G )"/>
    <n v="0"/>
    <s v="18WGHISPE1-123-I"/>
    <x v="26"/>
    <s v="Compra"/>
    <s v="SZR"/>
    <s v="HISPE"/>
    <x v="12"/>
    <x v="43"/>
    <x v="32"/>
    <s v="SZR"/>
  </r>
  <r>
    <x v="1859"/>
    <s v="GIBEG1"/>
    <s v="IBERDROLA GENERACION S.A.U. ( G )"/>
    <n v="1200"/>
    <s v="18WGIBEG1-1234-S"/>
    <x v="26"/>
    <s v="Venta"/>
    <s v="SZR"/>
    <s v="IBEG"/>
    <x v="12"/>
    <x v="7"/>
    <x v="32"/>
    <s v="SZR"/>
  </r>
  <r>
    <x v="1860"/>
    <s v="GIBGES1"/>
    <s v="UNIDAD GENÉRICA"/>
    <n v="1200"/>
    <s v="18WGIBGES1-123-5"/>
    <x v="26"/>
    <s v="Compra"/>
    <s v="SZR"/>
    <s v="IBGES"/>
    <x v="12"/>
    <x v="7"/>
    <x v="32"/>
    <s v="SZR"/>
  </r>
  <r>
    <x v="1861"/>
    <s v="GENERICA1"/>
    <s v="UNIDAD GENERICA IGNIS"/>
    <n v="350"/>
    <s v="18W000000000NBKS"/>
    <x v="26"/>
    <s v="Compra"/>
    <s v="SZR"/>
    <s v="IGNIS"/>
    <x v="12"/>
    <x v="28"/>
    <x v="32"/>
    <s v="SZR"/>
  </r>
  <r>
    <x v="1862"/>
    <s v="GJARON1"/>
    <s v="J.ARON &amp; COMPANY"/>
    <n v="0"/>
    <s v="18WGJARON1-123-T"/>
    <x v="26"/>
    <s v="Compra"/>
    <s v="SZR"/>
    <s v="JARON"/>
    <x v="12"/>
    <x v="343"/>
    <x v="32"/>
    <s v="SZR"/>
  </r>
  <r>
    <x v="1863"/>
    <s v="UPGENERICA"/>
    <s v="UPGENERICA BILATERAL FISICO"/>
    <n v="1"/>
    <s v="18W000000000R0RV"/>
    <x v="26"/>
    <s v="Compra"/>
    <s v="SZR"/>
    <s v="MARTB"/>
    <x v="12"/>
    <x v="344"/>
    <x v="32"/>
    <s v="SZR"/>
  </r>
  <r>
    <x v="1864"/>
    <s v="GME"/>
    <s v="GARCIA MUNTE"/>
    <n v="1"/>
    <s v="18W000000000MIDP"/>
    <x v="2"/>
    <s v="Compra"/>
    <s v="SZR"/>
    <s v="GME"/>
    <x v="1"/>
    <x v="345"/>
    <x v="2"/>
    <s v="SZR"/>
  </r>
  <r>
    <x v="1865"/>
    <s v="CD GME"/>
    <s v="CONSUMIDOR DIRECTO GME"/>
    <n v="901.6"/>
    <s v="18W000000000OYW5"/>
    <x v="6"/>
    <s v="Compra"/>
    <s v="SZR"/>
    <s v="GME"/>
    <x v="3"/>
    <x v="345"/>
    <x v="6"/>
    <s v="SZR"/>
  </r>
  <r>
    <x v="1866"/>
    <s v="MERCU"/>
    <s v="MERCURIA ENERGY TRADING SA"/>
    <n v="500"/>
    <s v="18WGMERCU1-123-1"/>
    <x v="26"/>
    <s v="Compra"/>
    <s v="SZR"/>
    <s v="MERCU"/>
    <x v="12"/>
    <x v="346"/>
    <x v="32"/>
    <s v="SZR"/>
  </r>
  <r>
    <x v="1867"/>
    <s v="UP METGEN"/>
    <s v="UP METGEN"/>
    <n v="100"/>
    <s v="18W000000000PUK0"/>
    <x v="26"/>
    <s v="Compra"/>
    <s v="SZR"/>
    <s v="METEN"/>
    <x v="12"/>
    <x v="347"/>
    <x v="32"/>
    <s v="SZR"/>
  </r>
  <r>
    <x v="1868"/>
    <s v="GMTCP3"/>
    <s v="GMT, EXPORTACIÓN A FRANCIA (CON DERECHOS)"/>
    <n v="200"/>
    <s v="18WIMPORTFRESWCN"/>
    <x v="16"/>
    <s v="Compra"/>
    <s v="SZR"/>
    <s v="GMT"/>
    <x v="7"/>
    <x v="340"/>
    <x v="16"/>
    <s v="SZR"/>
  </r>
  <r>
    <x v="1869"/>
    <s v="GMTVP3"/>
    <s v="GMT, IMPORTACIÓN DESDE FRANCIA (CON DERECHOS)"/>
    <n v="200"/>
    <s v="18WEXPORTESFRWCH"/>
    <x v="17"/>
    <s v="Venta"/>
    <s v="SZR"/>
    <s v="GMT"/>
    <x v="7"/>
    <x v="340"/>
    <x v="17"/>
    <s v="SZR"/>
  </r>
  <r>
    <x v="1870"/>
    <s v="GNCO"/>
    <s v="GAS NATURAL COMERCIALIZADORA"/>
    <n v="1200"/>
    <s v="18WGNCOC01-12-2S"/>
    <x v="2"/>
    <s v="Compra"/>
    <s v="SZR"/>
    <s v="GNCO"/>
    <x v="1"/>
    <x v="8"/>
    <x v="2"/>
    <s v="SZR"/>
  </r>
  <r>
    <x v="1871"/>
    <s v="GNCOCP3"/>
    <s v="GNCO DERECH COMPRA FRANCIA"/>
    <n v="0"/>
    <s v="18W000000000F3XL"/>
    <x v="16"/>
    <s v="Compra"/>
    <s v="SZR"/>
    <s v="GNCO"/>
    <x v="7"/>
    <x v="8"/>
    <x v="16"/>
    <s v="SZR"/>
  </r>
  <r>
    <x v="1872"/>
    <s v="GNCOR01"/>
    <s v="GNCOR01 XEALSA SRAD"/>
    <n v="4"/>
    <s v="18W000000000OU6W"/>
    <x v="2"/>
    <s v="Compra"/>
    <s v="SZR"/>
    <s v="GNCO"/>
    <x v="1"/>
    <x v="8"/>
    <x v="2"/>
    <s v="SZR"/>
  </r>
  <r>
    <x v="1873"/>
    <s v="GNCOVP3"/>
    <s v="GNCO DERECH VENTA FRANCIA"/>
    <n v="0"/>
    <s v="18W000000000F3YJ"/>
    <x v="17"/>
    <s v="Venta"/>
    <s v="SZR"/>
    <s v="GNCO"/>
    <x v="7"/>
    <x v="8"/>
    <x v="17"/>
    <s v="SZR"/>
  </r>
  <r>
    <x v="1874"/>
    <s v="GNCPCX1"/>
    <s v="GNCO PORTFOLIO COMPRA"/>
    <n v="9999"/>
    <s v="18W000000000F3QZ"/>
    <x v="20"/>
    <s v="Compra"/>
    <s v="SZR"/>
    <s v="GNCO"/>
    <x v="8"/>
    <x v="8"/>
    <x v="23"/>
    <s v="SZR"/>
  </r>
  <r>
    <x v="1875"/>
    <s v="GNCPVX1"/>
    <s v="GNCO PORTFOLIO VENTA"/>
    <n v="9999"/>
    <s v="18W000000000F3RX"/>
    <x v="20"/>
    <s v="Venta"/>
    <s v="SZR"/>
    <s v="GNCO"/>
    <x v="8"/>
    <x v="8"/>
    <x v="23"/>
    <s v="SZR"/>
  </r>
  <r>
    <x v="1876"/>
    <s v="NEAS-CG"/>
    <s v="NEAS ENERGY A/S"/>
    <n v="350"/>
    <s v="18WGNEAS1-1234-F"/>
    <x v="26"/>
    <s v="Compra"/>
    <s v="SZR"/>
    <s v="NEAS"/>
    <x v="12"/>
    <x v="348"/>
    <x v="32"/>
    <s v="SZR"/>
  </r>
  <r>
    <x v="1877"/>
    <s v="GNEXU1"/>
    <s v="NEXUS ENERGIA ( G )"/>
    <n v="0"/>
    <s v="18WGNEXU1-1234-Q"/>
    <x v="26"/>
    <s v="Compra"/>
    <s v="SZR"/>
    <s v="NEXU"/>
    <x v="12"/>
    <x v="187"/>
    <x v="32"/>
    <s v="SZR"/>
  </r>
  <r>
    <x v="1878"/>
    <s v="GNFRC01"/>
    <s v="GAS NATURAL FENOSA RENOVABLES COMERCIALIZACION"/>
    <n v="200"/>
    <s v="18W00000000065I7"/>
    <x v="2"/>
    <s v="Compra"/>
    <s v="SZR"/>
    <s v="GNCE"/>
    <x v="1"/>
    <x v="8"/>
    <x v="2"/>
    <s v="SZR"/>
  </r>
  <r>
    <x v="1879"/>
    <s v="GNIDH1"/>
    <s v="NIDHOG GENERAL"/>
    <n v="100"/>
    <s v="18W000000000QUY5"/>
    <x v="26"/>
    <s v="Compra"/>
    <s v="SZR"/>
    <s v="NIDHO"/>
    <x v="12"/>
    <x v="349"/>
    <x v="32"/>
    <s v="SZR"/>
  </r>
  <r>
    <x v="1880"/>
    <s v="GENERIC"/>
    <s v="GENERIC UNIT"/>
    <n v="100"/>
    <s v="18WGNOBLE1-123-C"/>
    <x v="26"/>
    <s v="Compra"/>
    <s v="SZR"/>
    <s v="NOBLE"/>
    <x v="12"/>
    <x v="350"/>
    <x v="32"/>
    <s v="SZR"/>
  </r>
  <r>
    <x v="1881"/>
    <s v="GNRAC01"/>
    <s v="UP COMERCIALIZADORA NACIONAL"/>
    <n v="28.1"/>
    <s v="18WGNRAC01-123-Y"/>
    <x v="2"/>
    <s v="Compra"/>
    <s v="SZR"/>
    <s v="GNRA"/>
    <x v="1"/>
    <x v="46"/>
    <x v="2"/>
    <s v="SZR"/>
  </r>
  <r>
    <x v="1882"/>
    <s v="GNRACP3"/>
    <s v="ESPAÑA-FRANCIA COMPRA CON DERECHOS"/>
    <n v="400"/>
    <s v="18WGNRACP3-123-5"/>
    <x v="16"/>
    <s v="Compra"/>
    <s v="SZR"/>
    <s v="GNRA"/>
    <x v="7"/>
    <x v="46"/>
    <x v="16"/>
    <s v="SZR"/>
  </r>
  <r>
    <x v="1883"/>
    <s v="GNRAVP3"/>
    <s v="ESPAÑA-FRANCIA VENTA CON DERECHOS"/>
    <n v="400"/>
    <s v="18WGNRAVP3-123-J"/>
    <x v="17"/>
    <s v="Venta"/>
    <s v="SZR"/>
    <s v="GNRA"/>
    <x v="7"/>
    <x v="46"/>
    <x v="17"/>
    <s v="SZR"/>
  </r>
  <r>
    <x v="1884"/>
    <s v="GNRPCX1"/>
    <s v="GNRPCX1"/>
    <n v="9999"/>
    <s v="18W000000000AGE3"/>
    <x v="20"/>
    <s v="Compra"/>
    <s v="SZR"/>
    <s v="GNRA"/>
    <x v="8"/>
    <x v="46"/>
    <x v="23"/>
    <s v="SZR"/>
  </r>
  <r>
    <x v="1885"/>
    <s v="GNRPVX1"/>
    <s v="GNRPVX1"/>
    <n v="9999"/>
    <s v="18W000000000AGF1"/>
    <x v="20"/>
    <s v="Venta"/>
    <s v="SZR"/>
    <s v="GNRA"/>
    <x v="8"/>
    <x v="46"/>
    <x v="23"/>
    <s v="SZR"/>
  </r>
  <r>
    <x v="1886"/>
    <s v="GNSE"/>
    <s v="GAS NATURAL SERVICIOS SDG, S.A."/>
    <n v="0"/>
    <s v="18WGNSEC01-12-2Q"/>
    <x v="2"/>
    <s v="Compra"/>
    <s v="SZR"/>
    <s v="GNSE"/>
    <x v="1"/>
    <x v="8"/>
    <x v="2"/>
    <s v="SZR"/>
  </r>
  <r>
    <x v="1887"/>
    <s v="GNSUC01"/>
    <s v="GAS NATURAL SUR SDG COMPRA"/>
    <n v="3500"/>
    <s v="18WGNSUC01-123-8"/>
    <x v="2"/>
    <s v="Compra"/>
    <s v="SZR"/>
    <s v="GNSUR"/>
    <x v="10"/>
    <x v="8"/>
    <x v="26"/>
    <s v="SZR"/>
  </r>
  <r>
    <x v="1888"/>
    <s v="GNSUCEB"/>
    <s v="UP GNSUR COMPRA CABLE BALEAR"/>
    <n v="408"/>
    <s v="18WGNSUCEB-123-B"/>
    <x v="23"/>
    <s v="Compra"/>
    <s v="SZR"/>
    <s v="GNSUR"/>
    <x v="11"/>
    <x v="8"/>
    <x v="27"/>
    <s v="SZR"/>
  </r>
  <r>
    <x v="1889"/>
    <s v="GODAY ENER"/>
    <s v="GODAY ENERGA"/>
    <n v="3"/>
    <s v="18WGOENC01-123-Z"/>
    <x v="2"/>
    <s v="Compra"/>
    <s v="SZR"/>
    <s v="GOENC"/>
    <x v="1"/>
    <x v="351"/>
    <x v="2"/>
    <s v="SZR"/>
  </r>
  <r>
    <x v="1890"/>
    <s v="GOICCX1"/>
    <s v="GOICCX1"/>
    <n v="9999"/>
    <s v="18W000000000P1M9"/>
    <x v="20"/>
    <s v="Compra"/>
    <s v="SZR"/>
    <s v="GOIEN"/>
    <x v="8"/>
    <x v="352"/>
    <x v="23"/>
    <s v="SZR"/>
  </r>
  <r>
    <x v="1891"/>
    <s v="GOICVX1"/>
    <s v="GOICVX1"/>
    <n v="9999"/>
    <s v="18W000000000P1N7"/>
    <x v="20"/>
    <s v="Venta"/>
    <s v="SZR"/>
    <s v="GOIEN"/>
    <x v="8"/>
    <x v="352"/>
    <x v="23"/>
    <s v="SZR"/>
  </r>
  <r>
    <x v="1892"/>
    <s v="GOIEC01"/>
    <s v="UP GOIENER COMERCILIZADORA"/>
    <n v="0.1"/>
    <s v="18WGOIEC01-123-7"/>
    <x v="2"/>
    <s v="Compra"/>
    <s v="SZR"/>
    <s v="GOIEN"/>
    <x v="1"/>
    <x v="352"/>
    <x v="2"/>
    <s v="SZR"/>
  </r>
  <r>
    <x v="1893"/>
    <s v="GOIEV01"/>
    <s v="UP GOIENER REPRESENTACION VENTA"/>
    <n v="0.3"/>
    <s v="18W0000000007JZ1"/>
    <x v="18"/>
    <s v="Venta"/>
    <s v="SZR"/>
    <s v="GOIEN"/>
    <x v="0"/>
    <x v="352"/>
    <x v="20"/>
    <s v="SZR"/>
  </r>
  <r>
    <x v="1894"/>
    <s v="GOIEV02"/>
    <s v="UP GOIENER REPRE VENTA SOLAR"/>
    <n v="1.2"/>
    <s v="18W00000000091AN"/>
    <x v="9"/>
    <s v="Venta"/>
    <s v="SZR"/>
    <s v="GOIEN"/>
    <x v="0"/>
    <x v="352"/>
    <x v="9"/>
    <s v="SZR"/>
  </r>
  <r>
    <x v="1895"/>
    <s v="GOIEV03"/>
    <s v="UP VENTA REPRE LIZAR HIDRO"/>
    <n v="3.8"/>
    <s v="18W0000000009KR6"/>
    <x v="1"/>
    <s v="Venta"/>
    <s v="SZR"/>
    <s v="GOIEN"/>
    <x v="0"/>
    <x v="352"/>
    <x v="19"/>
    <s v="SZR"/>
  </r>
  <r>
    <x v="1896"/>
    <s v="GONE1"/>
    <s v="OFFICE NATIONAL DE L'ELECTRICITÉ ( G )"/>
    <n v="0"/>
    <s v="18WGONE1-12345-H"/>
    <x v="26"/>
    <s v="Compra"/>
    <s v="SZR"/>
    <s v="ONE"/>
    <x v="12"/>
    <x v="353"/>
    <x v="32"/>
    <s v="SZR"/>
  </r>
  <r>
    <x v="1897"/>
    <s v="GPIBCUR"/>
    <s v="IBERDROLA CUR ( GEOTÉRMICA-HIDR.MARINA, PRUEBAS)"/>
    <n v="0"/>
    <s v="18WGPIBCUR-123-A"/>
    <x v="18"/>
    <s v="Venta"/>
    <s v="SZR"/>
    <s v="IBCUR"/>
    <x v="0"/>
    <x v="7"/>
    <x v="34"/>
    <s v="SZR"/>
  </r>
  <r>
    <x v="1898"/>
    <s v="PM GENERIC"/>
    <s v="POWERMART GENERIC"/>
    <n v="300"/>
    <s v="18WGPOWER1-123-X"/>
    <x v="26"/>
    <s v="Compra"/>
    <s v="SZR"/>
    <s v="POWER"/>
    <x v="12"/>
    <x v="354"/>
    <x v="32"/>
    <s v="SZR"/>
  </r>
  <r>
    <x v="1899"/>
    <s v="GRAFV"/>
    <s v="GRAFICAS VARIAS SA"/>
    <n v="0.6"/>
    <s v="18W000000000F8E7"/>
    <x v="6"/>
    <s v="Compra"/>
    <s v="SZR"/>
    <s v="GRAFV"/>
    <x v="3"/>
    <x v="355"/>
    <x v="6"/>
    <s v="SZR"/>
  </r>
  <r>
    <x v="1900"/>
    <s v="GRANA"/>
    <s v="GRANA"/>
    <n v="1"/>
    <s v="18W000000000H2K5"/>
    <x v="1"/>
    <s v="Venta"/>
    <s v="SZR"/>
    <s v="GNRA"/>
    <x v="0"/>
    <x v="46"/>
    <x v="1"/>
    <s v="SZR"/>
  </r>
  <r>
    <x v="1901"/>
    <s v="GRDZ"/>
    <s v="GRDZ"/>
    <n v="0.9"/>
    <s v="18WGRDZ-123456-6"/>
    <x v="1"/>
    <s v="Venta"/>
    <s v="SZR"/>
    <s v="WMARK"/>
    <x v="0"/>
    <x v="22"/>
    <x v="1"/>
    <s v="SZR"/>
  </r>
  <r>
    <x v="1902"/>
    <s v="GREEC01UP"/>
    <s v="GREEC01 UP"/>
    <n v="0"/>
    <s v="18W000000000R3OS"/>
    <x v="2"/>
    <s v="Compra"/>
    <s v="SZR"/>
    <s v="GRNSR"/>
    <x v="1"/>
    <x v="356"/>
    <x v="2"/>
    <s v="SZR"/>
  </r>
  <r>
    <x v="1903"/>
    <s v="GREEN360"/>
    <s v="GREENENERGY360"/>
    <n v="1"/>
    <s v="18W000000000SL82"/>
    <x v="2"/>
    <s v="Compra"/>
    <s v="SZR"/>
    <s v="GREAL"/>
    <x v="1"/>
    <x v="357"/>
    <x v="2"/>
    <s v="SZR"/>
  </r>
  <r>
    <x v="1904"/>
    <s v="GREPSB1"/>
    <s v="UP GENERICA REPSOL SERVICIOS RENOVABLES"/>
    <n v="1500"/>
    <s v="18W000000000LCVB"/>
    <x v="26"/>
    <s v="Compra"/>
    <s v="SZR"/>
    <s v="REPSB"/>
    <x v="12"/>
    <x v="29"/>
    <x v="32"/>
    <s v="SZR"/>
  </r>
  <r>
    <x v="1905"/>
    <s v="GERENTA_E"/>
    <s v="GERENTA ENERGIA SL"/>
    <n v="100"/>
    <s v="18W0000000004RND"/>
    <x v="2"/>
    <s v="Compra"/>
    <s v="SZR"/>
    <s v="GRTEN"/>
    <x v="1"/>
    <x v="358"/>
    <x v="2"/>
    <s v="SZR"/>
  </r>
  <r>
    <x v="1906"/>
    <s v="GSAMP1"/>
    <s v="SAMPOL ( G )"/>
    <n v="0"/>
    <s v="18WGSAMP1-1234-H"/>
    <x v="26"/>
    <s v="Compra"/>
    <s v="SZR"/>
    <s v="SAMP"/>
    <x v="12"/>
    <x v="359"/>
    <x v="32"/>
    <s v="SZR"/>
  </r>
  <r>
    <x v="1907"/>
    <s v="GSECOB1"/>
    <s v="GENERIC UNIT"/>
    <n v="100"/>
    <s v="18W000000000PQZJ"/>
    <x v="26"/>
    <s v="Compra"/>
    <s v="SZR"/>
    <s v="SECOB"/>
    <x v="12"/>
    <x v="360"/>
    <x v="32"/>
    <s v="SZR"/>
  </r>
  <r>
    <x v="1908"/>
    <s v="COMERCIALI"/>
    <s v="COMERCIALIZADORA"/>
    <n v="45"/>
    <s v="18WGSETC01-123-1"/>
    <x v="2"/>
    <s v="Compra"/>
    <s v="SZR"/>
    <s v="GSETT"/>
    <x v="1"/>
    <x v="316"/>
    <x v="2"/>
    <s v="SZR"/>
  </r>
  <r>
    <x v="1909"/>
    <s v="GSHEEN1"/>
    <s v="SHEEN (GENERICA)"/>
    <n v="1200"/>
    <s v="18WGSHEEN1-123-R"/>
    <x v="26"/>
    <s v="Compra"/>
    <s v="SZR"/>
    <s v="SHEEN"/>
    <x v="12"/>
    <x v="318"/>
    <x v="32"/>
    <s v="SZR"/>
  </r>
  <r>
    <x v="1910"/>
    <s v="GSLZC01"/>
    <s v="GSLZC01"/>
    <n v="0.1"/>
    <s v="18W000000000HAKI"/>
    <x v="2"/>
    <s v="Compra"/>
    <s v="SZR"/>
    <s v="GSLZE"/>
    <x v="1"/>
    <x v="341"/>
    <x v="2"/>
    <s v="SZR"/>
  </r>
  <r>
    <x v="1911"/>
    <s v="CACERES 1"/>
    <s v="CACERES 1"/>
    <n v="41.9"/>
    <s v="18W000000000PQ1D"/>
    <x v="9"/>
    <s v="Venta"/>
    <s v="IGR"/>
    <s v="IGNIS"/>
    <x v="0"/>
    <x v="28"/>
    <x v="9"/>
    <s v="IGR"/>
  </r>
  <r>
    <x v="1912"/>
    <s v="CACERES 2"/>
    <s v="CACERES 2"/>
    <n v="41.9"/>
    <s v="18W000000000PQ2B"/>
    <x v="9"/>
    <s v="Venta"/>
    <s v="IGR"/>
    <s v="IGNIS"/>
    <x v="0"/>
    <x v="28"/>
    <x v="9"/>
    <s v="IGR"/>
  </r>
  <r>
    <x v="1913"/>
    <s v="GSLZV04"/>
    <s v="GSLZV04"/>
    <n v="2.6"/>
    <s v="18W000000000PVX8"/>
    <x v="9"/>
    <s v="Venta"/>
    <s v="SZR"/>
    <s v="GSLZE"/>
    <x v="0"/>
    <x v="341"/>
    <x v="9"/>
    <s v="SZR"/>
  </r>
  <r>
    <x v="1914"/>
    <s v="GSLZV06"/>
    <s v="JEREZ 2020"/>
    <n v="9.8000000000000007"/>
    <s v="18W000000000QE0A"/>
    <x v="9"/>
    <s v="Venta"/>
    <s v="SZR"/>
    <s v="GSLZE"/>
    <x v="0"/>
    <x v="341"/>
    <x v="9"/>
    <s v="SZR"/>
  </r>
  <r>
    <x v="1915"/>
    <s v="GSLZV07"/>
    <s v="ALCONCHEL 20202"/>
    <n v="10"/>
    <s v="18W000000000QH9K"/>
    <x v="9"/>
    <s v="Venta"/>
    <s v="SZR"/>
    <s v="GSLZE"/>
    <x v="0"/>
    <x v="341"/>
    <x v="9"/>
    <s v="SZR"/>
  </r>
  <r>
    <x v="1916"/>
    <s v="GSLZV08"/>
    <s v="ALCONCHEL 2020"/>
    <n v="9.8000000000000007"/>
    <s v="18W000000000QXNI"/>
    <x v="9"/>
    <s v="Venta"/>
    <s v="SZR"/>
    <s v="GSLZE"/>
    <x v="0"/>
    <x v="341"/>
    <x v="9"/>
    <s v="SZR"/>
  </r>
  <r>
    <x v="1917"/>
    <s v="GSLZV09"/>
    <s v="ALCONCHEL 2021"/>
    <n v="5"/>
    <s v="18W000000000QXPE"/>
    <x v="9"/>
    <s v="Venta"/>
    <s v="SZR"/>
    <s v="GSLZE"/>
    <x v="0"/>
    <x v="341"/>
    <x v="9"/>
    <s v="SZR"/>
  </r>
  <r>
    <x v="1918"/>
    <s v="SMARCGENER"/>
    <s v="SMARCGENERICA"/>
    <n v="10"/>
    <s v="18W000000000SWGR"/>
    <x v="26"/>
    <s v="Compra"/>
    <s v="SZR"/>
    <s v="SMARC"/>
    <x v="12"/>
    <x v="361"/>
    <x v="32"/>
    <s v="SZR"/>
  </r>
  <r>
    <x v="1919"/>
    <s v="GSMG1"/>
    <s v="STATKRAFT MARKETS GMBH"/>
    <n v="270"/>
    <s v="18WGSMG1-12345-Y"/>
    <x v="26"/>
    <s v="Compra"/>
    <s v="SZR"/>
    <s v="SMG"/>
    <x v="12"/>
    <x v="362"/>
    <x v="32"/>
    <s v="SZR"/>
  </r>
  <r>
    <x v="1920"/>
    <s v="GENERICA_F"/>
    <s v="GENERICA_FRANCIA"/>
    <n v="20"/>
    <s v="18W000000000R3J1"/>
    <x v="26"/>
    <s v="Compra"/>
    <s v="SZR"/>
    <s v="SSEEN"/>
    <x v="12"/>
    <x v="363"/>
    <x v="32"/>
    <s v="SZR"/>
  </r>
  <r>
    <x v="1921"/>
    <s v="GSTCP3"/>
    <s v="GDF SUEZ TRADING GSTCP3"/>
    <n v="400"/>
    <s v="18WGSTCP3-123--I"/>
    <x v="16"/>
    <s v="Compra"/>
    <s v="SZR"/>
    <s v="FR_GS"/>
    <x v="7"/>
    <x v="339"/>
    <x v="16"/>
    <s v="SZR"/>
  </r>
  <r>
    <x v="1922"/>
    <s v="GSTVP3"/>
    <s v="GDF SUEZ TRADING GSTVP3"/>
    <n v="400"/>
    <s v="18WGSTVP3-123--D"/>
    <x v="17"/>
    <s v="Venta"/>
    <s v="SZR"/>
    <s v="FR_GS"/>
    <x v="7"/>
    <x v="339"/>
    <x v="17"/>
    <s v="SZR"/>
  </r>
  <r>
    <x v="1923"/>
    <s v="GTOTGA1"/>
    <s v="GTOTGA1"/>
    <n v="2000"/>
    <s v="18WGTOTGA1-123-M"/>
    <x v="26"/>
    <s v="Compra"/>
    <s v="SZR"/>
    <s v="TOTGA"/>
    <x v="12"/>
    <x v="141"/>
    <x v="32"/>
    <s v="SZR"/>
  </r>
  <r>
    <x v="1924"/>
    <s v="GTSRDE1"/>
    <s v="TSRDE GENERIC"/>
    <n v="500"/>
    <s v="18W000000000IG9I"/>
    <x v="26"/>
    <s v="Compra"/>
    <s v="SZR"/>
    <s v="TSRDE"/>
    <x v="12"/>
    <x v="364"/>
    <x v="32"/>
    <s v="SZR"/>
  </r>
  <r>
    <x v="1925"/>
    <s v="UP GUASCOR"/>
    <s v="UP GUASCOR"/>
    <n v="13.5"/>
    <s v="18W000000000SDK2"/>
    <x v="0"/>
    <s v="Venta"/>
    <s v="SZR"/>
    <s v="TRISO"/>
    <x v="0"/>
    <x v="115"/>
    <x v="0"/>
    <s v="SZR"/>
  </r>
  <r>
    <x v="1926"/>
    <s v="GUADA"/>
    <s v="HGUADA"/>
    <n v="5.2"/>
    <s v="18WGUADA-12345-H"/>
    <x v="1"/>
    <s v="Venta"/>
    <s v="SZR"/>
    <s v="GNRA"/>
    <x v="0"/>
    <x v="46"/>
    <x v="19"/>
    <s v="SZR"/>
  </r>
  <r>
    <x v="1927"/>
    <s v="GUILLENA B"/>
    <s v="C.H.B. GUILLENA BOMBEO"/>
    <n v="225"/>
    <s v="18WGUIB-12345-0Q"/>
    <x v="13"/>
    <s v="Compra"/>
    <s v="SZR"/>
    <s v="ENDG"/>
    <x v="6"/>
    <x v="72"/>
    <x v="13"/>
    <s v="SZR"/>
  </r>
  <r>
    <x v="1928"/>
    <s v="GUILLENA G"/>
    <s v="C.H. GUILLENA GENERACION"/>
    <n v="206.7"/>
    <s v="18WGUIG-12345-0D"/>
    <x v="14"/>
    <s v="Venta"/>
    <s v="END"/>
    <s v="ENDG"/>
    <x v="0"/>
    <x v="72"/>
    <x v="14"/>
    <s v="END"/>
  </r>
  <r>
    <x v="1929"/>
    <s v="GUISC01"/>
    <s v="18WGUISC01-123-H"/>
    <n v="10"/>
    <s v="18WGUISC01-123-H"/>
    <x v="2"/>
    <s v="Compra"/>
    <s v="SZR"/>
    <s v="GUIS"/>
    <x v="1"/>
    <x v="365"/>
    <x v="2"/>
    <s v="SZR"/>
  </r>
  <r>
    <x v="1930"/>
    <s v="GUIS CD"/>
    <s v="GUIS CONSUMIDOR DIRECTO"/>
    <n v="7663.4"/>
    <s v="18WGUISC02-123-A"/>
    <x v="6"/>
    <s v="Compra"/>
    <s v="SZR"/>
    <s v="GUIS"/>
    <x v="3"/>
    <x v="365"/>
    <x v="6"/>
    <s v="SZR"/>
  </r>
  <r>
    <x v="1931"/>
    <s v="GUIS VENTA"/>
    <s v="GUISSONA VENTA"/>
    <n v="31.4"/>
    <s v="18W000000000NT9X"/>
    <x v="10"/>
    <s v="Venta"/>
    <s v="SZR"/>
    <s v="GUIS"/>
    <x v="0"/>
    <x v="365"/>
    <x v="10"/>
    <s v="SZR"/>
  </r>
  <r>
    <x v="1932"/>
    <s v="GUISR01"/>
    <s v="GUISSONA SRAD"/>
    <n v="15350"/>
    <s v="18W000000000QJC8"/>
    <x v="6"/>
    <s v="Compra"/>
    <s v="SZR"/>
    <s v="GUIS"/>
    <x v="3"/>
    <x v="365"/>
    <x v="6"/>
    <s v="SZR"/>
  </r>
  <r>
    <x v="1933"/>
    <s v="GUNEL01"/>
    <s v="UNIDAD GENERICA"/>
    <n v="270"/>
    <s v="18W000000000OM7H"/>
    <x v="26"/>
    <s v="Compra"/>
    <s v="SZR"/>
    <s v="UNEL"/>
    <x v="12"/>
    <x v="366"/>
    <x v="32"/>
    <s v="SZR"/>
  </r>
  <r>
    <x v="1934"/>
    <s v="GUNVCP3"/>
    <s v="GUNVCP3"/>
    <n v="10"/>
    <s v="18W000000000LVN7"/>
    <x v="16"/>
    <s v="Compra"/>
    <s v="SZR"/>
    <s v="GUNVOR"/>
    <x v="7"/>
    <x v="342"/>
    <x v="16"/>
    <s v="SZR"/>
  </r>
  <r>
    <x v="1935"/>
    <s v="GUNVVP3"/>
    <s v="GUNVVP3"/>
    <n v="10"/>
    <s v="18W000000000LVO5"/>
    <x v="17"/>
    <s v="Venta"/>
    <s v="SZR"/>
    <s v="GUNVOR"/>
    <x v="7"/>
    <x v="342"/>
    <x v="17"/>
    <s v="SZR"/>
  </r>
  <r>
    <x v="1936"/>
    <s v="GURBC01"/>
    <s v="GURBC01"/>
    <n v="0.1"/>
    <s v="18W000000000K0UG"/>
    <x v="2"/>
    <s v="Compra"/>
    <s v="SZR"/>
    <s v="GURBT"/>
    <x v="1"/>
    <x v="367"/>
    <x v="2"/>
    <s v="SZR"/>
  </r>
  <r>
    <x v="1937"/>
    <s v="GEONG1"/>
    <s v="EON GENERACION, S.L. ( G )"/>
    <n v="0"/>
    <s v="18WGVIEG1-1234-H"/>
    <x v="26"/>
    <s v="Compra"/>
    <s v="SZR"/>
    <s v="VIEG"/>
    <x v="12"/>
    <x v="29"/>
    <x v="32"/>
    <s v="SZR"/>
  </r>
  <r>
    <x v="1938"/>
    <s v="GVISA1"/>
    <s v="UP GENERICA VISALIA"/>
    <n v="65"/>
    <s v="18W000000000SHMN"/>
    <x v="26"/>
    <s v="Compra"/>
    <s v="SZR"/>
    <s v="VISAL"/>
    <x v="12"/>
    <x v="368"/>
    <x v="32"/>
    <s v="SZR"/>
  </r>
  <r>
    <x v="1939"/>
    <s v="GVITOL01"/>
    <s v="UP GENERICA FRANCIA"/>
    <n v="500"/>
    <s v="18W000000000NFJI"/>
    <x v="26"/>
    <s v="Compra"/>
    <s v="SZR"/>
    <s v="VITOL"/>
    <x v="12"/>
    <x v="369"/>
    <x v="32"/>
    <s v="SZR"/>
  </r>
  <r>
    <x v="1940"/>
    <s v="GYEEXXI"/>
    <s v="EEXXI (GEOTÉRMICA, NO EXENTA)"/>
    <n v="0"/>
    <s v="18WGYEEXXI-123-P"/>
    <x v="18"/>
    <s v="Venta"/>
    <s v="SZR"/>
    <s v="EEXXI"/>
    <x v="0"/>
    <x v="72"/>
    <x v="34"/>
    <s v="SZR"/>
  </r>
  <r>
    <x v="1941"/>
    <s v="OLAS"/>
    <s v="PLANTA DE APROVECHAMENTO DE LAS OLAS"/>
    <n v="0.2"/>
    <s v="18WGYGNRA-1234-1"/>
    <x v="18"/>
    <s v="Venta"/>
    <s v="SZR"/>
    <s v="GNRA"/>
    <x v="0"/>
    <x v="46"/>
    <x v="34"/>
    <s v="SZR"/>
  </r>
  <r>
    <x v="1942"/>
    <s v="GYIBCUR"/>
    <s v="IBERDROLA CUR ( GEOTÉRMICA-HIDR.MARINA, TARIFA NO EXENTA)"/>
    <n v="0"/>
    <s v="18WGYIBCUR-123-D"/>
    <x v="18"/>
    <s v="Venta"/>
    <s v="SZR"/>
    <s v="IBCUR"/>
    <x v="0"/>
    <x v="7"/>
    <x v="34"/>
    <s v="SZR"/>
  </r>
  <r>
    <x v="1943"/>
    <s v="HABGN"/>
    <s v="HABGN"/>
    <n v="168.7"/>
    <s v="18W000000000OY5M"/>
    <x v="9"/>
    <s v="Venta"/>
    <s v="GN4"/>
    <s v="GNRA"/>
    <x v="0"/>
    <x v="46"/>
    <x v="9"/>
    <s v="GN4"/>
  </r>
  <r>
    <x v="1944"/>
    <s v="HACUAM"/>
    <s v="18WHACUAM-1234-B"/>
    <n v="8.1999999999999993"/>
    <s v="18WHACUAM-1234-B"/>
    <x v="1"/>
    <s v="Venta"/>
    <s v="SZR"/>
    <s v="EGLE"/>
    <x v="0"/>
    <x v="82"/>
    <x v="19"/>
    <s v="SZR"/>
  </r>
  <r>
    <x v="1945"/>
    <s v="HACUAVI"/>
    <s v="ACUAVIR - TARIFA&gt;10MW"/>
    <n v="12.5"/>
    <s v="18WHACUAVI-123-F"/>
    <x v="1"/>
    <s v="Venta"/>
    <s v="SZR"/>
    <s v="IGNIS"/>
    <x v="0"/>
    <x v="28"/>
    <x v="19"/>
    <s v="SZR"/>
  </r>
  <r>
    <x v="1946"/>
    <s v="HAFESA"/>
    <s v="HAFESA MOBILITY ELC SL"/>
    <n v="1"/>
    <s v="18W000000000RA66"/>
    <x v="2"/>
    <s v="Compra"/>
    <s v="SZR"/>
    <s v="HAFES"/>
    <x v="1"/>
    <x v="370"/>
    <x v="2"/>
    <s v="SZR"/>
  </r>
  <r>
    <x v="1947"/>
    <s v="HAGUILA"/>
    <s v="UP HIDRO PEÑA DEL AGUILA"/>
    <n v="1.6"/>
    <s v="18W000000000L15M"/>
    <x v="1"/>
    <s v="Venta"/>
    <s v="SZR"/>
    <s v="IGNIS"/>
    <x v="0"/>
    <x v="28"/>
    <x v="19"/>
    <s v="SZR"/>
  </r>
  <r>
    <x v="1948"/>
    <s v="HALANGE"/>
    <s v="UP CH ALANGE"/>
    <n v="9.1"/>
    <s v="18W000000000G03C"/>
    <x v="1"/>
    <s v="Venta"/>
    <s v="SZR"/>
    <s v="NEXU"/>
    <x v="0"/>
    <x v="187"/>
    <x v="19"/>
    <s v="SZR"/>
  </r>
  <r>
    <x v="1949"/>
    <s v="HALCOL"/>
    <s v="18WHALCOL-1234-B"/>
    <n v="2.6"/>
    <s v="18WHALCOL-1234-B"/>
    <x v="1"/>
    <s v="Venta"/>
    <s v="SZR"/>
    <s v="EGLE"/>
    <x v="0"/>
    <x v="82"/>
    <x v="19"/>
    <s v="SZR"/>
  </r>
  <r>
    <x v="1950"/>
    <s v="HALTANO"/>
    <s v="HALTANO"/>
    <n v="52.2"/>
    <s v="18W000000000RKT4"/>
    <x v="1"/>
    <s v="Venta"/>
    <s v="SZR"/>
    <s v="CEG"/>
    <x v="0"/>
    <x v="124"/>
    <x v="19"/>
    <s v="SZR"/>
  </r>
  <r>
    <x v="1951"/>
    <s v="HAMPC01"/>
    <s v="HAMPC01"/>
    <n v="0.1"/>
    <s v="18W000000000MEFX"/>
    <x v="2"/>
    <s v="Compra"/>
    <s v="SZR"/>
    <s v="HAMPO"/>
    <x v="1"/>
    <x v="371"/>
    <x v="2"/>
    <s v="SZR"/>
  </r>
  <r>
    <x v="1952"/>
    <s v="HAMPV01"/>
    <s v="HAMPV01"/>
    <n v="0.1"/>
    <s v="18W000000000PQ0F"/>
    <x v="9"/>
    <s v="Venta"/>
    <s v="SZR"/>
    <s v="HAMPO"/>
    <x v="0"/>
    <x v="371"/>
    <x v="9"/>
    <s v="SZR"/>
  </r>
  <r>
    <x v="1953"/>
    <s v="HANARBE"/>
    <s v="UP ANARBE"/>
    <n v="2.4"/>
    <s v="18WHANARBE-123-I"/>
    <x v="1"/>
    <s v="Venta"/>
    <s v="SZR"/>
    <s v="GNRA"/>
    <x v="0"/>
    <x v="46"/>
    <x v="19"/>
    <s v="SZR"/>
  </r>
  <r>
    <x v="1954"/>
    <s v="HANTEL"/>
    <s v="18WHANTEL-1234-K"/>
    <n v="3.6"/>
    <s v="18WHANTEL-1234-K"/>
    <x v="1"/>
    <s v="Venta"/>
    <s v="SZR"/>
    <s v="EGLE"/>
    <x v="0"/>
    <x v="82"/>
    <x v="19"/>
    <s v="SZR"/>
  </r>
  <r>
    <x v="1955"/>
    <s v="HAPHIG"/>
    <s v="UP APROVECHAMIENTOS HIDRAULICOS GALLEGOS"/>
    <n v="4.9000000000000004"/>
    <s v="18W000000000TAHD"/>
    <x v="1"/>
    <s v="Venta"/>
    <s v="SZR"/>
    <s v="EGLE"/>
    <x v="0"/>
    <x v="82"/>
    <x v="19"/>
    <s v="SZR"/>
  </r>
  <r>
    <x v="1956"/>
    <s v="HAPO"/>
    <s v="HARINAS POLO"/>
    <n v="0.7"/>
    <s v="18W0000000007IBF"/>
    <x v="6"/>
    <s v="Compra"/>
    <s v="SZR"/>
    <s v="HAPO"/>
    <x v="3"/>
    <x v="372"/>
    <x v="6"/>
    <s v="SZR"/>
  </r>
  <r>
    <x v="1957"/>
    <s v="HARENG"/>
    <s v="18WHARENG-1234-B"/>
    <n v="2.8"/>
    <s v="18WHARENG-1234-B"/>
    <x v="1"/>
    <s v="Venta"/>
    <s v="SZR"/>
    <s v="EGLE"/>
    <x v="0"/>
    <x v="82"/>
    <x v="19"/>
    <s v="SZR"/>
  </r>
  <r>
    <x v="1958"/>
    <s v="HARNO"/>
    <s v="18WHARNO-1234-1U"/>
    <n v="5.9"/>
    <s v="18WHARNO-1234-1U"/>
    <x v="1"/>
    <s v="Venta"/>
    <s v="SZR"/>
    <s v="EGLE"/>
    <x v="0"/>
    <x v="82"/>
    <x v="19"/>
    <s v="SZR"/>
  </r>
  <r>
    <x v="1959"/>
    <s v="HARINERA"/>
    <s v="HARINERA"/>
    <n v="1.5"/>
    <s v="18W000000000P47U"/>
    <x v="6"/>
    <s v="Compra"/>
    <s v="SZR"/>
    <s v="HARXX"/>
    <x v="3"/>
    <x v="373"/>
    <x v="6"/>
    <s v="SZR"/>
  </r>
  <r>
    <x v="1960"/>
    <s v="HATJUG"/>
    <s v="18WHATJUG-123-1Z"/>
    <n v="1.4"/>
    <s v="18WHATJUG-123-1Z"/>
    <x v="1"/>
    <s v="Venta"/>
    <s v="SZR"/>
    <s v="EGLE"/>
    <x v="0"/>
    <x v="82"/>
    <x v="19"/>
    <s v="SZR"/>
  </r>
  <r>
    <x v="1961"/>
    <s v="HATUDEL"/>
    <s v="AGROELECTRICA TUDELANA"/>
    <n v="5.9"/>
    <s v="18WHATUDEL-123-R"/>
    <x v="1"/>
    <s v="Venta"/>
    <s v="SZR"/>
    <s v="EGED"/>
    <x v="0"/>
    <x v="186"/>
    <x v="19"/>
    <s v="SZR"/>
  </r>
  <r>
    <x v="1962"/>
    <s v="HAZANON"/>
    <s v="HAZANON"/>
    <n v="1.5"/>
    <s v="18W000000000QRI9"/>
    <x v="1"/>
    <s v="Venta"/>
    <s v="SZR"/>
    <s v="CEG"/>
    <x v="0"/>
    <x v="124"/>
    <x v="19"/>
    <s v="SZR"/>
  </r>
  <r>
    <x v="1963"/>
    <s v="HBARCO"/>
    <s v="18WHBARCO-1234-H"/>
    <n v="3.2"/>
    <s v="18WHBARCO-1234-H"/>
    <x v="1"/>
    <s v="Venta"/>
    <s v="SZR"/>
    <s v="EGLE"/>
    <x v="0"/>
    <x v="82"/>
    <x v="19"/>
    <s v="SZR"/>
  </r>
  <r>
    <x v="1964"/>
    <s v="HBARDE"/>
    <s v="18WHBARDE-1234-E"/>
    <n v="5"/>
    <s v="18WHBARDE-1234-E"/>
    <x v="1"/>
    <s v="Venta"/>
    <s v="SZR"/>
    <s v="EGLE"/>
    <x v="0"/>
    <x v="82"/>
    <x v="19"/>
    <s v="SZR"/>
  </r>
  <r>
    <x v="1965"/>
    <s v="HBARLO"/>
    <s v="BARLOQUE SL"/>
    <n v="5.3"/>
    <s v="18W000000000P1KD"/>
    <x v="1"/>
    <s v="Venta"/>
    <s v="SZR"/>
    <s v="EGLE"/>
    <x v="0"/>
    <x v="82"/>
    <x v="19"/>
    <s v="SZR"/>
  </r>
  <r>
    <x v="1966"/>
    <s v="HBAUSEN"/>
    <s v="UP HIDRAULICA BAUSEN"/>
    <n v="3.3"/>
    <s v="18W000000000TKJG"/>
    <x v="1"/>
    <s v="Venta"/>
    <s v="SZR"/>
    <s v="NEXU"/>
    <x v="0"/>
    <x v="187"/>
    <x v="19"/>
    <s v="SZR"/>
  </r>
  <r>
    <x v="1967"/>
    <s v="HBBONAR"/>
    <s v="HBBONAR"/>
    <n v="4.5"/>
    <s v="18W000000000T5ZT"/>
    <x v="22"/>
    <s v="Venta"/>
    <s v="SZR"/>
    <s v="DETIC"/>
    <x v="9"/>
    <x v="71"/>
    <x v="30"/>
    <s v="SZR"/>
  </r>
  <r>
    <x v="1968"/>
    <s v="HCADOS"/>
    <s v="18WHCADOS-1234-5"/>
    <n v="2"/>
    <s v="18WHCADOS-1234-5"/>
    <x v="1"/>
    <s v="Venta"/>
    <s v="SZR"/>
    <s v="EGLE"/>
    <x v="0"/>
    <x v="82"/>
    <x v="19"/>
    <s v="SZR"/>
  </r>
  <r>
    <x v="1969"/>
    <s v="HCALDA"/>
    <s v="18WHCALDA-1234-K"/>
    <n v="1.3"/>
    <s v="18WHCALDA-1234-K"/>
    <x v="1"/>
    <s v="Venta"/>
    <s v="SZR"/>
    <s v="EGLE"/>
    <x v="0"/>
    <x v="82"/>
    <x v="19"/>
    <s v="SZR"/>
  </r>
  <r>
    <x v="1970"/>
    <s v="HCAMPOS"/>
    <s v="HCAMPOS"/>
    <n v="2"/>
    <s v="18W000000000QRL3"/>
    <x v="1"/>
    <s v="Venta"/>
    <s v="SZR"/>
    <s v="CEG"/>
    <x v="0"/>
    <x v="124"/>
    <x v="19"/>
    <s v="SZR"/>
  </r>
  <r>
    <x v="1971"/>
    <s v="HCASAR"/>
    <s v="HCASAR"/>
    <n v="3.1"/>
    <s v="18W000000000QRM1"/>
    <x v="1"/>
    <s v="Venta"/>
    <s v="SZR"/>
    <s v="CEG"/>
    <x v="0"/>
    <x v="124"/>
    <x v="19"/>
    <s v="SZR"/>
  </r>
  <r>
    <x v="1972"/>
    <s v="UPCASTRELO"/>
    <s v="UP CH CASTRELO"/>
    <n v="28.7"/>
    <s v="18W000000000HSJ3"/>
    <x v="1"/>
    <s v="Venta"/>
    <s v="IGNIS"/>
    <s v="IGNIS"/>
    <x v="0"/>
    <x v="28"/>
    <x v="19"/>
    <s v="IGN"/>
  </r>
  <r>
    <x v="1973"/>
    <s v="HCASTRO"/>
    <s v="UP CH EL CASTRO"/>
    <n v="1.4"/>
    <s v="18WHCASTRO-123-0"/>
    <x v="1"/>
    <s v="Venta"/>
    <s v="SZR"/>
    <s v="GNRA"/>
    <x v="0"/>
    <x v="46"/>
    <x v="19"/>
    <s v="SZR"/>
  </r>
  <r>
    <x v="1974"/>
    <s v="HC-ENE NAC"/>
    <s v="HIDROCANTABRICO ENERGIA (NACIONAL)"/>
    <n v="2399"/>
    <s v="18WHCENE01-12-26"/>
    <x v="2"/>
    <s v="Compra"/>
    <s v="SZR"/>
    <s v="HCENE"/>
    <x v="1"/>
    <x v="374"/>
    <x v="2"/>
    <s v="SZR"/>
  </r>
  <r>
    <x v="1975"/>
    <s v="HCERRAT"/>
    <s v="HCERRAT"/>
    <n v="4"/>
    <s v="18W000000000QRK5"/>
    <x v="1"/>
    <s v="Venta"/>
    <s v="SZR"/>
    <s v="CEG"/>
    <x v="0"/>
    <x v="124"/>
    <x v="19"/>
    <s v="SZR"/>
  </r>
  <r>
    <x v="1976"/>
    <s v="HCGC01"/>
    <s v="HIDROELÉCTRICA DEL CANTÁBRICO, S.A."/>
    <n v="2.2000000000000002"/>
    <s v="18WHCGC01-123-2K"/>
    <x v="2"/>
    <s v="Compra"/>
    <s v="SZR"/>
    <s v="HC G"/>
    <x v="1"/>
    <x v="3"/>
    <x v="2"/>
    <s v="SZR"/>
  </r>
  <r>
    <x v="1977"/>
    <s v="HCGCOX"/>
    <s v="COMPRA SSAA PARQUES EOLICOS"/>
    <n v="20"/>
    <s v="18W000000000IO36"/>
    <x v="5"/>
    <s v="Compra"/>
    <s v="SZR"/>
    <s v="HC G"/>
    <x v="2"/>
    <x v="3"/>
    <x v="5"/>
    <s v="SZR"/>
  </r>
  <r>
    <x v="1978"/>
    <s v="HCGEORS"/>
    <s v="UP HCG ZONA REGULACION"/>
    <n v="102.6"/>
    <s v="18W000000000IG4S"/>
    <x v="11"/>
    <s v="Venta"/>
    <s v="HC"/>
    <s v="HC G"/>
    <x v="0"/>
    <x v="3"/>
    <x v="11"/>
    <s v="HC"/>
  </r>
  <r>
    <x v="1979"/>
    <s v="HCGFVSA"/>
    <s v="UNIDAD PROGRAMACION FOTOVOLTAICA"/>
    <n v="103.9"/>
    <s v="18W000000000P3QW"/>
    <x v="9"/>
    <s v="Venta"/>
    <s v="SZR"/>
    <s v="HC G"/>
    <x v="0"/>
    <x v="3"/>
    <x v="9"/>
    <s v="SZR"/>
  </r>
  <r>
    <x v="1980"/>
    <s v="HCGSCSA"/>
    <s v="UP VENTA PE HABILITADOS SERV AJUSTE"/>
    <n v="949.7"/>
    <s v="18W000000000IG3U"/>
    <x v="11"/>
    <s v="Venta"/>
    <s v="SZR"/>
    <s v="HC G"/>
    <x v="0"/>
    <x v="3"/>
    <x v="11"/>
    <s v="SZR"/>
  </r>
  <r>
    <x v="1981"/>
    <s v="HCGSIHA"/>
    <s v="UP PARQUES EOLICOS SIN HABILITAR"/>
    <n v="739.5"/>
    <s v="18W000000000IG2W"/>
    <x v="11"/>
    <s v="Venta"/>
    <s v="SZR"/>
    <s v="HC G"/>
    <x v="0"/>
    <x v="3"/>
    <x v="11"/>
    <s v="SZR"/>
  </r>
  <r>
    <x v="1982"/>
    <s v="HC-HIDRAUL"/>
    <s v="UGH. HIDROCANTABRICO HIDRAULICA"/>
    <n v="425.7"/>
    <s v="18WHCHI-12345-0M"/>
    <x v="1"/>
    <s v="Venta"/>
    <s v="HC"/>
    <s v="HC G"/>
    <x v="0"/>
    <x v="3"/>
    <x v="1"/>
    <s v="HC"/>
  </r>
  <r>
    <x v="1983"/>
    <s v="HCHI2"/>
    <s v="HIDRAULICAS VIESGO"/>
    <n v="4.9000000000000004"/>
    <s v="18W000000000N5N3"/>
    <x v="1"/>
    <s v="Venta"/>
    <s v="SZR"/>
    <s v="HC G"/>
    <x v="0"/>
    <x v="3"/>
    <x v="19"/>
    <s v="SZR"/>
  </r>
  <r>
    <x v="1984"/>
    <s v="HCHZAMU"/>
    <s v="UP ZAMUÑON (PEÑALABRA)"/>
    <n v="1.8"/>
    <s v="18WHCHZAMU-123-M"/>
    <x v="1"/>
    <s v="Venta"/>
    <s v="SZR"/>
    <s v="GNRA"/>
    <x v="0"/>
    <x v="46"/>
    <x v="19"/>
    <s v="SZR"/>
  </r>
  <r>
    <x v="1985"/>
    <s v="HCMINE"/>
    <s v="18WHMINER-1234-H"/>
    <n v="1.7"/>
    <s v="18WHMINER-1234-H"/>
    <x v="1"/>
    <s v="Venta"/>
    <s v="SZR"/>
    <s v="EGLE"/>
    <x v="0"/>
    <x v="82"/>
    <x v="19"/>
    <s v="SZR"/>
  </r>
  <r>
    <x v="1986"/>
    <s v="HCNSC01"/>
    <s v="HC NATURGAS SERVICIOS ENERGETICOS"/>
    <n v="0.5"/>
    <s v="18WHCNSC01-123-H"/>
    <x v="2"/>
    <s v="Compra"/>
    <s v="SZR"/>
    <s v="HC G"/>
    <x v="1"/>
    <x v="3"/>
    <x v="2"/>
    <s v="SZR"/>
  </r>
  <r>
    <x v="1987"/>
    <s v="HCOGOTA"/>
    <s v="UO CASTRO DE LAS COGOTAS"/>
    <n v="5.2"/>
    <s v="18WHCOGOTA-123-J"/>
    <x v="1"/>
    <s v="Venta"/>
    <s v="SZR"/>
    <s v="GNRA"/>
    <x v="0"/>
    <x v="46"/>
    <x v="19"/>
    <s v="SZR"/>
  </r>
  <r>
    <x v="1988"/>
    <s v="HCOHIG"/>
    <s v="18WHCOHIG-123-19"/>
    <n v="18.600000000000001"/>
    <s v="18WHCOHIG-123-19"/>
    <x v="1"/>
    <s v="Venta"/>
    <s v="SZR"/>
    <s v="EGLE"/>
    <x v="0"/>
    <x v="82"/>
    <x v="19"/>
    <s v="SZR"/>
  </r>
  <r>
    <x v="1989"/>
    <s v="HCORADA"/>
    <s v="UP CH CORADA"/>
    <n v="5"/>
    <s v="18W000000000FZW1"/>
    <x v="1"/>
    <s v="Venta"/>
    <s v="SZR"/>
    <s v="NEXU"/>
    <x v="0"/>
    <x v="187"/>
    <x v="19"/>
    <s v="SZR"/>
  </r>
  <r>
    <x v="1990"/>
    <s v="HCUER"/>
    <s v="HCUER"/>
    <n v="3.8"/>
    <s v="18W000000000NQVZ"/>
    <x v="1"/>
    <s v="Venta"/>
    <s v="SZR"/>
    <s v="GNRA"/>
    <x v="0"/>
    <x v="46"/>
    <x v="19"/>
    <s v="SZR"/>
  </r>
  <r>
    <x v="1991"/>
    <s v="HCURC01"/>
    <s v="HIDROCANTABRICO CUR. COMPRA"/>
    <n v="50"/>
    <s v="18WHCURC01-123-O"/>
    <x v="2"/>
    <s v="Compra"/>
    <s v="SZR"/>
    <s v="HCCUR"/>
    <x v="10"/>
    <x v="273"/>
    <x v="26"/>
    <s v="SZR"/>
  </r>
  <r>
    <x v="1992"/>
    <s v="HCUR BALEA"/>
    <s v="HC NAT ULTIMO RECURSO, COMPRA BALEARES"/>
    <n v="408"/>
    <s v="18WHCURCEB-123-R"/>
    <x v="23"/>
    <s v="Compra"/>
    <s v="SZR"/>
    <s v="HCCUR"/>
    <x v="11"/>
    <x v="273"/>
    <x v="27"/>
    <s v="SZR"/>
  </r>
  <r>
    <x v="1993"/>
    <s v="HDOSA"/>
    <s v="HDOSA"/>
    <n v="5"/>
    <s v="18W000000000NHJC"/>
    <x v="1"/>
    <s v="Venta"/>
    <s v="SZR"/>
    <s v="GNRA"/>
    <x v="0"/>
    <x v="46"/>
    <x v="19"/>
    <s v="SZR"/>
  </r>
  <r>
    <x v="1994"/>
    <s v="HDUEROK"/>
    <s v="HDUEROK"/>
    <n v="1.4"/>
    <s v="18W000000000QROY"/>
    <x v="1"/>
    <s v="Venta"/>
    <s v="SZR"/>
    <s v="CEG"/>
    <x v="0"/>
    <x v="124"/>
    <x v="19"/>
    <s v="SZR"/>
  </r>
  <r>
    <x v="1995"/>
    <s v="HEALTOG"/>
    <s v="SALTOS DE AGUA MAYORES"/>
    <n v="25.7"/>
    <s v="18W000000000S1CH"/>
    <x v="1"/>
    <s v="Venta"/>
    <s v="SZR"/>
    <s v="EGED"/>
    <x v="0"/>
    <x v="186"/>
    <x v="19"/>
    <s v="SZR"/>
  </r>
  <r>
    <x v="1996"/>
    <s v="HECEC01"/>
    <s v="HIDROELÉCTRICA EL CARMEN ENERGÍA, S.L"/>
    <n v="0.1"/>
    <s v="18WHECEC01-123-W"/>
    <x v="2"/>
    <s v="Compra"/>
    <s v="SZR"/>
    <s v="HECEN"/>
    <x v="1"/>
    <x v="375"/>
    <x v="2"/>
    <s v="SZR"/>
  </r>
  <r>
    <x v="1997"/>
    <s v="HEEARG"/>
    <s v="HIDR ARTESA PEN MAYOR 1MW"/>
    <n v="1.6"/>
    <s v="18WHEEARG-123-1A"/>
    <x v="1"/>
    <s v="Venta"/>
    <s v="SZR"/>
    <s v="CEG"/>
    <x v="0"/>
    <x v="124"/>
    <x v="19"/>
    <s v="SZR"/>
  </r>
  <r>
    <x v="1998"/>
    <s v="LA SARRA"/>
    <s v="LA SARRA"/>
    <n v="60"/>
    <s v="18WHEGEDGS-123-W"/>
    <x v="1"/>
    <s v="Venta"/>
    <s v="ACC"/>
    <s v="EGED"/>
    <x v="0"/>
    <x v="186"/>
    <x v="19"/>
    <s v="ACC"/>
  </r>
  <r>
    <x v="1999"/>
    <s v="HEGILLO"/>
    <s v="HEGILLO"/>
    <n v="4.3"/>
    <s v="18W000000000QRQU"/>
    <x v="1"/>
    <s v="Venta"/>
    <s v="SZR"/>
    <s v="CEG"/>
    <x v="0"/>
    <x v="124"/>
    <x v="19"/>
    <s v="SZR"/>
  </r>
  <r>
    <x v="2000"/>
    <s v="HEGPE"/>
    <s v="HIDRO EGPE"/>
    <n v="61.7"/>
    <s v="18WHEGPE-12345-B"/>
    <x v="1"/>
    <s v="Venta"/>
    <s v="SZR"/>
    <s v="ECYR"/>
    <x v="0"/>
    <x v="72"/>
    <x v="19"/>
    <s v="SZR"/>
  </r>
  <r>
    <x v="2001"/>
    <s v="HEGPE3"/>
    <s v="HEGPE3 ZR"/>
    <n v="0.9"/>
    <s v="18W0000000004RZQ"/>
    <x v="1"/>
    <s v="Venta"/>
    <s v="SZR"/>
    <s v="ECYR"/>
    <x v="0"/>
    <x v="72"/>
    <x v="19"/>
    <s v="SZR"/>
  </r>
  <r>
    <x v="2002"/>
    <s v="UP01 HELIO"/>
    <s v="UP01 HELIOELEC"/>
    <n v="0.1"/>
    <s v="18W000000000A6YU"/>
    <x v="2"/>
    <s v="Compra"/>
    <s v="SZR"/>
    <s v="HELEC"/>
    <x v="1"/>
    <x v="376"/>
    <x v="2"/>
    <s v="SZR"/>
  </r>
  <r>
    <x v="2003"/>
    <s v="HELIOS PEN"/>
    <s v="HELIOS PENINSULA"/>
    <n v="1"/>
    <s v="18W000000000KVA0"/>
    <x v="2"/>
    <s v="Compra"/>
    <s v="SZR"/>
    <s v="HELEI"/>
    <x v="1"/>
    <x v="377"/>
    <x v="2"/>
    <s v="SZR"/>
  </r>
  <r>
    <x v="2004"/>
    <s v="HENANSA"/>
    <s v="SALTOS DEL NANSA I"/>
    <n v="47.5"/>
    <s v="18W000000000S18P"/>
    <x v="1"/>
    <s v="Venta"/>
    <s v="SZR"/>
    <s v="EGED"/>
    <x v="0"/>
    <x v="186"/>
    <x v="19"/>
    <s v="SZR"/>
  </r>
  <r>
    <x v="2005"/>
    <s v="HENGAG"/>
    <s v="18WEENGAG-123-16"/>
    <n v="11.7"/>
    <s v="18WEENGAG-123-16"/>
    <x v="1"/>
    <s v="Venta"/>
    <s v="SZR"/>
    <s v="EGLE"/>
    <x v="0"/>
    <x v="82"/>
    <x v="19"/>
    <s v="SZR"/>
  </r>
  <r>
    <x v="2006"/>
    <s v="HENREU"/>
    <s v="18WHENREU-1234-V"/>
    <n v="1.1000000000000001"/>
    <s v="18WHENREU-1234-V"/>
    <x v="1"/>
    <s v="Venta"/>
    <s v="SZR"/>
    <s v="EGLE"/>
    <x v="0"/>
    <x v="82"/>
    <x v="19"/>
    <s v="SZR"/>
  </r>
  <r>
    <x v="2007"/>
    <s v="HESDIG"/>
    <s v="UP ELECTRO SAN DIEGO"/>
    <n v="1.7"/>
    <s v="18W000000000TH8A"/>
    <x v="1"/>
    <s v="Venta"/>
    <s v="SZR"/>
    <s v="EGLE"/>
    <x v="0"/>
    <x v="82"/>
    <x v="19"/>
    <s v="SZR"/>
  </r>
  <r>
    <x v="2008"/>
    <s v="HESEGRE"/>
    <s v="SALTOS Y CENTRALES DE CATALUNYA"/>
    <n v="35.4"/>
    <s v="18W000000000S1BJ"/>
    <x v="1"/>
    <s v="Venta"/>
    <s v="SZR"/>
    <s v="EGED"/>
    <x v="0"/>
    <x v="186"/>
    <x v="19"/>
    <s v="SZR"/>
  </r>
  <r>
    <x v="2009"/>
    <s v="18W0000000"/>
    <s v="HIDROELECTRICA DEL SERRADO"/>
    <n v="2.2999999999999998"/>
    <s v="18W000000000S1AL"/>
    <x v="1"/>
    <s v="Venta"/>
    <s v="SZR"/>
    <s v="EGED"/>
    <x v="0"/>
    <x v="186"/>
    <x v="19"/>
    <s v="SZR"/>
  </r>
  <r>
    <x v="2010"/>
    <s v="HEUGI"/>
    <s v="HEUGI"/>
    <n v="1.8"/>
    <s v="18W000000000QRPW"/>
    <x v="1"/>
    <s v="Venta"/>
    <s v="SZR"/>
    <s v="CEG"/>
    <x v="0"/>
    <x v="124"/>
    <x v="19"/>
    <s v="SZR"/>
  </r>
  <r>
    <x v="2011"/>
    <s v="HID RE 05"/>
    <s v="HIDRAULICA REG ESP NO GEST POT&gt;=5 MW"/>
    <n v="26.6"/>
    <s v="18WHFASIE-1234-M"/>
    <x v="1"/>
    <s v="Venta"/>
    <s v="SZR"/>
    <s v="ASIE"/>
    <x v="0"/>
    <x v="73"/>
    <x v="19"/>
    <s v="SZR"/>
  </r>
  <r>
    <x v="2012"/>
    <s v="HFCEREG"/>
    <s v="UP HBRIDACION H-FV"/>
    <n v="4.5999999999999996"/>
    <s v="18W000000000SYJF"/>
    <x v="22"/>
    <s v="Venta"/>
    <s v="SZR"/>
    <s v="EGLE"/>
    <x v="9"/>
    <x v="82"/>
    <x v="30"/>
    <s v="SZR"/>
  </r>
  <r>
    <x v="2013"/>
    <s v="HFDETIC"/>
    <s v="HIDRAULICA UF"/>
    <n v="5.0999999999999996"/>
    <s v="18WHFDETIC-123-5"/>
    <x v="1"/>
    <s v="Venta"/>
    <s v="SZR"/>
    <s v="DETIC"/>
    <x v="0"/>
    <x v="71"/>
    <x v="19"/>
    <s v="SZR"/>
  </r>
  <r>
    <x v="2014"/>
    <s v="HTARIFA"/>
    <s v="HIDRAULICA TARIFA &lt; 10MW"/>
    <n v="62.5"/>
    <s v="18WHFEGED-1234-V"/>
    <x v="1"/>
    <s v="Venta"/>
    <s v="SZR"/>
    <s v="EGED"/>
    <x v="0"/>
    <x v="186"/>
    <x v="19"/>
    <s v="SZR"/>
  </r>
  <r>
    <x v="2015"/>
    <s v="HFGASN"/>
    <s v="HFGASN"/>
    <n v="110.4"/>
    <s v="18WHFGASN-1234-B"/>
    <x v="1"/>
    <s v="Venta"/>
    <s v="SZR"/>
    <s v="GNCO"/>
    <x v="0"/>
    <x v="8"/>
    <x v="19"/>
    <s v="SZR"/>
  </r>
  <r>
    <x v="2016"/>
    <s v="HIDRAULICA"/>
    <s v="HIDRAULICA MAYOR 1"/>
    <n v="56.8"/>
    <s v="18WHFGNRA-1234-V"/>
    <x v="1"/>
    <s v="Venta"/>
    <s v="SZR"/>
    <s v="GNRA"/>
    <x v="0"/>
    <x v="46"/>
    <x v="19"/>
    <s v="SZR"/>
  </r>
  <r>
    <x v="2017"/>
    <s v="HFIBFZ"/>
    <s v="HFIBFZ MINIS FUERA ZONA R"/>
    <n v="4.7"/>
    <s v="18W0000000002TGT"/>
    <x v="1"/>
    <s v="Venta"/>
    <s v="SZR"/>
    <s v="IBGES"/>
    <x v="0"/>
    <x v="7"/>
    <x v="19"/>
    <s v="SZR"/>
  </r>
  <r>
    <x v="2018"/>
    <s v="HFIBGES"/>
    <s v="HFIBGES"/>
    <n v="106.5"/>
    <s v="18WHFIBGES-123-H"/>
    <x v="1"/>
    <s v="Venta"/>
    <s v="SZR"/>
    <s v="IBGES"/>
    <x v="0"/>
    <x v="7"/>
    <x v="19"/>
    <s v="SZR"/>
  </r>
  <r>
    <x v="2019"/>
    <s v="ITUR"/>
    <s v="HFITURB"/>
    <n v="1.1000000000000001"/>
    <s v="18WHFITURB-123-M"/>
    <x v="1"/>
    <s v="Venta"/>
    <s v="SZR"/>
    <s v="ITURB"/>
    <x v="0"/>
    <x v="378"/>
    <x v="19"/>
    <s v="SZR"/>
  </r>
  <r>
    <x v="2020"/>
    <s v="HFNESXU"/>
    <s v="UP HIDRAULICA MAYOR 1MW"/>
    <n v="35.9"/>
    <s v="18WHFNEXU-1234-F"/>
    <x v="1"/>
    <s v="Venta"/>
    <s v="SZR"/>
    <s v="NEXU"/>
    <x v="0"/>
    <x v="187"/>
    <x v="19"/>
    <s v="SZR"/>
  </r>
  <r>
    <x v="2021"/>
    <s v="HFOHIS"/>
    <s v="18WHFOHIS-1234-E"/>
    <n v="2.9"/>
    <s v="18WHFOHIS-1234-E"/>
    <x v="1"/>
    <s v="Venta"/>
    <s v="SZR"/>
    <s v="EGLE"/>
    <x v="0"/>
    <x v="82"/>
    <x v="19"/>
    <s v="SZR"/>
  </r>
  <r>
    <x v="2022"/>
    <s v="HFPLANA"/>
    <s v="HFPLANA"/>
    <n v="5"/>
    <s v="18WHFPLANA-123-M"/>
    <x v="1"/>
    <s v="Venta"/>
    <s v="SZR"/>
    <s v="DETIC"/>
    <x v="0"/>
    <x v="71"/>
    <x v="19"/>
    <s v="SZR"/>
  </r>
  <r>
    <x v="2023"/>
    <s v="HFRESER"/>
    <s v="UP CH FRESER"/>
    <n v="6.4"/>
    <s v="18W000000000FZLN"/>
    <x v="1"/>
    <s v="Venta"/>
    <s v="SZR"/>
    <s v="NEXU"/>
    <x v="0"/>
    <x v="187"/>
    <x v="19"/>
    <s v="SZR"/>
  </r>
  <r>
    <x v="2024"/>
    <s v="HFWMARK"/>
    <s v="HIDRAULICA WMARK"/>
    <n v="22.5"/>
    <s v="18WHFWMARK-123-I"/>
    <x v="1"/>
    <s v="Venta"/>
    <s v="SZR"/>
    <s v="WMARK"/>
    <x v="0"/>
    <x v="22"/>
    <x v="19"/>
    <s v="SZR"/>
  </r>
  <r>
    <x v="2025"/>
    <s v="HGALLU"/>
    <s v="18WHGALLU-123--E"/>
    <n v="3.5"/>
    <s v="18WHGALLU-123--E"/>
    <x v="1"/>
    <s v="Venta"/>
    <s v="SZR"/>
    <s v="EGLE"/>
    <x v="0"/>
    <x v="82"/>
    <x v="19"/>
    <s v="SZR"/>
  </r>
  <r>
    <x v="2026"/>
    <s v="HGAME"/>
    <s v="HIDRO MAS 1 MW"/>
    <n v="1.3"/>
    <s v="18W0000000006SAS"/>
    <x v="1"/>
    <s v="Venta"/>
    <s v="SZR"/>
    <s v="AME"/>
    <x v="0"/>
    <x v="0"/>
    <x v="19"/>
    <s v="SZR"/>
  </r>
  <r>
    <x v="2027"/>
    <s v="HGDALI"/>
    <s v="HGDALI"/>
    <n v="20"/>
    <s v="18WHGDALI-1234-O"/>
    <x v="1"/>
    <s v="Venta"/>
    <s v="SZR"/>
    <s v="HC G"/>
    <x v="0"/>
    <x v="3"/>
    <x v="19"/>
    <s v="SZR"/>
  </r>
  <r>
    <x v="2028"/>
    <s v="HGDF01"/>
    <s v="HIDRÁULICA&gt;5MW"/>
    <n v="76.5"/>
    <s v="18WHGDF01-1234-3"/>
    <x v="1"/>
    <s v="Venta"/>
    <s v="SZR"/>
    <s v="EBLCO"/>
    <x v="0"/>
    <x v="158"/>
    <x v="19"/>
    <s v="SZR"/>
  </r>
  <r>
    <x v="2029"/>
    <s v="HGEFG"/>
    <s v="UP HIDRAULICA SUP 1 MW"/>
    <n v="3.4"/>
    <s v="18WHGEFG-12345-H"/>
    <x v="1"/>
    <s v="Venta"/>
    <s v="SZR"/>
    <s v="EFG"/>
    <x v="0"/>
    <x v="213"/>
    <x v="19"/>
    <s v="SZR"/>
  </r>
  <r>
    <x v="2030"/>
    <s v="HGENHI"/>
    <s v="UP LOS ANGELES"/>
    <n v="1.5"/>
    <s v="18WHGENHI-1234-U"/>
    <x v="1"/>
    <s v="Venta"/>
    <s v="SZR"/>
    <s v="ANGEL"/>
    <x v="0"/>
    <x v="379"/>
    <x v="19"/>
    <s v="SZR"/>
  </r>
  <r>
    <x v="2031"/>
    <s v="HGIES"/>
    <s v="18WHGIES-1234-10"/>
    <n v="24.9"/>
    <s v="18WHGIES-1234-10"/>
    <x v="1"/>
    <s v="Venta"/>
    <s v="SZR"/>
    <s v="EGLE"/>
    <x v="0"/>
    <x v="82"/>
    <x v="19"/>
    <s v="SZR"/>
  </r>
  <r>
    <x v="2032"/>
    <s v="HGORGOL"/>
    <s v="HGORGOL"/>
    <n v="3.5"/>
    <s v="18W000000000QRJ7"/>
    <x v="1"/>
    <s v="Venta"/>
    <s v="SZR"/>
    <s v="CEG"/>
    <x v="0"/>
    <x v="124"/>
    <x v="19"/>
    <s v="SZR"/>
  </r>
  <r>
    <x v="2033"/>
    <s v="HGRCUG"/>
    <s v="UP HIDROELECTRICA DE CUERVA"/>
    <n v="2.4"/>
    <s v="18W000000000THXY"/>
    <x v="1"/>
    <s v="Venta"/>
    <s v="SZR"/>
    <s v="EGLE"/>
    <x v="0"/>
    <x v="82"/>
    <x v="19"/>
    <s v="SZR"/>
  </r>
  <r>
    <x v="2034"/>
    <s v="HGST200"/>
    <s v="HGST200"/>
    <n v="1.9"/>
    <s v="18W000000000TC9N"/>
    <x v="1"/>
    <s v="Venta"/>
    <s v="SZR"/>
    <s v="GESTE"/>
    <x v="0"/>
    <x v="219"/>
    <x v="19"/>
    <s v="SZR"/>
  </r>
  <r>
    <x v="2035"/>
    <s v="HGST201"/>
    <s v="HGST201"/>
    <n v="2.1"/>
    <s v="18W000000000TCBJ"/>
    <x v="1"/>
    <s v="Venta"/>
    <s v="SZR"/>
    <s v="GESTE"/>
    <x v="0"/>
    <x v="219"/>
    <x v="19"/>
    <s v="SZR"/>
  </r>
  <r>
    <x v="2036"/>
    <s v="HGST203"/>
    <s v="HGST203"/>
    <n v="1.8"/>
    <s v="18W000000000TCFB"/>
    <x v="1"/>
    <s v="Venta"/>
    <s v="SZR"/>
    <s v="GESTE"/>
    <x v="0"/>
    <x v="219"/>
    <x v="19"/>
    <s v="SZR"/>
  </r>
  <r>
    <x v="2037"/>
    <s v="HGST208"/>
    <s v="HGST208"/>
    <n v="1.4"/>
    <s v="18W000000000TCSM"/>
    <x v="1"/>
    <s v="Venta"/>
    <s v="SZR"/>
    <s v="GESTE"/>
    <x v="0"/>
    <x v="219"/>
    <x v="19"/>
    <s v="SZR"/>
  </r>
  <r>
    <x v="2038"/>
    <s v="HGST209"/>
    <s v="HGST209"/>
    <n v="3.5"/>
    <s v="18W000000000TCUI"/>
    <x v="1"/>
    <s v="Venta"/>
    <s v="SZR"/>
    <s v="GESTE"/>
    <x v="0"/>
    <x v="219"/>
    <x v="19"/>
    <s v="SZR"/>
  </r>
  <r>
    <x v="2039"/>
    <s v="GUADALOPE"/>
    <s v="HGUADALOPE"/>
    <n v="6.5"/>
    <s v="18WHGUADAL-123-S"/>
    <x v="1"/>
    <s v="Venta"/>
    <s v="SZR"/>
    <s v="GESTE"/>
    <x v="0"/>
    <x v="219"/>
    <x v="19"/>
    <s v="SZR"/>
  </r>
  <r>
    <x v="2040"/>
    <s v="HGUEJG"/>
    <s v="18WHGUEJG-1234-G"/>
    <n v="2.5"/>
    <s v="18WHGUEJG-1234-G"/>
    <x v="1"/>
    <s v="Venta"/>
    <s v="SZR"/>
    <s v="EGLE"/>
    <x v="0"/>
    <x v="82"/>
    <x v="19"/>
    <s v="SZR"/>
  </r>
  <r>
    <x v="2041"/>
    <s v="HHDESP"/>
    <s v="HHDESP"/>
    <n v="18.7"/>
    <s v="18WHHDESP-1234-1"/>
    <x v="1"/>
    <s v="Venta"/>
    <s v="SZR"/>
    <s v="HDE"/>
    <x v="0"/>
    <x v="380"/>
    <x v="19"/>
    <s v="SZR"/>
  </r>
  <r>
    <x v="2042"/>
    <s v="HHERRG"/>
    <s v="UP HIDROELECTRICA HERREROS"/>
    <n v="1.2"/>
    <s v="18W000000000TCZ8"/>
    <x v="1"/>
    <s v="Venta"/>
    <s v="SZR"/>
    <s v="EGLE"/>
    <x v="0"/>
    <x v="82"/>
    <x v="19"/>
    <s v="SZR"/>
  </r>
  <r>
    <x v="2043"/>
    <s v="HHIAST"/>
    <s v="18WHHIAST-1234-S"/>
    <n v="8.5"/>
    <s v="18WHHIAST-1234-S"/>
    <x v="1"/>
    <s v="Venta"/>
    <s v="SZR"/>
    <s v="EGLE"/>
    <x v="0"/>
    <x v="82"/>
    <x v="19"/>
    <s v="SZR"/>
  </r>
  <r>
    <x v="2044"/>
    <s v="HHICAG"/>
    <s v="18WHHICAG-1234-F"/>
    <n v="2"/>
    <s v="18WHHICAG-1234-F"/>
    <x v="1"/>
    <s v="Venta"/>
    <s v="SZR"/>
    <s v="EGLE"/>
    <x v="0"/>
    <x v="82"/>
    <x v="19"/>
    <s v="SZR"/>
  </r>
  <r>
    <x v="2045"/>
    <s v="HHIDFR"/>
    <s v="18WHHIDFR-1234-K"/>
    <n v="4"/>
    <s v="18WHHIDFR-1234-K"/>
    <x v="1"/>
    <s v="Venta"/>
    <s v="SZR"/>
    <s v="EGLE"/>
    <x v="0"/>
    <x v="82"/>
    <x v="19"/>
    <s v="SZR"/>
  </r>
  <r>
    <x v="2046"/>
    <s v="HHIDGA"/>
    <s v="18WHHIDGA-123--E"/>
    <n v="4.9000000000000004"/>
    <s v="18WHHIDGA-123--E"/>
    <x v="1"/>
    <s v="Venta"/>
    <s v="SZR"/>
    <s v="EGLE"/>
    <x v="0"/>
    <x v="82"/>
    <x v="19"/>
    <s v="SZR"/>
  </r>
  <r>
    <x v="2047"/>
    <s v="HHIFRE"/>
    <s v="18WHHIFRE-1234-X"/>
    <n v="11.4"/>
    <s v="18WHHIFRE-1234-X"/>
    <x v="1"/>
    <s v="Venta"/>
    <s v="SZR"/>
    <s v="EGLE"/>
    <x v="0"/>
    <x v="82"/>
    <x v="19"/>
    <s v="SZR"/>
  </r>
  <r>
    <x v="2048"/>
    <s v="HHIMEG"/>
    <s v="UP HIDROMEDIA"/>
    <n v="10"/>
    <s v="18W000000000R7B5"/>
    <x v="1"/>
    <s v="Venta"/>
    <s v="SZR"/>
    <s v="EGLE"/>
    <x v="0"/>
    <x v="82"/>
    <x v="19"/>
    <s v="SZR"/>
  </r>
  <r>
    <x v="2049"/>
    <s v="HHIPAL"/>
    <s v="18WHHIPAL-1234-U"/>
    <n v="1.8"/>
    <s v="18WHHIPAL-1234-U"/>
    <x v="1"/>
    <s v="Venta"/>
    <s v="SZR"/>
    <s v="EGLE"/>
    <x v="0"/>
    <x v="82"/>
    <x v="19"/>
    <s v="SZR"/>
  </r>
  <r>
    <x v="2050"/>
    <s v="HHIPIN"/>
    <s v="18WHHIPIN-1234-G"/>
    <n v="7"/>
    <s v="18WHHIPIN-1234-G"/>
    <x v="1"/>
    <s v="Venta"/>
    <s v="SZR"/>
    <s v="EGLE"/>
    <x v="0"/>
    <x v="82"/>
    <x v="19"/>
    <s v="SZR"/>
  </r>
  <r>
    <x v="2051"/>
    <s v="HHITOIZ"/>
    <s v="ITOIZ - TARIFA&gt;10MW"/>
    <n v="28.6"/>
    <s v="18WHHITOIZ-123-U"/>
    <x v="1"/>
    <s v="Venta"/>
    <s v="EVM"/>
    <s v="CEG"/>
    <x v="0"/>
    <x v="124"/>
    <x v="19"/>
    <s v="EVM"/>
  </r>
  <r>
    <x v="2052"/>
    <s v="HOJAMARTA"/>
    <s v="HOJAMARTA"/>
    <n v="0.5"/>
    <s v="18WHHOJAM-1234-G"/>
    <x v="1"/>
    <s v="Venta"/>
    <s v="SZR"/>
    <s v="EGED"/>
    <x v="0"/>
    <x v="186"/>
    <x v="19"/>
    <s v="SZR"/>
  </r>
  <r>
    <x v="2053"/>
    <s v="HHONZA"/>
    <s v="HIDROELÉCTRICA DE LA ONZA ( H )"/>
    <n v="0.7"/>
    <s v="18WHHONZA-1234-W"/>
    <x v="1"/>
    <s v="Venta"/>
    <s v="SZR"/>
    <s v="WMARK"/>
    <x v="0"/>
    <x v="22"/>
    <x v="19"/>
    <s v="SZR"/>
  </r>
  <r>
    <x v="2054"/>
    <s v="HHRSPRA"/>
    <s v="HIDRA MAYOR 1MW"/>
    <n v="22.8"/>
    <s v="18WHHRSPRA-123-Z"/>
    <x v="1"/>
    <s v="Venta"/>
    <s v="SZR"/>
    <s v="RSPRA"/>
    <x v="0"/>
    <x v="101"/>
    <x v="19"/>
    <s v="SZR"/>
  </r>
  <r>
    <x v="2055"/>
    <s v="HHTRAS"/>
    <s v="UP H DEL TRASVASE"/>
    <n v="5.5"/>
    <s v="18W000000000R3VE"/>
    <x v="1"/>
    <s v="Venta"/>
    <s v="SZR"/>
    <s v="EGLE"/>
    <x v="0"/>
    <x v="82"/>
    <x v="19"/>
    <s v="SZR"/>
  </r>
  <r>
    <x v="2056"/>
    <s v="HHTTRIN"/>
    <s v="HIDRO TTR"/>
    <n v="16.100000000000001"/>
    <s v="18WHHTTRIN-123-3"/>
    <x v="1"/>
    <s v="Venta"/>
    <s v="SZR"/>
    <s v="INTRA"/>
    <x v="0"/>
    <x v="381"/>
    <x v="19"/>
    <s v="SZR"/>
  </r>
  <r>
    <x v="2057"/>
    <s v="HHURONE"/>
    <s v="UP JUNTA ANDALUCIA"/>
    <n v="9.6999999999999993"/>
    <s v="18WHHURONE-123-P"/>
    <x v="1"/>
    <s v="Venta"/>
    <s v="SZR"/>
    <s v="JDALU"/>
    <x v="0"/>
    <x v="382"/>
    <x v="19"/>
    <s v="SZR"/>
  </r>
  <r>
    <x v="2058"/>
    <s v="HHYDRO"/>
    <s v="UP HYDRO BLUE"/>
    <n v="5.8"/>
    <s v="18W000000000R2GA"/>
    <x v="1"/>
    <s v="Venta"/>
    <s v="SZR"/>
    <s v="EGLE"/>
    <x v="0"/>
    <x v="82"/>
    <x v="19"/>
    <s v="SZR"/>
  </r>
  <r>
    <x v="2059"/>
    <s v="HHYDRO2"/>
    <s v="UP HYDRO BLUE RO"/>
    <n v="16.5"/>
    <s v="18W000000000STC7"/>
    <x v="1"/>
    <s v="Venta"/>
    <s v="SZR"/>
    <s v="EGLE"/>
    <x v="0"/>
    <x v="82"/>
    <x v="1"/>
    <s v="SZR"/>
  </r>
  <r>
    <x v="2060"/>
    <s v="ES-HIBENAA"/>
    <s v="HIBRIDACION ENAGAS ALMENDRALEJO"/>
    <n v="6.1"/>
    <s v="18W000000000SL90"/>
    <x v="22"/>
    <s v="Venta"/>
    <s v="SZR"/>
    <s v="AME"/>
    <x v="9"/>
    <x v="0"/>
    <x v="35"/>
    <s v="SZR"/>
  </r>
  <r>
    <x v="2061"/>
    <s v="HIBFUTUCER"/>
    <s v="HIBRIDACIFUTUCERN"/>
    <n v="5.6"/>
    <s v="18W000000000S9O6"/>
    <x v="22"/>
    <s v="Venta"/>
    <s v="SZR"/>
    <s v="LMER"/>
    <x v="9"/>
    <x v="89"/>
    <x v="35"/>
    <s v="SZR"/>
  </r>
  <r>
    <x v="2062"/>
    <s v="HIBHELIOS"/>
    <s v="HIBHELIOS"/>
    <n v="4.5999999999999996"/>
    <s v="18W000000000SDCI"/>
    <x v="10"/>
    <s v="Venta"/>
    <s v="SZR"/>
    <s v="LMER"/>
    <x v="0"/>
    <x v="89"/>
    <x v="10"/>
    <s v="SZR"/>
  </r>
  <r>
    <x v="2063"/>
    <s v="HIBIBERFRU"/>
    <s v="HIBIBERFRUTA"/>
    <n v="3.3"/>
    <s v="18W000000000SXCW"/>
    <x v="10"/>
    <s v="Venta"/>
    <s v="SZR"/>
    <s v="LMER"/>
    <x v="0"/>
    <x v="89"/>
    <x v="10"/>
    <s v="SZR"/>
  </r>
  <r>
    <x v="2064"/>
    <s v="HIBSHA2"/>
    <s v="UP HIBRIDAS SIN HABILITAR 2"/>
    <n v="38.6"/>
    <s v="18W000000000RV6H"/>
    <x v="22"/>
    <s v="Venta"/>
    <s v="SZR"/>
    <s v="HC G"/>
    <x v="9"/>
    <x v="3"/>
    <x v="30"/>
    <s v="SZR"/>
  </r>
  <r>
    <x v="2065"/>
    <s v="HIBSIHA"/>
    <s v="HIBRIDA SIN HABILITAR"/>
    <n v="179.1"/>
    <s v="18W000000000R0HE"/>
    <x v="22"/>
    <s v="Venta"/>
    <s v="SZR"/>
    <s v="HC G"/>
    <x v="9"/>
    <x v="3"/>
    <x v="30"/>
    <s v="SZR"/>
  </r>
  <r>
    <x v="2066"/>
    <s v="HIDA"/>
    <s v="HID IDA"/>
    <n v="3.9"/>
    <s v="18W00000000058I2"/>
    <x v="1"/>
    <s v="Venta"/>
    <s v="SZR"/>
    <s v="GESTE"/>
    <x v="0"/>
    <x v="219"/>
    <x v="19"/>
    <s v="SZR"/>
  </r>
  <r>
    <x v="2067"/>
    <s v="HIDEUR"/>
    <s v="HIDEUR"/>
    <n v="1"/>
    <s v="18W00000000001RP"/>
    <x v="1"/>
    <s v="Venta"/>
    <s v="SZR"/>
    <s v="WMARK"/>
    <x v="0"/>
    <x v="22"/>
    <x v="19"/>
    <s v="SZR"/>
  </r>
  <r>
    <x v="2068"/>
    <s v="H1CEG"/>
    <s v="H1CEG"/>
    <n v="34"/>
    <s v="18W00000000010ED"/>
    <x v="1"/>
    <s v="Venta"/>
    <s v="SZR"/>
    <s v="IGNIS"/>
    <x v="0"/>
    <x v="28"/>
    <x v="19"/>
    <s v="SZR"/>
  </r>
  <r>
    <x v="2069"/>
    <s v="HIDR SERV"/>
    <s v="HIDROBESORA SERVICIOS"/>
    <n v="0.5"/>
    <s v="18W0000000002U0L"/>
    <x v="2"/>
    <s v="Compra"/>
    <s v="SZR"/>
    <s v="HIDSE"/>
    <x v="1"/>
    <x v="383"/>
    <x v="2"/>
    <s v="SZR"/>
  </r>
  <r>
    <x v="2070"/>
    <s v="HILAD"/>
    <s v="SA HILADOS EGARFIL"/>
    <n v="0.5"/>
    <s v="18W000000000RG8L"/>
    <x v="6"/>
    <s v="Compra"/>
    <s v="SZR"/>
    <s v="HILAD"/>
    <x v="3"/>
    <x v="384"/>
    <x v="6"/>
    <s v="SZR"/>
  </r>
  <r>
    <x v="2071"/>
    <s v="HILTC01"/>
    <s v="HILLTECH DIGITAL"/>
    <n v="0"/>
    <s v="18W000000000QSYB"/>
    <x v="2"/>
    <s v="Compra"/>
    <s v="SZR"/>
    <s v="HILLT"/>
    <x v="1"/>
    <x v="385"/>
    <x v="2"/>
    <s v="SZR"/>
  </r>
  <r>
    <x v="2072"/>
    <s v="HINOJOSASF"/>
    <s v="UP HINOJOSA SOLAR"/>
    <n v="20"/>
    <s v="18W000000000JFTE"/>
    <x v="9"/>
    <s v="Venta"/>
    <s v="IGR"/>
    <s v="IGNIS"/>
    <x v="0"/>
    <x v="28"/>
    <x v="9"/>
    <s v="IGR"/>
  </r>
  <r>
    <x v="2073"/>
    <s v="HINTRA"/>
    <s v="HINTRA"/>
    <n v="16.3"/>
    <s v="18WINTRAENERGIA2"/>
    <x v="1"/>
    <s v="Venta"/>
    <s v="SZR"/>
    <s v="INTRA"/>
    <x v="0"/>
    <x v="381"/>
    <x v="19"/>
    <s v="SZR"/>
  </r>
  <r>
    <x v="2074"/>
    <s v="HISPAELEC"/>
    <s v="HISPAELEC ENERGIA S.A. COMERCIALIZADORA"/>
    <n v="50"/>
    <s v="18WHISPC01-12-20"/>
    <x v="2"/>
    <s v="Compra"/>
    <s v="SZR"/>
    <s v="HISPE"/>
    <x v="1"/>
    <x v="43"/>
    <x v="2"/>
    <s v="SZR"/>
  </r>
  <r>
    <x v="2075"/>
    <s v="HJERTE"/>
    <s v="UP CH JERTE"/>
    <n v="5.4"/>
    <s v="18W000000000FZZW"/>
    <x v="1"/>
    <s v="Venta"/>
    <s v="SZR"/>
    <s v="NEXU"/>
    <x v="0"/>
    <x v="187"/>
    <x v="19"/>
    <s v="SZR"/>
  </r>
  <r>
    <x v="2076"/>
    <s v="HLACOBA"/>
    <s v="UP SALTO VILACOBA"/>
    <n v="1.2"/>
    <s v="18WHLACOBA-123-R"/>
    <x v="1"/>
    <s v="Venta"/>
    <s v="SZR"/>
    <s v="GNRA"/>
    <x v="0"/>
    <x v="46"/>
    <x v="19"/>
    <s v="SZR"/>
  </r>
  <r>
    <x v="2077"/>
    <s v="HLASJO"/>
    <s v="LEIRE SAN JOSE ANDUEZA Y OTROS"/>
    <n v="0.1"/>
    <s v="18W0000000004XI5"/>
    <x v="1"/>
    <s v="Venta"/>
    <s v="SZR"/>
    <s v="GNRA"/>
    <x v="0"/>
    <x v="46"/>
    <x v="1"/>
    <s v="SZR"/>
  </r>
  <r>
    <x v="2078"/>
    <s v="HLAVERN"/>
    <s v="18WHLAVERN-123-4"/>
    <n v="1.4"/>
    <s v="18WHLAVERN-123-4"/>
    <x v="1"/>
    <s v="Venta"/>
    <s v="SZR"/>
    <s v="EGLE"/>
    <x v="0"/>
    <x v="82"/>
    <x v="19"/>
    <s v="SZR"/>
  </r>
  <r>
    <x v="2079"/>
    <s v="HLEIRA"/>
    <s v="UP HIDRO LEIRA"/>
    <n v="1.4"/>
    <s v="18W000000000T1CD"/>
    <x v="1"/>
    <s v="Venta"/>
    <s v="SZR"/>
    <s v="NEXU"/>
    <x v="0"/>
    <x v="187"/>
    <x v="19"/>
    <s v="SZR"/>
  </r>
  <r>
    <x v="2080"/>
    <s v="HLLORENS"/>
    <s v="UP CH LLORENS"/>
    <n v="10"/>
    <s v="18W000000000FZNJ"/>
    <x v="1"/>
    <s v="Venta"/>
    <s v="SZR"/>
    <s v="NEXU"/>
    <x v="0"/>
    <x v="187"/>
    <x v="19"/>
    <s v="SZR"/>
  </r>
  <r>
    <x v="2081"/>
    <s v="HLOURG"/>
    <s v="18WHLOURG-1234-C"/>
    <n v="6.5"/>
    <s v="18WHLOURG-1234-C"/>
    <x v="1"/>
    <s v="Venta"/>
    <s v="SZR"/>
    <s v="EGLE"/>
    <x v="0"/>
    <x v="82"/>
    <x v="19"/>
    <s v="SZR"/>
  </r>
  <r>
    <x v="2082"/>
    <s v="HLRSPRE"/>
    <s v="HLRSPRE"/>
    <n v="0.2"/>
    <s v="18W000000000GSVK"/>
    <x v="11"/>
    <s v="Venta"/>
    <s v="SZR"/>
    <s v="RSPRE"/>
    <x v="0"/>
    <x v="303"/>
    <x v="11"/>
    <s v="SZR"/>
  </r>
  <r>
    <x v="2083"/>
    <s v="HALLEY COM"/>
    <s v="HALLEY COM"/>
    <n v="10"/>
    <s v="18W000000000QJG0"/>
    <x v="2"/>
    <s v="Compra"/>
    <s v="SZR"/>
    <s v="HALLE"/>
    <x v="1"/>
    <x v="386"/>
    <x v="2"/>
    <s v="SZR"/>
  </r>
  <r>
    <x v="2084"/>
    <s v="HMERCA"/>
    <s v="18WHMERCA-1234-R"/>
    <n v="4.8"/>
    <s v="18WHMERCA-1234-R"/>
    <x v="1"/>
    <s v="Venta"/>
    <s v="SZR"/>
    <s v="EGLE"/>
    <x v="0"/>
    <x v="82"/>
    <x v="19"/>
    <s v="SZR"/>
  </r>
  <r>
    <x v="2085"/>
    <s v="HMICAN"/>
    <s v="18WHMICAN-1234-A"/>
    <n v="7.2"/>
    <s v="18WHMICAN-1234-A"/>
    <x v="1"/>
    <s v="Venta"/>
    <s v="SZR"/>
    <s v="EGLE"/>
    <x v="0"/>
    <x v="82"/>
    <x v="19"/>
    <s v="SZR"/>
  </r>
  <r>
    <x v="2086"/>
    <s v="HMINI"/>
    <s v="HMINI"/>
    <n v="5"/>
    <s v="18W000000000RKU2"/>
    <x v="1"/>
    <s v="Venta"/>
    <s v="SZR"/>
    <s v="CEG"/>
    <x v="0"/>
    <x v="124"/>
    <x v="19"/>
    <s v="SZR"/>
  </r>
  <r>
    <x v="2087"/>
    <s v="HMOLINO"/>
    <s v="UP CH MOLINOS"/>
    <n v="13.5"/>
    <s v="18W000000000FZRB"/>
    <x v="1"/>
    <s v="Venta"/>
    <s v="SZR"/>
    <s v="NEXU"/>
    <x v="0"/>
    <x v="187"/>
    <x v="19"/>
    <s v="SZR"/>
  </r>
  <r>
    <x v="2088"/>
    <s v="HMPUNTE"/>
    <s v="UP HMPUNTE"/>
    <n v="2.4"/>
    <s v="18W000000000PZ89"/>
    <x v="1"/>
    <s v="Venta"/>
    <s v="SZR"/>
    <s v="NEXU"/>
    <x v="0"/>
    <x v="187"/>
    <x v="19"/>
    <s v="SZR"/>
  </r>
  <r>
    <x v="2089"/>
    <s v="HMSRO"/>
    <s v="HMSRO"/>
    <n v="0.4"/>
    <s v="18W000000000MMQO"/>
    <x v="1"/>
    <s v="Venta"/>
    <s v="SZR"/>
    <s v="GNRA"/>
    <x v="0"/>
    <x v="46"/>
    <x v="1"/>
    <s v="SZR"/>
  </r>
  <r>
    <x v="2090"/>
    <s v="HNIGUEL"/>
    <s v="UP NIGUELAS"/>
    <n v="2.9"/>
    <s v="18WHNIGUEL-123-G"/>
    <x v="1"/>
    <s v="Venta"/>
    <s v="SZR"/>
    <s v="GNRA"/>
    <x v="0"/>
    <x v="46"/>
    <x v="19"/>
    <s v="SZR"/>
  </r>
  <r>
    <x v="2091"/>
    <s v="HNORHI"/>
    <s v="18WHNORHI-1234-I"/>
    <n v="11.5"/>
    <s v="18WHNORHI-1234-I"/>
    <x v="1"/>
    <s v="Venta"/>
    <s v="SZR"/>
    <s v="EGLE"/>
    <x v="0"/>
    <x v="82"/>
    <x v="19"/>
    <s v="SZR"/>
  </r>
  <r>
    <x v="2092"/>
    <s v="HNRPGG"/>
    <s v="18WHNRPGG-123-14"/>
    <n v="2.5"/>
    <s v="18WHNRPGG-123-14"/>
    <x v="1"/>
    <s v="Venta"/>
    <s v="SZR"/>
    <s v="EGLE"/>
    <x v="0"/>
    <x v="82"/>
    <x v="19"/>
    <s v="SZR"/>
  </r>
  <r>
    <x v="2093"/>
    <s v="HNSMER"/>
    <s v="HNSMER"/>
    <n v="2.2999999999999998"/>
    <s v="18WHNSMER-1234-G"/>
    <x v="1"/>
    <s v="Venta"/>
    <s v="SZR"/>
    <s v="REPSB"/>
    <x v="0"/>
    <x v="29"/>
    <x v="19"/>
    <s v="SZR"/>
  </r>
  <r>
    <x v="2094"/>
    <s v="HONATIK"/>
    <s v="UP OLATE"/>
    <n v="4.7"/>
    <s v="18WHONATIK-123-U"/>
    <x v="1"/>
    <s v="Venta"/>
    <s v="SZR"/>
    <s v="GOIEN"/>
    <x v="0"/>
    <x v="352"/>
    <x v="19"/>
    <s v="SZR"/>
  </r>
  <r>
    <x v="2095"/>
    <s v="HORENER"/>
    <s v="HORECA ENERGIA SL"/>
    <n v="5"/>
    <s v="18WHOREC01-123-6"/>
    <x v="2"/>
    <s v="Compra"/>
    <s v="SZR"/>
    <s v="HORE"/>
    <x v="1"/>
    <x v="387"/>
    <x v="2"/>
    <s v="SZR"/>
  </r>
  <r>
    <x v="2096"/>
    <s v="HORN16"/>
    <s v="HORNACHOS16"/>
    <n v="22.2"/>
    <s v="18W000000000RB39"/>
    <x v="9"/>
    <s v="Venta"/>
    <s v="SZR"/>
    <s v="ADXRE"/>
    <x v="0"/>
    <x v="37"/>
    <x v="9"/>
    <s v="SZR"/>
  </r>
  <r>
    <x v="2097"/>
    <s v="HORN98"/>
    <s v="HORNACHOS98"/>
    <n v="3"/>
    <s v="18W000000000RKXX"/>
    <x v="9"/>
    <s v="Venta"/>
    <s v="SZR"/>
    <s v="ADXRE"/>
    <x v="0"/>
    <x v="37"/>
    <x v="9"/>
    <s v="SZR"/>
  </r>
  <r>
    <x v="2098"/>
    <s v="HOUROL"/>
    <s v="18WHOUROL-1234-1"/>
    <n v="2.8"/>
    <s v="18WHOUROL-1234-1"/>
    <x v="1"/>
    <s v="Venta"/>
    <s v="SZR"/>
    <s v="EGLE"/>
    <x v="0"/>
    <x v="82"/>
    <x v="19"/>
    <s v="SZR"/>
  </r>
  <r>
    <x v="2099"/>
    <s v="HOYEC01"/>
    <s v="HOY ENERGIA"/>
    <n v="0.1"/>
    <s v="18W000000000N5GH"/>
    <x v="2"/>
    <s v="Compra"/>
    <s v="SZR"/>
    <s v="HOYEN"/>
    <x v="1"/>
    <x v="388"/>
    <x v="2"/>
    <s v="SZR"/>
  </r>
  <r>
    <x v="2100"/>
    <s v="HPARRA"/>
    <s v="18W000000000MYJ2"/>
    <n v="2.2999999999999998"/>
    <s v="18W000000000MYJ2"/>
    <x v="1"/>
    <s v="Venta"/>
    <s v="SZR"/>
    <s v="EGLE"/>
    <x v="0"/>
    <x v="82"/>
    <x v="19"/>
    <s v="SZR"/>
  </r>
  <r>
    <x v="2101"/>
    <s v="HPCANAV"/>
    <s v="HIDRAULICA PM CANAL DE NAVARRA"/>
    <n v="20"/>
    <s v="18WHPCANAV-123-W"/>
    <x v="1"/>
    <s v="Venta"/>
    <s v="EVM"/>
    <s v="CEG"/>
    <x v="0"/>
    <x v="124"/>
    <x v="19"/>
    <s v="EVM"/>
  </r>
  <r>
    <x v="2102"/>
    <s v="HPDRSA"/>
    <s v="18WHPDRSA-1234-6"/>
    <n v="6.8"/>
    <s v="18WHPDRSA-1234-6"/>
    <x v="1"/>
    <s v="Venta"/>
    <s v="SZR"/>
    <s v="EGLE"/>
    <x v="0"/>
    <x v="82"/>
    <x v="19"/>
    <s v="SZR"/>
  </r>
  <r>
    <x v="2103"/>
    <s v="HPEEXXI"/>
    <s v="ENDESA CUR ( HIDRÁULICA, PRUEBAS)"/>
    <n v="0.1"/>
    <s v="18WHPEEXXI-123-9"/>
    <x v="1"/>
    <s v="Venta"/>
    <s v="SZR"/>
    <s v="EEXXI"/>
    <x v="0"/>
    <x v="72"/>
    <x v="19"/>
    <s v="SZR"/>
  </r>
  <r>
    <x v="2104"/>
    <s v="HPEGLE"/>
    <s v="18WHPEGLE-1234-P"/>
    <n v="0.5"/>
    <s v="18WHPEGLE-1234-P"/>
    <x v="1"/>
    <s v="Venta"/>
    <s v="SZR"/>
    <s v="EGLE"/>
    <x v="0"/>
    <x v="82"/>
    <x v="19"/>
    <s v="SZR"/>
  </r>
  <r>
    <x v="2105"/>
    <s v="HPEONUR"/>
    <s v="E.ON CUR ( HIDRÁULICA, PRUEBAS)"/>
    <n v="19.8"/>
    <s v="18WHPEONUR-123-Y"/>
    <x v="1"/>
    <s v="Venta"/>
    <s v="SZR"/>
    <s v="EONUR"/>
    <x v="0"/>
    <x v="270"/>
    <x v="19"/>
    <s v="SZR"/>
  </r>
  <r>
    <x v="2106"/>
    <s v="HPERUC"/>
    <s v="18WHPERUC-1234-Z"/>
    <n v="1.3"/>
    <s v="18WHPERUC-1234-Z"/>
    <x v="1"/>
    <s v="Venta"/>
    <s v="SZR"/>
    <s v="EGLE"/>
    <x v="0"/>
    <x v="82"/>
    <x v="19"/>
    <s v="SZR"/>
  </r>
  <r>
    <x v="2107"/>
    <s v="HPEUSA"/>
    <s v="UP HIDRAULICA PEUSA"/>
    <n v="8.4"/>
    <s v="18WHPEUSA-1234-2"/>
    <x v="1"/>
    <s v="Venta"/>
    <s v="SZR"/>
    <s v="PEUSA"/>
    <x v="0"/>
    <x v="389"/>
    <x v="19"/>
    <s v="SZR"/>
  </r>
  <r>
    <x v="2108"/>
    <s v="HPEUSA2"/>
    <s v="UP SANTA LUCIA"/>
    <n v="0.9"/>
    <s v="18W000000000COE8"/>
    <x v="1"/>
    <s v="Venta"/>
    <s v="SZR"/>
    <s v="PEUSA"/>
    <x v="0"/>
    <x v="389"/>
    <x v="19"/>
    <s v="SZR"/>
  </r>
  <r>
    <x v="2109"/>
    <s v="HPGNRA"/>
    <s v="UP HIDRAULICA PRECIO MERCADO"/>
    <n v="0.4"/>
    <s v="18WHPGNRA-1234-M"/>
    <x v="1"/>
    <s v="Venta"/>
    <s v="SZR"/>
    <s v="GNRA"/>
    <x v="0"/>
    <x v="46"/>
    <x v="19"/>
    <s v="SZR"/>
  </r>
  <r>
    <x v="2110"/>
    <s v="HPHCCUR"/>
    <s v="HIDROCANTABRICO CUR ( HIDRÁULICA, PRUEBAS)"/>
    <n v="0"/>
    <s v="18WHPHCCUR-123-Z"/>
    <x v="1"/>
    <s v="Venta"/>
    <s v="SZR"/>
    <s v="HCCUR"/>
    <x v="0"/>
    <x v="273"/>
    <x v="19"/>
    <s v="SZR"/>
  </r>
  <r>
    <x v="2111"/>
    <s v="HPIBCUR"/>
    <s v="IBERDROLA CUR ( HIDRÁULICA, PRUEBAS)"/>
    <n v="0.3"/>
    <s v="18WHPIBCUR-123-Y"/>
    <x v="1"/>
    <s v="Venta"/>
    <s v="SZR"/>
    <s v="IBCUR"/>
    <x v="0"/>
    <x v="7"/>
    <x v="19"/>
    <s v="SZR"/>
  </r>
  <r>
    <x v="2112"/>
    <s v="HPOBLA"/>
    <s v="UP CH LA POBLA"/>
    <n v="7.5"/>
    <s v="18W000000000FZPF"/>
    <x v="1"/>
    <s v="Venta"/>
    <s v="SZR"/>
    <s v="NEXU"/>
    <x v="0"/>
    <x v="187"/>
    <x v="19"/>
    <s v="SZR"/>
  </r>
  <r>
    <x v="2113"/>
    <s v="HPOBLA1"/>
    <s v="UP HIDRO POBLA 1"/>
    <n v="13"/>
    <s v="18W000000000SLN9"/>
    <x v="1"/>
    <s v="Venta"/>
    <s v="SZR"/>
    <s v="NEXU"/>
    <x v="0"/>
    <x v="187"/>
    <x v="1"/>
    <s v="SZR"/>
  </r>
  <r>
    <x v="2114"/>
    <s v="HPORMA"/>
    <s v="UP CH PORMA"/>
    <n v="18.5"/>
    <s v="18W000000000G058"/>
    <x v="1"/>
    <s v="Venta"/>
    <s v="SZR"/>
    <s v="NEXU"/>
    <x v="0"/>
    <x v="187"/>
    <x v="19"/>
    <s v="SZR"/>
  </r>
  <r>
    <x v="2115"/>
    <s v="HPOZOS"/>
    <s v="HPOZOS"/>
    <n v="1"/>
    <s v="18W000000000T1TG"/>
    <x v="1"/>
    <s v="Venta"/>
    <s v="SZR"/>
    <s v="CEG"/>
    <x v="0"/>
    <x v="124"/>
    <x v="19"/>
    <s v="SZR"/>
  </r>
  <r>
    <x v="2116"/>
    <s v="UP HPTMR"/>
    <s v="UP HPTMR"/>
    <n v="25.5"/>
    <s v="18W000000000FZHV"/>
    <x v="1"/>
    <s v="Venta"/>
    <s v="SZR"/>
    <s v="GNRA"/>
    <x v="0"/>
    <x v="46"/>
    <x v="19"/>
    <s v="SZR"/>
  </r>
  <r>
    <x v="2117"/>
    <s v="HPUEYO"/>
    <s v="UP CH EL PUEYO TARIFA"/>
    <n v="15.6"/>
    <s v="18WHPUEYO-1234-5"/>
    <x v="1"/>
    <s v="Venta"/>
    <s v="SZR"/>
    <s v="GNRA"/>
    <x v="0"/>
    <x v="46"/>
    <x v="19"/>
    <s v="SZR"/>
  </r>
  <r>
    <x v="2118"/>
    <s v="HREGPE"/>
    <s v="HIDRO REP EGPE"/>
    <n v="14"/>
    <s v="18WHREGPE-1234-2"/>
    <x v="1"/>
    <s v="Venta"/>
    <s v="SZR"/>
    <s v="ECYR"/>
    <x v="0"/>
    <x v="72"/>
    <x v="19"/>
    <s v="SZR"/>
  </r>
  <r>
    <x v="2119"/>
    <s v="HRIEAG"/>
    <s v="UP RIESGOS DEL AA"/>
    <n v="12.4"/>
    <s v="18W000000000T945"/>
    <x v="1"/>
    <s v="Venta"/>
    <s v="SZR"/>
    <s v="EGLE"/>
    <x v="0"/>
    <x v="82"/>
    <x v="19"/>
    <s v="SZR"/>
  </r>
  <r>
    <x v="2120"/>
    <s v="HRPI"/>
    <s v="UP RPI"/>
    <n v="47"/>
    <s v="18W000000000P2AU"/>
    <x v="1"/>
    <s v="Venta"/>
    <s v="SZR"/>
    <s v="EGLE"/>
    <x v="0"/>
    <x v="82"/>
    <x v="19"/>
    <s v="SZR"/>
  </r>
  <r>
    <x v="2121"/>
    <s v="HRUMBLA"/>
    <s v="18WHRUMBLA-123-5"/>
    <n v="1.9"/>
    <s v="18WHRUMBLA-123-5"/>
    <x v="1"/>
    <s v="Venta"/>
    <s v="SZR"/>
    <s v="EGLE"/>
    <x v="0"/>
    <x v="82"/>
    <x v="19"/>
    <s v="SZR"/>
  </r>
  <r>
    <x v="2122"/>
    <s v="HRWMARK"/>
    <s v="HRWMARK"/>
    <n v="26.6"/>
    <s v="18WHRWMARK-123-M"/>
    <x v="1"/>
    <s v="Venta"/>
    <s v="SZR"/>
    <s v="WMARK"/>
    <x v="0"/>
    <x v="22"/>
    <x v="19"/>
    <s v="SZR"/>
  </r>
  <r>
    <x v="2123"/>
    <s v="SAHECHORES"/>
    <s v="C.H. SAHECHORES"/>
    <n v="28.2"/>
    <s v="18WHSAECH-123--E"/>
    <x v="1"/>
    <s v="Venta"/>
    <s v="SZR"/>
    <s v="GNRA"/>
    <x v="0"/>
    <x v="46"/>
    <x v="19"/>
    <s v="SZR"/>
  </r>
  <r>
    <x v="2124"/>
    <s v="HSAEDO"/>
    <s v="18WHSAEDO-1234-8"/>
    <n v="4.3"/>
    <s v="18WHSAEDO-1234-8"/>
    <x v="1"/>
    <s v="Venta"/>
    <s v="SZR"/>
    <s v="EGLE"/>
    <x v="0"/>
    <x v="82"/>
    <x v="19"/>
    <s v="SZR"/>
  </r>
  <r>
    <x v="2125"/>
    <s v="HSANMI"/>
    <s v="18WHSANMI-1234-X"/>
    <n v="4.9000000000000004"/>
    <s v="18WHSANMI-1234-X"/>
    <x v="1"/>
    <s v="Venta"/>
    <s v="SZR"/>
    <s v="EGLE"/>
    <x v="0"/>
    <x v="82"/>
    <x v="19"/>
    <s v="SZR"/>
  </r>
  <r>
    <x v="2126"/>
    <s v="HSAT"/>
    <s v="HSAT21"/>
    <n v="1"/>
    <s v="18W000000000MDE1"/>
    <x v="2"/>
    <s v="Compra"/>
    <s v="SZR"/>
    <s v="HSATE"/>
    <x v="1"/>
    <x v="390"/>
    <x v="2"/>
    <s v="SZR"/>
  </r>
  <r>
    <x v="2127"/>
    <s v="HSILCO"/>
    <s v="HSILLDECOMER"/>
    <n v="6"/>
    <s v="18W0000000002EY1"/>
    <x v="2"/>
    <s v="Compra"/>
    <s v="SZR"/>
    <s v="HSCOM"/>
    <x v="1"/>
    <x v="391"/>
    <x v="2"/>
    <s v="SZR"/>
  </r>
  <r>
    <x v="2128"/>
    <s v="HSEGEN"/>
    <s v="SOCIEDAD ESPAÑOLA DE GENERACION ELECTRICA"/>
    <n v="1.7"/>
    <s v="18W00000000001L0"/>
    <x v="1"/>
    <s v="Venta"/>
    <s v="SZR"/>
    <s v="WMARK"/>
    <x v="0"/>
    <x v="22"/>
    <x v="19"/>
    <s v="SZR"/>
  </r>
  <r>
    <x v="2129"/>
    <s v="SANFER"/>
    <s v="INSTSANFER"/>
    <n v="5"/>
    <s v="18W000000000RCXK"/>
    <x v="1"/>
    <s v="Venta"/>
    <s v="SZR"/>
    <s v="GESTE"/>
    <x v="0"/>
    <x v="219"/>
    <x v="19"/>
    <s v="SZR"/>
  </r>
  <r>
    <x v="2130"/>
    <s v="HSOLUE"/>
    <s v="18WHSOLUE-1234-7"/>
    <n v="8.1999999999999993"/>
    <s v="18WHSOLUE-1234-7"/>
    <x v="1"/>
    <s v="Venta"/>
    <s v="SZR"/>
    <s v="EGLE"/>
    <x v="0"/>
    <x v="82"/>
    <x v="19"/>
    <s v="SZR"/>
  </r>
  <r>
    <x v="2131"/>
    <s v="HSTMARI"/>
    <s v="UP AUXIME"/>
    <n v="2.2000000000000002"/>
    <s v="18WHSTMARI-123-K"/>
    <x v="1"/>
    <s v="Venta"/>
    <s v="SZR"/>
    <s v="GNRA"/>
    <x v="0"/>
    <x v="46"/>
    <x v="19"/>
    <s v="SZR"/>
  </r>
  <r>
    <x v="2132"/>
    <s v="HSYEGU"/>
    <s v="18WHSYEGU-1234-2"/>
    <n v="4.9000000000000004"/>
    <s v="18WHSYEGU-1234-2"/>
    <x v="1"/>
    <s v="Venta"/>
    <s v="SZR"/>
    <s v="EGLE"/>
    <x v="0"/>
    <x v="82"/>
    <x v="19"/>
    <s v="SZR"/>
  </r>
  <r>
    <x v="2133"/>
    <s v="HTAJUN"/>
    <s v="18WHTAJUN-1234-N"/>
    <n v="1.4"/>
    <s v="18WHTAJUN-1234-N"/>
    <x v="1"/>
    <s v="Venta"/>
    <s v="SZR"/>
    <s v="EGLE"/>
    <x v="0"/>
    <x v="82"/>
    <x v="19"/>
    <s v="SZR"/>
  </r>
  <r>
    <x v="2134"/>
    <s v="HVADOC"/>
    <s v="18WHVADOC-1234-G"/>
    <n v="4.0999999999999996"/>
    <s v="18WHVADOC-1234-G"/>
    <x v="1"/>
    <s v="Venta"/>
    <s v="SZR"/>
    <s v="EGLE"/>
    <x v="0"/>
    <x v="82"/>
    <x v="19"/>
    <s v="SZR"/>
  </r>
  <r>
    <x v="2135"/>
    <s v="HVANGE"/>
    <s v="18WHVANGE-1234-9"/>
    <n v="3"/>
    <s v="18WHVANGE-1234-9"/>
    <x v="1"/>
    <s v="Venta"/>
    <s v="SZR"/>
    <s v="EGLE"/>
    <x v="0"/>
    <x v="82"/>
    <x v="19"/>
    <s v="SZR"/>
  </r>
  <r>
    <x v="2136"/>
    <s v="HVILLA"/>
    <s v="UP ACEQUIA CINCO VILLAS"/>
    <n v="4.5999999999999996"/>
    <s v="18W000000000TCXC"/>
    <x v="1"/>
    <s v="Venta"/>
    <s v="SZR"/>
    <s v="EGLE"/>
    <x v="0"/>
    <x v="82"/>
    <x v="19"/>
    <s v="SZR"/>
  </r>
  <r>
    <x v="2137"/>
    <s v="VILLR"/>
    <s v="VILLAR"/>
    <n v="1.6"/>
    <s v="18W000000000O4FI"/>
    <x v="1"/>
    <s v="Venta"/>
    <s v="SZR"/>
    <s v="GESTE"/>
    <x v="0"/>
    <x v="219"/>
    <x v="19"/>
    <s v="SZR"/>
  </r>
  <r>
    <x v="2138"/>
    <s v="HVLLNGO"/>
    <s v="UP HVLLNGO"/>
    <n v="3.2"/>
    <s v="18W000000000PZ7B"/>
    <x v="1"/>
    <s v="Venta"/>
    <s v="SZR"/>
    <s v="NEXU"/>
    <x v="0"/>
    <x v="187"/>
    <x v="19"/>
    <s v="SZR"/>
  </r>
  <r>
    <x v="2139"/>
    <s v="HVVINAS"/>
    <s v="UP HVVINAS"/>
    <n v="1.8"/>
    <s v="18W000000000PZ97"/>
    <x v="1"/>
    <s v="Venta"/>
    <s v="SZR"/>
    <s v="NEXU"/>
    <x v="0"/>
    <x v="187"/>
    <x v="19"/>
    <s v="SZR"/>
  </r>
  <r>
    <x v="2140"/>
    <s v="HC XALLAS1"/>
    <s v="SANTA EUGENIA Y NOVO PINDO"/>
    <n v="108"/>
    <s v="18W000000000HTLX"/>
    <x v="1"/>
    <s v="Venta"/>
    <s v="IGNIS"/>
    <s v="IGNIS"/>
    <x v="0"/>
    <x v="28"/>
    <x v="19"/>
    <s v="IGN"/>
  </r>
  <r>
    <x v="2141"/>
    <s v="CH XALLAS2"/>
    <s v="CH XALLAS -10MW"/>
    <n v="30.2"/>
    <s v="18W000000000HTMV"/>
    <x v="1"/>
    <s v="Venta"/>
    <s v="SZR"/>
    <s v="IGNIS"/>
    <x v="0"/>
    <x v="28"/>
    <x v="19"/>
    <s v="SZR"/>
  </r>
  <r>
    <x v="2142"/>
    <s v="HXRSPRE"/>
    <s v="HXRSPRE"/>
    <n v="1.7"/>
    <s v="18W00000000079ZV"/>
    <x v="1"/>
    <s v="Venta"/>
    <s v="SZR"/>
    <s v="RSPRE"/>
    <x v="0"/>
    <x v="303"/>
    <x v="19"/>
    <s v="SZR"/>
  </r>
  <r>
    <x v="2143"/>
    <s v="HYAGREN"/>
    <s v="HYAGREN"/>
    <n v="1.2"/>
    <s v="18W000000000JIR9"/>
    <x v="1"/>
    <s v="Venta"/>
    <s v="SZR"/>
    <s v="AGREN"/>
    <x v="0"/>
    <x v="27"/>
    <x v="19"/>
    <s v="SZR"/>
  </r>
  <r>
    <x v="2144"/>
    <s v="HYAGUER"/>
    <s v="HYAGUER"/>
    <n v="2.9"/>
    <s v="18W000000000T9GI"/>
    <x v="1"/>
    <s v="Venta"/>
    <s v="SZR"/>
    <s v="DETIC"/>
    <x v="0"/>
    <x v="71"/>
    <x v="19"/>
    <s v="SZR"/>
  </r>
  <r>
    <x v="2145"/>
    <s v="HYAME"/>
    <s v="HIDRO PEQUEÑA POT"/>
    <n v="4.2"/>
    <s v="18W0000000006SBQ"/>
    <x v="1"/>
    <s v="Venta"/>
    <s v="SZR"/>
    <s v="AME"/>
    <x v="0"/>
    <x v="0"/>
    <x v="19"/>
    <s v="SZR"/>
  </r>
  <r>
    <x v="2146"/>
    <s v="UP FV HYAN"/>
    <s v="UP FV HYANOR"/>
    <n v="0"/>
    <s v="18W000000000QUW9"/>
    <x v="9"/>
    <s v="Venta"/>
    <s v="SZR"/>
    <s v="ZRMTT"/>
    <x v="0"/>
    <x v="130"/>
    <x v="9"/>
    <s v="SZR"/>
  </r>
  <r>
    <x v="2147"/>
    <s v="HYANOR UP"/>
    <s v="HIDRO HYANOR"/>
    <n v="0.5"/>
    <s v="18W000000000QUVB"/>
    <x v="1"/>
    <s v="Venta"/>
    <s v="SZR"/>
    <s v="ZRMTT"/>
    <x v="0"/>
    <x v="130"/>
    <x v="19"/>
    <s v="SZR"/>
  </r>
  <r>
    <x v="2148"/>
    <s v="HYASIE"/>
    <s v="ASIE (HIDRÁULICA TARIFA NO EXENTO)"/>
    <n v="5"/>
    <s v="18WHYASIE-1234-G"/>
    <x v="1"/>
    <s v="Venta"/>
    <s v="SZR"/>
    <s v="ASIE"/>
    <x v="0"/>
    <x v="73"/>
    <x v="19"/>
    <s v="SZR"/>
  </r>
  <r>
    <x v="2149"/>
    <s v="HYBERGA"/>
    <s v="HYBERGA"/>
    <n v="2.9"/>
    <s v="18W000000000T28I"/>
    <x v="1"/>
    <s v="Venta"/>
    <s v="SZR"/>
    <s v="DETIC"/>
    <x v="0"/>
    <x v="71"/>
    <x v="19"/>
    <s v="SZR"/>
  </r>
  <r>
    <x v="2150"/>
    <s v="HYBRUTI"/>
    <s v="HYBRUTI"/>
    <n v="2.8"/>
    <s v="18W000000000T9FK"/>
    <x v="1"/>
    <s v="Venta"/>
    <s v="SZR"/>
    <s v="DETIC"/>
    <x v="0"/>
    <x v="71"/>
    <x v="19"/>
    <s v="SZR"/>
  </r>
  <r>
    <x v="2151"/>
    <s v="HYCABIS"/>
    <s v="HYCABIS"/>
    <n v="2.2999999999999998"/>
    <s v="18W000000000T9DO"/>
    <x v="1"/>
    <s v="Venta"/>
    <s v="SZR"/>
    <s v="DETIC"/>
    <x v="0"/>
    <x v="71"/>
    <x v="19"/>
    <s v="SZR"/>
  </r>
  <r>
    <x v="2152"/>
    <s v="HYCANBA"/>
    <s v="HYCANBA"/>
    <n v="1"/>
    <s v="18W000000000T9O2"/>
    <x v="1"/>
    <s v="Venta"/>
    <s v="SZR"/>
    <s v="DETIC"/>
    <x v="0"/>
    <x v="71"/>
    <x v="19"/>
    <s v="SZR"/>
  </r>
  <r>
    <x v="2153"/>
    <s v="HYCAUXA"/>
    <s v="HYCAUXA"/>
    <n v="2.7"/>
    <s v="18W000000000T9N4"/>
    <x v="1"/>
    <s v="Venta"/>
    <s v="SZR"/>
    <s v="DETIC"/>
    <x v="0"/>
    <x v="71"/>
    <x v="19"/>
    <s v="SZR"/>
  </r>
  <r>
    <x v="2154"/>
    <s v="HYCEG"/>
    <s v="CEG ( HIDRÁULICA,TARIFA,NO EXENTO )"/>
    <n v="1.3"/>
    <s v="18WHYCEG-12345-I"/>
    <x v="1"/>
    <s v="Venta"/>
    <s v="SZR"/>
    <s v="CEG"/>
    <x v="0"/>
    <x v="124"/>
    <x v="19"/>
    <s v="SZR"/>
  </r>
  <r>
    <x v="2155"/>
    <s v="HYDETIC"/>
    <s v="DETIC (TARIFA, NO EXENTO, HIDRÁULICO)"/>
    <n v="9.5"/>
    <s v="18WHYDETIC-12--B"/>
    <x v="1"/>
    <s v="Venta"/>
    <s v="SZR"/>
    <s v="DETIC"/>
    <x v="0"/>
    <x v="71"/>
    <x v="19"/>
    <s v="SZR"/>
  </r>
  <r>
    <x v="2156"/>
    <s v="HYDRC01"/>
    <s v="HYDRC01"/>
    <n v="0.1"/>
    <s v="18W000000000R27S"/>
    <x v="2"/>
    <s v="Compra"/>
    <s v="SZR"/>
    <s v="HYDRO"/>
    <x v="1"/>
    <x v="392"/>
    <x v="2"/>
    <s v="SZR"/>
  </r>
  <r>
    <x v="2157"/>
    <s v="CH_PETITES"/>
    <s v="HIDRO MENORS DE 1 MW"/>
    <n v="2"/>
    <s v="18W000000000C12R"/>
    <x v="1"/>
    <s v="Venta"/>
    <s v="SZR"/>
    <s v="EPYM"/>
    <x v="0"/>
    <x v="278"/>
    <x v="19"/>
    <s v="SZR"/>
  </r>
  <r>
    <x v="2158"/>
    <s v="CH_GRANS"/>
    <s v="HIDRO MAJOR 1 MW"/>
    <n v="1.7"/>
    <s v="18W000000000DPMM"/>
    <x v="1"/>
    <s v="Venta"/>
    <s v="SZR"/>
    <s v="EPYM"/>
    <x v="0"/>
    <x v="278"/>
    <x v="19"/>
    <s v="SZR"/>
  </r>
  <r>
    <x v="2159"/>
    <s v="HYECATA"/>
    <s v="SALTOS DE AGUA"/>
    <n v="3"/>
    <s v="18W000000000S19N"/>
    <x v="1"/>
    <s v="Venta"/>
    <s v="SZR"/>
    <s v="EGED"/>
    <x v="0"/>
    <x v="186"/>
    <x v="19"/>
    <s v="SZR"/>
  </r>
  <r>
    <x v="2160"/>
    <s v="HYEDMUN"/>
    <s v="HYEDMUN"/>
    <n v="2.2999999999999998"/>
    <s v="18W000000000OZJS"/>
    <x v="1"/>
    <s v="Venta"/>
    <s v="SZR"/>
    <s v="DETIC"/>
    <x v="0"/>
    <x v="71"/>
    <x v="19"/>
    <s v="SZR"/>
  </r>
  <r>
    <x v="2161"/>
    <s v="HYEEXXI"/>
    <s v="ENDESA CUR ( TARIFA, HIDRÁULICA, NO EXENTA)"/>
    <n v="6.8"/>
    <s v="18WHYEEXXI-123-C"/>
    <x v="1"/>
    <s v="Venta"/>
    <s v="SZR"/>
    <s v="EEXXI"/>
    <x v="0"/>
    <x v="72"/>
    <x v="19"/>
    <s v="SZR"/>
  </r>
  <r>
    <x v="2162"/>
    <s v="HYEFG"/>
    <s v="EFG (TARIFA, NO EXENTO, HIDRÁULICO)"/>
    <n v="22.2"/>
    <s v="18WHYEFG-12345-N"/>
    <x v="1"/>
    <s v="Venta"/>
    <s v="SZR"/>
    <s v="EFG"/>
    <x v="0"/>
    <x v="213"/>
    <x v="19"/>
    <s v="SZR"/>
  </r>
  <r>
    <x v="2163"/>
    <s v="HYEGLE"/>
    <s v="EGLE (TARIFA, HIDRÁULICA, NO EXENTA)"/>
    <n v="23.1"/>
    <s v="18WHYEGLE-1234-S"/>
    <x v="1"/>
    <s v="Venta"/>
    <s v="SZR"/>
    <s v="EGLE"/>
    <x v="0"/>
    <x v="82"/>
    <x v="19"/>
    <s v="SZR"/>
  </r>
  <r>
    <x v="2164"/>
    <s v="HYEONUR"/>
    <s v="E.ON CUR ( TARIFA, HIDRÁULICA, NO EXENTA)"/>
    <n v="0.9"/>
    <s v="18WHYEONUR-123-0"/>
    <x v="1"/>
    <s v="Venta"/>
    <s v="SZR"/>
    <s v="EONUR"/>
    <x v="0"/>
    <x v="270"/>
    <x v="19"/>
    <s v="SZR"/>
  </r>
  <r>
    <x v="2165"/>
    <s v="MINIHIDRAU"/>
    <s v="MINIHIDRAULICA A TARIFA"/>
    <n v="0.3"/>
    <s v="18WHYFEN-12345-X"/>
    <x v="1"/>
    <s v="Venta"/>
    <s v="SZR"/>
    <s v="FEN"/>
    <x v="0"/>
    <x v="154"/>
    <x v="19"/>
    <s v="SZR"/>
  </r>
  <r>
    <x v="2166"/>
    <s v="HYGESTE"/>
    <s v="GESTERNOVA (HIDRÁULICA, NO EXENTA, TARIFA)"/>
    <n v="18.899999999999999"/>
    <s v="18WHYGESTE-123-L"/>
    <x v="1"/>
    <s v="Venta"/>
    <s v="SZR"/>
    <s v="GESTE"/>
    <x v="0"/>
    <x v="219"/>
    <x v="19"/>
    <s v="SZR"/>
  </r>
  <r>
    <x v="2167"/>
    <s v="HYGNRA"/>
    <s v="GNRA ( TARIFA, HIDRÁULICA,NO EXENTO)"/>
    <n v="32.4"/>
    <s v="18WHYGNRA-1234-P"/>
    <x v="1"/>
    <s v="Venta"/>
    <s v="SZR"/>
    <s v="GNRA"/>
    <x v="0"/>
    <x v="46"/>
    <x v="19"/>
    <s v="SZR"/>
  </r>
  <r>
    <x v="2168"/>
    <s v="HYGNSUR"/>
    <s v="GAS NATURAL SUR SDG ( TARIFA, HIDRÁULICA, NO EXENTA)"/>
    <n v="6.9"/>
    <s v="18WHYGNSUR-123-H"/>
    <x v="1"/>
    <s v="Venta"/>
    <s v="SZR"/>
    <s v="GNSUR"/>
    <x v="0"/>
    <x v="8"/>
    <x v="19"/>
    <s v="SZR"/>
  </r>
  <r>
    <x v="2169"/>
    <s v="HYHCCUR"/>
    <s v="HIDROCANTABRICO CUR ( TARIFA, HIDRÁULICA, NO EXENTA)"/>
    <n v="2.4"/>
    <s v="18WHYHCCUR-123-1"/>
    <x v="1"/>
    <s v="Venta"/>
    <s v="SZR"/>
    <s v="HCCUR"/>
    <x v="0"/>
    <x v="273"/>
    <x v="19"/>
    <s v="SZR"/>
  </r>
  <r>
    <x v="2170"/>
    <s v="HYIBCUR"/>
    <s v="IBERDROLA CUR ( TARIFA, HIDRÁULICA, NO EXENTA)"/>
    <n v="12.8"/>
    <s v="18WHYIBCUR-123-0"/>
    <x v="1"/>
    <s v="Venta"/>
    <s v="SZR"/>
    <s v="IBCUR"/>
    <x v="0"/>
    <x v="7"/>
    <x v="19"/>
    <s v="SZR"/>
  </r>
  <r>
    <x v="2171"/>
    <s v="HYIBFZ"/>
    <s v="HYIBFZ MINIS FUERA ZONA R"/>
    <n v="0.4"/>
    <s v="18W0000000002THR"/>
    <x v="1"/>
    <s v="Venta"/>
    <s v="SZR"/>
    <s v="IBGES"/>
    <x v="0"/>
    <x v="7"/>
    <x v="19"/>
    <s v="SZR"/>
  </r>
  <r>
    <x v="2172"/>
    <s v="UOHYIGNIS"/>
    <s v="UP GENERICA HIDRAULICAS IGNIS NO EXENTO"/>
    <n v="0.1"/>
    <s v="18W000000000R3BH"/>
    <x v="1"/>
    <s v="Venta"/>
    <s v="SZR"/>
    <s v="IGNIS"/>
    <x v="0"/>
    <x v="28"/>
    <x v="19"/>
    <s v="SZR"/>
  </r>
  <r>
    <x v="2173"/>
    <s v="HYINDIG"/>
    <s v="HYINDIG"/>
    <n v="1.3"/>
    <s v="18W000000000S71L"/>
    <x v="1"/>
    <s v="Venta"/>
    <s v="SZR"/>
    <s v="DETIC"/>
    <x v="0"/>
    <x v="71"/>
    <x v="19"/>
    <s v="SZR"/>
  </r>
  <r>
    <x v="2174"/>
    <s v="HYISLA"/>
    <s v="HYISLA"/>
    <n v="1.8"/>
    <s v="18W000000000QRHB"/>
    <x v="1"/>
    <s v="Venta"/>
    <s v="SZR"/>
    <s v="CEG"/>
    <x v="0"/>
    <x v="124"/>
    <x v="19"/>
    <s v="SZR"/>
  </r>
  <r>
    <x v="2175"/>
    <s v="ITURB"/>
    <s v="HITURB"/>
    <n v="0.4"/>
    <s v="18WHITURB--123-K"/>
    <x v="1"/>
    <s v="Venta"/>
    <s v="SZR"/>
    <s v="ITURB"/>
    <x v="0"/>
    <x v="378"/>
    <x v="19"/>
    <s v="SZR"/>
  </r>
  <r>
    <x v="2176"/>
    <s v="HYLAMUE"/>
    <s v="HYLAMUE"/>
    <n v="4.8"/>
    <s v="18W000000000T9M6"/>
    <x v="1"/>
    <s v="Venta"/>
    <s v="SZR"/>
    <s v="DETIC"/>
    <x v="0"/>
    <x v="71"/>
    <x v="19"/>
    <s v="SZR"/>
  </r>
  <r>
    <x v="2177"/>
    <s v="HYLAUE3"/>
    <s v="UP HYLAUE3"/>
    <n v="1.1000000000000001"/>
    <s v="18W000000000R3Y8"/>
    <x v="1"/>
    <s v="Venta"/>
    <s v="SZR"/>
    <s v="LAUEI"/>
    <x v="0"/>
    <x v="301"/>
    <x v="19"/>
    <s v="SZR"/>
  </r>
  <r>
    <x v="2178"/>
    <s v="HYMALPA"/>
    <s v="HYMALPA"/>
    <n v="3.8"/>
    <s v="18W000000000T9KA"/>
    <x v="1"/>
    <s v="Venta"/>
    <s v="SZR"/>
    <s v="DETIC"/>
    <x v="0"/>
    <x v="71"/>
    <x v="19"/>
    <s v="SZR"/>
  </r>
  <r>
    <x v="2179"/>
    <s v="HYMARIN"/>
    <s v="HYMARIN"/>
    <n v="2.6"/>
    <s v="18W000000000T9HG"/>
    <x v="1"/>
    <s v="Venta"/>
    <s v="SZR"/>
    <s v="DETIC"/>
    <x v="0"/>
    <x v="71"/>
    <x v="19"/>
    <s v="SZR"/>
  </r>
  <r>
    <x v="2180"/>
    <s v="HYMONTE"/>
    <s v="HYMONTE"/>
    <n v="3.6"/>
    <s v="18W000000000T9L8"/>
    <x v="1"/>
    <s v="Venta"/>
    <s v="SZR"/>
    <s v="DETIC"/>
    <x v="0"/>
    <x v="71"/>
    <x v="19"/>
    <s v="SZR"/>
  </r>
  <r>
    <x v="2181"/>
    <s v="HYNEXU"/>
    <s v="NEXU ( HIDRÁULICA,TARIFA,NO EXENTO )"/>
    <n v="19"/>
    <s v="18WHYNEXU-1234-9"/>
    <x v="1"/>
    <s v="Venta"/>
    <s v="SZR"/>
    <s v="NEXU"/>
    <x v="0"/>
    <x v="187"/>
    <x v="19"/>
    <s v="SZR"/>
  </r>
  <r>
    <x v="2182"/>
    <s v="HYPAMSA"/>
    <s v="HYPAMSA"/>
    <n v="2"/>
    <s v="18W000000000QRFF"/>
    <x v="1"/>
    <s v="Venta"/>
    <s v="SZR"/>
    <s v="CEG"/>
    <x v="0"/>
    <x v="124"/>
    <x v="19"/>
    <s v="SZR"/>
  </r>
  <r>
    <x v="2183"/>
    <s v="HYPARDI"/>
    <s v="HYPARDI"/>
    <n v="1.2"/>
    <s v="18W000000000T9EM"/>
    <x v="1"/>
    <s v="Venta"/>
    <s v="SZR"/>
    <s v="DETIC"/>
    <x v="0"/>
    <x v="71"/>
    <x v="19"/>
    <s v="SZR"/>
  </r>
  <r>
    <x v="2184"/>
    <s v="HYPIEDR"/>
    <s v="HYPIEDR"/>
    <n v="1.4"/>
    <s v="18W000000000T9IE"/>
    <x v="1"/>
    <s v="Venta"/>
    <s v="SZR"/>
    <s v="DETIC"/>
    <x v="0"/>
    <x v="71"/>
    <x v="19"/>
    <s v="SZR"/>
  </r>
  <r>
    <x v="2185"/>
    <s v="HYRSPRA"/>
    <s v="18WHYRSPRA-123-G"/>
    <n v="22.9"/>
    <s v="18WHYRSPRA-123-G"/>
    <x v="1"/>
    <s v="Venta"/>
    <s v="SZR"/>
    <s v="RSPRA"/>
    <x v="0"/>
    <x v="101"/>
    <x v="19"/>
    <s v="SZR"/>
  </r>
  <r>
    <x v="2186"/>
    <s v="HYSERRA"/>
    <s v="UP SERRA POT MENOR 1 MW"/>
    <n v="3.1"/>
    <s v="18WHYSERRA-123-G"/>
    <x v="1"/>
    <s v="Venta"/>
    <s v="SZR"/>
    <s v="GNRA"/>
    <x v="0"/>
    <x v="46"/>
    <x v="19"/>
    <s v="SZR"/>
  </r>
  <r>
    <x v="2187"/>
    <s v="HYTLAVE"/>
    <s v="HYTLAVE"/>
    <n v="5.2"/>
    <s v="18W000000000PK0X"/>
    <x v="1"/>
    <s v="Venta"/>
    <s v="SZR"/>
    <s v="CEG"/>
    <x v="0"/>
    <x v="124"/>
    <x v="19"/>
    <s v="SZR"/>
  </r>
  <r>
    <x v="2188"/>
    <s v="HYVALLE"/>
    <s v="HYVALLE"/>
    <n v="4.2"/>
    <s v="18W000000000T9JC"/>
    <x v="1"/>
    <s v="Venta"/>
    <s v="SZR"/>
    <s v="DETIC"/>
    <x v="0"/>
    <x v="71"/>
    <x v="19"/>
    <s v="SZR"/>
  </r>
  <r>
    <x v="2189"/>
    <s v="HYVALLF"/>
    <s v="HYVALLF"/>
    <n v="1.7"/>
    <s v="18W000000000T9CQ"/>
    <x v="1"/>
    <s v="Venta"/>
    <s v="SZR"/>
    <s v="DETIC"/>
    <x v="0"/>
    <x v="71"/>
    <x v="19"/>
    <s v="SZR"/>
  </r>
  <r>
    <x v="2190"/>
    <s v="HYWMARK"/>
    <s v="HIDRAULICA TARIFA MENOR DE 10 MW"/>
    <n v="6.7"/>
    <s v="18WHYWMARK-123-C"/>
    <x v="1"/>
    <s v="Venta"/>
    <s v="SZR"/>
    <s v="WMARK"/>
    <x v="0"/>
    <x v="22"/>
    <x v="19"/>
    <s v="SZR"/>
  </r>
  <r>
    <x v="2191"/>
    <s v="HZORIT"/>
    <s v="18WHZORIT-123--E"/>
    <n v="1"/>
    <s v="18WHZORIT-123--E"/>
    <x v="1"/>
    <s v="Venta"/>
    <s v="SZR"/>
    <s v="EGLE"/>
    <x v="0"/>
    <x v="82"/>
    <x v="19"/>
    <s v="SZR"/>
  </r>
  <r>
    <x v="2192"/>
    <s v="IBAR"/>
    <s v="IBAR ENERGIA SL"/>
    <n v="1"/>
    <s v="18W000000000RC7Z"/>
    <x v="2"/>
    <s v="Compra"/>
    <s v="SZR"/>
    <s v="IBARE"/>
    <x v="1"/>
    <x v="393"/>
    <x v="2"/>
    <s v="SZR"/>
  </r>
  <r>
    <x v="2193"/>
    <s v="IBCUC01"/>
    <s v="IBERDROLA CUR. COMPRA"/>
    <n v="14000"/>
    <s v="18WIBCUC01-123-6"/>
    <x v="2"/>
    <s v="Compra"/>
    <s v="SZR"/>
    <s v="IBCUR"/>
    <x v="10"/>
    <x v="7"/>
    <x v="26"/>
    <s v="SZR"/>
  </r>
  <r>
    <x v="2194"/>
    <s v="IBCUCEB"/>
    <s v="IBCUR ENLACE BALEARES"/>
    <n v="408"/>
    <s v="18WIBCUCEB-123-9"/>
    <x v="23"/>
    <s v="Compra"/>
    <s v="SZR"/>
    <s v="IBCUR"/>
    <x v="11"/>
    <x v="7"/>
    <x v="27"/>
    <s v="SZR"/>
  </r>
  <r>
    <x v="2195"/>
    <s v="UPIBERDESA"/>
    <s v="UPROGRAMACIONIBERDESA"/>
    <n v="2"/>
    <s v="18W000000000GB4E"/>
    <x v="2"/>
    <s v="Compra"/>
    <s v="SZR"/>
    <s v="IBERD"/>
    <x v="1"/>
    <x v="7"/>
    <x v="2"/>
    <s v="SZR"/>
  </r>
  <r>
    <x v="2196"/>
    <s v="IBEGC01 CO"/>
    <s v="IBERDROLA GENERACIÓN COMERCIALIZADORA"/>
    <n v="0"/>
    <s v="18WIBEGC01-12-2J"/>
    <x v="2"/>
    <s v="Compra"/>
    <s v="SZR"/>
    <s v="IBEG"/>
    <x v="1"/>
    <x v="7"/>
    <x v="2"/>
    <s v="SZR"/>
  </r>
  <r>
    <x v="2197"/>
    <s v="IBEGC MAR"/>
    <s v="IBERDROLA GEN ENTREGA DE ENERGÍA EN MARRUECOS (AGENTE (EXTERNO)"/>
    <n v="1000"/>
    <s v="18WIBEGC05-12-4O"/>
    <x v="28"/>
    <s v="Compra"/>
    <s v="SZR"/>
    <s v="IBEG"/>
    <x v="7"/>
    <x v="7"/>
    <x v="36"/>
    <s v="SZR"/>
  </r>
  <r>
    <x v="2198"/>
    <s v="IBEGCP3"/>
    <s v="IBERDROLA GEN ENTREGA DE ENERGÍA EN FRANCIA (AGENTE EXTERNO)"/>
    <n v="750"/>
    <s v="18WIBEGCP3-12-4N"/>
    <x v="16"/>
    <s v="Compra"/>
    <s v="SZR"/>
    <s v="IBEG"/>
    <x v="7"/>
    <x v="7"/>
    <x v="16"/>
    <s v="SZR"/>
  </r>
  <r>
    <x v="2199"/>
    <s v="IBEGVP3"/>
    <s v="IMPORT VENTA FRANCIA CON DERECHOS"/>
    <n v="1200"/>
    <s v="18WIBEGVP3-123-Z"/>
    <x v="17"/>
    <s v="Venta"/>
    <s v="SZR"/>
    <s v="IBEG"/>
    <x v="7"/>
    <x v="7"/>
    <x v="17"/>
    <s v="SZR"/>
  </r>
  <r>
    <x v="2200"/>
    <s v="IBGCCX1"/>
    <s v="UNID PORF IBGES COMERC COMPRA"/>
    <n v="9999"/>
    <s v="18W000000000A7JK"/>
    <x v="20"/>
    <s v="Compra"/>
    <s v="SZR"/>
    <s v="IBGES"/>
    <x v="8"/>
    <x v="7"/>
    <x v="23"/>
    <s v="SZR"/>
  </r>
  <r>
    <x v="2201"/>
    <s v="IBGCVX1"/>
    <s v="UNID PORF IBGES COMERC VENT"/>
    <n v="9999"/>
    <s v="18W000000000A7IM"/>
    <x v="20"/>
    <s v="Venta"/>
    <s v="SZR"/>
    <s v="IBGES"/>
    <x v="8"/>
    <x v="7"/>
    <x v="23"/>
    <s v="SZR"/>
  </r>
  <r>
    <x v="2202"/>
    <s v="IBGECP3"/>
    <s v="IBGE DERECHOS COMPRA(FRAN)"/>
    <n v="750"/>
    <s v="18WIBGECP3-123-J"/>
    <x v="16"/>
    <s v="Compra"/>
    <s v="SZR"/>
    <s v="IBGES"/>
    <x v="7"/>
    <x v="7"/>
    <x v="16"/>
    <s v="SZR"/>
  </r>
  <r>
    <x v="2203"/>
    <s v="IBGESX"/>
    <s v="IBGES CONSUMO SERV AUXILIARES"/>
    <n v="30"/>
    <s v="18W0000000006UYB"/>
    <x v="5"/>
    <s v="Compra"/>
    <s v="SZR"/>
    <s v="IBGES"/>
    <x v="2"/>
    <x v="7"/>
    <x v="5"/>
    <s v="SZR"/>
  </r>
  <r>
    <x v="2204"/>
    <s v="IBGEVP3"/>
    <s v="IBGE DERECHOS VENTA(FRAN)"/>
    <n v="1200"/>
    <s v="18WIBGEVP3-123-X"/>
    <x v="17"/>
    <s v="Venta"/>
    <s v="SZR"/>
    <s v="IBGES"/>
    <x v="7"/>
    <x v="7"/>
    <x v="17"/>
    <s v="SZR"/>
  </r>
  <r>
    <x v="2205"/>
    <s v="IBGPCX1"/>
    <s v="PROD PORF IBGES COMERC COMPR"/>
    <n v="9999"/>
    <s v="18W000000000A7KI"/>
    <x v="20"/>
    <s v="Compra"/>
    <s v="SZR"/>
    <s v="IBGES"/>
    <x v="8"/>
    <x v="7"/>
    <x v="23"/>
    <s v="SZR"/>
  </r>
  <r>
    <x v="2206"/>
    <s v="IBGPVX1"/>
    <s v="PROD PORF IBGES COMERC VENTA"/>
    <n v="9999"/>
    <s v="18W000000000A7LG"/>
    <x v="20"/>
    <s v="Venta"/>
    <s v="SZR"/>
    <s v="IBGES"/>
    <x v="8"/>
    <x v="7"/>
    <x v="23"/>
    <s v="SZR"/>
  </r>
  <r>
    <x v="2207"/>
    <s v="IBHEACI"/>
    <s v="HEDROSO-ACIBEROS"/>
    <n v="31.4"/>
    <s v="18W000000000TEF5"/>
    <x v="11"/>
    <s v="Venta"/>
    <s v="SZR"/>
    <s v="WMARK"/>
    <x v="0"/>
    <x v="22"/>
    <x v="11"/>
    <s v="SZR"/>
  </r>
  <r>
    <x v="2208"/>
    <s v="IBPADOR"/>
    <s v="PADORNELO"/>
    <n v="31.4"/>
    <s v="18W000000000TEE7"/>
    <x v="11"/>
    <s v="Venta"/>
    <s v="SZR"/>
    <s v="WMARK"/>
    <x v="0"/>
    <x v="22"/>
    <x v="11"/>
    <s v="SZR"/>
  </r>
  <r>
    <x v="2209"/>
    <s v="IBSEC01"/>
    <s v="IBSEN COMERCIALIZADORA"/>
    <n v="30"/>
    <s v="18W0000000009SI0"/>
    <x v="2"/>
    <s v="Compra"/>
    <s v="SZR"/>
    <s v="IBSEN"/>
    <x v="1"/>
    <x v="7"/>
    <x v="2"/>
    <s v="SZR"/>
  </r>
  <r>
    <x v="2210"/>
    <s v="IBSNC01"/>
    <s v="IBSNC01 NULES"/>
    <n v="2"/>
    <s v="18W000000000MLNX"/>
    <x v="6"/>
    <s v="Compra"/>
    <s v="SZR"/>
    <s v="IBSUS"/>
    <x v="3"/>
    <x v="394"/>
    <x v="6"/>
    <s v="SZR"/>
  </r>
  <r>
    <x v="2211"/>
    <s v="IBSUC01"/>
    <s v="IBSUC01 ALSASUA"/>
    <n v="1.9"/>
    <s v="18W000000000LB2Z"/>
    <x v="6"/>
    <s v="Compra"/>
    <s v="SZR"/>
    <s v="IBSUS"/>
    <x v="3"/>
    <x v="394"/>
    <x v="6"/>
    <s v="SZR"/>
  </r>
  <r>
    <x v="2212"/>
    <s v="IBERITOS"/>
    <s v="HUERTA DEHESA EL ALCORNOCAL"/>
    <n v="0.5"/>
    <s v="18W000000000KM0A"/>
    <x v="6"/>
    <s v="Compra"/>
    <s v="SZR"/>
    <s v="IBTOS"/>
    <x v="3"/>
    <x v="395"/>
    <x v="6"/>
    <s v="SZR"/>
  </r>
  <r>
    <x v="2213"/>
    <s v="ICASA CO"/>
    <s v="INMOBILIARIA DE CONSTRUCCIONES Y ARRIENDOS, S.A. (NACIONAL)"/>
    <n v="500"/>
    <s v="18WICASC01-12-25"/>
    <x v="2"/>
    <s v="Compra"/>
    <s v="SZR"/>
    <s v="ICASA"/>
    <x v="1"/>
    <x v="396"/>
    <x v="2"/>
    <s v="SZR"/>
  </r>
  <r>
    <x v="2214"/>
    <s v="COMERC"/>
    <s v="COMERCIALIZACIÓN"/>
    <n v="65"/>
    <s v="18WICGAC01-123-2"/>
    <x v="2"/>
    <s v="Compra"/>
    <s v="SZR"/>
    <s v="ICGAS"/>
    <x v="1"/>
    <x v="397"/>
    <x v="2"/>
    <s v="SZR"/>
  </r>
  <r>
    <x v="2215"/>
    <s v="ICLIC01"/>
    <s v="IBERDROLA CLIENTES"/>
    <n v="5"/>
    <s v="18WICLIC01-123-F"/>
    <x v="2"/>
    <s v="Compra"/>
    <s v="SZR"/>
    <s v="IBCLI"/>
    <x v="1"/>
    <x v="7"/>
    <x v="2"/>
    <s v="SZR"/>
  </r>
  <r>
    <x v="2216"/>
    <s v="ICLIR01"/>
    <s v="COMERCIALIZADOR BALANCE SRAD"/>
    <n v="437.9"/>
    <s v="18W000000000OQVV"/>
    <x v="2"/>
    <s v="Compra"/>
    <s v="SZR"/>
    <s v="IBCLI"/>
    <x v="1"/>
    <x v="7"/>
    <x v="2"/>
    <s v="SZR"/>
  </r>
  <r>
    <x v="2217"/>
    <s v="ICUPCX1"/>
    <s v="UNID PORF IBCUR COMPRA"/>
    <n v="9999"/>
    <s v="18W000000000A84A"/>
    <x v="20"/>
    <s v="Compra"/>
    <s v="SZR"/>
    <s v="IBCUR"/>
    <x v="8"/>
    <x v="7"/>
    <x v="23"/>
    <s v="SZR"/>
  </r>
  <r>
    <x v="2218"/>
    <s v="ICUPVX1"/>
    <s v="UNID PORF IBCUR VENTA"/>
    <n v="9999"/>
    <s v="18W000000000A83C"/>
    <x v="20"/>
    <s v="Venta"/>
    <s v="SZR"/>
    <s v="IBCUR"/>
    <x v="8"/>
    <x v="7"/>
    <x v="23"/>
    <s v="SZR"/>
  </r>
  <r>
    <x v="2219"/>
    <s v="IDESC01"/>
    <s v="IDESC01 UP"/>
    <n v="0"/>
    <s v="18W000000000R896"/>
    <x v="2"/>
    <s v="Compra"/>
    <s v="SZR"/>
    <s v="IDESE"/>
    <x v="1"/>
    <x v="398"/>
    <x v="2"/>
    <s v="SZR"/>
  </r>
  <r>
    <x v="2220"/>
    <s v="COM IENOV"/>
    <s v="COMERCIALIZADORA IENOV"/>
    <n v="10"/>
    <s v="18WIENOC01-123-K"/>
    <x v="2"/>
    <s v="Compra"/>
    <s v="SZR"/>
    <s v="IENOV"/>
    <x v="1"/>
    <x v="399"/>
    <x v="2"/>
    <s v="SZR"/>
  </r>
  <r>
    <x v="2221"/>
    <s v="IFAVG"/>
    <s v="AEROGENERADOR"/>
    <n v="0.2"/>
    <s v="18W0000000006N6E"/>
    <x v="11"/>
    <s v="Venta"/>
    <s v="SZR"/>
    <s v="GNRA"/>
    <x v="0"/>
    <x v="46"/>
    <x v="11"/>
    <s v="SZR"/>
  </r>
  <r>
    <x v="2222"/>
    <s v="IGESC01"/>
    <s v="IBERDROLA GENERACION ESPAÑA"/>
    <n v="13000"/>
    <s v="18WIGESC01-123-I"/>
    <x v="2"/>
    <s v="Compra"/>
    <s v="SZR"/>
    <s v="IBGES"/>
    <x v="1"/>
    <x v="7"/>
    <x v="2"/>
    <s v="SZR"/>
  </r>
  <r>
    <x v="2223"/>
    <s v="IUP COMPRA"/>
    <s v="UNIDAD PROGRAMACION IGNIS COMPRA"/>
    <n v="1"/>
    <s v="18WIGNIC01-123-J"/>
    <x v="2"/>
    <s v="Compra"/>
    <s v="SZR"/>
    <s v="IGNIS"/>
    <x v="1"/>
    <x v="28"/>
    <x v="2"/>
    <s v="SZR"/>
  </r>
  <r>
    <x v="2224"/>
    <s v="UP IGNIS7"/>
    <s v="UP SOLAR FOTOVOLTAICA IGNIS GENERACION SOLAR"/>
    <n v="6.7"/>
    <s v="18W000000000M07H"/>
    <x v="9"/>
    <s v="Venta"/>
    <s v="IGR"/>
    <s v="IGNIS"/>
    <x v="0"/>
    <x v="28"/>
    <x v="9"/>
    <s v="IGR"/>
  </r>
  <r>
    <x v="2225"/>
    <s v="IM3ENER"/>
    <s v="IM3ENERGIA"/>
    <n v="0.2"/>
    <s v="18WIM3ENERGIASLV"/>
    <x v="2"/>
    <s v="Compra"/>
    <s v="SZR"/>
    <s v="IM3"/>
    <x v="1"/>
    <x v="400"/>
    <x v="2"/>
    <s v="SZR"/>
  </r>
  <r>
    <x v="2226"/>
    <s v="IM3V01"/>
    <s v="IM3V01"/>
    <n v="2.9"/>
    <s v="18W000000000NC1Q"/>
    <x v="9"/>
    <s v="Venta"/>
    <s v="SZR"/>
    <s v="IM3"/>
    <x v="0"/>
    <x v="400"/>
    <x v="9"/>
    <s v="SZR"/>
  </r>
  <r>
    <x v="2227"/>
    <s v="IM3V02"/>
    <s v="IM3V02"/>
    <n v="1.5"/>
    <s v="18W000000000S4KT"/>
    <x v="9"/>
    <s v="Venta"/>
    <s v="SZR"/>
    <s v="IM3"/>
    <x v="0"/>
    <x v="400"/>
    <x v="9"/>
    <s v="SZR"/>
  </r>
  <r>
    <x v="2228"/>
    <s v="IMPERIUM"/>
    <s v="IMPERIUM LUMEN"/>
    <n v="0.1"/>
    <s v="18W000000000NEQ7"/>
    <x v="2"/>
    <s v="Compra"/>
    <s v="SZR"/>
    <s v="IMPER"/>
    <x v="1"/>
    <x v="401"/>
    <x v="2"/>
    <s v="SZR"/>
  </r>
  <r>
    <x v="2229"/>
    <s v="INARGY"/>
    <s v="INARGY SPOT"/>
    <n v="5.5"/>
    <s v="18W000000000RU7I"/>
    <x v="2"/>
    <s v="Compra"/>
    <s v="SZR"/>
    <s v="INARG"/>
    <x v="1"/>
    <x v="402"/>
    <x v="2"/>
    <s v="SZR"/>
  </r>
  <r>
    <x v="2230"/>
    <s v="INDAREL"/>
    <s v="INDAREL KUDEAKETA SLU"/>
    <n v="1"/>
    <s v="18W000000000RAYO"/>
    <x v="2"/>
    <s v="Compra"/>
    <s v="SZR"/>
    <s v="INDAR"/>
    <x v="1"/>
    <x v="403"/>
    <x v="2"/>
    <s v="SZR"/>
  </r>
  <r>
    <x v="2231"/>
    <s v="INDEC01"/>
    <s v="INDEXO ENERGIA"/>
    <n v="40"/>
    <s v="18WINDEXOENERGI4"/>
    <x v="2"/>
    <s v="Compra"/>
    <s v="SZR"/>
    <s v="INDEX"/>
    <x v="1"/>
    <x v="404"/>
    <x v="2"/>
    <s v="SZR"/>
  </r>
  <r>
    <x v="2232"/>
    <s v="INDLC01"/>
    <s v="UP INDALO"/>
    <n v="0.1"/>
    <s v="18W000000000SOEI"/>
    <x v="2"/>
    <s v="Compra"/>
    <s v="SZR"/>
    <s v="INDA"/>
    <x v="1"/>
    <x v="405"/>
    <x v="2"/>
    <s v="SZR"/>
  </r>
  <r>
    <x v="2233"/>
    <s v="INDXC01"/>
    <s v="INDEXA ENERGIA INTELIGENTE"/>
    <n v="0"/>
    <s v="18W000000000PYKP"/>
    <x v="2"/>
    <s v="Compra"/>
    <s v="SZR"/>
    <s v="INDEA"/>
    <x v="1"/>
    <x v="406"/>
    <x v="2"/>
    <s v="SZR"/>
  </r>
  <r>
    <x v="2234"/>
    <s v="INEMA"/>
    <s v="INER MADRID"/>
    <n v="0.2"/>
    <s v="18W000000000STE3"/>
    <x v="2"/>
    <s v="Compra"/>
    <s v="SZR"/>
    <s v="INERM"/>
    <x v="1"/>
    <x v="407"/>
    <x v="2"/>
    <s v="SZR"/>
  </r>
  <r>
    <x v="2235"/>
    <s v="INERC01"/>
    <s v="INER1C01"/>
    <n v="0.2"/>
    <s v="18WINERC01-123-I"/>
    <x v="2"/>
    <s v="Compra"/>
    <s v="SZR"/>
    <s v="INER1"/>
    <x v="1"/>
    <x v="408"/>
    <x v="2"/>
    <s v="SZR"/>
  </r>
  <r>
    <x v="2236"/>
    <s v="INGEM"/>
    <s v="INGEM ENERGIA SL"/>
    <n v="0.1"/>
    <s v="18W000000000IP25"/>
    <x v="2"/>
    <s v="Compra"/>
    <s v="SZR"/>
    <s v="INGEM"/>
    <x v="1"/>
    <x v="409"/>
    <x v="2"/>
    <s v="SZR"/>
  </r>
  <r>
    <x v="2237"/>
    <s v="INICC01"/>
    <s v="INICC01"/>
    <n v="0.1"/>
    <s v="18W000000000SE3X"/>
    <x v="2"/>
    <s v="Compra"/>
    <s v="SZR"/>
    <s v="INICB"/>
    <x v="1"/>
    <x v="410"/>
    <x v="2"/>
    <s v="SZR"/>
  </r>
  <r>
    <x v="2238"/>
    <s v="INTEC01"/>
    <s v="UP COM INTEGRA"/>
    <n v="90"/>
    <s v="18WINTEC01-123-K"/>
    <x v="2"/>
    <s v="Compra"/>
    <s v="SZR"/>
    <s v="INTEG"/>
    <x v="1"/>
    <x v="411"/>
    <x v="2"/>
    <s v="SZR"/>
  </r>
  <r>
    <x v="2239"/>
    <s v="INTEA"/>
    <s v="INTERENERGIA"/>
    <n v="0.1"/>
    <s v="18W000000000LPE6"/>
    <x v="2"/>
    <s v="Compra"/>
    <s v="SZR"/>
    <s v="INTEA"/>
    <x v="1"/>
    <x v="412"/>
    <x v="2"/>
    <s v="SZR"/>
  </r>
  <r>
    <x v="2240"/>
    <s v="INUSC01"/>
    <s v="INUSC01"/>
    <n v="0.2"/>
    <s v="18W000000000JGC8"/>
    <x v="2"/>
    <s v="Compra"/>
    <s v="SZR"/>
    <s v="INUSK"/>
    <x v="1"/>
    <x v="413"/>
    <x v="2"/>
    <s v="SZR"/>
  </r>
  <r>
    <x v="2241"/>
    <s v="ION ENERGI"/>
    <s v="ION ENERGÍA"/>
    <n v="0.1"/>
    <s v="18WIONC01-123--E"/>
    <x v="2"/>
    <s v="Compra"/>
    <s v="SZR"/>
    <s v="ION"/>
    <x v="1"/>
    <x v="414"/>
    <x v="2"/>
    <s v="SZR"/>
  </r>
  <r>
    <x v="2242"/>
    <s v="IRIS"/>
    <s v="IRIS ENERGIA EFICIENTE SA"/>
    <n v="0.1"/>
    <s v="18W000000000AS3Q"/>
    <x v="2"/>
    <s v="Compra"/>
    <s v="SZR"/>
    <s v="IRIS"/>
    <x v="1"/>
    <x v="415"/>
    <x v="2"/>
    <s v="SZR"/>
  </r>
  <r>
    <x v="2243"/>
    <s v="ISAEC"/>
    <s v="ISAE COMERCIALIZACION SL"/>
    <n v="0.1"/>
    <s v="18W000000000QZOA"/>
    <x v="2"/>
    <s v="Compra"/>
    <s v="SZR"/>
    <s v="ISAEC"/>
    <x v="1"/>
    <x v="416"/>
    <x v="2"/>
    <s v="SZR"/>
  </r>
  <r>
    <x v="2244"/>
    <s v="ISEOC01"/>
    <s v="ISEO ENERGIA CONSUMIDOR DIRECTO 1"/>
    <n v="0.1"/>
    <s v="18W000000000Q8PF"/>
    <x v="6"/>
    <s v="Compra"/>
    <s v="SZR"/>
    <s v="ISEO"/>
    <x v="3"/>
    <x v="417"/>
    <x v="6"/>
    <s v="SZR"/>
  </r>
  <r>
    <x v="2245"/>
    <s v="ISMCCX1"/>
    <s v="ISMCCX1"/>
    <n v="9999"/>
    <s v="18W000000000QFL2"/>
    <x v="20"/>
    <s v="Compra"/>
    <s v="SZR"/>
    <s v="ISMSL"/>
    <x v="8"/>
    <x v="279"/>
    <x v="23"/>
    <s v="SZR"/>
  </r>
  <r>
    <x v="2246"/>
    <s v="ISMCVX1"/>
    <s v="ISMCVX1"/>
    <n v="9999"/>
    <s v="18W000000000QFPV"/>
    <x v="20"/>
    <s v="Venta"/>
    <s v="SZR"/>
    <s v="ISMSL"/>
    <x v="8"/>
    <x v="279"/>
    <x v="23"/>
    <s v="SZR"/>
  </r>
  <r>
    <x v="2247"/>
    <s v="ISMPCX1"/>
    <s v="ISMPCX1"/>
    <n v="9999"/>
    <s v="18W000000000QHVD"/>
    <x v="20"/>
    <s v="Compra"/>
    <s v="SZR"/>
    <s v="ISMSL"/>
    <x v="8"/>
    <x v="279"/>
    <x v="23"/>
    <s v="SZR"/>
  </r>
  <r>
    <x v="2248"/>
    <s v="ISMPVX1"/>
    <s v="ISMPVX1"/>
    <n v="9999"/>
    <s v="18W000000000QHTH"/>
    <x v="20"/>
    <s v="Venta"/>
    <s v="SZR"/>
    <s v="ISMSL"/>
    <x v="8"/>
    <x v="279"/>
    <x v="23"/>
    <s v="SZR"/>
  </r>
  <r>
    <x v="2249"/>
    <s v="ISMCOM"/>
    <s v="ISMCOMER"/>
    <n v="0.1"/>
    <s v="18W000000000F3SV"/>
    <x v="2"/>
    <s v="Compra"/>
    <s v="SZR"/>
    <s v="ISMSL"/>
    <x v="1"/>
    <x v="279"/>
    <x v="2"/>
    <s v="SZR"/>
  </r>
  <r>
    <x v="2250"/>
    <s v="UPC ISYDE"/>
    <s v="UP COMPRA INVESYDE"/>
    <n v="1"/>
    <s v="18W000000000G8QG"/>
    <x v="2"/>
    <s v="Compra"/>
    <s v="SZR"/>
    <s v="ISYDE"/>
    <x v="1"/>
    <x v="418"/>
    <x v="2"/>
    <s v="SZR"/>
  </r>
  <r>
    <x v="2251"/>
    <s v="JMFEC01"/>
    <s v="JMFEC01"/>
    <n v="0.1"/>
    <s v="18W000000000R0ZF"/>
    <x v="2"/>
    <s v="Compra"/>
    <s v="SZR"/>
    <s v="JMFEN"/>
    <x v="1"/>
    <x v="419"/>
    <x v="2"/>
    <s v="SZR"/>
  </r>
  <r>
    <x v="2252"/>
    <s v="ENERJOIN"/>
    <s v="ENERJOIN"/>
    <n v="1101.5"/>
    <s v="18W00000000022QG"/>
    <x v="6"/>
    <s v="Compra"/>
    <s v="SZR"/>
    <s v="JOIN"/>
    <x v="3"/>
    <x v="420"/>
    <x v="6"/>
    <s v="SZR"/>
  </r>
  <r>
    <x v="2253"/>
    <s v="JOLCA"/>
    <s v="JOLCAFV"/>
    <n v="0.3"/>
    <s v="18W000000000SFY5"/>
    <x v="9"/>
    <s v="Venta"/>
    <s v="SZR"/>
    <s v="ELEIA"/>
    <x v="0"/>
    <x v="90"/>
    <x v="9"/>
    <s v="SZR"/>
  </r>
  <r>
    <x v="2254"/>
    <s v="JOSEC01"/>
    <s v="ELECTRICA SUDANDELL"/>
    <n v="0.7"/>
    <s v="18WJOSECO1-12--B"/>
    <x v="2"/>
    <s v="Compra"/>
    <s v="SZR"/>
    <s v="JOSEP"/>
    <x v="1"/>
    <x v="421"/>
    <x v="2"/>
    <s v="SZR"/>
  </r>
  <r>
    <x v="2255"/>
    <s v="UP JOVE"/>
    <s v="UPROGRAMACION JOVE"/>
    <n v="0.1"/>
    <s v="18W000000000RG7N"/>
    <x v="2"/>
    <s v="Compra"/>
    <s v="SZR"/>
    <s v="JOVE"/>
    <x v="1"/>
    <x v="422"/>
    <x v="2"/>
    <s v="SZR"/>
  </r>
  <r>
    <x v="2256"/>
    <s v="JRONCP3"/>
    <s v="J.ARON EXPORTACIÓN DE ENERGÍA"/>
    <n v="0"/>
    <s v="18WJRONCP3-123-6"/>
    <x v="16"/>
    <s v="Compra"/>
    <s v="SZR"/>
    <s v="JARON"/>
    <x v="7"/>
    <x v="343"/>
    <x v="16"/>
    <s v="SZR"/>
  </r>
  <r>
    <x v="2257"/>
    <s v="JRONVP3"/>
    <s v="J.ARON IMPORTACIÓN DE ENERGÍA"/>
    <n v="0"/>
    <s v="18WJRONVP3-123-K"/>
    <x v="17"/>
    <s v="Venta"/>
    <s v="SZR"/>
    <s v="JARON"/>
    <x v="7"/>
    <x v="343"/>
    <x v="17"/>
    <s v="SZR"/>
  </r>
  <r>
    <x v="2258"/>
    <s v="JUANX_UP"/>
    <s v="JUAN_ENERGY_UP"/>
    <n v="0.6"/>
    <s v="18W000000000IB70"/>
    <x v="2"/>
    <s v="Compra"/>
    <s v="SZR"/>
    <s v="JUANX"/>
    <x v="1"/>
    <x v="423"/>
    <x v="2"/>
    <s v="SZR"/>
  </r>
  <r>
    <x v="2259"/>
    <s v="JUCAR"/>
    <s v="UGH. JUCAR"/>
    <n v="712.7"/>
    <s v="18WJUCA-12345-0Q"/>
    <x v="1"/>
    <s v="Venta"/>
    <s v="IBEG"/>
    <s v="IBEG"/>
    <x v="0"/>
    <x v="7"/>
    <x v="1"/>
    <s v="IMA"/>
  </r>
  <r>
    <x v="2260"/>
    <s v="JUCAR2"/>
    <s v="UGH CASTELNOU"/>
    <n v="0.8"/>
    <s v="18WJUCAR2-1234-Q"/>
    <x v="1"/>
    <s v="Venta"/>
    <s v="SZR"/>
    <s v="CTNU"/>
    <x v="0"/>
    <x v="158"/>
    <x v="1"/>
    <s v="SZR"/>
  </r>
  <r>
    <x v="2261"/>
    <s v="JUSEC01"/>
    <s v="JUSEC01"/>
    <n v="0.1"/>
    <s v="18W000000000O3US"/>
    <x v="2"/>
    <s v="Compra"/>
    <s v="SZR"/>
    <s v="JUSEP"/>
    <x v="1"/>
    <x v="424"/>
    <x v="2"/>
    <s v="SZR"/>
  </r>
  <r>
    <x v="2262"/>
    <s v="KARMC01"/>
    <s v="KARMA ALIMUR"/>
    <n v="1"/>
    <s v="18W000000000QDQZ"/>
    <x v="2"/>
    <s v="Compra"/>
    <s v="SZR"/>
    <s v="KARMA"/>
    <x v="1"/>
    <x v="425"/>
    <x v="2"/>
    <s v="SZR"/>
  </r>
  <r>
    <x v="2263"/>
    <s v="KAUNITE"/>
    <s v="COG. KANUI TEXTIL"/>
    <n v="1.9"/>
    <s v="18WKAUNITE-12-1D"/>
    <x v="10"/>
    <s v="Venta"/>
    <s v="SZR"/>
    <s v="KAEN"/>
    <x v="0"/>
    <x v="426"/>
    <x v="10"/>
    <s v="SZR"/>
  </r>
  <r>
    <x v="2264"/>
    <s v="KELSEN"/>
    <s v="REFRACTARIOS KELSEN"/>
    <n v="1.1000000000000001"/>
    <s v="18W000000000KN9Q"/>
    <x v="6"/>
    <s v="Compra"/>
    <s v="SZR"/>
    <s v="CALEA"/>
    <x v="3"/>
    <x v="109"/>
    <x v="6"/>
    <s v="SZR"/>
  </r>
  <r>
    <x v="2265"/>
    <s v="KILV_C"/>
    <s v="KILOWATIOS VERDES UP"/>
    <n v="4"/>
    <s v="18W0000000003A3Y"/>
    <x v="2"/>
    <s v="Compra"/>
    <s v="SZR"/>
    <s v="KILVE"/>
    <x v="1"/>
    <x v="427"/>
    <x v="2"/>
    <s v="SZR"/>
  </r>
  <r>
    <x v="2266"/>
    <s v="KINEC01"/>
    <s v="COMPRA KINESTALIA"/>
    <n v="1"/>
    <s v="18W000000000P9RC"/>
    <x v="2"/>
    <s v="Compra"/>
    <s v="SZR"/>
    <s v="KINE"/>
    <x v="1"/>
    <x v="428"/>
    <x v="2"/>
    <s v="SZR"/>
  </r>
  <r>
    <x v="2267"/>
    <s v="KIRIC01"/>
    <s v="KIRIN RENOVABLES"/>
    <n v="0"/>
    <s v="18W000000000RQNZ"/>
    <x v="2"/>
    <s v="Compra"/>
    <s v="SZR"/>
    <s v="KIRIN"/>
    <x v="1"/>
    <x v="429"/>
    <x v="2"/>
    <s v="SZR"/>
  </r>
  <r>
    <x v="2268"/>
    <s v="KISHCOM"/>
    <s v="KISHOA COMERCIALIZADORA"/>
    <n v="1"/>
    <s v="18W0000000004K6V"/>
    <x v="2"/>
    <s v="Compra"/>
    <s v="SZR"/>
    <s v="KISHO"/>
    <x v="1"/>
    <x v="430"/>
    <x v="2"/>
    <s v="SZR"/>
  </r>
  <r>
    <x v="2269"/>
    <s v="KODLC01"/>
    <s v="KODLC01"/>
    <n v="0.1"/>
    <s v="18W000000000IXEV"/>
    <x v="2"/>
    <s v="Compra"/>
    <s v="SZR"/>
    <s v="KODLC"/>
    <x v="1"/>
    <x v="431"/>
    <x v="2"/>
    <s v="SZR"/>
  </r>
  <r>
    <x v="2270"/>
    <s v="KONERY"/>
    <s v="KONERY EFICIENCIA ENERGTICA SL"/>
    <n v="0.1"/>
    <s v="18W000000000CDU9"/>
    <x v="2"/>
    <s v="Compra"/>
    <s v="SZR"/>
    <s v="KONRY"/>
    <x v="1"/>
    <x v="432"/>
    <x v="2"/>
    <s v="SZR"/>
  </r>
  <r>
    <x v="2271"/>
    <s v="KREAC01"/>
    <s v="KREAN ENERGIA COMERCIALIZADORA"/>
    <n v="10"/>
    <s v="18W000000000IVHV"/>
    <x v="2"/>
    <s v="Compra"/>
    <s v="SZR"/>
    <s v="KREAN"/>
    <x v="1"/>
    <x v="433"/>
    <x v="2"/>
    <s v="SZR"/>
  </r>
  <r>
    <x v="2272"/>
    <s v="KWFI"/>
    <s v="KWFVI ENERGIA"/>
    <n v="1"/>
    <s v="18W000000000JYM8"/>
    <x v="2"/>
    <s v="Compra"/>
    <s v="SZR"/>
    <s v="KWFVI"/>
    <x v="1"/>
    <x v="434"/>
    <x v="2"/>
    <s v="SZR"/>
  </r>
  <r>
    <x v="2273"/>
    <s v="LABOIL CC"/>
    <s v="LABOIL ENERGIA COMERCIALIZADORA"/>
    <n v="4.3"/>
    <s v="18WLABOC01-123-D"/>
    <x v="2"/>
    <s v="Compra"/>
    <s v="SZR"/>
    <s v="LABOI"/>
    <x v="1"/>
    <x v="435"/>
    <x v="2"/>
    <s v="SZR"/>
  </r>
  <r>
    <x v="2274"/>
    <s v="LA CORRIEN"/>
    <s v="LA CORRIENTE S COOP"/>
    <n v="0.1"/>
    <s v="18W000000000COY5"/>
    <x v="2"/>
    <s v="Compra"/>
    <s v="SZR"/>
    <s v="LACOR"/>
    <x v="1"/>
    <x v="436"/>
    <x v="2"/>
    <s v="SZR"/>
  </r>
  <r>
    <x v="2275"/>
    <s v="ES-LADYWAR"/>
    <s v="LADY WARSAW INVESTMENT SL"/>
    <n v="0.6"/>
    <s v="18W000000000SERM"/>
    <x v="2"/>
    <s v="Compra"/>
    <s v="SZR"/>
    <s v="LADYW"/>
    <x v="1"/>
    <x v="437"/>
    <x v="2"/>
    <s v="SZR"/>
  </r>
  <r>
    <x v="2276"/>
    <s v="LAFRV"/>
    <s v="LAFRV"/>
    <n v="39"/>
    <s v="18W000000000G5EC"/>
    <x v="9"/>
    <s v="Venta"/>
    <s v="GNRA01"/>
    <s v="GNRA"/>
    <x v="0"/>
    <x v="46"/>
    <x v="9"/>
    <s v="GNE"/>
  </r>
  <r>
    <x v="2277"/>
    <s v="LAGAVARRA"/>
    <s v="LAGAVARRA VENTA"/>
    <n v="1"/>
    <s v="18W000000000T2PL"/>
    <x v="9"/>
    <s v="Venta"/>
    <s v="SZR"/>
    <s v="CENTS"/>
    <x v="0"/>
    <x v="128"/>
    <x v="9"/>
    <s v="SZR"/>
  </r>
  <r>
    <x v="2278"/>
    <s v="LANCA2"/>
    <s v="UP RO LANCARA 2"/>
    <n v="0.8"/>
    <s v="18WLANCA2-1234-U"/>
    <x v="1"/>
    <s v="Venta"/>
    <s v="SZR"/>
    <s v="CHDUE"/>
    <x v="0"/>
    <x v="438"/>
    <x v="1"/>
    <s v="SZR"/>
  </r>
  <r>
    <x v="2279"/>
    <s v="UP LANACRA"/>
    <s v="UP RO LANCARA 1"/>
    <n v="0.3"/>
    <s v="18WLANCAR-1234-F"/>
    <x v="1"/>
    <s v="Venta"/>
    <s v="SZR"/>
    <s v="CHDUE"/>
    <x v="0"/>
    <x v="438"/>
    <x v="1"/>
    <s v="SZR"/>
  </r>
  <r>
    <x v="2280"/>
    <s v="LANDS"/>
    <s v="LANDS AND BUILDING S.L"/>
    <n v="1.9"/>
    <s v="18WLANDC01-123-S"/>
    <x v="6"/>
    <s v="Compra"/>
    <s v="SZR"/>
    <s v="LAND"/>
    <x v="3"/>
    <x v="439"/>
    <x v="6"/>
    <s v="SZR"/>
  </r>
  <r>
    <x v="2281"/>
    <s v="LAOBC01"/>
    <s v="LAOBC01 UP"/>
    <n v="0.1"/>
    <s v="18W000000000OAHX"/>
    <x v="2"/>
    <s v="Compra"/>
    <s v="SZR"/>
    <s v="LABOA"/>
    <x v="1"/>
    <x v="440"/>
    <x v="2"/>
    <s v="SZR"/>
  </r>
  <r>
    <x v="2282"/>
    <s v="GALAP ENER"/>
    <s v="GALAPAGO ENERGIA"/>
    <n v="0.1"/>
    <s v="18W000000000Q9EY"/>
    <x v="2"/>
    <s v="Compra"/>
    <s v="SZR"/>
    <s v="GALAP"/>
    <x v="1"/>
    <x v="441"/>
    <x v="2"/>
    <s v="SZR"/>
  </r>
  <r>
    <x v="2283"/>
    <s v="LAPEN"/>
    <s v="LAPEN"/>
    <n v="12.8"/>
    <s v="18W000000000M0QG"/>
    <x v="9"/>
    <s v="Venta"/>
    <s v="SZR"/>
    <s v="GNRA"/>
    <x v="0"/>
    <x v="46"/>
    <x v="9"/>
    <s v="SZR"/>
  </r>
  <r>
    <x v="2284"/>
    <s v="LAUCCX1"/>
    <s v="LAUCCX1"/>
    <n v="9999"/>
    <s v="18W000000000AOQT"/>
    <x v="20"/>
    <s v="Compra"/>
    <s v="SZR"/>
    <s v="LAUEI"/>
    <x v="8"/>
    <x v="301"/>
    <x v="23"/>
    <s v="SZR"/>
  </r>
  <r>
    <x v="2285"/>
    <s v="LAUCVX1"/>
    <s v="LAUCVX1"/>
    <n v="9999"/>
    <s v="18W000000000AORR"/>
    <x v="20"/>
    <s v="Venta"/>
    <s v="SZR"/>
    <s v="LAUEI"/>
    <x v="8"/>
    <x v="301"/>
    <x v="23"/>
    <s v="SZR"/>
  </r>
  <r>
    <x v="2286"/>
    <s v="LAUEC01"/>
    <s v="LA UNIÓN ELECTRO INDUSTRIAL, S.L.U"/>
    <n v="15"/>
    <s v="18WLAUEC01-123-F"/>
    <x v="2"/>
    <s v="Compra"/>
    <s v="SZR"/>
    <s v="LAUEI"/>
    <x v="1"/>
    <x v="301"/>
    <x v="2"/>
    <s v="SZR"/>
  </r>
  <r>
    <x v="2287"/>
    <s v="LA VALL"/>
    <s v="LA VALL COMERCIALIZADORA ELECTRICA"/>
    <n v="3"/>
    <s v="18W000000000NR1I"/>
    <x v="2"/>
    <s v="Compra"/>
    <s v="SZR"/>
    <s v="LAVAL"/>
    <x v="1"/>
    <x v="442"/>
    <x v="2"/>
    <s v="SZR"/>
  </r>
  <r>
    <x v="2288"/>
    <s v="LBAT"/>
    <s v="LOS BATANEJOS"/>
    <n v="0.6"/>
    <s v="18WLBAT-123456-4"/>
    <x v="1"/>
    <s v="Venta"/>
    <s v="SZR"/>
    <s v="BARER"/>
    <x v="0"/>
    <x v="1"/>
    <x v="1"/>
    <s v="SZR"/>
  </r>
  <r>
    <x v="2289"/>
    <s v="LCOSC01"/>
    <s v="LOW COST 01"/>
    <n v="40"/>
    <s v="18W000000000JMEN"/>
    <x v="2"/>
    <s v="Compra"/>
    <s v="SZR"/>
    <s v="LCOST"/>
    <x v="1"/>
    <x v="443"/>
    <x v="2"/>
    <s v="SZR"/>
  </r>
  <r>
    <x v="2290"/>
    <s v="LDGIA"/>
    <s v="COMERCIALIZADORA LIDERGIA"/>
    <n v="0.1"/>
    <s v="18WLIDERGIACOMM4"/>
    <x v="2"/>
    <s v="Compra"/>
    <s v="SZR"/>
    <s v="LDGIA"/>
    <x v="1"/>
    <x v="444"/>
    <x v="2"/>
    <s v="SZR"/>
  </r>
  <r>
    <x v="2291"/>
    <s v="LECDE"/>
    <s v="LECDE"/>
    <n v="9.6"/>
    <s v="18W000000000PRGH"/>
    <x v="11"/>
    <s v="Venta"/>
    <s v="SZR"/>
    <s v="GNRA"/>
    <x v="0"/>
    <x v="46"/>
    <x v="11"/>
    <s v="SZR"/>
  </r>
  <r>
    <x v="2292"/>
    <s v="LCE COMPRA"/>
    <s v="LEDESMA COMERCIALIZADORA UNIDAD DE COMPRA"/>
    <n v="0.1"/>
    <s v="18WLEDCC01-123-Q"/>
    <x v="2"/>
    <s v="Compra"/>
    <s v="SZR"/>
    <s v="LEDCE"/>
    <x v="1"/>
    <x v="445"/>
    <x v="2"/>
    <s v="SZR"/>
  </r>
  <r>
    <x v="2293"/>
    <s v="ELEGA UP"/>
    <s v="ELEGA UNIDAD DE PROGRAMACION"/>
    <n v="0"/>
    <s v="18W000000000F329"/>
    <x v="2"/>
    <s v="Compra"/>
    <s v="SZR"/>
    <s v="ELEGA"/>
    <x v="1"/>
    <x v="446"/>
    <x v="2"/>
    <s v="SZR"/>
  </r>
  <r>
    <x v="2294"/>
    <s v="LECOMUP"/>
    <s v="ESLECOMUP"/>
    <n v="0"/>
    <s v="18W000000000RNCT"/>
    <x v="2"/>
    <s v="Compra"/>
    <s v="SZR"/>
    <s v="LEONC"/>
    <x v="1"/>
    <x v="447"/>
    <x v="2"/>
    <s v="SZR"/>
  </r>
  <r>
    <x v="2295"/>
    <s v="LER"/>
    <s v="LER S.L."/>
    <n v="7"/>
    <s v="18WLERC01-123-28"/>
    <x v="2"/>
    <s v="Compra"/>
    <s v="SZR"/>
    <s v="LER"/>
    <x v="1"/>
    <x v="448"/>
    <x v="2"/>
    <s v="SZR"/>
  </r>
  <r>
    <x v="2296"/>
    <s v="LIDEC01"/>
    <s v="LIDEC01"/>
    <n v="0.1"/>
    <s v="18W000000000K35K"/>
    <x v="2"/>
    <s v="Compra"/>
    <s v="SZR"/>
    <s v="LIDER"/>
    <x v="1"/>
    <x v="39"/>
    <x v="2"/>
    <s v="SZR"/>
  </r>
  <r>
    <x v="2297"/>
    <s v="LIDEV01"/>
    <s v="LIDEV01"/>
    <n v="2.8"/>
    <s v="18W000000000O1LF"/>
    <x v="9"/>
    <s v="Venta"/>
    <s v="SZR"/>
    <s v="LIDER"/>
    <x v="0"/>
    <x v="39"/>
    <x v="9"/>
    <s v="SZR"/>
  </r>
  <r>
    <x v="2298"/>
    <s v="LINAMAR"/>
    <s v="LINAMAR"/>
    <n v="2000"/>
    <s v="18W000000000SOSR"/>
    <x v="6"/>
    <s v="Compra"/>
    <s v="SZR"/>
    <s v="LINAM"/>
    <x v="3"/>
    <x v="449"/>
    <x v="6"/>
    <s v="SZR"/>
  </r>
  <r>
    <x v="2299"/>
    <s v="UPLINKPEN"/>
    <s v="UP LINK PENINSULA"/>
    <n v="5"/>
    <s v="18W000000000Q9FW"/>
    <x v="2"/>
    <s v="Compra"/>
    <s v="SZR"/>
    <s v="LINKE"/>
    <x v="1"/>
    <x v="450"/>
    <x v="2"/>
    <s v="SZR"/>
  </r>
  <r>
    <x v="2300"/>
    <s v="LIUP"/>
    <s v="LIGHT UP SL"/>
    <n v="0.1"/>
    <s v="18WLIUPC01-123-V"/>
    <x v="2"/>
    <s v="Compra"/>
    <s v="SZR"/>
    <s v="LIUP"/>
    <x v="1"/>
    <x v="451"/>
    <x v="2"/>
    <s v="SZR"/>
  </r>
  <r>
    <x v="2301"/>
    <s v="LLO1"/>
    <s v="LA LOSA 1"/>
    <n v="0.1"/>
    <s v="18WLLO1-123456-A"/>
    <x v="1"/>
    <s v="Venta"/>
    <s v="SZR"/>
    <s v="BARER"/>
    <x v="0"/>
    <x v="1"/>
    <x v="1"/>
    <s v="SZR"/>
  </r>
  <r>
    <x v="2302"/>
    <s v="LLO2"/>
    <s v="LA LOSA 2"/>
    <n v="0.1"/>
    <s v="18WLLO2-123456-0"/>
    <x v="1"/>
    <s v="Venta"/>
    <s v="SZR"/>
    <s v="BARER"/>
    <x v="0"/>
    <x v="1"/>
    <x v="1"/>
    <s v="SZR"/>
  </r>
  <r>
    <x v="2303"/>
    <s v="LLO3"/>
    <s v="LA LOSA 3"/>
    <n v="0.1"/>
    <s v="18WLLO3-123456-R"/>
    <x v="1"/>
    <s v="Venta"/>
    <s v="SZR"/>
    <s v="BARER"/>
    <x v="0"/>
    <x v="1"/>
    <x v="1"/>
    <s v="SZR"/>
  </r>
  <r>
    <x v="2304"/>
    <s v="LMA1"/>
    <s v="LA MANCHEGA"/>
    <n v="0.5"/>
    <s v="18WLMA1-123456-4"/>
    <x v="1"/>
    <s v="Venta"/>
    <s v="SZR"/>
    <s v="BARER"/>
    <x v="0"/>
    <x v="1"/>
    <x v="1"/>
    <s v="SZR"/>
  </r>
  <r>
    <x v="2305"/>
    <s v="LMERC01"/>
    <s v="LONJAS TECNOLOGÍA, S.A"/>
    <n v="0.5"/>
    <s v="18WLMERC01-123-S"/>
    <x v="2"/>
    <s v="Compra"/>
    <s v="SZR"/>
    <s v="LMER"/>
    <x v="1"/>
    <x v="89"/>
    <x v="2"/>
    <s v="SZR"/>
  </r>
  <r>
    <x v="2306"/>
    <s v="LMM1"/>
    <s v="LA MARMOTA 1"/>
    <n v="0.2"/>
    <s v="18WLMM1-123456-K"/>
    <x v="1"/>
    <s v="Venta"/>
    <s v="SZR"/>
    <s v="BARER"/>
    <x v="0"/>
    <x v="1"/>
    <x v="1"/>
    <s v="SZR"/>
  </r>
  <r>
    <x v="2307"/>
    <s v="LMM2"/>
    <s v="LA MARMOTA 2"/>
    <n v="0.2"/>
    <s v="18WLMM2-123456-A"/>
    <x v="1"/>
    <s v="Venta"/>
    <s v="SZR"/>
    <s v="BARER"/>
    <x v="0"/>
    <x v="1"/>
    <x v="1"/>
    <s v="SZR"/>
  </r>
  <r>
    <x v="2308"/>
    <s v="LNU1"/>
    <s v="LOS NUEVOS 1"/>
    <n v="0.1"/>
    <s v="18WLNU1-123456-V"/>
    <x v="1"/>
    <s v="Venta"/>
    <s v="SZR"/>
    <s v="BARER"/>
    <x v="0"/>
    <x v="1"/>
    <x v="1"/>
    <s v="SZR"/>
  </r>
  <r>
    <x v="2309"/>
    <s v="LNU2"/>
    <s v="LOS NUEVOS 2"/>
    <n v="0.3"/>
    <s v="18WLNU2-123456-L"/>
    <x v="1"/>
    <s v="Venta"/>
    <s v="SZR"/>
    <s v="BARER"/>
    <x v="0"/>
    <x v="1"/>
    <x v="1"/>
    <s v="SZR"/>
  </r>
  <r>
    <x v="2310"/>
    <s v="EL LOBO"/>
    <s v="ALMENDRA Y MIEL S.A"/>
    <n v="0.9"/>
    <s v="18WLOBOC01-123-U"/>
    <x v="6"/>
    <s v="Compra"/>
    <s v="SZR"/>
    <s v="LOBO"/>
    <x v="3"/>
    <x v="452"/>
    <x v="6"/>
    <s v="SZR"/>
  </r>
  <r>
    <x v="2311"/>
    <s v="LOBOH"/>
    <s v="LOBOH"/>
    <n v="28"/>
    <s v="18W000000000RRFB"/>
    <x v="9"/>
    <s v="Venta"/>
    <s v="GNRA01"/>
    <s v="GNRA"/>
    <x v="0"/>
    <x v="46"/>
    <x v="9"/>
    <s v="GNE"/>
  </r>
  <r>
    <x v="2312"/>
    <s v="LOKOH"/>
    <s v="LOKOH"/>
    <n v="24.1"/>
    <s v="18W000000000RRDF"/>
    <x v="9"/>
    <s v="Venta"/>
    <s v="GNRA01"/>
    <s v="GNRA"/>
    <x v="0"/>
    <x v="46"/>
    <x v="9"/>
    <s v="GNE"/>
  </r>
  <r>
    <x v="2313"/>
    <s v="LORC"/>
    <s v="LORCHA"/>
    <n v="0.6"/>
    <s v="18WLORC-123456-G"/>
    <x v="1"/>
    <s v="Venta"/>
    <s v="SZR"/>
    <s v="BARER"/>
    <x v="0"/>
    <x v="1"/>
    <x v="1"/>
    <s v="SZR"/>
  </r>
  <r>
    <x v="2314"/>
    <s v="LOVEC01"/>
    <s v="LOVE PENINSULA"/>
    <n v="0.1"/>
    <s v="18W000000000HQN1"/>
    <x v="2"/>
    <s v="Compra"/>
    <s v="SZR"/>
    <s v="LOVEE"/>
    <x v="1"/>
    <x v="453"/>
    <x v="2"/>
    <s v="SZR"/>
  </r>
  <r>
    <x v="2315"/>
    <s v="UP LOVILUZ"/>
    <s v="UP LOVILUZ"/>
    <n v="0.1"/>
    <s v="18W000000000S9N8"/>
    <x v="2"/>
    <s v="Compra"/>
    <s v="SZR"/>
    <s v="LOVIL"/>
    <x v="1"/>
    <x v="454"/>
    <x v="2"/>
    <s v="SZR"/>
  </r>
  <r>
    <x v="2316"/>
    <s v="LUZ INCLUS"/>
    <s v="LUZ SOLIDARIA INCLUSIVA SL"/>
    <n v="0.1"/>
    <s v="18W000000000NES3"/>
    <x v="2"/>
    <s v="Compra"/>
    <s v="SZR"/>
    <s v="LSINC"/>
    <x v="1"/>
    <x v="455"/>
    <x v="2"/>
    <s v="SZR"/>
  </r>
  <r>
    <x v="2317"/>
    <s v="LUBALOO"/>
    <s v="LUBALOO ENERGÍA"/>
    <n v="0.3"/>
    <s v="18WLUBAC01-123-O"/>
    <x v="2"/>
    <s v="Compra"/>
    <s v="SZR"/>
    <s v="LUBAL"/>
    <x v="1"/>
    <x v="456"/>
    <x v="2"/>
    <s v="SZR"/>
  </r>
  <r>
    <x v="2318"/>
    <s v="LUBIAN"/>
    <s v="LUBIAN"/>
    <n v="50"/>
    <s v="18W000000000TEG3"/>
    <x v="11"/>
    <s v="Venta"/>
    <s v="SZR"/>
    <s v="WMARK"/>
    <x v="0"/>
    <x v="22"/>
    <x v="11"/>
    <s v="SZR"/>
  </r>
  <r>
    <x v="2319"/>
    <s v="LUCIFERASA"/>
    <s v="LUCIFERASA-2 ENERGIA SL"/>
    <n v="1"/>
    <s v="18W000000000QWX1"/>
    <x v="2"/>
    <s v="Compra"/>
    <s v="SZR"/>
    <s v="LUCIA"/>
    <x v="1"/>
    <x v="457"/>
    <x v="2"/>
    <s v="SZR"/>
  </r>
  <r>
    <x v="2320"/>
    <s v="LUCIFE1"/>
    <s v="LUCIFERASA-1 ENERGIA SL"/>
    <n v="1"/>
    <s v="18W000000000QV8H"/>
    <x v="2"/>
    <s v="Compra"/>
    <s v="SZR"/>
    <s v="LUCIF"/>
    <x v="1"/>
    <x v="458"/>
    <x v="2"/>
    <s v="SZR"/>
  </r>
  <r>
    <x v="2321"/>
    <s v="LUCI"/>
    <s v="COMERCIALIZADORA"/>
    <n v="1"/>
    <s v="18W0000000005KWC"/>
    <x v="2"/>
    <s v="Compra"/>
    <s v="SZR"/>
    <s v="LUCIE"/>
    <x v="1"/>
    <x v="459"/>
    <x v="2"/>
    <s v="SZR"/>
  </r>
  <r>
    <x v="2322"/>
    <s v="UP LUCKY"/>
    <s v="UP LUCKY LUZ"/>
    <n v="0.1"/>
    <s v="18W000000000RMBY"/>
    <x v="2"/>
    <s v="Compra"/>
    <s v="SZR"/>
    <s v="LUCK"/>
    <x v="1"/>
    <x v="460"/>
    <x v="2"/>
    <s v="SZR"/>
  </r>
  <r>
    <x v="2323"/>
    <s v="LUM1C01"/>
    <s v="HIDROELÉCTRICA LUMYMEY, S.L"/>
    <n v="6.4"/>
    <s v="18WLUM1C01-123-U"/>
    <x v="2"/>
    <s v="Compra"/>
    <s v="SZR"/>
    <s v="LUM1"/>
    <x v="1"/>
    <x v="461"/>
    <x v="2"/>
    <s v="SZR"/>
  </r>
  <r>
    <x v="2324"/>
    <s v="LUMEC01"/>
    <s v="18W000000000LOWA"/>
    <n v="1"/>
    <s v="18W000000000LOWA"/>
    <x v="2"/>
    <s v="Compra"/>
    <s v="SZR"/>
    <s v="LUMEN"/>
    <x v="1"/>
    <x v="462"/>
    <x v="2"/>
    <s v="SZR"/>
  </r>
  <r>
    <x v="2325"/>
    <s v="LUMISA"/>
    <s v="LUMISA"/>
    <n v="2"/>
    <s v="18WLUMIC01-123-8"/>
    <x v="2"/>
    <s v="Compra"/>
    <s v="SZR"/>
    <s v="LUMIE"/>
    <x v="1"/>
    <x v="463"/>
    <x v="2"/>
    <s v="SZR"/>
  </r>
  <r>
    <x v="2326"/>
    <s v="FUENTEALB"/>
    <s v="FUENTEALBILLA"/>
    <n v="1"/>
    <s v="18W000000000QVY2"/>
    <x v="9"/>
    <s v="Venta"/>
    <s v="SZR"/>
    <s v="SECOB"/>
    <x v="0"/>
    <x v="360"/>
    <x v="9"/>
    <s v="SZR"/>
  </r>
  <r>
    <x v="2327"/>
    <s v="LUX FORUM"/>
    <s v="UP LUX FORUM COMERCIALIZACION"/>
    <n v="0.1"/>
    <s v="18WLUXC01-1234-0"/>
    <x v="2"/>
    <s v="Compra"/>
    <s v="SZR"/>
    <s v="LUX"/>
    <x v="1"/>
    <x v="464"/>
    <x v="2"/>
    <s v="SZR"/>
  </r>
  <r>
    <x v="2328"/>
    <s v="LUXIC01"/>
    <s v="LUXIC01"/>
    <n v="0"/>
    <s v="18W000000000SFVB"/>
    <x v="2"/>
    <s v="Compra"/>
    <s v="SZR"/>
    <s v="LUXIA"/>
    <x v="1"/>
    <x v="465"/>
    <x v="2"/>
    <s v="SZR"/>
  </r>
  <r>
    <x v="2329"/>
    <s v="LUZPUEBLO"/>
    <s v="LUZ DEL PUEBLO COMPRA"/>
    <n v="25"/>
    <s v="18W000000000N5M5"/>
    <x v="2"/>
    <s v="Compra"/>
    <s v="SZR"/>
    <s v="LUZDA"/>
    <x v="1"/>
    <x v="466"/>
    <x v="2"/>
    <s v="SZR"/>
  </r>
  <r>
    <x v="2330"/>
    <s v="UPR LUZSO"/>
    <s v="UPR LUZ SOLIDARIA"/>
    <n v="0.1"/>
    <s v="18W000000000F5L2"/>
    <x v="2"/>
    <s v="Compra"/>
    <s v="SZR"/>
    <s v="LUZSO"/>
    <x v="1"/>
    <x v="467"/>
    <x v="2"/>
    <s v="SZR"/>
  </r>
  <r>
    <x v="2331"/>
    <s v="LUZYC01"/>
    <s v="LUZYC01"/>
    <n v="0.1"/>
    <s v="18W000000000NRP7"/>
    <x v="2"/>
    <s v="Compra"/>
    <s v="SZR"/>
    <s v="LUZYE"/>
    <x v="1"/>
    <x v="468"/>
    <x v="2"/>
    <s v="SZR"/>
  </r>
  <r>
    <x v="2332"/>
    <s v="MACEC01"/>
    <s v="MACEC01"/>
    <n v="1.7"/>
    <s v="18W000000000IKNF"/>
    <x v="6"/>
    <s v="Compra"/>
    <s v="SZR"/>
    <s v="MACEB"/>
    <x v="3"/>
    <x v="469"/>
    <x v="6"/>
    <s v="SZR"/>
  </r>
  <r>
    <x v="2333"/>
    <s v="MALA1"/>
    <s v="CCC MALAGA 1"/>
    <n v="415.5"/>
    <s v="18WMALA1-12345-L"/>
    <x v="8"/>
    <s v="Venta"/>
    <s v="NTG"/>
    <s v="GNCC"/>
    <x v="0"/>
    <x v="8"/>
    <x v="8"/>
    <s v="GN"/>
  </r>
  <r>
    <x v="2334"/>
    <s v="MALAC01"/>
    <s v="COMPRA COMERCIALIZADORA"/>
    <n v="1"/>
    <s v="18W000000000PSXH"/>
    <x v="2"/>
    <s v="Compra"/>
    <s v="SZR"/>
    <s v="MALAK"/>
    <x v="1"/>
    <x v="470"/>
    <x v="2"/>
    <s v="SZR"/>
  </r>
  <r>
    <x v="2335"/>
    <s v="MANUBENS"/>
    <s v="FABRICA MANUBENS"/>
    <n v="0.4"/>
    <s v="18W000000000LHME"/>
    <x v="6"/>
    <s v="Compra"/>
    <s v="SZR"/>
    <s v="PRODU"/>
    <x v="3"/>
    <x v="471"/>
    <x v="6"/>
    <s v="SZR"/>
  </r>
  <r>
    <x v="2336"/>
    <s v="MARFRA EXP"/>
    <s v="INTERCAMBIO TRANSFRONTERIZO DE MARI ES A FR"/>
    <n v="9999"/>
    <s v="18WMARFRAE-123-2"/>
    <x v="7"/>
    <s v="Compra"/>
    <s v="SZR"/>
    <s v="REE"/>
    <x v="4"/>
    <x v="6"/>
    <x v="7"/>
    <s v="SZR"/>
  </r>
  <r>
    <x v="2337"/>
    <s v="MARFRA IMP"/>
    <s v="INTERCAMBIO TRANSFRONTERIZO DE MARI FR A ES"/>
    <n v="9999"/>
    <s v="18WMARFRAI-123-B"/>
    <x v="7"/>
    <s v="Venta"/>
    <s v="SZR"/>
    <s v="REE"/>
    <x v="4"/>
    <x v="6"/>
    <x v="7"/>
    <s v="SZR"/>
  </r>
  <r>
    <x v="2338"/>
    <s v="MARPOR EXP"/>
    <s v="INTERCAMBIO TRANSFRONTERIZO DE MARI ES A PT"/>
    <n v="9999"/>
    <s v="18WMARPORE-123-F"/>
    <x v="7"/>
    <s v="Compra"/>
    <s v="SZR"/>
    <s v="REE"/>
    <x v="4"/>
    <x v="6"/>
    <x v="7"/>
    <s v="SZR"/>
  </r>
  <r>
    <x v="2339"/>
    <s v="MARPOR IMP"/>
    <s v="INTERCAMBIO TRANSFRONTERIZO DE MARI PT A ES"/>
    <n v="9999"/>
    <s v="18WMARPORI-123-O"/>
    <x v="7"/>
    <s v="Venta"/>
    <s v="SZR"/>
    <s v="REE"/>
    <x v="4"/>
    <x v="6"/>
    <x v="7"/>
    <s v="SZR"/>
  </r>
  <r>
    <x v="2340"/>
    <s v="MARTB_UP"/>
    <s v="MARTB_UP_COMPRAS"/>
    <n v="1"/>
    <s v="18W000000000LS6D"/>
    <x v="2"/>
    <s v="Compra"/>
    <s v="SZR"/>
    <s v="MARTB"/>
    <x v="1"/>
    <x v="344"/>
    <x v="2"/>
    <s v="SZR"/>
  </r>
  <r>
    <x v="2341"/>
    <s v="MASAC01"/>
    <s v="MASAC01"/>
    <n v="0.1"/>
    <s v="18W000000000SHLP"/>
    <x v="2"/>
    <s v="Compra"/>
    <s v="SZR"/>
    <s v="MASAL"/>
    <x v="1"/>
    <x v="472"/>
    <x v="2"/>
    <s v="SZR"/>
  </r>
  <r>
    <x v="2342"/>
    <s v="MASINTELIG"/>
    <s v="MAS INTELIGENCIA UNIDAD DE PROGRAMACION"/>
    <n v="0"/>
    <s v="18W0000000004562"/>
    <x v="2"/>
    <s v="Compra"/>
    <s v="SZR"/>
    <s v="MASIN"/>
    <x v="1"/>
    <x v="473"/>
    <x v="2"/>
    <s v="SZR"/>
  </r>
  <r>
    <x v="2343"/>
    <s v="MASIRP01"/>
    <s v="MASIRP01"/>
    <n v="0.5"/>
    <s v="18W000000000PLMN"/>
    <x v="9"/>
    <s v="Venta"/>
    <s v="SZR"/>
    <s v="MASIN"/>
    <x v="0"/>
    <x v="473"/>
    <x v="9"/>
    <s v="SZR"/>
  </r>
  <r>
    <x v="2344"/>
    <s v="MASNORTEGL"/>
    <s v="MASNORTE GLOBAL UP"/>
    <n v="5"/>
    <s v="18W000000000SKP8"/>
    <x v="2"/>
    <s v="Compra"/>
    <s v="SZR"/>
    <s v="MASNA"/>
    <x v="1"/>
    <x v="474"/>
    <x v="2"/>
    <s v="SZR"/>
  </r>
  <r>
    <x v="2345"/>
    <s v="MASQC01"/>
    <s v="MASQLUZ PENINSULA"/>
    <n v="0.1"/>
    <s v="18W000000000HQPY"/>
    <x v="2"/>
    <s v="Compra"/>
    <s v="SZR"/>
    <s v="MASQL"/>
    <x v="1"/>
    <x v="475"/>
    <x v="2"/>
    <s v="SZR"/>
  </r>
  <r>
    <x v="2346"/>
    <s v="MATACOUTA"/>
    <s v="PIZARRAS MATACOUTA S.A"/>
    <n v="0.5"/>
    <s v="18WMATAC01-12--S"/>
    <x v="6"/>
    <s v="Compra"/>
    <s v="SZR"/>
    <s v="MATA"/>
    <x v="3"/>
    <x v="476"/>
    <x v="6"/>
    <s v="SZR"/>
  </r>
  <r>
    <x v="2347"/>
    <s v="MAXIC01"/>
    <s v="MAXI ENERGIA"/>
    <n v="0"/>
    <s v="18W000000000Q7D5"/>
    <x v="2"/>
    <s v="Compra"/>
    <s v="SZR"/>
    <s v="MAXEN"/>
    <x v="1"/>
    <x v="477"/>
    <x v="2"/>
    <s v="SZR"/>
  </r>
  <r>
    <x v="2348"/>
    <s v="MAZE ENERG"/>
    <s v="MAZE ENERGY"/>
    <n v="1"/>
    <s v="18W000000000S06W"/>
    <x v="2"/>
    <s v="Compra"/>
    <s v="SZR"/>
    <s v="MAZEE"/>
    <x v="1"/>
    <x v="478"/>
    <x v="2"/>
    <s v="SZR"/>
  </r>
  <r>
    <x v="2349"/>
    <s v="MEGARA"/>
    <s v="MEGARA UNIDAD COMPRA"/>
    <n v="0.1"/>
    <s v="18WMEGC01-1234-X"/>
    <x v="2"/>
    <s v="Compra"/>
    <s v="SZR"/>
    <s v="MEG"/>
    <x v="1"/>
    <x v="479"/>
    <x v="2"/>
    <s v="SZR"/>
  </r>
  <r>
    <x v="2350"/>
    <s v="HISPA"/>
    <s v="HISPANO TEX S.A."/>
    <n v="94.1"/>
    <s v="18WMELUC01-123-4"/>
    <x v="6"/>
    <s v="Compra"/>
    <s v="SZR"/>
    <s v="MELUL"/>
    <x v="3"/>
    <x v="93"/>
    <x v="6"/>
    <s v="SZR"/>
  </r>
  <r>
    <x v="2351"/>
    <s v="MENEC01"/>
    <s v="MOSCOSO ENERGIA"/>
    <n v="4"/>
    <s v="18WMENEC01-123-V"/>
    <x v="2"/>
    <s v="Compra"/>
    <s v="SZR"/>
    <s v="MENER"/>
    <x v="1"/>
    <x v="480"/>
    <x v="2"/>
    <s v="SZR"/>
  </r>
  <r>
    <x v="2352"/>
    <s v="MEROLTEX"/>
    <s v="TEJEDURIA BOMBARDO"/>
    <n v="0.6"/>
    <s v="18W000000000O0HQ"/>
    <x v="6"/>
    <s v="Compra"/>
    <s v="SZR"/>
    <s v="MEROL"/>
    <x v="3"/>
    <x v="481"/>
    <x v="6"/>
    <s v="SZR"/>
  </r>
  <r>
    <x v="2353"/>
    <s v="RIGHT EXP"/>
    <s v="WITH RIGHTS EXPORTS FR"/>
    <n v="500"/>
    <s v="18WMERCCP3-123-F"/>
    <x v="16"/>
    <s v="Compra"/>
    <s v="SZR"/>
    <s v="MERCU"/>
    <x v="7"/>
    <x v="346"/>
    <x v="16"/>
    <s v="SZR"/>
  </r>
  <r>
    <x v="2354"/>
    <s v="RIGHT IMP"/>
    <s v="WITH RIGHT IMPORT FR"/>
    <n v="500"/>
    <s v="18WMERCVP3-123-T"/>
    <x v="17"/>
    <s v="Venta"/>
    <s v="SZR"/>
    <s v="MERCU"/>
    <x v="7"/>
    <x v="346"/>
    <x v="17"/>
    <s v="SZR"/>
  </r>
  <r>
    <x v="2355"/>
    <s v="METEC01"/>
    <s v="METEC01"/>
    <n v="120"/>
    <s v="18W000000000MBMS"/>
    <x v="2"/>
    <s v="Compra"/>
    <s v="SZR"/>
    <s v="METEN"/>
    <x v="1"/>
    <x v="347"/>
    <x v="2"/>
    <s v="SZR"/>
  </r>
  <r>
    <x v="2356"/>
    <s v="METER01"/>
    <s v="METER01"/>
    <n v="8"/>
    <s v="18W000000000QKPG"/>
    <x v="2"/>
    <s v="Compra"/>
    <s v="SZR"/>
    <s v="METEN"/>
    <x v="1"/>
    <x v="347"/>
    <x v="2"/>
    <s v="SZR"/>
  </r>
  <r>
    <x v="2357"/>
    <s v="UP V FV"/>
    <s v="UP VENTA MET"/>
    <n v="0.1"/>
    <s v="18W000000000RA74"/>
    <x v="9"/>
    <s v="Venta"/>
    <s v="SZR"/>
    <s v="METEN"/>
    <x v="0"/>
    <x v="347"/>
    <x v="9"/>
    <s v="SZR"/>
  </r>
  <r>
    <x v="2358"/>
    <s v="MAFRESA"/>
    <s v="MAFRESA EL IBERICO DE CONFIANZA SL"/>
    <n v="3"/>
    <s v="18W000000000F12F"/>
    <x v="6"/>
    <s v="Compra"/>
    <s v="SZR"/>
    <s v="MFRSA"/>
    <x v="3"/>
    <x v="482"/>
    <x v="6"/>
    <s v="SZR"/>
  </r>
  <r>
    <x v="2359"/>
    <s v="MAS FUSTE"/>
    <s v="MAS FUSTE 1"/>
    <n v="1.4"/>
    <s v="18W000000000SVC1"/>
    <x v="9"/>
    <s v="Venta"/>
    <s v="SZR"/>
    <s v="TRISO"/>
    <x v="0"/>
    <x v="115"/>
    <x v="9"/>
    <s v="SZR"/>
  </r>
  <r>
    <x v="2360"/>
    <s v="MIBESFR"/>
    <s v="Saldo acoplamiento ES a FR"/>
    <n v="9999"/>
    <s v="18WMIBESFR-123-2"/>
    <x v="29"/>
    <s v="Compra"/>
    <s v="SZR"/>
    <s v="REE"/>
    <x v="13"/>
    <x v="6"/>
    <x v="37"/>
    <s v="SZR"/>
  </r>
  <r>
    <x v="2361"/>
    <s v="MIBESPT"/>
    <s v="Saldo acoplamiento ES a PT"/>
    <n v="9999"/>
    <s v="18WMIBESPT-123-J"/>
    <x v="29"/>
    <s v="Compra"/>
    <s v="SZR"/>
    <s v="REE"/>
    <x v="13"/>
    <x v="6"/>
    <x v="37"/>
    <s v="SZR"/>
  </r>
  <r>
    <x v="2362"/>
    <s v="MIBFRES"/>
    <s v="Saldo acoplamiento FR a ES"/>
    <n v="9999"/>
    <s v="18WMIBFRES-123-2"/>
    <x v="29"/>
    <s v="Venta"/>
    <s v="SZR"/>
    <s v="REE"/>
    <x v="13"/>
    <x v="6"/>
    <x v="37"/>
    <s v="SZR"/>
  </r>
  <r>
    <x v="2363"/>
    <s v="MIBPTES"/>
    <s v="Saldo acoplamiento PT a ES"/>
    <n v="9999"/>
    <s v="18WMIBPTES-123-W"/>
    <x v="29"/>
    <s v="Venta"/>
    <s v="SZR"/>
    <s v="REE"/>
    <x v="13"/>
    <x v="6"/>
    <x v="37"/>
    <s v="SZR"/>
  </r>
  <r>
    <x v="2364"/>
    <s v="MILLAS II"/>
    <s v="MILLAS II"/>
    <n v="0.9"/>
    <s v="18WMILII-12345-P"/>
    <x v="10"/>
    <s v="Venta"/>
    <s v="SZR"/>
    <s v="LMER"/>
    <x v="0"/>
    <x v="89"/>
    <x v="10"/>
    <s v="SZR"/>
  </r>
  <r>
    <x v="2365"/>
    <s v="ALCANTARA"/>
    <s v="MINAS DE ALCANTARA"/>
    <n v="0.5"/>
    <s v="18W0000000001873"/>
    <x v="6"/>
    <s v="Compra"/>
    <s v="SZR"/>
    <s v="MINAL"/>
    <x v="3"/>
    <x v="483"/>
    <x v="6"/>
    <s v="SZR"/>
  </r>
  <r>
    <x v="2366"/>
    <s v="MINAI"/>
    <s v="MINAI SERVICIOS ENERGETICOS"/>
    <n v="1"/>
    <s v="18W000000000HEEI"/>
    <x v="2"/>
    <s v="Compra"/>
    <s v="SZR"/>
    <s v="MINAI"/>
    <x v="1"/>
    <x v="484"/>
    <x v="2"/>
    <s v="SZR"/>
  </r>
  <r>
    <x v="2367"/>
    <s v="LAMIRANDA"/>
    <s v="LAMIRANDA"/>
    <n v="6.2"/>
    <s v="18W000000000RB1D"/>
    <x v="9"/>
    <s v="Venta"/>
    <s v="SZR"/>
    <s v="ADXRE"/>
    <x v="0"/>
    <x v="37"/>
    <x v="9"/>
    <s v="SZR"/>
  </r>
  <r>
    <x v="2368"/>
    <s v="MORALET B"/>
    <s v="C.H.B. MORALETS BOMBEO"/>
    <n v="219"/>
    <s v="18WMLTB-12345-09"/>
    <x v="13"/>
    <s v="Compra"/>
    <s v="SZR"/>
    <s v="ENDG"/>
    <x v="6"/>
    <x v="72"/>
    <x v="13"/>
    <s v="SZR"/>
  </r>
  <r>
    <x v="2369"/>
    <s v="MORALET G"/>
    <s v="C.H. MORALETS GENERACION"/>
    <n v="219.1"/>
    <s v="18WMLTG-12345-0X"/>
    <x v="14"/>
    <s v="Venta"/>
    <s v="SZR"/>
    <s v="ENDG"/>
    <x v="0"/>
    <x v="72"/>
    <x v="14"/>
    <s v="SZR"/>
  </r>
  <r>
    <x v="2370"/>
    <s v="MODISPREM"/>
    <s v="MODISPREM SA"/>
    <n v="1.2"/>
    <s v="18WMODIC01-123-I"/>
    <x v="6"/>
    <s v="Compra"/>
    <s v="SZR"/>
    <s v="MODI"/>
    <x v="3"/>
    <x v="485"/>
    <x v="6"/>
    <s v="SZR"/>
  </r>
  <r>
    <x v="2371"/>
    <s v="MODOH"/>
    <s v="MODOH"/>
    <n v="40.1"/>
    <s v="18W000000000RRED"/>
    <x v="9"/>
    <s v="Venta"/>
    <s v="GNRA01"/>
    <s v="GNRA"/>
    <x v="0"/>
    <x v="46"/>
    <x v="9"/>
    <s v="GNE"/>
  </r>
  <r>
    <x v="2372"/>
    <s v="MAT MOIA"/>
    <s v="MATADERO MOIA"/>
    <n v="0.9"/>
    <s v="18WMOIAC01-123-6"/>
    <x v="6"/>
    <s v="Compra"/>
    <s v="SZR"/>
    <s v="MOIA"/>
    <x v="3"/>
    <x v="486"/>
    <x v="6"/>
    <s v="SZR"/>
  </r>
  <r>
    <x v="2373"/>
    <s v="MOLAC01"/>
    <s v="MOLAC01"/>
    <n v="0.1"/>
    <s v="18W000000000RLP9"/>
    <x v="2"/>
    <s v="Compra"/>
    <s v="SZR"/>
    <s v="MOLAL"/>
    <x v="1"/>
    <x v="487"/>
    <x v="2"/>
    <s v="SZR"/>
  </r>
  <r>
    <x v="2374"/>
    <s v="MOLECOR"/>
    <s v="MOLECOR"/>
    <n v="1.7"/>
    <s v="18WMOLEC01-123-7"/>
    <x v="6"/>
    <s v="Compra"/>
    <s v="SZR"/>
    <s v="MOLE"/>
    <x v="3"/>
    <x v="488"/>
    <x v="6"/>
    <s v="SZR"/>
  </r>
  <r>
    <x v="2375"/>
    <s v="MOLIVI"/>
    <s v="MOLIVI UP"/>
    <n v="0.1"/>
    <s v="18W00000000032C3"/>
    <x v="1"/>
    <s v="Venta"/>
    <s v="SZR"/>
    <s v="AMADR"/>
    <x v="0"/>
    <x v="192"/>
    <x v="1"/>
    <s v="SZR"/>
  </r>
  <r>
    <x v="2376"/>
    <s v="MONTC01"/>
    <s v="ELECTRICA DEL MONTSEC, S.L"/>
    <n v="0.8"/>
    <s v="18WMONTC01-123-K"/>
    <x v="2"/>
    <s v="Compra"/>
    <s v="SZR"/>
    <s v="MONTS"/>
    <x v="1"/>
    <x v="489"/>
    <x v="2"/>
    <s v="SZR"/>
  </r>
  <r>
    <x v="2377"/>
    <s v="MORTERO PE"/>
    <s v="MORTERO PENINSULA"/>
    <n v="5"/>
    <s v="18W000000000SJR7"/>
    <x v="2"/>
    <s v="Compra"/>
    <s v="SZR"/>
    <s v="MORTE"/>
    <x v="1"/>
    <x v="490"/>
    <x v="2"/>
    <s v="SZR"/>
  </r>
  <r>
    <x v="2378"/>
    <s v="UPMONTARTO"/>
    <s v="UP MONTARTO TECHNOLOGIES"/>
    <n v="0.1"/>
    <s v="18W000000000PIF9"/>
    <x v="2"/>
    <s v="Compra"/>
    <s v="SZR"/>
    <s v="MONTR"/>
    <x v="1"/>
    <x v="491"/>
    <x v="2"/>
    <s v="SZR"/>
  </r>
  <r>
    <x v="2379"/>
    <s v="MOVHC01"/>
    <s v="MOVHERA COMERCIALIZADORA"/>
    <n v="300"/>
    <s v="18W000000000LVQ1"/>
    <x v="2"/>
    <s v="Compra"/>
    <s v="SZR"/>
    <s v="MOVHE"/>
    <x v="1"/>
    <x v="492"/>
    <x v="2"/>
    <s v="SZR"/>
  </r>
  <r>
    <x v="2380"/>
    <s v="MOVIC01"/>
    <s v="COMPRA COMERCIALIZADORA"/>
    <n v="1"/>
    <s v="18W000000000Q29S"/>
    <x v="2"/>
    <s v="Compra"/>
    <s v="SZR"/>
    <s v="MOVIE"/>
    <x v="1"/>
    <x v="493"/>
    <x v="2"/>
    <s v="SZR"/>
  </r>
  <r>
    <x v="2381"/>
    <s v="MSVSC01"/>
    <s v="MUNICIPAL DE SERVICIOS VILLAHERMOSANA, S.L"/>
    <n v="2.1"/>
    <s v="18WMSVSC01-123-5"/>
    <x v="2"/>
    <s v="Compra"/>
    <s v="SZR"/>
    <s v="MSVSL"/>
    <x v="1"/>
    <x v="494"/>
    <x v="2"/>
    <s v="SZR"/>
  </r>
  <r>
    <x v="2382"/>
    <s v="CSF MUDEJA"/>
    <s v="CSF MUDEJAR 1"/>
    <n v="40"/>
    <s v="18W000000000T46G"/>
    <x v="9"/>
    <s v="Venta"/>
    <s v="SZR"/>
    <s v="WMARK"/>
    <x v="0"/>
    <x v="22"/>
    <x v="9"/>
    <s v="SZR"/>
  </r>
  <r>
    <x v="2383"/>
    <s v="MUELA B"/>
    <s v="C.H.B. LA MUELA BOMBEO"/>
    <n v="1390"/>
    <s v="18WMUEB-12345-0T"/>
    <x v="13"/>
    <s v="Compra"/>
    <s v="SZR"/>
    <s v="IBEG"/>
    <x v="6"/>
    <x v="7"/>
    <x v="13"/>
    <s v="SZR"/>
  </r>
  <r>
    <x v="2384"/>
    <s v="MUELA G"/>
    <s v="C.H. LA MUELA GENERACION"/>
    <n v="1511.7"/>
    <s v="18WMUEL-12345-03"/>
    <x v="14"/>
    <s v="Venta"/>
    <s v="IBEG"/>
    <s v="IBEG"/>
    <x v="0"/>
    <x v="7"/>
    <x v="14"/>
    <s v="IMA"/>
  </r>
  <r>
    <x v="2385"/>
    <s v="MUESTRARIO"/>
    <s v="MUESTRARIOS IBERIA"/>
    <n v="0.3"/>
    <s v="18W000000000P0CW"/>
    <x v="6"/>
    <s v="Compra"/>
    <s v="SZR"/>
    <s v="MUEST"/>
    <x v="3"/>
    <x v="495"/>
    <x v="6"/>
    <s v="SZR"/>
  </r>
  <r>
    <x v="2386"/>
    <s v="MULTIC01"/>
    <s v="MULTIENERGIA VERDE"/>
    <n v="0.1"/>
    <s v="18WMULTC01-123-7"/>
    <x v="2"/>
    <s v="Compra"/>
    <s v="SZR"/>
    <s v="MULTI"/>
    <x v="1"/>
    <x v="496"/>
    <x v="2"/>
    <s v="SZR"/>
  </r>
  <r>
    <x v="2387"/>
    <s v="MULTITEC"/>
    <s v="MULTISEVICIOS TECNOLOGICOS SA"/>
    <n v="1"/>
    <s v="18W000000000LXBP"/>
    <x v="2"/>
    <s v="Compra"/>
    <s v="SZR"/>
    <s v="MULTA"/>
    <x v="1"/>
    <x v="497"/>
    <x v="2"/>
    <s v="SZR"/>
  </r>
  <r>
    <x v="2388"/>
    <s v="MYENXXI"/>
    <s v="MYENXXI"/>
    <n v="1"/>
    <s v="18W000000000LA6U"/>
    <x v="2"/>
    <s v="Compra"/>
    <s v="SZR"/>
    <s v="MYENX"/>
    <x v="1"/>
    <x v="498"/>
    <x v="2"/>
    <s v="SZR"/>
  </r>
  <r>
    <x v="2389"/>
    <s v="MYENC01"/>
    <s v="U. DE COMPRA MY ENERGIA"/>
    <n v="0.5"/>
    <s v="18WMYENC01-123-M"/>
    <x v="2"/>
    <s v="Compra"/>
    <s v="SZR"/>
    <s v="MYEN"/>
    <x v="1"/>
    <x v="499"/>
    <x v="2"/>
    <s v="SZR"/>
  </r>
  <r>
    <x v="2390"/>
    <s v="MYENV01"/>
    <s v="MYENERGIA VENTA 01"/>
    <n v="6.7"/>
    <s v="18W000000000KPCE"/>
    <x v="9"/>
    <s v="Venta"/>
    <s v="SZR"/>
    <s v="MYEN"/>
    <x v="0"/>
    <x v="499"/>
    <x v="9"/>
    <s v="SZR"/>
  </r>
  <r>
    <x v="2391"/>
    <s v="MYENV02"/>
    <s v="MYENERGIA VENTA 02"/>
    <n v="18.3"/>
    <s v="18W000000000NHL8"/>
    <x v="9"/>
    <s v="Venta"/>
    <s v="SZR"/>
    <s v="MYEN"/>
    <x v="0"/>
    <x v="499"/>
    <x v="9"/>
    <s v="SZR"/>
  </r>
  <r>
    <x v="2392"/>
    <s v="MY LIGHT"/>
    <s v="MY LIGHT ENERGY"/>
    <n v="0.1"/>
    <s v="18W000000000PFO0"/>
    <x v="2"/>
    <s v="Compra"/>
    <s v="SZR"/>
    <s v="MYLIG"/>
    <x v="1"/>
    <x v="500"/>
    <x v="2"/>
    <s v="SZR"/>
  </r>
  <r>
    <x v="2393"/>
    <s v="NABAC01"/>
    <s v="NABALIA ENERGIA"/>
    <n v="0.2"/>
    <s v="18WNABAC01-123-G"/>
    <x v="2"/>
    <s v="Compra"/>
    <s v="SZR"/>
    <s v="NABAL"/>
    <x v="1"/>
    <x v="501"/>
    <x v="2"/>
    <s v="SZR"/>
  </r>
  <r>
    <x v="2394"/>
    <s v="NAT GAS"/>
    <s v="NATURAL GAS COMERCIALIZADORA (NACIONAL)"/>
    <n v="500"/>
    <s v="18WNAGAC01-12-24"/>
    <x v="2"/>
    <s v="Compra"/>
    <s v="SZR"/>
    <s v="NATGA"/>
    <x v="1"/>
    <x v="141"/>
    <x v="2"/>
    <s v="SZR"/>
  </r>
  <r>
    <x v="2395"/>
    <s v="NAGIC01"/>
    <s v="NAGIC01"/>
    <n v="1"/>
    <s v="18W000000000K33O"/>
    <x v="2"/>
    <s v="Compra"/>
    <s v="SZR"/>
    <s v="NAGIN"/>
    <x v="1"/>
    <x v="502"/>
    <x v="2"/>
    <s v="SZR"/>
  </r>
  <r>
    <x v="2396"/>
    <s v="NAVAC01"/>
    <s v="PETRONAVARRA PEN"/>
    <n v="0.1"/>
    <s v="18W00000000021MR"/>
    <x v="2"/>
    <s v="Compra"/>
    <s v="SZR"/>
    <s v="NAVAR"/>
    <x v="1"/>
    <x v="503"/>
    <x v="2"/>
    <s v="SZR"/>
  </r>
  <r>
    <x v="2397"/>
    <s v="NCEC01"/>
    <s v="UP NCE"/>
    <n v="0.1"/>
    <s v="18WNCEC01-1234-T"/>
    <x v="2"/>
    <s v="Compra"/>
    <s v="SZR"/>
    <s v="NCE"/>
    <x v="1"/>
    <x v="504"/>
    <x v="2"/>
    <s v="SZR"/>
  </r>
  <r>
    <x v="2398"/>
    <s v="VENTA FV"/>
    <s v="VENTA FV"/>
    <n v="0"/>
    <s v="18W000000000FY9D"/>
    <x v="9"/>
    <s v="Venta"/>
    <s v="SZR"/>
    <s v="NCE"/>
    <x v="0"/>
    <x v="504"/>
    <x v="9"/>
    <s v="SZR"/>
  </r>
  <r>
    <x v="2399"/>
    <s v="SPECTRA"/>
    <s v="PROP TRADERS SPAIN"/>
    <n v="1000"/>
    <s v="18W000000000M7TQ"/>
    <x v="2"/>
    <s v="Compra"/>
    <s v="SZR"/>
    <s v="NEAS"/>
    <x v="1"/>
    <x v="348"/>
    <x v="2"/>
    <s v="SZR"/>
  </r>
  <r>
    <x v="2400"/>
    <s v="NEASCP3"/>
    <s v="NEAS ENERGY A/S"/>
    <n v="350"/>
    <s v="18WNEASCP3-12--4"/>
    <x v="16"/>
    <s v="Compra"/>
    <s v="SZR"/>
    <s v="NEAS"/>
    <x v="7"/>
    <x v="348"/>
    <x v="16"/>
    <s v="SZR"/>
  </r>
  <r>
    <x v="2401"/>
    <s v="NEAS"/>
    <s v="NEAS ENERGY A/S"/>
    <n v="350"/>
    <s v="18WNEASVP3-123-6"/>
    <x v="17"/>
    <s v="Venta"/>
    <s v="SZR"/>
    <s v="NEAS"/>
    <x v="7"/>
    <x v="348"/>
    <x v="17"/>
    <s v="SZR"/>
  </r>
  <r>
    <x v="2402"/>
    <s v="NEMOC01"/>
    <s v="NEMON INTELLIGENCE IN BUSINESS, SL"/>
    <n v="0.1"/>
    <s v="18WNEMOC01-123-3"/>
    <x v="2"/>
    <s v="Compra"/>
    <s v="SZR"/>
    <s v="NEMON"/>
    <x v="1"/>
    <x v="505"/>
    <x v="2"/>
    <s v="SZR"/>
  </r>
  <r>
    <x v="2403"/>
    <s v="NEOELECTRA"/>
    <s v="NEOELECTRA ENERGIA"/>
    <n v="0.1"/>
    <s v="18WNEOEC01-123-7"/>
    <x v="2"/>
    <s v="Compra"/>
    <s v="SZR"/>
    <s v="NEOEN"/>
    <x v="1"/>
    <x v="506"/>
    <x v="2"/>
    <s v="SZR"/>
  </r>
  <r>
    <x v="2404"/>
    <s v="NETON"/>
    <s v="NETON ENERGY SERVICES SLU"/>
    <n v="1"/>
    <s v="18W000000000P4NZ"/>
    <x v="2"/>
    <s v="Compra"/>
    <s v="SZR"/>
    <s v="NETON"/>
    <x v="1"/>
    <x v="507"/>
    <x v="2"/>
    <s v="SZR"/>
  </r>
  <r>
    <x v="2405"/>
    <s v="NEUCCX1"/>
    <s v="NEUCCX1"/>
    <n v="9999"/>
    <s v="18W000000000SKCY"/>
    <x v="20"/>
    <s v="Compra"/>
    <s v="SZR"/>
    <s v="NEURO"/>
    <x v="8"/>
    <x v="508"/>
    <x v="23"/>
    <s v="SZR"/>
  </r>
  <r>
    <x v="2406"/>
    <s v="NEUCVX1"/>
    <s v="NEUCVX1"/>
    <n v="9999"/>
    <s v="18W000000000SK93"/>
    <x v="20"/>
    <s v="Venta"/>
    <s v="SZR"/>
    <s v="NEURO"/>
    <x v="8"/>
    <x v="508"/>
    <x v="23"/>
    <s v="SZR"/>
  </r>
  <r>
    <x v="2407"/>
    <s v="NEURC01"/>
    <s v="NEURC01"/>
    <n v="0.6"/>
    <s v="18W000000000F3IE"/>
    <x v="6"/>
    <s v="Compra"/>
    <s v="SZR"/>
    <s v="NEURO"/>
    <x v="3"/>
    <x v="508"/>
    <x v="6"/>
    <s v="SZR"/>
  </r>
  <r>
    <x v="2408"/>
    <s v="UPCOMERCI"/>
    <s v="COMERCIALIZADOR DE ENERGIA ELECTRICA"/>
    <n v="0.1"/>
    <s v="18W000000000H1M4"/>
    <x v="2"/>
    <s v="Compra"/>
    <s v="SZR"/>
    <s v="NEWCO"/>
    <x v="1"/>
    <x v="509"/>
    <x v="2"/>
    <s v="SZR"/>
  </r>
  <r>
    <x v="2409"/>
    <s v="NEXT COMPR"/>
    <s v="NEXT COMPRA"/>
    <n v="25"/>
    <s v="18W000000000LVIH"/>
    <x v="2"/>
    <s v="Compra"/>
    <s v="SZR"/>
    <s v="NEXAM"/>
    <x v="1"/>
    <x v="510"/>
    <x v="2"/>
    <s v="SZR"/>
  </r>
  <r>
    <x v="2410"/>
    <s v="NEXT"/>
    <s v="NEXT ENERGY PLUS SL"/>
    <n v="1"/>
    <s v="18W000000000SHE2"/>
    <x v="2"/>
    <s v="Compra"/>
    <s v="SZR"/>
    <s v="NEXAP"/>
    <x v="1"/>
    <x v="511"/>
    <x v="2"/>
    <s v="SZR"/>
  </r>
  <r>
    <x v="2411"/>
    <s v="NEXUS COMP"/>
    <s v="NEXUS ENERGÍA (COMERCIALIZADORA NACIONAL)"/>
    <n v="0"/>
    <s v="18WNEXUC01-12-2D"/>
    <x v="2"/>
    <s v="Compra"/>
    <s v="SZR"/>
    <s v="NEXU"/>
    <x v="1"/>
    <x v="187"/>
    <x v="2"/>
    <s v="SZR"/>
  </r>
  <r>
    <x v="2412"/>
    <s v="NGORELL"/>
    <s v="NGORELLANA"/>
    <n v="49.9"/>
    <s v="18W000000000NOT8"/>
    <x v="27"/>
    <s v="Venta"/>
    <s v="SZR"/>
    <s v="GNRA"/>
    <x v="0"/>
    <x v="46"/>
    <x v="33"/>
    <s v="SZR"/>
  </r>
  <r>
    <x v="2413"/>
    <s v="NIDHCP3"/>
    <s v="NIDHOG IMPORT RTE"/>
    <n v="100"/>
    <s v="18W000000000QHY7"/>
    <x v="16"/>
    <s v="Compra"/>
    <s v="SZR"/>
    <s v="NIDHO"/>
    <x v="7"/>
    <x v="349"/>
    <x v="16"/>
    <s v="SZR"/>
  </r>
  <r>
    <x v="2414"/>
    <s v="NIDHVP3"/>
    <s v="NIDHOG EXP RTE"/>
    <n v="100"/>
    <s v="18W000000000QUZ3"/>
    <x v="17"/>
    <s v="Venta"/>
    <s v="SZR"/>
    <s v="NIDHO"/>
    <x v="7"/>
    <x v="349"/>
    <x v="17"/>
    <s v="SZR"/>
  </r>
  <r>
    <x v="2415"/>
    <s v="NIVAPLAST"/>
    <s v="NIVAPLAST"/>
    <n v="0.4"/>
    <s v="18WNIVAC01-123-X"/>
    <x v="6"/>
    <s v="Compra"/>
    <s v="SZR"/>
    <s v="NIVA"/>
    <x v="3"/>
    <x v="512"/>
    <x v="6"/>
    <s v="SZR"/>
  </r>
  <r>
    <x v="2416"/>
    <s v="NOBEC01"/>
    <s v="UNIDAD DE PROGRAMACIÓN DE NOBE"/>
    <n v="7"/>
    <s v="18WNOBEC01-123-U"/>
    <x v="2"/>
    <s v="Compra"/>
    <s v="SZR"/>
    <s v="NOBE"/>
    <x v="1"/>
    <x v="513"/>
    <x v="2"/>
    <s v="SZR"/>
  </r>
  <r>
    <x v="2417"/>
    <s v="CONS ACCT"/>
    <s v="CONSUMPTION ACCOUNT"/>
    <n v="100"/>
    <s v="18WNOBLCP3-123-5"/>
    <x v="16"/>
    <s v="Compra"/>
    <s v="SZR"/>
    <s v="NOBLE"/>
    <x v="7"/>
    <x v="350"/>
    <x v="16"/>
    <s v="SZR"/>
  </r>
  <r>
    <x v="2418"/>
    <s v="PROD ACCT"/>
    <s v="PRODUCTION ACCOUNT"/>
    <n v="100"/>
    <s v="18WNOBLVP3-123-J"/>
    <x v="17"/>
    <s v="Venta"/>
    <s v="SZR"/>
    <s v="NOBLE"/>
    <x v="7"/>
    <x v="350"/>
    <x v="17"/>
    <s v="SZR"/>
  </r>
  <r>
    <x v="2419"/>
    <s v="NOCTILUCA"/>
    <s v="NOCTILUCA ENERGIA SL"/>
    <n v="1"/>
    <s v="18W000000000SYEP"/>
    <x v="2"/>
    <s v="Compra"/>
    <s v="SZR"/>
    <s v="NOCTI"/>
    <x v="1"/>
    <x v="514"/>
    <x v="2"/>
    <s v="SZR"/>
  </r>
  <r>
    <x v="2420"/>
    <s v="NOREC01"/>
    <s v="UNIDAD NORTELECTRICA"/>
    <n v="1"/>
    <s v="18W0000000008BQ2"/>
    <x v="2"/>
    <s v="Compra"/>
    <s v="SZR"/>
    <s v="NORE"/>
    <x v="1"/>
    <x v="515"/>
    <x v="2"/>
    <s v="SZR"/>
  </r>
  <r>
    <x v="2421"/>
    <s v="NORTC01 CO"/>
    <s v="ELECTRA NORTE 1997 S.A."/>
    <n v="0"/>
    <s v="18WNORTC01-12-26"/>
    <x v="2"/>
    <s v="Compra"/>
    <s v="SZR"/>
    <s v="NORT"/>
    <x v="1"/>
    <x v="516"/>
    <x v="2"/>
    <s v="SZR"/>
  </r>
  <r>
    <x v="2422"/>
    <s v="NOSAC01"/>
    <s v="NOSA ENERXIA SCP"/>
    <n v="0.1"/>
    <s v="18WNOSAC01-123-V"/>
    <x v="2"/>
    <s v="Compra"/>
    <s v="SZR"/>
    <s v="NOSA"/>
    <x v="1"/>
    <x v="517"/>
    <x v="2"/>
    <s v="SZR"/>
  </r>
  <r>
    <x v="2423"/>
    <s v="NUFRI SRAD"/>
    <s v="NUFRI SRAD"/>
    <n v="0"/>
    <s v="18W000000000S80K"/>
    <x v="6"/>
    <s v="Compra"/>
    <s v="SZR"/>
    <s v="ENUFR"/>
    <x v="3"/>
    <x v="257"/>
    <x v="6"/>
    <s v="SZR"/>
  </r>
  <r>
    <x v="2424"/>
    <s v="NUKIK COM"/>
    <s v="NUKIK COM"/>
    <n v="0.1"/>
    <s v="18W000000000T7ES"/>
    <x v="2"/>
    <s v="Compra"/>
    <s v="SZR"/>
    <s v="NUKIK"/>
    <x v="1"/>
    <x v="518"/>
    <x v="2"/>
    <s v="SZR"/>
  </r>
  <r>
    <x v="2425"/>
    <s v="NVLUC01"/>
    <s v="NOVALUUP"/>
    <n v="0"/>
    <s v="18W000000000GSQU"/>
    <x v="2"/>
    <s v="Compra"/>
    <s v="SZR"/>
    <s v="NVLZE"/>
    <x v="1"/>
    <x v="519"/>
    <x v="2"/>
    <s v="SZR"/>
  </r>
  <r>
    <x v="2426"/>
    <s v="NWENC01"/>
    <s v="NWENC01"/>
    <n v="1"/>
    <s v="18W000000000R6KR"/>
    <x v="2"/>
    <s v="Compra"/>
    <s v="SZR"/>
    <s v="NORDW"/>
    <x v="1"/>
    <x v="520"/>
    <x v="2"/>
    <s v="SZR"/>
  </r>
  <r>
    <x v="2427"/>
    <s v="NYCLC01"/>
    <s v="NATURGY CLIENTES COMPRA PE"/>
    <n v="2000"/>
    <s v="18W000000000MXYC"/>
    <x v="2"/>
    <s v="Compra"/>
    <s v="SZR"/>
    <s v="NYCLI"/>
    <x v="1"/>
    <x v="8"/>
    <x v="2"/>
    <s v="SZR"/>
  </r>
  <r>
    <x v="2428"/>
    <s v="ODFC01"/>
    <s v="ODFC01"/>
    <n v="20"/>
    <s v="18WODFC01-1234-U"/>
    <x v="2"/>
    <s v="Compra"/>
    <s v="SZR"/>
    <s v="ODF"/>
    <x v="1"/>
    <x v="521"/>
    <x v="2"/>
    <s v="SZR"/>
  </r>
  <r>
    <x v="2429"/>
    <s v="RONDAOESTE"/>
    <s v="RONDA OESTE ENERGÍA, S.L."/>
    <n v="1.2"/>
    <s v="18WOESTC01-123-M"/>
    <x v="2"/>
    <s v="Compra"/>
    <s v="SZR"/>
    <s v="OESTE"/>
    <x v="1"/>
    <x v="522"/>
    <x v="2"/>
    <s v="SZR"/>
  </r>
  <r>
    <x v="2430"/>
    <s v="UP OHMIO"/>
    <s v="UNIDAD BASE DE PROGRAMACIN OHMIO"/>
    <n v="1"/>
    <s v="18W0000000005CIR"/>
    <x v="2"/>
    <s v="Compra"/>
    <s v="SZR"/>
    <s v="OHMIA"/>
    <x v="1"/>
    <x v="523"/>
    <x v="2"/>
    <s v="SZR"/>
  </r>
  <r>
    <x v="2431"/>
    <s v="OKENE"/>
    <s v="OK ENERGIA"/>
    <n v="1"/>
    <s v="18W000000000IXGR"/>
    <x v="2"/>
    <s v="Compra"/>
    <s v="SZR"/>
    <s v="OKENE"/>
    <x v="1"/>
    <x v="524"/>
    <x v="2"/>
    <s v="SZR"/>
  </r>
  <r>
    <x v="2432"/>
    <s v="OLE"/>
    <s v="OLR GREEN ENERGY"/>
    <n v="0.2"/>
    <s v="18WOLEC01-1234-J"/>
    <x v="2"/>
    <s v="Compra"/>
    <s v="SZR"/>
    <s v="OLE"/>
    <x v="1"/>
    <x v="525"/>
    <x v="2"/>
    <s v="SZR"/>
  </r>
  <r>
    <x v="2433"/>
    <s v="OLIVIA 01"/>
    <s v="OLIVIA C01"/>
    <n v="0.1"/>
    <s v="18W000000000C5IK"/>
    <x v="2"/>
    <s v="Compra"/>
    <s v="SZR"/>
    <s v="OLIVC"/>
    <x v="1"/>
    <x v="526"/>
    <x v="2"/>
    <s v="SZR"/>
  </r>
  <r>
    <x v="2434"/>
    <s v="OLIVEN23"/>
    <s v="OLIVENZA23"/>
    <n v="5"/>
    <s v="18W000000000RB47"/>
    <x v="9"/>
    <s v="Venta"/>
    <s v="SZR"/>
    <s v="ADXRE"/>
    <x v="0"/>
    <x v="37"/>
    <x v="9"/>
    <s v="SZR"/>
  </r>
  <r>
    <x v="2435"/>
    <s v="OLIVEN24"/>
    <s v="OLIVENZA24"/>
    <n v="5"/>
    <s v="18W000000000RBIG"/>
    <x v="9"/>
    <s v="Venta"/>
    <s v="SZR"/>
    <s v="ADXRE"/>
    <x v="0"/>
    <x v="37"/>
    <x v="9"/>
    <s v="SZR"/>
  </r>
  <r>
    <x v="2436"/>
    <s v="OLLER"/>
    <s v="FRANCISCO OLLER SA"/>
    <n v="1.5"/>
    <s v="18W000000000CXBO"/>
    <x v="6"/>
    <s v="Compra"/>
    <s v="SZR"/>
    <s v="OLLER"/>
    <x v="3"/>
    <x v="527"/>
    <x v="6"/>
    <s v="SZR"/>
  </r>
  <r>
    <x v="2437"/>
    <s v="OLIVEN22"/>
    <s v="OLIVENZA22"/>
    <n v="5"/>
    <s v="18W000000000RBJE"/>
    <x v="9"/>
    <s v="Venta"/>
    <s v="SZR"/>
    <s v="ADXRE"/>
    <x v="0"/>
    <x v="37"/>
    <x v="9"/>
    <s v="SZR"/>
  </r>
  <r>
    <x v="2438"/>
    <s v="OMHEY"/>
    <s v="OMHEY"/>
    <n v="1"/>
    <s v="18W000000000K1I0"/>
    <x v="2"/>
    <s v="Compra"/>
    <s v="SZR"/>
    <s v="OHMEY"/>
    <x v="1"/>
    <x v="528"/>
    <x v="2"/>
    <s v="SZR"/>
  </r>
  <r>
    <x v="2439"/>
    <s v="ONDARE"/>
    <s v="ONDARE UNIVERSIDAD"/>
    <n v="0.8"/>
    <s v="18W000000000SPDH"/>
    <x v="6"/>
    <s v="Compra"/>
    <s v="SZR"/>
    <s v="ONDAR"/>
    <x v="3"/>
    <x v="529"/>
    <x v="6"/>
    <s v="SZR"/>
  </r>
  <r>
    <x v="2440"/>
    <s v="ONDEM"/>
    <s v="ON DEMAND FACILITIES"/>
    <n v="40"/>
    <s v="18WONDEMAND----3"/>
    <x v="2"/>
    <s v="Compra"/>
    <s v="SZR"/>
    <s v="ONDEM"/>
    <x v="1"/>
    <x v="530"/>
    <x v="2"/>
    <s v="SZR"/>
  </r>
  <r>
    <x v="2441"/>
    <s v="ONEC MAR"/>
    <s v="ONE - AGENT EXTERNE - COMPRA"/>
    <n v="0"/>
    <s v="18WONEACH-123-46"/>
    <x v="28"/>
    <s v="Compra"/>
    <s v="SZR"/>
    <s v="ONE"/>
    <x v="7"/>
    <x v="353"/>
    <x v="36"/>
    <s v="SZR"/>
  </r>
  <r>
    <x v="2442"/>
    <s v="ONEV MAR"/>
    <s v="ONE - AGENT EXTERNE - VENTA"/>
    <n v="0"/>
    <s v="18WONEVEN-123-3S"/>
    <x v="30"/>
    <s v="Venta"/>
    <s v="SZR"/>
    <s v="ONE"/>
    <x v="7"/>
    <x v="353"/>
    <x v="38"/>
    <s v="SZR"/>
  </r>
  <r>
    <x v="2443"/>
    <s v="ONS"/>
    <s v="ONSE"/>
    <n v="1.6"/>
    <s v="18W000000000CSZS"/>
    <x v="6"/>
    <s v="Compra"/>
    <s v="SZR"/>
    <s v="ONS"/>
    <x v="3"/>
    <x v="531"/>
    <x v="6"/>
    <s v="SZR"/>
  </r>
  <r>
    <x v="2444"/>
    <s v="OLIVA"/>
    <s v="OLIVES"/>
    <n v="0.3"/>
    <s v="18W000000000M1ML"/>
    <x v="6"/>
    <s v="Compra"/>
    <s v="SZR"/>
    <s v="OLIVA"/>
    <x v="3"/>
    <x v="532"/>
    <x v="6"/>
    <s v="SZR"/>
  </r>
  <r>
    <x v="2445"/>
    <s v="OPPIDUM"/>
    <s v="OPPIDUM ENERGIA"/>
    <n v="2.5"/>
    <s v="18WOPPIC01-123-X"/>
    <x v="2"/>
    <s v="Compra"/>
    <s v="SZR"/>
    <s v="OPPI"/>
    <x v="1"/>
    <x v="306"/>
    <x v="2"/>
    <s v="SZR"/>
  </r>
  <r>
    <x v="2446"/>
    <s v="COMER"/>
    <s v="COMERCIALIZACION 1"/>
    <n v="0.1"/>
    <s v="18W000000000AVYT"/>
    <x v="2"/>
    <s v="Compra"/>
    <s v="SZR"/>
    <s v="ORWEL"/>
    <x v="1"/>
    <x v="533"/>
    <x v="2"/>
    <s v="SZR"/>
  </r>
  <r>
    <x v="2447"/>
    <s v="OSUNA"/>
    <s v="OSUNA MISSION"/>
    <n v="0.4"/>
    <s v="18W0000000000I6G"/>
    <x v="6"/>
    <s v="Compra"/>
    <s v="SZR"/>
    <s v="OSUNA"/>
    <x v="3"/>
    <x v="534"/>
    <x v="6"/>
    <s v="SZR"/>
  </r>
  <r>
    <x v="2448"/>
    <s v="OXPERTA"/>
    <s v="OXPERTA ENERGA COMPRAS"/>
    <n v="5"/>
    <s v="18W000000000PMXZ"/>
    <x v="2"/>
    <s v="Compra"/>
    <s v="SZR"/>
    <s v="OXPER"/>
    <x v="1"/>
    <x v="535"/>
    <x v="2"/>
    <s v="SZR"/>
  </r>
  <r>
    <x v="2449"/>
    <s v="AGRACU"/>
    <s v="UP AGRACU"/>
    <n v="1.7"/>
    <s v="18W000000000K847"/>
    <x v="9"/>
    <s v="Venta"/>
    <s v="SZR"/>
    <s v="EFG"/>
    <x v="0"/>
    <x v="213"/>
    <x v="9"/>
    <s v="SZR"/>
  </r>
  <r>
    <x v="2450"/>
    <s v="AGRUPAMI"/>
    <s v="UP AGRUPAMI"/>
    <n v="13.2"/>
    <s v="18W000000000K7N9"/>
    <x v="9"/>
    <s v="Venta"/>
    <s v="SZR"/>
    <s v="EFG"/>
    <x v="0"/>
    <x v="213"/>
    <x v="9"/>
    <s v="SZR"/>
  </r>
  <r>
    <x v="2451"/>
    <s v="PALOS1"/>
    <s v="CICLO COMBINADO DE PALOS DE LA FRONTERA GRUPO1"/>
    <n v="386.7"/>
    <s v="18WPALOS1-123-0Z"/>
    <x v="8"/>
    <s v="Venta"/>
    <s v="NTG"/>
    <s v="GNCC"/>
    <x v="0"/>
    <x v="8"/>
    <x v="8"/>
    <s v="GN"/>
  </r>
  <r>
    <x v="2452"/>
    <s v="PALOS2"/>
    <s v="CICLO COMBINADO DE PALOS DE LA FRONTERA GRUPO2"/>
    <n v="389.1"/>
    <s v="18WPALOS2-123-0R"/>
    <x v="8"/>
    <s v="Venta"/>
    <s v="NTG"/>
    <s v="GNCC"/>
    <x v="0"/>
    <x v="8"/>
    <x v="8"/>
    <s v="GN"/>
  </r>
  <r>
    <x v="2453"/>
    <s v="PALOS3"/>
    <s v="CICLO COMBINADO DE PALOS DE LA FRONTERA GRUPO3"/>
    <n v="391"/>
    <s v="18WPALOS3-123-0J"/>
    <x v="8"/>
    <s v="Venta"/>
    <s v="NTG"/>
    <s v="GNCC"/>
    <x v="0"/>
    <x v="8"/>
    <x v="8"/>
    <s v="GN"/>
  </r>
  <r>
    <x v="2454"/>
    <s v="PARMOC"/>
    <s v="PARMOC"/>
    <n v="2"/>
    <s v="18W000000000M0LQ"/>
    <x v="9"/>
    <s v="Venta"/>
    <s v="SZR"/>
    <s v="GNRA"/>
    <x v="0"/>
    <x v="46"/>
    <x v="9"/>
    <s v="SZR"/>
  </r>
  <r>
    <x v="2455"/>
    <s v="PAVASFT"/>
    <s v="PAVASFT"/>
    <n v="2.1"/>
    <s v="18W000000000QTBH"/>
    <x v="9"/>
    <s v="Venta"/>
    <s v="SZR"/>
    <s v="DETIC"/>
    <x v="0"/>
    <x v="71"/>
    <x v="9"/>
    <s v="SZR"/>
  </r>
  <r>
    <x v="2456"/>
    <s v="PBCN1"/>
    <s v="C.C PUERTO DE BARCELONA GRUPO 1"/>
    <n v="434.8"/>
    <s v="18WPBCN1-12345-D"/>
    <x v="8"/>
    <s v="Venta"/>
    <s v="NTG"/>
    <s v="GNCC"/>
    <x v="0"/>
    <x v="8"/>
    <x v="8"/>
    <s v="GN"/>
  </r>
  <r>
    <x v="2457"/>
    <s v="PBCN2"/>
    <s v="C.C. PUERTO DE BARCELONA GRUPO 2"/>
    <n v="431.4"/>
    <s v="18WPBCN2-12345-4"/>
    <x v="8"/>
    <s v="Venta"/>
    <s v="NTG"/>
    <s v="GNCC"/>
    <x v="0"/>
    <x v="8"/>
    <x v="8"/>
    <s v="GN"/>
  </r>
  <r>
    <x v="2458"/>
    <s v="PE CANTERA"/>
    <s v="PE CANTERAS III"/>
    <n v="40"/>
    <s v="18W000000000T3OK"/>
    <x v="11"/>
    <s v="Venta"/>
    <s v="SZR"/>
    <s v="WMARK"/>
    <x v="0"/>
    <x v="22"/>
    <x v="11"/>
    <s v="SZR"/>
  </r>
  <r>
    <x v="2459"/>
    <s v="PECAST"/>
    <s v="PECAST"/>
    <n v="26.7"/>
    <s v="18W000000000R5NO"/>
    <x v="11"/>
    <s v="Venta"/>
    <s v="SZR"/>
    <s v="GNRA"/>
    <x v="0"/>
    <x v="46"/>
    <x v="11"/>
    <s v="SZR"/>
  </r>
  <r>
    <x v="2460"/>
    <s v="PE MONDIGO"/>
    <s v="PE MONDIGO"/>
    <n v="45"/>
    <s v="18W000000000TL54"/>
    <x v="11"/>
    <s v="Venta"/>
    <s v="SZR"/>
    <s v="WMARK"/>
    <x v="0"/>
    <x v="22"/>
    <x v="11"/>
    <s v="SZR"/>
  </r>
  <r>
    <x v="2461"/>
    <s v="UP PENAS3"/>
    <s v="UP PENAS3"/>
    <n v="0.9"/>
    <s v="18W000000000ST5L"/>
    <x v="9"/>
    <s v="Venta"/>
    <s v="SZR"/>
    <s v="ISMSL"/>
    <x v="0"/>
    <x v="279"/>
    <x v="9"/>
    <s v="SZR"/>
  </r>
  <r>
    <x v="2462"/>
    <s v="PENAV"/>
    <s v="PENAV"/>
    <n v="41.5"/>
    <s v="18W000000000MK08"/>
    <x v="11"/>
    <s v="Venta"/>
    <s v="SZR"/>
    <s v="GNRA"/>
    <x v="0"/>
    <x v="46"/>
    <x v="11"/>
    <s v="SZR"/>
  </r>
  <r>
    <x v="2463"/>
    <s v="PEPCUERVO"/>
    <s v="PEPCUERVO"/>
    <n v="16"/>
    <s v="18W000000000TED9"/>
    <x v="11"/>
    <s v="Venta"/>
    <s v="SZR"/>
    <s v="WMARK"/>
    <x v="0"/>
    <x v="22"/>
    <x v="11"/>
    <s v="SZR"/>
  </r>
  <r>
    <x v="2464"/>
    <s v="PESOTIL"/>
    <s v="PE SOTILLO-VM"/>
    <n v="15"/>
    <s v="18W000000000FPCY"/>
    <x v="11"/>
    <s v="Venta"/>
    <s v="EVM2"/>
    <s v="CEG"/>
    <x v="0"/>
    <x v="124"/>
    <x v="11"/>
    <s v="VM2"/>
  </r>
  <r>
    <x v="2465"/>
    <s v="PETABLA"/>
    <s v="PE TABLARES"/>
    <n v="11.9"/>
    <s v="18W000000000FPDW"/>
    <x v="11"/>
    <s v="Venta"/>
    <s v="EVM2"/>
    <s v="CEG"/>
    <x v="0"/>
    <x v="124"/>
    <x v="11"/>
    <s v="VM2"/>
  </r>
  <r>
    <x v="2466"/>
    <s v="PETRC01"/>
    <s v="PETRONIEVES ENERGIA 1, S.L."/>
    <n v="2.5"/>
    <s v="18WPETRC01-123-I"/>
    <x v="2"/>
    <s v="Compra"/>
    <s v="SZR"/>
    <s v="PESL"/>
    <x v="1"/>
    <x v="536"/>
    <x v="2"/>
    <s v="SZR"/>
  </r>
  <r>
    <x v="2467"/>
    <s v="PEVALB"/>
    <s v="PEVALB"/>
    <n v="30.4"/>
    <s v="18W000000000R5OM"/>
    <x v="11"/>
    <s v="Venta"/>
    <s v="SZR"/>
    <s v="GNRA"/>
    <x v="0"/>
    <x v="46"/>
    <x v="11"/>
    <s v="SZR"/>
  </r>
  <r>
    <x v="2468"/>
    <s v="PEVER"/>
    <s v="PEVER"/>
    <n v="182.3"/>
    <s v="18W000000000QDFK"/>
    <x v="11"/>
    <s v="Venta"/>
    <s v="SZR"/>
    <s v="GNRA"/>
    <x v="0"/>
    <x v="46"/>
    <x v="11"/>
    <s v="SZR"/>
  </r>
  <r>
    <x v="2469"/>
    <s v="PEVER2"/>
    <s v="PEVER2"/>
    <n v="29.8"/>
    <s v="18W000000000T0I4"/>
    <x v="11"/>
    <s v="Venta"/>
    <s v="SZR"/>
    <s v="GNRA"/>
    <x v="0"/>
    <x v="46"/>
    <x v="11"/>
    <s v="SZR"/>
  </r>
  <r>
    <x v="2470"/>
    <s v="PGOM"/>
    <s v="PGOM"/>
    <n v="0.3"/>
    <s v="18WPGOM-123456-U"/>
    <x v="1"/>
    <s v="Venta"/>
    <s v="SZR"/>
    <s v="WMARK"/>
    <x v="0"/>
    <x v="22"/>
    <x v="1"/>
    <s v="SZR"/>
  </r>
  <r>
    <x v="2471"/>
    <s v="P.G.RODR 5"/>
    <s v="CC AS PONTES GARCIA RODRIGUEZ - GRUPO 5"/>
    <n v="855.6"/>
    <s v="18WPGR5-123456-J"/>
    <x v="8"/>
    <s v="Venta"/>
    <s v="END"/>
    <s v="ENDG"/>
    <x v="0"/>
    <x v="72"/>
    <x v="8"/>
    <s v="END"/>
  </r>
  <r>
    <x v="2472"/>
    <s v="UP PINDO"/>
    <s v="UP PINDO PENINSULA"/>
    <n v="10"/>
    <s v="18W000000000QA86"/>
    <x v="2"/>
    <s v="Compra"/>
    <s v="SZR"/>
    <s v="PINDO"/>
    <x v="1"/>
    <x v="537"/>
    <x v="2"/>
    <s v="SZR"/>
  </r>
  <r>
    <x v="2473"/>
    <s v="PINOSO UP"/>
    <s v="PINOSO UP"/>
    <n v="4.5"/>
    <s v="18W000000000T5R8"/>
    <x v="9"/>
    <s v="Venta"/>
    <s v="SZR"/>
    <s v="ISMSL"/>
    <x v="0"/>
    <x v="279"/>
    <x v="9"/>
    <s v="SZR"/>
  </r>
  <r>
    <x v="2474"/>
    <s v="PISUC01"/>
    <s v="PISUE UP"/>
    <n v="1"/>
    <s v="18W000000000RR5V"/>
    <x v="2"/>
    <s v="Compra"/>
    <s v="SZR"/>
    <s v="PISUE"/>
    <x v="1"/>
    <x v="538"/>
    <x v="2"/>
    <s v="SZR"/>
  </r>
  <r>
    <x v="2475"/>
    <s v="PIZR"/>
    <s v="PIZR"/>
    <n v="36"/>
    <s v="18W000000000Q7U8"/>
    <x v="9"/>
    <s v="Venta"/>
    <s v="GNRA01"/>
    <s v="GNRA"/>
    <x v="0"/>
    <x v="46"/>
    <x v="9"/>
    <s v="GNE"/>
  </r>
  <r>
    <x v="2476"/>
    <s v="PLASPISA"/>
    <s v="INDUSTRIAS PLASTICAS DEL PISUERGA"/>
    <n v="0.9"/>
    <s v="18WPLASC01-123-M"/>
    <x v="6"/>
    <s v="Compra"/>
    <s v="SZR"/>
    <s v="PLAS"/>
    <x v="3"/>
    <x v="539"/>
    <x v="6"/>
    <s v="SZR"/>
  </r>
  <r>
    <x v="2477"/>
    <s v="PLATA"/>
    <s v="MATADERO LA PLATA"/>
    <n v="0.6"/>
    <s v="18W0000000005HJA"/>
    <x v="6"/>
    <s v="Compra"/>
    <s v="SZR"/>
    <s v="PLATA"/>
    <x v="3"/>
    <x v="540"/>
    <x v="6"/>
    <s v="SZR"/>
  </r>
  <r>
    <x v="2478"/>
    <s v="FV PLAZA 1"/>
    <s v="FOTOVOLTAICA PLAZA1"/>
    <n v="21"/>
    <s v="18W000000000THC2"/>
    <x v="9"/>
    <s v="Venta"/>
    <s v="SZR"/>
    <s v="ELEIA"/>
    <x v="0"/>
    <x v="90"/>
    <x v="9"/>
    <s v="SZR"/>
  </r>
  <r>
    <x v="2479"/>
    <s v="PLAZA2 FV"/>
    <s v="PLAZA2 FOTOVOLTAICA"/>
    <n v="15"/>
    <s v="18W000000000THEZ"/>
    <x v="9"/>
    <s v="Venta"/>
    <s v="SZR"/>
    <s v="ELEIA"/>
    <x v="0"/>
    <x v="90"/>
    <x v="9"/>
    <s v="SZR"/>
  </r>
  <r>
    <x v="2480"/>
    <s v="PLENFV-1MW"/>
    <s v="PLENI-FV-1MW"/>
    <n v="45.5"/>
    <s v="18W000000000Q3QS"/>
    <x v="9"/>
    <s v="Venta"/>
    <s v="SZR"/>
    <s v="ALDRO"/>
    <x v="0"/>
    <x v="44"/>
    <x v="9"/>
    <s v="SZR"/>
  </r>
  <r>
    <x v="2481"/>
    <s v="UP SIMPLIA"/>
    <s v="UP SIMPLIA"/>
    <n v="0.1"/>
    <s v="18W000000000S8HN"/>
    <x v="2"/>
    <s v="Compra"/>
    <s v="SZR"/>
    <s v="SIMP"/>
    <x v="1"/>
    <x v="541"/>
    <x v="2"/>
    <s v="SZR"/>
  </r>
  <r>
    <x v="2482"/>
    <s v="PLLANO"/>
    <s v="PUERTOLLANO"/>
    <n v="2.2000000000000002"/>
    <s v="18W000000000RKWZ"/>
    <x v="9"/>
    <s v="Venta"/>
    <s v="SZR"/>
    <s v="ADXRE"/>
    <x v="0"/>
    <x v="37"/>
    <x v="9"/>
    <s v="SZR"/>
  </r>
  <r>
    <x v="2483"/>
    <s v="UP POLAR"/>
    <s v="UP PEN POLAR"/>
    <n v="0.1"/>
    <s v="18W000000000RUD6"/>
    <x v="2"/>
    <s v="Compra"/>
    <s v="SZR"/>
    <s v="POLAR"/>
    <x v="1"/>
    <x v="542"/>
    <x v="2"/>
    <s v="SZR"/>
  </r>
  <r>
    <x v="2484"/>
    <s v="PONTS COM"/>
    <s v="PONTS COMERCIALITZADORA MUNICIPAL DENERGIA ELECTRICA S.L.U"/>
    <n v="0.7"/>
    <s v="18W0000000005D4F"/>
    <x v="2"/>
    <s v="Compra"/>
    <s v="SZR"/>
    <s v="PONTC"/>
    <x v="1"/>
    <x v="543"/>
    <x v="2"/>
    <s v="SZR"/>
  </r>
  <r>
    <x v="2485"/>
    <s v="PONXC01"/>
    <s v="CONSUMO PONTEVEDRA"/>
    <n v="30"/>
    <s v="18WPONXC01-123-F"/>
    <x v="6"/>
    <s v="Compra"/>
    <s v="SZR"/>
    <s v="ENCEG"/>
    <x v="3"/>
    <x v="211"/>
    <x v="6"/>
    <s v="SZR"/>
  </r>
  <r>
    <x v="2486"/>
    <s v="PORVC01"/>
    <s v="PORVC01"/>
    <n v="1.5"/>
    <s v="18W000000000OYD6"/>
    <x v="6"/>
    <s v="Compra"/>
    <s v="SZR"/>
    <s v="PORVE"/>
    <x v="3"/>
    <x v="544"/>
    <x v="6"/>
    <s v="SZR"/>
  </r>
  <r>
    <x v="2487"/>
    <s v="ES-POWERSO"/>
    <s v="POWER SOLAR TRADE SL"/>
    <n v="0.6"/>
    <s v="18W000000000R3XA"/>
    <x v="2"/>
    <s v="Compra"/>
    <s v="SZR"/>
    <s v="POWED"/>
    <x v="1"/>
    <x v="545"/>
    <x v="2"/>
    <s v="SZR"/>
  </r>
  <r>
    <x v="2488"/>
    <s v="POTENZIA"/>
    <s v="POTENZIA COMERCIALZADORA SL"/>
    <n v="0.5"/>
    <s v="18W0000000000VYW"/>
    <x v="2"/>
    <s v="Compra"/>
    <s v="SZR"/>
    <s v="POTEN"/>
    <x v="1"/>
    <x v="546"/>
    <x v="2"/>
    <s v="SZR"/>
  </r>
  <r>
    <x v="2489"/>
    <s v="PM EXPORT"/>
    <s v="POWERMART EXPORT"/>
    <n v="300"/>
    <s v="18WPOWCP3-1234-C"/>
    <x v="16"/>
    <s v="Compra"/>
    <s v="SZR"/>
    <s v="POWER"/>
    <x v="7"/>
    <x v="354"/>
    <x v="16"/>
    <s v="SZR"/>
  </r>
  <r>
    <x v="2490"/>
    <s v="PM RET BUY"/>
    <s v="POWERMART RETAIL BUY"/>
    <n v="100"/>
    <s v="18W000000000GJKW"/>
    <x v="2"/>
    <s v="Compra"/>
    <s v="SZR"/>
    <s v="POWER"/>
    <x v="1"/>
    <x v="354"/>
    <x v="2"/>
    <s v="SZR"/>
  </r>
  <r>
    <x v="2491"/>
    <s v="POWNC01"/>
    <s v="POWNC01"/>
    <n v="0"/>
    <s v="18W000000000QSTL"/>
    <x v="2"/>
    <s v="Compra"/>
    <s v="SZR"/>
    <s v="POWEN"/>
    <x v="1"/>
    <x v="547"/>
    <x v="2"/>
    <s v="SZR"/>
  </r>
  <r>
    <x v="2492"/>
    <s v="POWEC01"/>
    <s v="POWEC01"/>
    <n v="10"/>
    <s v="18W000000000S17R"/>
    <x v="2"/>
    <s v="Compra"/>
    <s v="SZR"/>
    <s v="POWEE"/>
    <x v="1"/>
    <x v="548"/>
    <x v="2"/>
    <s v="SZR"/>
  </r>
  <r>
    <x v="2493"/>
    <s v="POWERMART"/>
    <s v="POWERMART APS"/>
    <n v="300"/>
    <s v="18WPOWVP3-1234-7"/>
    <x v="17"/>
    <s v="Venta"/>
    <s v="SZR"/>
    <s v="POWER"/>
    <x v="7"/>
    <x v="354"/>
    <x v="17"/>
    <s v="SZR"/>
  </r>
  <r>
    <x v="2494"/>
    <s v="POZO"/>
    <s v="ELECTRICA DEL POZO"/>
    <n v="1.5"/>
    <s v="18WPOZOC01-123-A"/>
    <x v="2"/>
    <s v="Compra"/>
    <s v="SZR"/>
    <s v="POZO"/>
    <x v="1"/>
    <x v="549"/>
    <x v="2"/>
    <s v="SZR"/>
  </r>
  <r>
    <x v="2495"/>
    <s v="COPRADO"/>
    <s v="COPRADO"/>
    <n v="1.7"/>
    <s v="18W0000000001OUK"/>
    <x v="6"/>
    <s v="Compra"/>
    <s v="SZR"/>
    <s v="PRADO"/>
    <x v="3"/>
    <x v="550"/>
    <x v="6"/>
    <s v="SZR"/>
  </r>
  <r>
    <x v="2496"/>
    <s v="PRAETIUM"/>
    <s v="PRAETIUM ENERGY"/>
    <n v="0.1"/>
    <s v="18W000000000T8HJ"/>
    <x v="2"/>
    <s v="Compra"/>
    <s v="SZR"/>
    <s v="PRAET"/>
    <x v="1"/>
    <x v="551"/>
    <x v="2"/>
    <s v="SZR"/>
  </r>
  <r>
    <x v="2497"/>
    <s v="PREAL01"/>
    <s v="PUERTO REAL"/>
    <n v="110"/>
    <s v="18W000000000QZQ6"/>
    <x v="9"/>
    <s v="Venta"/>
    <s v="SZR"/>
    <s v="ADXRE"/>
    <x v="0"/>
    <x v="37"/>
    <x v="9"/>
    <s v="SZR"/>
  </r>
  <r>
    <x v="2498"/>
    <s v="PROSOL COM"/>
    <s v="PROSOL COMPRA"/>
    <n v="25"/>
    <s v="18W000000000LH69"/>
    <x v="2"/>
    <s v="Compra"/>
    <s v="SZR"/>
    <s v="PROSA"/>
    <x v="1"/>
    <x v="552"/>
    <x v="2"/>
    <s v="SZR"/>
  </r>
  <r>
    <x v="2499"/>
    <s v="PROT"/>
    <s v="PROT ENERGIA COMERCIALIZACION"/>
    <n v="0.8"/>
    <s v="18WPROTC01-123-8"/>
    <x v="2"/>
    <s v="Compra"/>
    <s v="SZR"/>
    <s v="PROTC"/>
    <x v="1"/>
    <x v="553"/>
    <x v="2"/>
    <s v="SZR"/>
  </r>
  <r>
    <x v="2500"/>
    <s v="PSFREGE"/>
    <s v="ERG SOLAR FREGENAL DE LA SIERRA"/>
    <n v="22.8"/>
    <s v="18W000000000RKHS"/>
    <x v="9"/>
    <s v="Venta"/>
    <s v="WM1"/>
    <s v="WMARK"/>
    <x v="0"/>
    <x v="22"/>
    <x v="9"/>
    <s v="WM1"/>
  </r>
  <r>
    <x v="2501"/>
    <s v="UP PTEN"/>
    <s v="UP PARATIENERGIA"/>
    <n v="0.1"/>
    <s v="18W000000000N9NS"/>
    <x v="2"/>
    <s v="Compra"/>
    <s v="SZR"/>
    <s v="PTENG"/>
    <x v="1"/>
    <x v="554"/>
    <x v="2"/>
    <s v="SZR"/>
  </r>
  <r>
    <x v="2502"/>
    <s v="PETROLIS"/>
    <s v="SOLUCIONES PREMMIA ENERGIA"/>
    <n v="0.1"/>
    <s v="18W000000000HNGO"/>
    <x v="2"/>
    <s v="Compra"/>
    <s v="SZR"/>
    <s v="PTROL"/>
    <x v="1"/>
    <x v="555"/>
    <x v="2"/>
    <s v="SZR"/>
  </r>
  <r>
    <x v="2503"/>
    <s v="PUERTO B"/>
    <s v="PUERTO BLANCO"/>
    <n v="0.8"/>
    <s v="18W000000000OIBL"/>
    <x v="3"/>
    <s v="Venta"/>
    <s v="SZR"/>
    <s v="LMER"/>
    <x v="0"/>
    <x v="89"/>
    <x v="18"/>
    <s v="SZR"/>
  </r>
  <r>
    <x v="2504"/>
    <s v="TEXTILPUIG"/>
    <s v="TEXTIL PUIG UBACH"/>
    <n v="0.7"/>
    <s v="18W000000000MBX6"/>
    <x v="6"/>
    <s v="Compra"/>
    <s v="SZR"/>
    <s v="TEXTB"/>
    <x v="3"/>
    <x v="556"/>
    <x v="6"/>
    <s v="SZR"/>
  </r>
  <r>
    <x v="2505"/>
    <s v="PULSAR"/>
    <s v="PULSAR SERVICIOS ENERGETICOS"/>
    <n v="0.1"/>
    <s v="18WPULSC01-123-F"/>
    <x v="2"/>
    <s v="Compra"/>
    <s v="SZR"/>
    <s v="PULSA"/>
    <x v="1"/>
    <x v="557"/>
    <x v="2"/>
    <s v="SZR"/>
  </r>
  <r>
    <x v="2506"/>
    <s v="PVENT1"/>
    <s v="PLANA DEL VENT1"/>
    <n v="420.1"/>
    <s v="18WPVENT1--1234A"/>
    <x v="8"/>
    <s v="Venta"/>
    <s v="SZR"/>
    <s v="GNCC"/>
    <x v="0"/>
    <x v="8"/>
    <x v="8"/>
    <s v="SZR"/>
  </r>
  <r>
    <x v="2507"/>
    <s v="PVENT2"/>
    <s v="PLANA DEL VENT2"/>
    <n v="414"/>
    <s v="18WPVENT2--12342"/>
    <x v="8"/>
    <s v="Venta"/>
    <s v="ALP"/>
    <s v="HISPE"/>
    <x v="0"/>
    <x v="43"/>
    <x v="8"/>
    <s v="ALP"/>
  </r>
  <r>
    <x v="2508"/>
    <s v="PVENT2X"/>
    <s v="PLANA DEL VENT2 AUTOCONSUMOS"/>
    <n v="15"/>
    <s v="18WPVENT2X-123-X"/>
    <x v="5"/>
    <s v="Compra"/>
    <s v="SZR"/>
    <s v="HISPE"/>
    <x v="2"/>
    <x v="43"/>
    <x v="5"/>
    <s v="SZR"/>
  </r>
  <r>
    <x v="2509"/>
    <s v="PVVIDAL"/>
    <s v="PVVIDAL"/>
    <n v="2.4"/>
    <s v="18W000000000PGYE"/>
    <x v="9"/>
    <s v="Venta"/>
    <s v="SZR"/>
    <s v="TSRDE"/>
    <x v="0"/>
    <x v="364"/>
    <x v="9"/>
    <s v="SZR"/>
  </r>
  <r>
    <x v="2510"/>
    <s v="PZCP"/>
    <s v="PZCP"/>
    <n v="0.1"/>
    <s v="18WPZCP-123456-F"/>
    <x v="1"/>
    <s v="Venta"/>
    <s v="SZR"/>
    <s v="VIEG"/>
    <x v="0"/>
    <x v="29"/>
    <x v="1"/>
    <s v="SZR"/>
  </r>
  <r>
    <x v="2511"/>
    <s v="QUASAR"/>
    <s v="QUASAR ENERGIA"/>
    <n v="0.1"/>
    <s v="18W0000000008EL3"/>
    <x v="2"/>
    <s v="Compra"/>
    <s v="SZR"/>
    <s v="QENER"/>
    <x v="1"/>
    <x v="558"/>
    <x v="2"/>
    <s v="SZR"/>
  </r>
  <r>
    <x v="2512"/>
    <s v="QUALC01"/>
    <s v="QUANTUM COMERCIALIZADORA PENINSULA"/>
    <n v="1"/>
    <s v="18W000000000NTM7"/>
    <x v="2"/>
    <s v="Compra"/>
    <s v="SZR"/>
    <s v="QUANA"/>
    <x v="1"/>
    <x v="559"/>
    <x v="2"/>
    <s v="SZR"/>
  </r>
  <r>
    <x v="2513"/>
    <s v="QUANTC01"/>
    <s v="QUANTICA COMERCIALIZADORA"/>
    <n v="1"/>
    <s v="18W000000000OQLE"/>
    <x v="2"/>
    <s v="Compra"/>
    <s v="SZR"/>
    <s v="QUANT"/>
    <x v="1"/>
    <x v="560"/>
    <x v="2"/>
    <s v="SZR"/>
  </r>
  <r>
    <x v="2514"/>
    <s v="RABANIL"/>
    <s v="UP ALBANILLA"/>
    <n v="2"/>
    <s v="18WRABANIL-123-P"/>
    <x v="18"/>
    <s v="Venta"/>
    <s v="SZR"/>
    <s v="GNRA"/>
    <x v="0"/>
    <x v="46"/>
    <x v="20"/>
    <s v="SZR"/>
  </r>
  <r>
    <x v="2515"/>
    <s v="RABIDA2"/>
    <s v="REFINERIA LA RABIDA UNIDAD DE COGENERACION II"/>
    <n v="49.4"/>
    <s v="18WRABIDA2-12--M"/>
    <x v="10"/>
    <s v="Venta"/>
    <s v="SZR"/>
    <s v="CEPSA"/>
    <x v="0"/>
    <x v="561"/>
    <x v="10"/>
    <s v="SZR"/>
  </r>
  <r>
    <x v="2516"/>
    <s v="RAFAP"/>
    <s v="18WRAFAP-12345-S"/>
    <n v="7.8"/>
    <s v="18WRAFAP-12345-S"/>
    <x v="19"/>
    <s v="Venta"/>
    <s v="SZR"/>
    <s v="EGLE"/>
    <x v="0"/>
    <x v="82"/>
    <x v="22"/>
    <s v="SZR"/>
  </r>
  <r>
    <x v="2517"/>
    <s v="RALBAD"/>
    <s v="RESIDUOS BABCOCK-TECMED"/>
    <n v="6.2"/>
    <s v="18W0000000004YMV"/>
    <x v="18"/>
    <s v="Venta"/>
    <s v="SZR"/>
    <s v="CEG"/>
    <x v="0"/>
    <x v="124"/>
    <x v="20"/>
    <s v="SZR"/>
  </r>
  <r>
    <x v="2518"/>
    <s v="RALDENG"/>
    <s v="ALDEBARAN ENERGIA DEL GUADALQUIVIR"/>
    <n v="6"/>
    <s v="18W000000000SG0X"/>
    <x v="19"/>
    <s v="Venta"/>
    <s v="SZR"/>
    <s v="PULSA"/>
    <x v="0"/>
    <x v="557"/>
    <x v="22"/>
    <s v="SZR"/>
  </r>
  <r>
    <x v="2519"/>
    <s v="RARTIGA"/>
    <s v="RARTIGA"/>
    <n v="1.4"/>
    <s v="18W000000000T1UE"/>
    <x v="18"/>
    <s v="Venta"/>
    <s v="SZR"/>
    <s v="CEG"/>
    <x v="0"/>
    <x v="124"/>
    <x v="20"/>
    <s v="SZR"/>
  </r>
  <r>
    <x v="2520"/>
    <s v="AUDTR"/>
    <s v="AUDAX TER REN"/>
    <n v="2.4"/>
    <s v="18WRAUDAX-1234-O"/>
    <x v="18"/>
    <s v="Venta"/>
    <s v="SZR"/>
    <s v="ADXRE"/>
    <x v="0"/>
    <x v="37"/>
    <x v="20"/>
    <s v="SZR"/>
  </r>
  <r>
    <x v="2521"/>
    <s v="RAUN"/>
    <s v="UP C.H. AMERAUN"/>
    <n v="1.5"/>
    <s v="18WRAUN-123456-0"/>
    <x v="1"/>
    <s v="Venta"/>
    <s v="SZR"/>
    <s v="GNRA"/>
    <x v="0"/>
    <x v="46"/>
    <x v="19"/>
    <s v="SZR"/>
  </r>
  <r>
    <x v="2522"/>
    <s v="RBALMN"/>
    <s v="UP BIOGAS ALMENAR"/>
    <n v="3"/>
    <s v="18W000000000NI8V"/>
    <x v="18"/>
    <s v="Venta"/>
    <s v="SZR"/>
    <s v="NEXU"/>
    <x v="0"/>
    <x v="187"/>
    <x v="20"/>
    <s v="SZR"/>
  </r>
  <r>
    <x v="2523"/>
    <s v="RBCESPA"/>
    <s v="UP CESPA"/>
    <n v="3.1"/>
    <s v="18WRBCESPA-123-C"/>
    <x v="18"/>
    <s v="Venta"/>
    <s v="SZR"/>
    <s v="GNRA"/>
    <x v="0"/>
    <x v="46"/>
    <x v="20"/>
    <s v="SZR"/>
  </r>
  <r>
    <x v="2524"/>
    <s v="RBESOS"/>
    <s v="ECOPARC 2"/>
    <n v="4.0999999999999996"/>
    <s v="18W000000000Q5VC"/>
    <x v="18"/>
    <s v="Venta"/>
    <s v="SZR"/>
    <s v="EGLE"/>
    <x v="0"/>
    <x v="82"/>
    <x v="20"/>
    <s v="SZR"/>
  </r>
  <r>
    <x v="2525"/>
    <s v="RBIOCAN"/>
    <s v="RBIOCAN"/>
    <n v="10"/>
    <s v="18WRBIOCAN-123-J"/>
    <x v="19"/>
    <s v="Venta"/>
    <s v="EVM"/>
    <s v="CEG"/>
    <x v="0"/>
    <x v="124"/>
    <x v="22"/>
    <s v="EVM"/>
  </r>
  <r>
    <x v="2526"/>
    <s v="RBIOLSI"/>
    <s v="BIOELÉCTRICA DE LINARES, S.L."/>
    <n v="15"/>
    <s v="18WRBIOLSI-123-E"/>
    <x v="19"/>
    <s v="Venta"/>
    <s v="SZR"/>
    <s v="GNRA"/>
    <x v="0"/>
    <x v="46"/>
    <x v="22"/>
    <s v="SZR"/>
  </r>
  <r>
    <x v="2527"/>
    <s v="RBIORAY"/>
    <s v="UP BIOELECTRICA DE GARAY"/>
    <n v="17"/>
    <s v="18W000000000S74F"/>
    <x v="19"/>
    <s v="Venta"/>
    <s v="AXC"/>
    <s v="EGLE"/>
    <x v="0"/>
    <x v="82"/>
    <x v="22"/>
    <s v="AXC"/>
  </r>
  <r>
    <x v="2528"/>
    <s v="UP BIORE"/>
    <s v="UP BIORECICLAJE DE CADIZ"/>
    <n v="1.2"/>
    <s v="18W000000000SIC3"/>
    <x v="18"/>
    <s v="Venta"/>
    <s v="SZR"/>
    <s v="GEMSL"/>
    <x v="0"/>
    <x v="280"/>
    <x v="20"/>
    <s v="SZR"/>
  </r>
  <r>
    <x v="2529"/>
    <s v="RBIOSAN"/>
    <s v="18WRBIOSAN-12-1V"/>
    <n v="14.3"/>
    <s v="18WRBIOSAN-12-1V"/>
    <x v="19"/>
    <s v="Venta"/>
    <s v="ENCE"/>
    <s v="SANTG"/>
    <x v="0"/>
    <x v="211"/>
    <x v="22"/>
    <s v="ENC"/>
  </r>
  <r>
    <x v="2530"/>
    <s v="RBIOWA"/>
    <s v="BIOWATT IBERICA ( R )"/>
    <n v="1.1000000000000001"/>
    <s v="18WBIOWA-1234-09"/>
    <x v="10"/>
    <s v="Venta"/>
    <s v="SZR"/>
    <s v="BIOWA"/>
    <x v="0"/>
    <x v="562"/>
    <x v="10"/>
    <s v="SZR"/>
  </r>
  <r>
    <x v="2531"/>
    <s v="BBIPUGE"/>
    <s v="BIPUGE"/>
    <n v="9.8000000000000007"/>
    <s v="18WRBIPU-12345-A"/>
    <x v="19"/>
    <s v="Venta"/>
    <s v="SZR"/>
    <s v="GNRA"/>
    <x v="0"/>
    <x v="46"/>
    <x v="22"/>
    <s v="SZR"/>
  </r>
  <r>
    <x v="2532"/>
    <s v="BOTARELL"/>
    <s v="PLANTA MECANIC-BILOGICA DE BOTARELL"/>
    <n v="1.2"/>
    <s v="18WRBOTARE-123-X"/>
    <x v="18"/>
    <s v="Venta"/>
    <s v="SZR"/>
    <s v="BOTAR"/>
    <x v="0"/>
    <x v="563"/>
    <x v="20"/>
    <s v="SZR"/>
  </r>
  <r>
    <x v="2533"/>
    <s v="RCAMPEL"/>
    <s v="UP EL CAMPELLO"/>
    <n v="1.4"/>
    <s v="18WRCAMPEL-123-H"/>
    <x v="18"/>
    <s v="Venta"/>
    <s v="SZR"/>
    <s v="GNRA"/>
    <x v="0"/>
    <x v="46"/>
    <x v="20"/>
    <s v="SZR"/>
  </r>
  <r>
    <x v="2534"/>
    <s v="RCEASA"/>
    <s v="CENERE1"/>
    <n v="36.6"/>
    <s v="18WRCEASA-123-1H"/>
    <x v="19"/>
    <s v="Venta"/>
    <s v="ENCE"/>
    <s v="CEASA"/>
    <x v="0"/>
    <x v="211"/>
    <x v="22"/>
    <s v="ENC"/>
  </r>
  <r>
    <x v="2535"/>
    <s v="RCENER"/>
    <s v="CENERE1"/>
    <n v="40.9"/>
    <s v="18WRCENER-123-1P"/>
    <x v="19"/>
    <s v="Venta"/>
    <s v="ENCE"/>
    <s v="CENER"/>
    <x v="0"/>
    <x v="211"/>
    <x v="22"/>
    <s v="ENC"/>
  </r>
  <r>
    <x v="2536"/>
    <s v="RCESPA"/>
    <s v="18WRCESPA-1234-1"/>
    <n v="3.4"/>
    <s v="18WRCESPA-1234-1"/>
    <x v="18"/>
    <s v="Venta"/>
    <s v="SZR"/>
    <s v="EGLE"/>
    <x v="0"/>
    <x v="82"/>
    <x v="20"/>
    <s v="SZR"/>
  </r>
  <r>
    <x v="2537"/>
    <s v="RCESRE"/>
    <s v="18WRCESRE-1234-P"/>
    <n v="4.5"/>
    <s v="18WRCESRE-1234-P"/>
    <x v="18"/>
    <s v="Venta"/>
    <s v="SZR"/>
    <s v="EGLE"/>
    <x v="0"/>
    <x v="82"/>
    <x v="20"/>
    <s v="SZR"/>
  </r>
  <r>
    <x v="2538"/>
    <s v="RCMOVA"/>
    <s v="RESIDUOS MOVIALSA&gt;10"/>
    <n v="11.9"/>
    <s v="18WRCMOVA-1234-A"/>
    <x v="19"/>
    <s v="Venta"/>
    <s v="SZR"/>
    <s v="CEG"/>
    <x v="0"/>
    <x v="124"/>
    <x v="22"/>
    <s v="SZR"/>
  </r>
  <r>
    <x v="2539"/>
    <s v="RCOGBIO"/>
    <s v="18WRCOGBIO-123-X"/>
    <n v="7.5"/>
    <s v="18WRCOGBIO-123-X"/>
    <x v="18"/>
    <s v="Venta"/>
    <s v="SZR"/>
    <s v="EGLE"/>
    <x v="0"/>
    <x v="82"/>
    <x v="20"/>
    <s v="SZR"/>
  </r>
  <r>
    <x v="2540"/>
    <s v="RCOGENA"/>
    <s v="COGENERACION NAVIA CGCEASA"/>
    <n v="40.299999999999997"/>
    <s v="18WRCOGENA-123-R"/>
    <x v="18"/>
    <s v="Venta"/>
    <s v="SZR"/>
    <s v="CEASA"/>
    <x v="0"/>
    <x v="211"/>
    <x v="39"/>
    <s v="SZR"/>
  </r>
  <r>
    <x v="2541"/>
    <s v="RCOGRVO"/>
    <s v="UP RESIDUOS RESIDVO"/>
    <n v="1.2"/>
    <s v="18W000000000TJUY"/>
    <x v="18"/>
    <s v="Venta"/>
    <s v="SZR"/>
    <s v="NEXU"/>
    <x v="0"/>
    <x v="187"/>
    <x v="20"/>
    <s v="SZR"/>
  </r>
  <r>
    <x v="2542"/>
    <s v="RCONSULT"/>
    <s v="RENOVAE ENERGY"/>
    <n v="2"/>
    <s v="18W000000000IWA5"/>
    <x v="2"/>
    <s v="Compra"/>
    <s v="SZR"/>
    <s v="RCONS"/>
    <x v="1"/>
    <x v="564"/>
    <x v="2"/>
    <s v="SZR"/>
  </r>
  <r>
    <x v="2543"/>
    <s v="RCOPAMP"/>
    <s v="R-B7 COM. PAMPLONA"/>
    <n v="4.5"/>
    <s v="18WRCOPAMP-123-O"/>
    <x v="18"/>
    <s v="Venta"/>
    <s v="SZR"/>
    <s v="CEG"/>
    <x v="0"/>
    <x v="124"/>
    <x v="20"/>
    <s v="SZR"/>
  </r>
  <r>
    <x v="2544"/>
    <s v="RCUBILLOS"/>
    <s v="UP BIOMASA CUBILLOS"/>
    <n v="49.5"/>
    <s v="18W000000000H3J4"/>
    <x v="19"/>
    <s v="Venta"/>
    <s v="SZR"/>
    <s v="NEXU"/>
    <x v="0"/>
    <x v="187"/>
    <x v="22"/>
    <s v="SZR"/>
  </r>
  <r>
    <x v="2545"/>
    <s v="RCULEBR"/>
    <s v="UP EL CULEBRETE"/>
    <n v="1.4"/>
    <s v="18WRCULEBR-12--B"/>
    <x v="18"/>
    <s v="Venta"/>
    <s v="SZR"/>
    <s v="GNRA"/>
    <x v="0"/>
    <x v="46"/>
    <x v="20"/>
    <s v="SZR"/>
  </r>
  <r>
    <x v="2546"/>
    <s v="RCURTIS"/>
    <s v="UP BIOMASA CURTIS"/>
    <n v="49.9"/>
    <s v="18W000000000PI10"/>
    <x v="19"/>
    <s v="Venta"/>
    <s v="SZR"/>
    <s v="NEXU"/>
    <x v="0"/>
    <x v="187"/>
    <x v="22"/>
    <s v="SZR"/>
  </r>
  <r>
    <x v="2547"/>
    <s v="RDAKIN"/>
    <s v="18W000000000K74A"/>
    <n v="25.5"/>
    <s v="18W000000000K74A"/>
    <x v="18"/>
    <s v="Venta"/>
    <s v="SZR"/>
    <s v="EGLE"/>
    <x v="0"/>
    <x v="82"/>
    <x v="40"/>
    <s v="SZR"/>
  </r>
  <r>
    <x v="2548"/>
    <s v="RDGAC01"/>
    <s v="COMERCIALIZADORA"/>
    <n v="0"/>
    <s v="18W000000000SD21"/>
    <x v="2"/>
    <s v="Compra"/>
    <s v="SZR"/>
    <s v="RDGCO"/>
    <x v="1"/>
    <x v="565"/>
    <x v="2"/>
    <s v="SZR"/>
  </r>
  <r>
    <x v="2549"/>
    <s v="RDQ1"/>
    <s v="RINCON DEL DUQUE 1"/>
    <n v="0.1"/>
    <s v="18WRDQ1-123456-6"/>
    <x v="1"/>
    <s v="Venta"/>
    <s v="SZR"/>
    <s v="BARER"/>
    <x v="0"/>
    <x v="1"/>
    <x v="1"/>
    <s v="SZR"/>
  </r>
  <r>
    <x v="2550"/>
    <s v="RDQ2"/>
    <s v="RINCON DEL DUQUE 2"/>
    <n v="0.1"/>
    <s v="18WRDQ2-123456-X"/>
    <x v="1"/>
    <s v="Venta"/>
    <s v="SZR"/>
    <s v="BARER"/>
    <x v="0"/>
    <x v="1"/>
    <x v="1"/>
    <s v="SZR"/>
  </r>
  <r>
    <x v="2551"/>
    <s v="CARRE"/>
    <s v="CARRE UP"/>
    <n v="10"/>
    <s v="18W000000000SRTG"/>
    <x v="11"/>
    <s v="Venta"/>
    <s v="SZR"/>
    <s v="RENSP"/>
    <x v="0"/>
    <x v="566"/>
    <x v="11"/>
    <s v="SZR"/>
  </r>
  <r>
    <x v="2552"/>
    <s v="RECMED"/>
    <s v="BIOGAS ECOPARC"/>
    <n v="4.2"/>
    <s v="18WRECMED-1234-N"/>
    <x v="18"/>
    <s v="Venta"/>
    <s v="SZR"/>
    <s v="CEG"/>
    <x v="0"/>
    <x v="124"/>
    <x v="20"/>
    <s v="SZR"/>
  </r>
  <r>
    <x v="2553"/>
    <s v="RECOBAR"/>
    <s v="UP ECOPARC BARCELONA"/>
    <n v="5.2"/>
    <s v="18W000000000RA4A"/>
    <x v="18"/>
    <s v="Venta"/>
    <s v="SZR"/>
    <s v="EGLE"/>
    <x v="0"/>
    <x v="82"/>
    <x v="20"/>
    <s v="SZR"/>
  </r>
  <r>
    <x v="2554"/>
    <s v="EMECE"/>
    <s v="EMECE ENERGIA COMERCIALIZADORA"/>
    <n v="2"/>
    <s v="18WRECON-UP-COMR"/>
    <x v="2"/>
    <s v="Compra"/>
    <s v="SZR"/>
    <s v="RECON"/>
    <x v="1"/>
    <x v="567"/>
    <x v="2"/>
    <s v="SZR"/>
  </r>
  <r>
    <x v="2555"/>
    <s v="REEM20"/>
    <s v="ENCE ENERGIA EXTREMADURA"/>
    <n v="20"/>
    <s v="18WREEM20-1234-S"/>
    <x v="19"/>
    <s v="Venta"/>
    <s v="ENCE"/>
    <s v="ENCEG"/>
    <x v="0"/>
    <x v="211"/>
    <x v="22"/>
    <s v="ENC"/>
  </r>
  <r>
    <x v="2556"/>
    <s v="REGBRE"/>
    <s v="UP BIOMASA EGABRENSE"/>
    <n v="8"/>
    <s v="18W000000000P2JC"/>
    <x v="19"/>
    <s v="Venta"/>
    <s v="SZR"/>
    <s v="NEXU"/>
    <x v="0"/>
    <x v="187"/>
    <x v="22"/>
    <s v="SZR"/>
  </r>
  <r>
    <x v="2557"/>
    <s v="REGPE3"/>
    <s v="REGPE3 ZR"/>
    <n v="0.4"/>
    <s v="18W0000000004P7E"/>
    <x v="18"/>
    <s v="Venta"/>
    <s v="SZR"/>
    <s v="ECYR"/>
    <x v="0"/>
    <x v="72"/>
    <x v="20"/>
    <s v="SZR"/>
  </r>
  <r>
    <x v="2558"/>
    <s v="UP_RELUZCA"/>
    <s v="U PROGRAMACION RELUZCA"/>
    <n v="2"/>
    <s v="18W000000000JY39"/>
    <x v="2"/>
    <s v="Compra"/>
    <s v="SZR"/>
    <s v="RELUZ"/>
    <x v="1"/>
    <x v="568"/>
    <x v="2"/>
    <s v="SZR"/>
  </r>
  <r>
    <x v="2559"/>
    <s v="REMIC01"/>
    <s v="REMIC01"/>
    <n v="0.9"/>
    <s v="18W000000000369Y"/>
    <x v="2"/>
    <s v="Compra"/>
    <s v="SZR"/>
    <s v="REMIC"/>
    <x v="1"/>
    <x v="569"/>
    <x v="2"/>
    <s v="SZR"/>
  </r>
  <r>
    <x v="2560"/>
    <s v="RENCE"/>
    <s v="VENTA G ENCE A MERCADO"/>
    <n v="34.5"/>
    <s v="18WRENCE-12345-8"/>
    <x v="19"/>
    <s v="Venta"/>
    <s v="SZR"/>
    <s v="ENCEG"/>
    <x v="0"/>
    <x v="211"/>
    <x v="22"/>
    <s v="SZR"/>
  </r>
  <r>
    <x v="2561"/>
    <s v="RENMAN"/>
    <s v="18W00000000029QW"/>
    <n v="16"/>
    <s v="18W00000000029QW"/>
    <x v="19"/>
    <s v="Venta"/>
    <s v="ENCE"/>
    <s v="ENCEG"/>
    <x v="0"/>
    <x v="211"/>
    <x v="22"/>
    <s v="ENC"/>
  </r>
  <r>
    <x v="2562"/>
    <s v="RENUC01"/>
    <s v="RENU ENERGY"/>
    <n v="0"/>
    <s v="18W000000000RZ3B"/>
    <x v="2"/>
    <s v="Compra"/>
    <s v="SZR"/>
    <s v="RENUE"/>
    <x v="1"/>
    <x v="570"/>
    <x v="2"/>
    <s v="SZR"/>
  </r>
  <r>
    <x v="2563"/>
    <s v="REPC01"/>
    <s v="REPC01"/>
    <n v="18.5"/>
    <s v="18W000000000EZNN"/>
    <x v="6"/>
    <s v="Compra"/>
    <s v="SZR"/>
    <s v="REPSB"/>
    <x v="3"/>
    <x v="29"/>
    <x v="6"/>
    <s v="SZR"/>
  </r>
  <r>
    <x v="2564"/>
    <s v="REPEC01"/>
    <s v="REPSOL PETROLEO"/>
    <n v="295.89999999999998"/>
    <s v="18W000000000672X"/>
    <x v="6"/>
    <s v="Compra"/>
    <s v="SZR"/>
    <s v="REPP"/>
    <x v="3"/>
    <x v="29"/>
    <x v="6"/>
    <s v="SZR"/>
  </r>
  <r>
    <x v="2565"/>
    <s v="REPFOTV"/>
    <s v="REPFOTV"/>
    <n v="1"/>
    <s v="18W000000000AYRY"/>
    <x v="9"/>
    <s v="Venta"/>
    <s v="SZR"/>
    <s v="INER1"/>
    <x v="0"/>
    <x v="408"/>
    <x v="9"/>
    <s v="SZR"/>
  </r>
  <r>
    <x v="2566"/>
    <s v="REPPLL"/>
    <s v="REPSOL PETROLEO PUERTOLLANO"/>
    <n v="84"/>
    <s v="18WREPPLL-123-0W"/>
    <x v="3"/>
    <s v="Venta"/>
    <s v="SZR"/>
    <s v="REPP"/>
    <x v="0"/>
    <x v="29"/>
    <x v="18"/>
    <s v="SZR"/>
  </r>
  <r>
    <x v="2567"/>
    <s v="REPR"/>
    <s v="REPRIMALA"/>
    <n v="0.3"/>
    <s v="18WREPR-123456-4"/>
    <x v="1"/>
    <s v="Venta"/>
    <s v="SZR"/>
    <s v="BARER"/>
    <x v="0"/>
    <x v="1"/>
    <x v="1"/>
    <s v="SZR"/>
  </r>
  <r>
    <x v="2568"/>
    <s v="REPRC01"/>
    <s v="REPRC01"/>
    <n v="86"/>
    <s v="18W000000000C9EG"/>
    <x v="6"/>
    <s v="Compra"/>
    <s v="SZR"/>
    <s v="REPP"/>
    <x v="3"/>
    <x v="29"/>
    <x v="6"/>
    <s v="SZR"/>
  </r>
  <r>
    <x v="2569"/>
    <s v="CABEZO"/>
    <s v="CABEZO UP"/>
    <n v="23.2"/>
    <s v="18W000000000SRUE"/>
    <x v="11"/>
    <s v="Venta"/>
    <s v="SZR"/>
    <s v="RENSP"/>
    <x v="0"/>
    <x v="566"/>
    <x v="11"/>
    <s v="SZR"/>
  </r>
  <r>
    <x v="2570"/>
    <s v="RESIAME"/>
    <s v="RESIAME"/>
    <n v="2"/>
    <s v="18WRESIAME-123-T"/>
    <x v="18"/>
    <s v="Venta"/>
    <s v="SZR"/>
    <s v="AME"/>
    <x v="0"/>
    <x v="0"/>
    <x v="40"/>
    <s v="SZR"/>
  </r>
  <r>
    <x v="2571"/>
    <s v="SOLARPLANT"/>
    <s v="SOLAR PLANT PORTFOLIO 1"/>
    <n v="44.5"/>
    <s v="18W000000000S4C8"/>
    <x v="9"/>
    <s v="Venta"/>
    <s v="SZR"/>
    <s v="RENSP"/>
    <x v="0"/>
    <x v="566"/>
    <x v="9"/>
    <s v="SZR"/>
  </r>
  <r>
    <x v="2572"/>
    <s v="RESSEC"/>
    <s v="RESSEC UP"/>
    <n v="0.2"/>
    <s v="18W00000000032B5"/>
    <x v="1"/>
    <s v="Venta"/>
    <s v="SZR"/>
    <s v="AMADR"/>
    <x v="0"/>
    <x v="192"/>
    <x v="1"/>
    <s v="SZR"/>
  </r>
  <r>
    <x v="2573"/>
    <s v="REUSC01"/>
    <s v="REUSC01"/>
    <n v="0.4"/>
    <s v="18W000000000M1D2"/>
    <x v="2"/>
    <s v="Compra"/>
    <s v="SZR"/>
    <s v="REUSS"/>
    <x v="1"/>
    <x v="571"/>
    <x v="2"/>
    <s v="SZR"/>
  </r>
  <r>
    <x v="2574"/>
    <s v="REXTRA"/>
    <s v="EXTRAGOL R"/>
    <n v="9.1"/>
    <s v="18W000000000O2WR"/>
    <x v="19"/>
    <s v="Venta"/>
    <s v="SZR"/>
    <s v="NEXU"/>
    <x v="0"/>
    <x v="187"/>
    <x v="22"/>
    <s v="SZR"/>
  </r>
  <r>
    <x v="2575"/>
    <s v="REYSC01"/>
    <s v="REYSC01"/>
    <n v="0.1"/>
    <s v="18WREYSC01-123-1"/>
    <x v="2"/>
    <s v="Compra"/>
    <s v="SZR"/>
    <s v="REYSE"/>
    <x v="1"/>
    <x v="572"/>
    <x v="2"/>
    <s v="SZR"/>
  </r>
  <r>
    <x v="2576"/>
    <s v="UP BILOGR"/>
    <s v="UP BIO EXTREMADURA 1"/>
    <n v="49.9"/>
    <s v="18W000000000T6CZ"/>
    <x v="19"/>
    <s v="Venta"/>
    <s v="SZR"/>
    <s v="EGED"/>
    <x v="0"/>
    <x v="186"/>
    <x v="22"/>
    <s v="SZR"/>
  </r>
  <r>
    <x v="2577"/>
    <s v="RFDETIC"/>
    <s v="UPROG TERMICA RENOVABLE"/>
    <n v="1.2"/>
    <s v="18WRFDETIC-123-N"/>
    <x v="19"/>
    <s v="Venta"/>
    <s v="SZR"/>
    <s v="DETIC"/>
    <x v="0"/>
    <x v="71"/>
    <x v="22"/>
    <s v="SZR"/>
  </r>
  <r>
    <x v="2578"/>
    <s v="RFEGED"/>
    <s v="BIO TARIFA"/>
    <n v="61.2"/>
    <s v="18WRFEGED-1234-C"/>
    <x v="19"/>
    <s v="Venta"/>
    <s v="SZR"/>
    <s v="EGED"/>
    <x v="0"/>
    <x v="186"/>
    <x v="22"/>
    <s v="SZR"/>
  </r>
  <r>
    <x v="2579"/>
    <s v="RFNEXU"/>
    <s v="UP RESIDUOS MAYOR DE 1MW"/>
    <n v="1.3"/>
    <s v="18WRFNEXU-1234-X"/>
    <x v="18"/>
    <s v="Venta"/>
    <s v="SZR"/>
    <s v="NEXU"/>
    <x v="0"/>
    <x v="187"/>
    <x v="20"/>
    <s v="SZR"/>
  </r>
  <r>
    <x v="2580"/>
    <s v="RFUENP"/>
    <s v="UP NEOE SC BIOASA FDP"/>
    <n v="8"/>
    <s v="18W000000000RB71"/>
    <x v="19"/>
    <s v="Venta"/>
    <s v="SZR"/>
    <s v="EGLE"/>
    <x v="0"/>
    <x v="82"/>
    <x v="22"/>
    <s v="SZR"/>
  </r>
  <r>
    <x v="2581"/>
    <s v="RFVALDE"/>
    <s v="RFVALDE"/>
    <n v="18.899999999999999"/>
    <s v="18WRFVALDE-123-0"/>
    <x v="18"/>
    <s v="Venta"/>
    <s v="SZR"/>
    <s v="DETIC"/>
    <x v="0"/>
    <x v="71"/>
    <x v="20"/>
    <s v="SZR"/>
  </r>
  <r>
    <x v="2582"/>
    <s v="RGAME"/>
    <s v="RGAME"/>
    <n v="2"/>
    <s v="18WRGAME-12345-R"/>
    <x v="18"/>
    <s v="Venta"/>
    <s v="SZR"/>
    <s v="AME"/>
    <x v="0"/>
    <x v="0"/>
    <x v="20"/>
    <s v="SZR"/>
  </r>
  <r>
    <x v="2583"/>
    <s v="RGECASA"/>
    <s v="RGECASA"/>
    <n v="1.6"/>
    <s v="18W000000000QRRS"/>
    <x v="19"/>
    <s v="Venta"/>
    <s v="SZR"/>
    <s v="CEG"/>
    <x v="0"/>
    <x v="124"/>
    <x v="22"/>
    <s v="SZR"/>
  </r>
  <r>
    <x v="2584"/>
    <s v="RGEDES"/>
    <s v="18WRGEDES-1234-L"/>
    <n v="15.5"/>
    <s v="18WRGEDES-1234-L"/>
    <x v="18"/>
    <s v="Venta"/>
    <s v="SZR"/>
    <s v="EGLE"/>
    <x v="0"/>
    <x v="82"/>
    <x v="20"/>
    <s v="SZR"/>
  </r>
  <r>
    <x v="2585"/>
    <s v="BIOM IDA"/>
    <s v="BIOMASA IDA"/>
    <n v="2.2000000000000002"/>
    <s v="18W0000000005CKN"/>
    <x v="19"/>
    <s v="Venta"/>
    <s v="SZR"/>
    <s v="GESTE"/>
    <x v="0"/>
    <x v="219"/>
    <x v="22"/>
    <s v="SZR"/>
  </r>
  <r>
    <x v="2586"/>
    <s v="RINUSA"/>
    <s v="BIOGAS INUSA"/>
    <n v="2.1"/>
    <s v="18W0000000004WGC"/>
    <x v="18"/>
    <s v="Venta"/>
    <s v="SZR"/>
    <s v="CEG"/>
    <x v="0"/>
    <x v="124"/>
    <x v="20"/>
    <s v="SZR"/>
  </r>
  <r>
    <x v="2587"/>
    <s v="RIOANTI"/>
    <s v="ELCTRICA RO ANTIGUO"/>
    <n v="4"/>
    <s v="18W000000000QVLS"/>
    <x v="1"/>
    <s v="Venta"/>
    <s v="SZR"/>
    <s v="LMER"/>
    <x v="0"/>
    <x v="89"/>
    <x v="19"/>
    <s v="SZR"/>
  </r>
  <r>
    <x v="2588"/>
    <s v="RISLON"/>
    <s v="ISLONIAS R"/>
    <n v="1.9"/>
    <s v="18W000000000L9AP"/>
    <x v="19"/>
    <s v="Venta"/>
    <s v="SZR"/>
    <s v="GEMSL"/>
    <x v="0"/>
    <x v="280"/>
    <x v="22"/>
    <s v="SZR"/>
  </r>
  <r>
    <x v="2589"/>
    <s v="RIVAS UP"/>
    <s v="RIVAS UPROGRAMACION"/>
    <n v="1411.4"/>
    <s v="18W00000000066I4"/>
    <x v="6"/>
    <s v="Compra"/>
    <s v="SZR"/>
    <s v="RIVAS"/>
    <x v="3"/>
    <x v="573"/>
    <x v="6"/>
    <s v="SZR"/>
  </r>
  <r>
    <x v="2590"/>
    <s v="UP RIVAV01"/>
    <s v="UP RIVAVACIAMADRID VENTA"/>
    <n v="0.4"/>
    <s v="18W000000000HPIE"/>
    <x v="9"/>
    <s v="Venta"/>
    <s v="SZR"/>
    <s v="RIVAS"/>
    <x v="0"/>
    <x v="573"/>
    <x v="9"/>
    <s v="SZR"/>
  </r>
  <r>
    <x v="2591"/>
    <s v="RLALOM"/>
    <s v="18WRLALOM-1234-V"/>
    <n v="16"/>
    <s v="18WRLALOM-1234-V"/>
    <x v="19"/>
    <s v="Venta"/>
    <s v="ENCE"/>
    <s v="ENCEG"/>
    <x v="0"/>
    <x v="211"/>
    <x v="22"/>
    <s v="ENC"/>
  </r>
  <r>
    <x v="2592"/>
    <s v="RMARINA"/>
    <s v="UP LA MARINA"/>
    <n v="1.9"/>
    <s v="18WRMARINA-123-Q"/>
    <x v="19"/>
    <s v="Venta"/>
    <s v="SZR"/>
    <s v="GNRA"/>
    <x v="0"/>
    <x v="46"/>
    <x v="22"/>
    <s v="SZR"/>
  </r>
  <r>
    <x v="2593"/>
    <s v="RMERU"/>
    <s v="RMERU"/>
    <n v="2.8"/>
    <s v="18W000000000T1VC"/>
    <x v="18"/>
    <s v="Venta"/>
    <s v="SZR"/>
    <s v="CEG"/>
    <x v="0"/>
    <x v="124"/>
    <x v="20"/>
    <s v="SZR"/>
  </r>
  <r>
    <x v="2594"/>
    <s v="RMENXU"/>
    <s v="UP BIOMASA"/>
    <n v="0.2"/>
    <s v="18W0000000005AAC"/>
    <x v="19"/>
    <s v="Venta"/>
    <s v="SZR"/>
    <s v="NEXU"/>
    <x v="0"/>
    <x v="187"/>
    <x v="22"/>
    <s v="SZR"/>
  </r>
  <r>
    <x v="2595"/>
    <s v="RMSVGA"/>
    <s v="18WRMSVGA-1234-0"/>
    <n v="1.4"/>
    <s v="18WRMSVGA-1234-0"/>
    <x v="18"/>
    <s v="Venta"/>
    <s v="SZR"/>
    <s v="EGLE"/>
    <x v="0"/>
    <x v="82"/>
    <x v="20"/>
    <s v="SZR"/>
  </r>
  <r>
    <x v="2596"/>
    <s v="RMU1"/>
    <s v="RIO MUERTO"/>
    <n v="0.1"/>
    <s v="18WRMU1-123456-2"/>
    <x v="1"/>
    <s v="Venta"/>
    <s v="SZR"/>
    <s v="BARER"/>
    <x v="0"/>
    <x v="1"/>
    <x v="1"/>
    <s v="SZR"/>
  </r>
  <r>
    <x v="2597"/>
    <s v="RNAVARA"/>
    <s v="UO LA MARINA"/>
    <n v="5.7"/>
    <s v="18WRNAVARA-123-E"/>
    <x v="18"/>
    <s v="Venta"/>
    <s v="SZR"/>
    <s v="GNRA"/>
    <x v="0"/>
    <x v="46"/>
    <x v="20"/>
    <s v="SZR"/>
  </r>
  <r>
    <x v="2598"/>
    <s v="REGANOSA"/>
    <s v="UP REGANOSA"/>
    <n v="13.1"/>
    <s v="18W000000000SJYU"/>
    <x v="6"/>
    <s v="Compra"/>
    <s v="SZR"/>
    <s v="GEMSL"/>
    <x v="3"/>
    <x v="280"/>
    <x v="6"/>
    <s v="SZR"/>
  </r>
  <r>
    <x v="2599"/>
    <s v="ROFEC01"/>
    <s v="ROFEICA ENERGIA, S.L."/>
    <n v="1.5"/>
    <s v="18WROFEC01-123-8"/>
    <x v="2"/>
    <s v="Compra"/>
    <s v="SZR"/>
    <s v="ROFEN"/>
    <x v="1"/>
    <x v="574"/>
    <x v="2"/>
    <s v="SZR"/>
  </r>
  <r>
    <x v="2600"/>
    <s v="ROFEICA"/>
    <s v="ROFEICA ENERGIA SA"/>
    <n v="9.1"/>
    <s v="18WROFENV1-123-V"/>
    <x v="3"/>
    <s v="Venta"/>
    <s v="SZR"/>
    <s v="ROFEN"/>
    <x v="0"/>
    <x v="574"/>
    <x v="18"/>
    <s v="SZR"/>
  </r>
  <r>
    <x v="2601"/>
    <s v="ROFENV2"/>
    <s v="GAROFEICA SA"/>
    <n v="6"/>
    <s v="18W0000000006FEM"/>
    <x v="10"/>
    <s v="Venta"/>
    <s v="SZR"/>
    <s v="ROFEN"/>
    <x v="0"/>
    <x v="574"/>
    <x v="10"/>
    <s v="SZR"/>
  </r>
  <r>
    <x v="2602"/>
    <s v="ROLEIC"/>
    <s v="18WROLEIC-1234-4"/>
    <n v="42.9"/>
    <s v="18WROLEIC-1234-4"/>
    <x v="19"/>
    <s v="Venta"/>
    <s v="SZR"/>
    <s v="EGLE"/>
    <x v="0"/>
    <x v="82"/>
    <x v="22"/>
    <s v="SZR"/>
  </r>
  <r>
    <x v="2603"/>
    <s v="RONDA"/>
    <s v="SERRANIA DE RONDA"/>
    <n v="4"/>
    <s v="18WRONDC01-123-4"/>
    <x v="2"/>
    <s v="Compra"/>
    <s v="SZR"/>
    <s v="RONDA"/>
    <x v="1"/>
    <x v="575"/>
    <x v="2"/>
    <s v="SZR"/>
  </r>
  <r>
    <x v="2604"/>
    <s v="RPAME"/>
    <s v="RPAME"/>
    <n v="3"/>
    <s v="18WRPAME-12345-U"/>
    <x v="18"/>
    <s v="Venta"/>
    <s v="SZR"/>
    <s v="AME"/>
    <x v="0"/>
    <x v="0"/>
    <x v="20"/>
    <s v="SZR"/>
  </r>
  <r>
    <x v="2605"/>
    <s v="RPCABANM"/>
    <s v="RPCABANME"/>
    <n v="0.3"/>
    <s v="18WRPCABAN-123-T"/>
    <x v="18"/>
    <s v="Venta"/>
    <s v="SZR"/>
    <s v="LMER"/>
    <x v="0"/>
    <x v="89"/>
    <x v="20"/>
    <s v="SZR"/>
  </r>
  <r>
    <x v="2606"/>
    <s v="RPEEXXI"/>
    <s v="ENDESA CUR ( TERMICA RENOVABLE, PRUEBAS)"/>
    <n v="0.7"/>
    <s v="18WRPEEXXI-123-R"/>
    <x v="19"/>
    <s v="Venta"/>
    <s v="SZR"/>
    <s v="EEXXI"/>
    <x v="0"/>
    <x v="72"/>
    <x v="22"/>
    <s v="SZR"/>
  </r>
  <r>
    <x v="2607"/>
    <s v="RPEONUR"/>
    <s v="E.ON CUR ( TERMICA RENOVABLE, PRUEBAS)"/>
    <n v="0"/>
    <s v="18WRPEONUR-123-F"/>
    <x v="19"/>
    <s v="Venta"/>
    <s v="SZR"/>
    <s v="EONUR"/>
    <x v="0"/>
    <x v="270"/>
    <x v="22"/>
    <s v="SZR"/>
  </r>
  <r>
    <x v="2608"/>
    <s v="RPGUIZ"/>
    <s v="18WRPGUIZ-123--E"/>
    <n v="20"/>
    <s v="18WRPGUIZ-123--E"/>
    <x v="18"/>
    <s v="Venta"/>
    <s v="SZR"/>
    <s v="EGLE"/>
    <x v="0"/>
    <x v="82"/>
    <x v="39"/>
    <s v="SZR"/>
  </r>
  <r>
    <x v="2609"/>
    <s v="RPHCCUR"/>
    <s v="HIDROCANTABRICO CUR ( TERMICA RENOVABLE, PRUEBAS)"/>
    <n v="0"/>
    <s v="18WRPHCCUR-123-G"/>
    <x v="19"/>
    <s v="Venta"/>
    <s v="SZR"/>
    <s v="HCCUR"/>
    <x v="0"/>
    <x v="273"/>
    <x v="22"/>
    <s v="SZR"/>
  </r>
  <r>
    <x v="2610"/>
    <s v="RPIBCUR"/>
    <s v="IBERDROLA CUR ( TERMICA RENOVABLE, PRUEBAS)"/>
    <n v="1"/>
    <s v="18WRPIBCUR-123-F"/>
    <x v="18"/>
    <s v="Venta"/>
    <s v="SZR"/>
    <s v="IBCUR"/>
    <x v="0"/>
    <x v="7"/>
    <x v="20"/>
    <s v="SZR"/>
  </r>
  <r>
    <x v="2611"/>
    <s v="RPREZO"/>
    <s v="UP PREZERO ESPAÑA"/>
    <n v="1"/>
    <s v="18W000000000TF9E"/>
    <x v="18"/>
    <s v="Venta"/>
    <s v="SZR"/>
    <s v="EGLE"/>
    <x v="0"/>
    <x v="82"/>
    <x v="20"/>
    <s v="SZR"/>
  </r>
  <r>
    <x v="2612"/>
    <s v="RPSQC01"/>
    <s v="RPSQC01"/>
    <n v="615"/>
    <s v="18W000000000SMKC"/>
    <x v="6"/>
    <s v="Compra"/>
    <s v="SZR"/>
    <s v="REPQ"/>
    <x v="3"/>
    <x v="29"/>
    <x v="6"/>
    <s v="SZR"/>
  </r>
  <r>
    <x v="2613"/>
    <s v="RPTRTAR"/>
    <s v="REPSOL PETROLEO TARRAGONA"/>
    <n v="85.1"/>
    <s v="18WRPTRTAR-12-0A"/>
    <x v="10"/>
    <s v="Venta"/>
    <s v="SZR"/>
    <s v="REPP"/>
    <x v="0"/>
    <x v="29"/>
    <x v="10"/>
    <s v="SZR"/>
  </r>
  <r>
    <x v="2614"/>
    <s v="RPUEBLA"/>
    <s v="ALCOHOL PUEBLA RESIDUOS"/>
    <n v="2"/>
    <s v="18WRPUEBLA-123-G"/>
    <x v="19"/>
    <s v="Venta"/>
    <s v="SZR"/>
    <s v="CEG"/>
    <x v="0"/>
    <x v="124"/>
    <x v="22"/>
    <s v="SZR"/>
  </r>
  <r>
    <x v="2615"/>
    <s v="RQUINA"/>
    <s v="18WRQUINA-1234-Y"/>
    <n v="3.9"/>
    <s v="18WRQUINA-1234-Y"/>
    <x v="18"/>
    <s v="Venta"/>
    <s v="SZR"/>
    <s v="EGLE"/>
    <x v="0"/>
    <x v="82"/>
    <x v="39"/>
    <s v="SZR"/>
  </r>
  <r>
    <x v="2616"/>
    <s v="RTYLMER"/>
    <s v="TÉRMICA RENOVABLE"/>
    <n v="1.3"/>
    <s v="18WRRBIOCO-123-I"/>
    <x v="18"/>
    <s v="Venta"/>
    <s v="SZR"/>
    <s v="LMER"/>
    <x v="0"/>
    <x v="89"/>
    <x v="20"/>
    <s v="SZR"/>
  </r>
  <r>
    <x v="2617"/>
    <s v="RREBIOA"/>
    <s v="RREBIOA"/>
    <n v="9"/>
    <s v="18WRREBIOA-123-0"/>
    <x v="18"/>
    <s v="Venta"/>
    <s v="SZR"/>
    <s v="WMARK"/>
    <x v="0"/>
    <x v="22"/>
    <x v="20"/>
    <s v="SZR"/>
  </r>
  <r>
    <x v="2618"/>
    <s v="RRENDIJ"/>
    <s v="UP RESIDUOS RENDIJA"/>
    <n v="1.5"/>
    <s v="18W000000000TJR3"/>
    <x v="18"/>
    <s v="Venta"/>
    <s v="SZR"/>
    <s v="NEXU"/>
    <x v="0"/>
    <x v="187"/>
    <x v="20"/>
    <s v="SZR"/>
  </r>
  <r>
    <x v="2619"/>
    <s v="RRUICES"/>
    <s v="UP RESIDUOS RUICES"/>
    <n v="3.1"/>
    <s v="18W000000000P3J9"/>
    <x v="18"/>
    <s v="Venta"/>
    <s v="SZR"/>
    <s v="NEXU"/>
    <x v="0"/>
    <x v="187"/>
    <x v="20"/>
    <s v="SZR"/>
  </r>
  <r>
    <x v="2620"/>
    <s v="RSAICA"/>
    <s v="18WRSAICA-1234-X"/>
    <n v="49.9"/>
    <s v="18WRSAICA-1234-X"/>
    <x v="18"/>
    <s v="Venta"/>
    <s v="SZR"/>
    <s v="EGLE"/>
    <x v="0"/>
    <x v="82"/>
    <x v="39"/>
    <s v="SZR"/>
  </r>
  <r>
    <x v="2621"/>
    <s v="SMURFT NAV"/>
    <s v="SMURFIT NAVARRA"/>
    <n v="8.1999999999999993"/>
    <s v="18W0000000004RIN"/>
    <x v="19"/>
    <s v="Venta"/>
    <s v="SZR"/>
    <s v="WMARK"/>
    <x v="0"/>
    <x v="22"/>
    <x v="22"/>
    <s v="SZR"/>
  </r>
  <r>
    <x v="2622"/>
    <s v="SMURFITREN"/>
    <s v="SMURFIT TERMICA RENOVABLE"/>
    <n v="21.4"/>
    <s v="18WRSMURFT-123-C"/>
    <x v="18"/>
    <s v="Venta"/>
    <s v="SZR"/>
    <s v="SMURF"/>
    <x v="0"/>
    <x v="576"/>
    <x v="39"/>
    <s v="SZR"/>
  </r>
  <r>
    <x v="2623"/>
    <s v="RSOGAM"/>
    <s v="PARQUE DE GENERACION DE SOGAMA"/>
    <n v="50"/>
    <s v="18WRSOGAM-123-1H"/>
    <x v="18"/>
    <s v="Venta"/>
    <s v="SZR"/>
    <s v="WMARK"/>
    <x v="0"/>
    <x v="22"/>
    <x v="40"/>
    <s v="SZR"/>
  </r>
  <r>
    <x v="2624"/>
    <s v="RSOGBI"/>
    <s v="SOGAMA BIOGAS"/>
    <n v="3.6"/>
    <s v="18WRSOGBI-1234-T"/>
    <x v="18"/>
    <s v="Venta"/>
    <s v="SZR"/>
    <s v="WMARK"/>
    <x v="0"/>
    <x v="22"/>
    <x v="20"/>
    <s v="SZR"/>
  </r>
  <r>
    <x v="2625"/>
    <s v="RSPAC01"/>
    <s v="RSPAC01"/>
    <n v="0"/>
    <s v="18W000000000RTKW"/>
    <x v="2"/>
    <s v="Compra"/>
    <s v="SZR"/>
    <s v="RESPA"/>
    <x v="1"/>
    <x v="577"/>
    <x v="2"/>
    <s v="SZR"/>
  </r>
  <r>
    <x v="2626"/>
    <s v="RSPEC01"/>
    <s v="RSPEC01"/>
    <n v="1"/>
    <s v="18W0000000000I5I"/>
    <x v="2"/>
    <s v="Compra"/>
    <s v="SZR"/>
    <s v="RSPRE"/>
    <x v="1"/>
    <x v="303"/>
    <x v="2"/>
    <s v="SZR"/>
  </r>
  <r>
    <x v="2627"/>
    <s v="RSPRC01"/>
    <s v="RSPRC01"/>
    <n v="0.2"/>
    <s v="18WRSPRC01-123-G"/>
    <x v="2"/>
    <s v="Compra"/>
    <s v="SZR"/>
    <s v="RSPRA"/>
    <x v="1"/>
    <x v="101"/>
    <x v="2"/>
    <s v="SZR"/>
  </r>
  <r>
    <x v="2628"/>
    <s v="TFTPZB"/>
    <s v="TARIFA&gt;10 TPZARAGOZA BIOMASA"/>
    <n v="20.7"/>
    <s v="18WRTFTPZB-123-Y"/>
    <x v="18"/>
    <s v="Venta"/>
    <s v="SZR"/>
    <s v="NEXU"/>
    <x v="0"/>
    <x v="187"/>
    <x v="39"/>
    <s v="SZR"/>
  </r>
  <r>
    <x v="2629"/>
    <s v="RTIRCA"/>
    <s v="18W0000000001V0M"/>
    <n v="9.9"/>
    <s v="18W0000000001V0M"/>
    <x v="18"/>
    <s v="Venta"/>
    <s v="SZR"/>
    <s v="TIRCA"/>
    <x v="0"/>
    <x v="578"/>
    <x v="40"/>
    <s v="SZR"/>
  </r>
  <r>
    <x v="2630"/>
    <s v="RTIRMA"/>
    <s v="18WRTIRMA-1234-C"/>
    <n v="29.8"/>
    <s v="18WRTIRMA-1234-C"/>
    <x v="18"/>
    <s v="Venta"/>
    <s v="SZR"/>
    <s v="EGLE"/>
    <x v="0"/>
    <x v="82"/>
    <x v="40"/>
    <s v="SZR"/>
  </r>
  <r>
    <x v="2631"/>
    <s v="RUCBIO1"/>
    <s v="ENCE HUELVA CBIO1"/>
    <n v="27.5"/>
    <s v="18W0000000000RLX"/>
    <x v="19"/>
    <s v="Venta"/>
    <s v="SZR"/>
    <s v="ENCEG"/>
    <x v="0"/>
    <x v="211"/>
    <x v="22"/>
    <s v="SZR"/>
  </r>
  <r>
    <x v="2632"/>
    <s v="RUCBIO2"/>
    <s v="ENCE ENERGIA HUELVA"/>
    <n v="50"/>
    <s v="18WRUCBIO2-123-5"/>
    <x v="19"/>
    <s v="Venta"/>
    <s v="ENCE"/>
    <s v="ENCEG"/>
    <x v="0"/>
    <x v="211"/>
    <x v="22"/>
    <s v="ENC"/>
  </r>
  <r>
    <x v="2633"/>
    <s v="RUCESP"/>
    <s v="UP UTE CESPA-CESPA GR"/>
    <n v="1"/>
    <s v="18W000000000TF7I"/>
    <x v="18"/>
    <s v="Venta"/>
    <s v="SZR"/>
    <s v="EGLE"/>
    <x v="0"/>
    <x v="82"/>
    <x v="20"/>
    <s v="SZR"/>
  </r>
  <r>
    <x v="2634"/>
    <s v="RURBA"/>
    <s v="18W000000000KHIQ"/>
    <n v="4.2"/>
    <s v="18W000000000KHIQ"/>
    <x v="18"/>
    <s v="Venta"/>
    <s v="SZR"/>
    <s v="EGLE"/>
    <x v="0"/>
    <x v="82"/>
    <x v="20"/>
    <s v="SZR"/>
  </r>
  <r>
    <x v="2635"/>
    <s v="RURBAS"/>
    <s v="BIOGAS URBASER"/>
    <n v="2.5"/>
    <s v="18W0000000004WI8"/>
    <x v="18"/>
    <s v="Venta"/>
    <s v="SZR"/>
    <s v="CEG"/>
    <x v="0"/>
    <x v="124"/>
    <x v="20"/>
    <s v="SZR"/>
  </r>
  <r>
    <x v="2636"/>
    <s v="RURBZA"/>
    <s v="BIOGAS UTE EBRO"/>
    <n v="5.4"/>
    <s v="18W0000000004WHA"/>
    <x v="18"/>
    <s v="Venta"/>
    <s v="SZR"/>
    <s v="EGLE"/>
    <x v="0"/>
    <x v="82"/>
    <x v="20"/>
    <s v="SZR"/>
  </r>
  <r>
    <x v="2637"/>
    <s v="RVACARI"/>
    <s v="UP RESIDUOS VACARISSES"/>
    <n v="1.9"/>
    <s v="18W000000000TJQ5"/>
    <x v="18"/>
    <s v="Venta"/>
    <s v="SZR"/>
    <s v="NEXU"/>
    <x v="0"/>
    <x v="187"/>
    <x v="20"/>
    <s v="SZR"/>
  </r>
  <r>
    <x v="2638"/>
    <s v="RVERALC"/>
    <s v="UP RESIDUOS ALCALA"/>
    <n v="2.2999999999999998"/>
    <s v="18W000000000TJS1"/>
    <x v="18"/>
    <s v="Venta"/>
    <s v="SZR"/>
    <s v="NEXU"/>
    <x v="0"/>
    <x v="187"/>
    <x v="20"/>
    <s v="SZR"/>
  </r>
  <r>
    <x v="2639"/>
    <s v="RVGARR"/>
    <s v="RE-3886 1"/>
    <n v="1.3"/>
    <s v="18W000000000RC52"/>
    <x v="18"/>
    <s v="Venta"/>
    <s v="SZR"/>
    <s v="EGLE"/>
    <x v="0"/>
    <x v="82"/>
    <x v="20"/>
    <s v="SZR"/>
  </r>
  <r>
    <x v="2640"/>
    <s v="RVGRECA"/>
    <s v="RVGRECA"/>
    <n v="5.2"/>
    <s v="18WRVGRECA-123-D"/>
    <x v="18"/>
    <s v="Venta"/>
    <s v="SZR"/>
    <s v="DETIC"/>
    <x v="0"/>
    <x v="71"/>
    <x v="39"/>
    <s v="SZR"/>
  </r>
  <r>
    <x v="2641"/>
    <s v="RVJEREZ"/>
    <s v="UP RESIDUOS VERJERE"/>
    <n v="2.5"/>
    <s v="18W000000000SLP5"/>
    <x v="18"/>
    <s v="Venta"/>
    <s v="SZR"/>
    <s v="NEXU"/>
    <x v="0"/>
    <x v="187"/>
    <x v="20"/>
    <s v="SZR"/>
  </r>
  <r>
    <x v="2642"/>
    <s v="RVSEDAE"/>
    <s v="RVSEDAE"/>
    <n v="37"/>
    <s v="18WRVSEDAE-123-8"/>
    <x v="18"/>
    <s v="Venta"/>
    <s v="SZR"/>
    <s v="SEDAE"/>
    <x v="0"/>
    <x v="71"/>
    <x v="39"/>
    <s v="SZR"/>
  </r>
  <r>
    <x v="2643"/>
    <s v="RWESZN"/>
    <s v="RWESZN"/>
    <n v="279.3"/>
    <s v="18W000000000JIIR"/>
    <x v="11"/>
    <s v="Venta"/>
    <s v="SZR"/>
    <s v="HISPE"/>
    <x v="0"/>
    <x v="43"/>
    <x v="11"/>
    <s v="SZR"/>
  </r>
  <r>
    <x v="2644"/>
    <s v="RYCEG"/>
    <s v="CEG (RENOVABLE,TARIFA,NO EXENTO)"/>
    <n v="2.4"/>
    <s v="18WRYCEG-1234--H"/>
    <x v="18"/>
    <s v="Venta"/>
    <s v="SZR"/>
    <s v="CEG"/>
    <x v="0"/>
    <x v="124"/>
    <x v="20"/>
    <s v="SZR"/>
  </r>
  <r>
    <x v="2645"/>
    <s v="RYEEXXI"/>
    <s v="ENDESA CUR ( TARIFA, TERMICA RENOVABLE, NO EXENTA)"/>
    <n v="6.9"/>
    <s v="18WRYEEXXI-123-U"/>
    <x v="19"/>
    <s v="Venta"/>
    <s v="SZR"/>
    <s v="EEXXI"/>
    <x v="0"/>
    <x v="72"/>
    <x v="22"/>
    <s v="SZR"/>
  </r>
  <r>
    <x v="2646"/>
    <s v="RYEGLE"/>
    <s v="EGLE ( TARIFA, RENOVABLE, NO EXENTO)"/>
    <n v="0.4"/>
    <s v="18WRYEGLE-1234-9"/>
    <x v="18"/>
    <s v="Venta"/>
    <s v="SZR"/>
    <s v="EGLE"/>
    <x v="0"/>
    <x v="82"/>
    <x v="20"/>
    <s v="SZR"/>
  </r>
  <r>
    <x v="2647"/>
    <s v="RYEONUR"/>
    <s v="E.ON CUR ( TARIFA, TERMICA RENOVABLE, NO EXENTA)"/>
    <n v="0"/>
    <s v="18WRYEONUR-123-I"/>
    <x v="19"/>
    <s v="Venta"/>
    <s v="SZR"/>
    <s v="EONUR"/>
    <x v="0"/>
    <x v="270"/>
    <x v="22"/>
    <s v="SZR"/>
  </r>
  <r>
    <x v="2648"/>
    <s v="RYGEMSL"/>
    <s v="TARIFA VENTA GEM RENOVABLE"/>
    <n v="2.1"/>
    <s v="18WRYGEMSL-123-F"/>
    <x v="18"/>
    <s v="Venta"/>
    <s v="SZR"/>
    <s v="GEMSL"/>
    <x v="0"/>
    <x v="280"/>
    <x v="20"/>
    <s v="SZR"/>
  </r>
  <r>
    <x v="2649"/>
    <s v="TÉRMI. REN"/>
    <s v="UNIDAD PROGRAMACIÓN TÉRMICA RENOVABLE"/>
    <n v="0.7"/>
    <s v="18WRYGENER-123-2"/>
    <x v="18"/>
    <s v="Venta"/>
    <s v="SZR"/>
    <s v="ADXRE"/>
    <x v="0"/>
    <x v="37"/>
    <x v="20"/>
    <s v="SZR"/>
  </r>
  <r>
    <x v="2650"/>
    <s v="RYGESTE"/>
    <s v="RYGESTE"/>
    <n v="1.8"/>
    <s v="18WRYGESTE-123-2"/>
    <x v="18"/>
    <s v="Venta"/>
    <s v="SZR"/>
    <s v="GESTE"/>
    <x v="0"/>
    <x v="219"/>
    <x v="20"/>
    <s v="SZR"/>
  </r>
  <r>
    <x v="2651"/>
    <s v="RYGNRA"/>
    <s v="GNRA ( RENOVABLE,TARIFA,NO EXENTO )"/>
    <n v="12.1"/>
    <s v="18WRYGNRA-1234-6"/>
    <x v="18"/>
    <s v="Venta"/>
    <s v="SZR"/>
    <s v="GNRA"/>
    <x v="0"/>
    <x v="46"/>
    <x v="20"/>
    <s v="SZR"/>
  </r>
  <r>
    <x v="2652"/>
    <s v="RYGNSUR"/>
    <s v="GAS NATURAL SUR SDG ( TARIFA, TERMICA RENOVABLE, NO EXENTA)"/>
    <n v="0"/>
    <s v="18WRYGNSUR-123-Z"/>
    <x v="19"/>
    <s v="Venta"/>
    <s v="SZR"/>
    <s v="GNSUR"/>
    <x v="0"/>
    <x v="8"/>
    <x v="22"/>
    <s v="SZR"/>
  </r>
  <r>
    <x v="2653"/>
    <s v="RYHCCUR"/>
    <s v="HIDROCANTABRICO CUR ( TARIFA, TERMICA RENOVABLE, NO EXENTA)"/>
    <n v="0"/>
    <s v="18WRYHCCUR-123-J"/>
    <x v="19"/>
    <s v="Venta"/>
    <s v="SZR"/>
    <s v="HCCUR"/>
    <x v="0"/>
    <x v="273"/>
    <x v="22"/>
    <s v="SZR"/>
  </r>
  <r>
    <x v="2654"/>
    <s v="RYIBCUR"/>
    <s v="IBERDROLA CUR ( TARIFA, TERMICA RENOVABLE, NO EXENTA)"/>
    <n v="19.3"/>
    <s v="18WRYIBCUR-123-I"/>
    <x v="18"/>
    <s v="Venta"/>
    <s v="SZR"/>
    <s v="IBCUR"/>
    <x v="0"/>
    <x v="7"/>
    <x v="20"/>
    <s v="SZR"/>
  </r>
  <r>
    <x v="2655"/>
    <s v="RYNEXU"/>
    <s v="NEXU(COGENERACION ALTA EFICIENCIA)"/>
    <n v="4.2"/>
    <s v="18WRYNEXU-1234-R"/>
    <x v="18"/>
    <s v="Venta"/>
    <s v="SZR"/>
    <s v="NEXU"/>
    <x v="0"/>
    <x v="187"/>
    <x v="20"/>
    <s v="SZR"/>
  </r>
  <r>
    <x v="2656"/>
    <s v="TERSABG"/>
    <s v="TERSA BIOGAS"/>
    <n v="8.3000000000000007"/>
    <s v="18W0000000007AMH"/>
    <x v="18"/>
    <s v="Venta"/>
    <s v="SZR"/>
    <s v="TERSA"/>
    <x v="0"/>
    <x v="319"/>
    <x v="20"/>
    <s v="SZR"/>
  </r>
  <r>
    <x v="2657"/>
    <s v="RYWMARK"/>
    <s v="RYWMARK"/>
    <n v="0"/>
    <s v="18WRYWMARK-123-U"/>
    <x v="18"/>
    <s v="Venta"/>
    <s v="SZR"/>
    <s v="WMARK"/>
    <x v="0"/>
    <x v="22"/>
    <x v="20"/>
    <s v="SZR"/>
  </r>
  <r>
    <x v="2658"/>
    <s v="RZABAL"/>
    <s v="VALORIZACION DE RESIDUOS DT-1"/>
    <n v="93.5"/>
    <s v="18W000000000L1LR"/>
    <x v="18"/>
    <s v="Venta"/>
    <s v="SZR"/>
    <s v="WMARK"/>
    <x v="0"/>
    <x v="22"/>
    <x v="40"/>
    <s v="SZR"/>
  </r>
  <r>
    <x v="2659"/>
    <s v="SAGU1"/>
    <s v="CC SAGUNTO GRUPO 1"/>
    <n v="409.7"/>
    <s v="18WSAGU1-123--0J"/>
    <x v="8"/>
    <s v="Venta"/>
    <s v="NTG"/>
    <s v="GNCC"/>
    <x v="0"/>
    <x v="8"/>
    <x v="8"/>
    <s v="GN"/>
  </r>
  <r>
    <x v="2660"/>
    <s v="SAGU2"/>
    <s v="CC SAGUNTO GRUPO 2"/>
    <n v="411.8"/>
    <s v="18WSAGU2-123--0A"/>
    <x v="8"/>
    <s v="Venta"/>
    <s v="NTG"/>
    <s v="GNCC"/>
    <x v="0"/>
    <x v="8"/>
    <x v="8"/>
    <s v="GN"/>
  </r>
  <r>
    <x v="2661"/>
    <s v="SAGU3"/>
    <s v="CC SAGUNTO GRUPO 3"/>
    <n v="410.6"/>
    <s v="18WSAGU3-123--01"/>
    <x v="8"/>
    <s v="Venta"/>
    <s v="NTG"/>
    <s v="GNCC"/>
    <x v="0"/>
    <x v="8"/>
    <x v="8"/>
    <s v="GN"/>
  </r>
  <r>
    <x v="2662"/>
    <s v="SAHKOA PEN"/>
    <s v="SAHKOA PEN"/>
    <n v="0.1"/>
    <s v="18W000000000S5JS"/>
    <x v="2"/>
    <s v="Compra"/>
    <s v="SZR"/>
    <s v="SAHKO"/>
    <x v="1"/>
    <x v="579"/>
    <x v="2"/>
    <s v="SZR"/>
  </r>
  <r>
    <x v="2663"/>
    <s v="SAICA1"/>
    <s v="18WSAICA1-1234-2"/>
    <n v="49.3"/>
    <s v="18WSAICA1-1234-2"/>
    <x v="10"/>
    <s v="Venta"/>
    <s v="SZR"/>
    <s v="EGLE"/>
    <x v="0"/>
    <x v="82"/>
    <x v="10"/>
    <s v="SZR"/>
  </r>
  <r>
    <x v="2664"/>
    <s v="SAICA2"/>
    <s v="18WSAICA2-1234-V"/>
    <n v="46.9"/>
    <s v="18WSAICA2-1234-V"/>
    <x v="10"/>
    <s v="Venta"/>
    <s v="SZR"/>
    <s v="EGLE"/>
    <x v="0"/>
    <x v="82"/>
    <x v="10"/>
    <s v="SZR"/>
  </r>
  <r>
    <x v="2665"/>
    <s v="SAICA3"/>
    <s v="18WSAICA3-1234-N"/>
    <n v="46.5"/>
    <s v="18WSAICA3-1234-N"/>
    <x v="10"/>
    <s v="Venta"/>
    <s v="SZR"/>
    <s v="EGLE"/>
    <x v="0"/>
    <x v="82"/>
    <x v="10"/>
    <s v="SZR"/>
  </r>
  <r>
    <x v="2666"/>
    <s v="SAICA4"/>
    <s v="18WSAICA4-1234-F"/>
    <n v="46.5"/>
    <s v="18WSAICA4-1234-F"/>
    <x v="10"/>
    <s v="Venta"/>
    <s v="SZR"/>
    <s v="EGLE"/>
    <x v="0"/>
    <x v="82"/>
    <x v="10"/>
    <s v="SZR"/>
  </r>
  <r>
    <x v="2667"/>
    <s v="IMPERIO"/>
    <s v="IMPERIO"/>
    <n v="2"/>
    <s v="18W000000000OYSD"/>
    <x v="6"/>
    <s v="Compra"/>
    <s v="SZR"/>
    <s v="SAIMP"/>
    <x v="3"/>
    <x v="580"/>
    <x v="6"/>
    <s v="SZR"/>
  </r>
  <r>
    <x v="2668"/>
    <s v="SALAS_UP"/>
    <s v="ELECTRICA_SALAS_UP"/>
    <n v="0.7"/>
    <s v="18W00000000047ZC"/>
    <x v="2"/>
    <s v="Compra"/>
    <s v="SZR"/>
    <s v="SALPA"/>
    <x v="1"/>
    <x v="581"/>
    <x v="2"/>
    <s v="SZR"/>
  </r>
  <r>
    <x v="2669"/>
    <s v="SALVAR"/>
    <s v="ALVAR ( SOLAR TÉRMICA,TARIFA,NO EXENTO )"/>
    <n v="50"/>
    <s v="18WSALVAR-1234-F"/>
    <x v="27"/>
    <s v="Venta"/>
    <s v="SZR"/>
    <s v="GNRA"/>
    <x v="0"/>
    <x v="46"/>
    <x v="33"/>
    <s v="SZR"/>
  </r>
  <r>
    <x v="2670"/>
    <s v="SAMAC01"/>
    <s v="SAMAC01"/>
    <n v="0"/>
    <s v="18W000000000RQOX"/>
    <x v="2"/>
    <s v="Compra"/>
    <s v="SZR"/>
    <s v="SAMAR"/>
    <x v="1"/>
    <x v="582"/>
    <x v="2"/>
    <s v="SZR"/>
  </r>
  <r>
    <x v="2671"/>
    <s v="SAMEC01"/>
    <s v="SAMEC01"/>
    <n v="0.1"/>
    <s v="18W000000000RZ81"/>
    <x v="2"/>
    <s v="Compra"/>
    <s v="SZR"/>
    <s v="SAMA2"/>
    <x v="1"/>
    <x v="583"/>
    <x v="2"/>
    <s v="SZR"/>
  </r>
  <r>
    <x v="2672"/>
    <s v="SAMPC01"/>
    <s v="SAMPOL COMERCIALIZADORA"/>
    <n v="2"/>
    <s v="18WSAMPC01-123-D"/>
    <x v="2"/>
    <s v="Compra"/>
    <s v="SZR"/>
    <s v="SAMP"/>
    <x v="1"/>
    <x v="359"/>
    <x v="2"/>
    <s v="SZR"/>
  </r>
  <r>
    <x v="2673"/>
    <s v="SAN1"/>
    <s v="SANGUESA"/>
    <n v="0.6"/>
    <s v="18WSAN1-123456-P"/>
    <x v="1"/>
    <s v="Venta"/>
    <s v="SZR"/>
    <s v="BARER"/>
    <x v="0"/>
    <x v="1"/>
    <x v="1"/>
    <s v="SZR"/>
  </r>
  <r>
    <x v="2674"/>
    <s v="SANDA2"/>
    <s v="18WSANDA2-1234-3"/>
    <n v="49.9"/>
    <s v="18WSANDA2-1234-3"/>
    <x v="27"/>
    <s v="Venta"/>
    <s v="SZR"/>
    <s v="EGLE"/>
    <x v="0"/>
    <x v="82"/>
    <x v="33"/>
    <s v="SZR"/>
  </r>
  <r>
    <x v="2675"/>
    <s v="SANDA3"/>
    <s v="18WSANDA3-1234-W"/>
    <n v="49.9"/>
    <s v="18WSANDA3-1234-W"/>
    <x v="27"/>
    <s v="Venta"/>
    <s v="SZR"/>
    <s v="EGLE"/>
    <x v="0"/>
    <x v="82"/>
    <x v="33"/>
    <s v="SZR"/>
  </r>
  <r>
    <x v="2676"/>
    <s v="SANDAS"/>
    <s v="18WSANDAS-1234-H"/>
    <n v="49.9"/>
    <s v="18WSANDAS-1234-H"/>
    <x v="27"/>
    <s v="Venta"/>
    <s v="SZR"/>
    <s v="EGLE"/>
    <x v="0"/>
    <x v="82"/>
    <x v="33"/>
    <s v="SZR"/>
  </r>
  <r>
    <x v="2677"/>
    <s v="SAPIENS"/>
    <s v="SAPIENS UNIDAD COMPRA"/>
    <n v="0.1"/>
    <s v="18W000000000KZFF"/>
    <x v="2"/>
    <s v="Compra"/>
    <s v="SZR"/>
    <s v="SAPIE"/>
    <x v="1"/>
    <x v="584"/>
    <x v="2"/>
    <s v="SZR"/>
  </r>
  <r>
    <x v="2678"/>
    <s v="SARSOL"/>
    <s v="18WSARSOL-1234-C"/>
    <n v="49.9"/>
    <s v="18WSARSOL-1234-C"/>
    <x v="27"/>
    <s v="Venta"/>
    <s v="SZR"/>
    <s v="EGLE"/>
    <x v="0"/>
    <x v="82"/>
    <x v="33"/>
    <s v="SZR"/>
  </r>
  <r>
    <x v="2679"/>
    <s v="SASTE1A"/>
    <s v="UP TERMOSOLAR ARIES 1"/>
    <n v="49.9"/>
    <s v="18W000000000SE02"/>
    <x v="27"/>
    <s v="Venta"/>
    <s v="SZR"/>
    <s v="NEXU"/>
    <x v="0"/>
    <x v="187"/>
    <x v="33"/>
    <s v="SZR"/>
  </r>
  <r>
    <x v="2680"/>
    <s v="SASTE1B"/>
    <s v="UP TERMOSOLAR ARIES 2"/>
    <n v="49.9"/>
    <s v="18W000000000SE10"/>
    <x v="27"/>
    <s v="Venta"/>
    <s v="SZR"/>
    <s v="NEXU"/>
    <x v="0"/>
    <x v="187"/>
    <x v="33"/>
    <s v="SZR"/>
  </r>
  <r>
    <x v="2681"/>
    <s v="SASTEXO"/>
    <s v="UP TERMOSOLAR DIOXIPE"/>
    <n v="49.9"/>
    <s v="18W000000000SE2Z"/>
    <x v="27"/>
    <s v="Venta"/>
    <s v="SZR"/>
    <s v="NEXU"/>
    <x v="0"/>
    <x v="187"/>
    <x v="33"/>
    <s v="SZR"/>
  </r>
  <r>
    <x v="2682"/>
    <s v="SATSP"/>
    <s v="SATSP"/>
    <n v="1.5"/>
    <s v="18W000000000HJZZ"/>
    <x v="6"/>
    <s v="Compra"/>
    <s v="SZR"/>
    <s v="SATSP"/>
    <x v="3"/>
    <x v="585"/>
    <x v="6"/>
    <s v="SZR"/>
  </r>
  <r>
    <x v="2683"/>
    <s v="SASKI"/>
    <s v="SASKI BASKONIA"/>
    <n v="0.9"/>
    <s v="18W000000000QAP9"/>
    <x v="6"/>
    <s v="Compra"/>
    <s v="SZR"/>
    <s v="SASKI"/>
    <x v="3"/>
    <x v="586"/>
    <x v="6"/>
    <s v="SZR"/>
  </r>
  <r>
    <x v="2684"/>
    <s v="SIL-BIB-EU"/>
    <s v="UGH. SIL-BIBEY-EUME"/>
    <n v="625.9"/>
    <s v="18WSBEU-12345-0Q"/>
    <x v="1"/>
    <s v="Venta"/>
    <s v="END"/>
    <s v="ENDG"/>
    <x v="0"/>
    <x v="72"/>
    <x v="1"/>
    <s v="END"/>
  </r>
  <r>
    <x v="2685"/>
    <s v="SABON 3"/>
    <s v="CC SABON - GRUPO 3"/>
    <n v="391.3"/>
    <s v="18WSBO3-12345-01"/>
    <x v="8"/>
    <s v="Venta"/>
    <s v="NTG"/>
    <s v="GNCC"/>
    <x v="0"/>
    <x v="8"/>
    <x v="8"/>
    <s v="GN"/>
  </r>
  <r>
    <x v="2686"/>
    <s v="SF CAMPA1"/>
    <s v="SOLAR FOTOVOLTAICA CAMPANARIO 1"/>
    <n v="41.8"/>
    <s v="18W000000000LYZB"/>
    <x v="9"/>
    <s v="Venta"/>
    <s v="IGR"/>
    <s v="IGNIS"/>
    <x v="0"/>
    <x v="28"/>
    <x v="9"/>
    <s v="IGR"/>
  </r>
  <r>
    <x v="2687"/>
    <s v="CAMPANARI2"/>
    <s v="UP SF CAMPANARIO II"/>
    <n v="41.8"/>
    <s v="18W000000000MCQH"/>
    <x v="9"/>
    <s v="Venta"/>
    <s v="IGR"/>
    <s v="IGNIS"/>
    <x v="0"/>
    <x v="28"/>
    <x v="9"/>
    <s v="IGR"/>
  </r>
  <r>
    <x v="2688"/>
    <s v="UP CAMPA3"/>
    <s v="UP SF CAMPANARIO 3"/>
    <n v="41.8"/>
    <s v="18W000000000LZ04"/>
    <x v="9"/>
    <s v="Venta"/>
    <s v="IGR"/>
    <s v="IGNIS"/>
    <x v="0"/>
    <x v="28"/>
    <x v="9"/>
    <s v="IGR"/>
  </r>
  <r>
    <x v="2689"/>
    <s v="SCAMP4"/>
    <s v="UP SF ELAWAN CAMPANARIO 4"/>
    <n v="41.8"/>
    <s v="18W000000000N1GT"/>
    <x v="9"/>
    <s v="Venta"/>
    <s v="IGR"/>
    <s v="IGNIS"/>
    <x v="0"/>
    <x v="28"/>
    <x v="9"/>
    <s v="IGR"/>
  </r>
  <r>
    <x v="2690"/>
    <s v="CAMPA5"/>
    <s v="UP SF CAMPANARIO V"/>
    <n v="41.8"/>
    <s v="18W000000000MUKC"/>
    <x v="9"/>
    <s v="Venta"/>
    <s v="IGR"/>
    <s v="IGNIS"/>
    <x v="0"/>
    <x v="28"/>
    <x v="9"/>
    <s v="IGR"/>
  </r>
  <r>
    <x v="2691"/>
    <s v="CD ALUMINA"/>
    <s v="CONSUMIDOR DIRECTO ALUMINA"/>
    <n v="43"/>
    <s v="18WALCOASPREFUCO"/>
    <x v="6"/>
    <s v="Compra"/>
    <s v="SZR"/>
    <s v="ADXRE"/>
    <x v="3"/>
    <x v="37"/>
    <x v="6"/>
    <s v="SZR"/>
  </r>
  <r>
    <x v="2692"/>
    <s v="SECOBCP3"/>
    <s v="EXPORT UNIT SECOB"/>
    <n v="100"/>
    <s v="18W000000000R1FF"/>
    <x v="16"/>
    <s v="Compra"/>
    <s v="SZR"/>
    <s v="SECOB"/>
    <x v="7"/>
    <x v="360"/>
    <x v="16"/>
    <s v="SZR"/>
  </r>
  <r>
    <x v="2693"/>
    <s v="SECOBVP3"/>
    <s v="IMPORT UNIT SECOB"/>
    <n v="100"/>
    <s v="18W000000000PQYL"/>
    <x v="17"/>
    <s v="Venta"/>
    <s v="SZR"/>
    <s v="SECOB"/>
    <x v="7"/>
    <x v="360"/>
    <x v="17"/>
    <s v="SZR"/>
  </r>
  <r>
    <x v="2694"/>
    <s v="SECPCX1"/>
    <s v="SECPCX1"/>
    <n v="9999"/>
    <s v="18W000000000QXIS"/>
    <x v="20"/>
    <s v="Compra"/>
    <s v="SZR"/>
    <s v="SECOB"/>
    <x v="8"/>
    <x v="360"/>
    <x v="23"/>
    <s v="SZR"/>
  </r>
  <r>
    <x v="2695"/>
    <s v="SECPVX1"/>
    <s v="SECPVX1"/>
    <n v="9999"/>
    <s v="18W000000000QXGW"/>
    <x v="20"/>
    <s v="Venta"/>
    <s v="SZR"/>
    <s v="SECOB"/>
    <x v="8"/>
    <x v="360"/>
    <x v="23"/>
    <s v="SZR"/>
  </r>
  <r>
    <x v="2696"/>
    <s v="FAB B"/>
    <s v="FABRICA BORGES"/>
    <n v="10.1"/>
    <s v="18W000000000HHQM"/>
    <x v="6"/>
    <s v="Compra"/>
    <s v="SZR"/>
    <s v="SEDAT"/>
    <x v="3"/>
    <x v="587"/>
    <x v="6"/>
    <s v="SZR"/>
  </r>
  <r>
    <x v="2697"/>
    <s v="SEELC01"/>
    <s v="COMERCIALIZADORA SHEEN"/>
    <n v="0"/>
    <s v="18W000000000RIJU"/>
    <x v="2"/>
    <s v="Compra"/>
    <s v="SZR"/>
    <s v="SHEEN"/>
    <x v="1"/>
    <x v="318"/>
    <x v="2"/>
    <s v="SZR"/>
  </r>
  <r>
    <x v="2698"/>
    <s v="SENEC01"/>
    <s v="SENEC01"/>
    <n v="1"/>
    <s v="18WSENEC01-123-R"/>
    <x v="2"/>
    <s v="Compra"/>
    <s v="SZR"/>
    <s v="SENEO"/>
    <x v="1"/>
    <x v="588"/>
    <x v="2"/>
    <s v="SZR"/>
  </r>
  <r>
    <x v="2699"/>
    <s v="SEFVMAJ1"/>
    <s v="SOMEN FV MAJOR 1MW"/>
    <n v="9.9"/>
    <s v="18W000000000S6GV"/>
    <x v="9"/>
    <s v="Venta"/>
    <s v="SZR"/>
    <s v="SOMEN"/>
    <x v="0"/>
    <x v="589"/>
    <x v="9"/>
    <s v="SZR"/>
  </r>
  <r>
    <x v="2700"/>
    <s v="SERV PEN"/>
    <s v="SERV PEN"/>
    <n v="1"/>
    <s v="18W000000000QFGC"/>
    <x v="2"/>
    <s v="Compra"/>
    <s v="SZR"/>
    <s v="SERVC"/>
    <x v="1"/>
    <x v="590"/>
    <x v="2"/>
    <s v="SZR"/>
  </r>
  <r>
    <x v="2701"/>
    <s v="SHELL"/>
    <s v="SHELL ESPAÑA, S.A."/>
    <n v="0"/>
    <s v="18WSESAC01-12-2I"/>
    <x v="2"/>
    <s v="Compra"/>
    <s v="SZR"/>
    <s v="SHELL"/>
    <x v="1"/>
    <x v="318"/>
    <x v="2"/>
    <s v="SZR"/>
  </r>
  <r>
    <x v="2702"/>
    <s v="SESAHID"/>
    <s v="UP HIDRAULICA SHELL"/>
    <n v="13.9"/>
    <s v="18W00000000023YY"/>
    <x v="1"/>
    <s v="Venta"/>
    <s v="SZR"/>
    <s v="SHELL"/>
    <x v="0"/>
    <x v="318"/>
    <x v="19"/>
    <s v="SZR"/>
  </r>
  <r>
    <x v="2703"/>
    <s v="SESA SRAD"/>
    <s v="SESA SRAD"/>
    <n v="8"/>
    <s v="18W000000000S1SM"/>
    <x v="2"/>
    <s v="Compra"/>
    <s v="SZR"/>
    <s v="SHELL"/>
    <x v="1"/>
    <x v="318"/>
    <x v="2"/>
    <s v="SZR"/>
  </r>
  <r>
    <x v="2704"/>
    <s v="AUXILIAR"/>
    <s v="CONSUMO AUXILIAR"/>
    <n v="10"/>
    <s v="18W000000000PGFF"/>
    <x v="5"/>
    <s v="Compra"/>
    <s v="SZR"/>
    <s v="SHELL"/>
    <x v="2"/>
    <x v="318"/>
    <x v="5"/>
    <s v="SZR"/>
  </r>
  <r>
    <x v="2705"/>
    <s v="UP EOLICA"/>
    <s v="UP EOLICA"/>
    <n v="10.8"/>
    <s v="18W00000000051KJ"/>
    <x v="11"/>
    <s v="Venta"/>
    <s v="SZR"/>
    <s v="SHELL"/>
    <x v="0"/>
    <x v="318"/>
    <x v="11"/>
    <s v="SZR"/>
  </r>
  <r>
    <x v="2706"/>
    <s v="ORGANOGAS"/>
    <s v="SESA BIOGAS4"/>
    <n v="10.4"/>
    <s v="18W00000000073VK"/>
    <x v="18"/>
    <s v="Venta"/>
    <s v="SZR"/>
    <s v="SHELL"/>
    <x v="0"/>
    <x v="318"/>
    <x v="20"/>
    <s v="SZR"/>
  </r>
  <r>
    <x v="2707"/>
    <s v="CTGBIOGAS"/>
    <s v="SESABIOGAS5"/>
    <n v="3.1"/>
    <s v="18W00000000073WI"/>
    <x v="18"/>
    <s v="Venta"/>
    <s v="SZR"/>
    <s v="SHELL"/>
    <x v="0"/>
    <x v="318"/>
    <x v="20"/>
    <s v="SZR"/>
  </r>
  <r>
    <x v="2708"/>
    <s v="BIOGAS ECO"/>
    <s v="BIOGAS ECOPARQUE"/>
    <n v="3.1"/>
    <s v="18W000000000ABFG"/>
    <x v="18"/>
    <s v="Venta"/>
    <s v="SZR"/>
    <s v="SHELL"/>
    <x v="0"/>
    <x v="318"/>
    <x v="20"/>
    <s v="SZR"/>
  </r>
  <r>
    <x v="2709"/>
    <s v="GADOR"/>
    <s v="GADOR"/>
    <n v="2"/>
    <s v="18W000000000M78V"/>
    <x v="18"/>
    <s v="Venta"/>
    <s v="SZR"/>
    <s v="SHELL"/>
    <x v="0"/>
    <x v="318"/>
    <x v="20"/>
    <s v="SZR"/>
  </r>
  <r>
    <x v="2710"/>
    <s v="SESOL"/>
    <s v="SESOL"/>
    <n v="1.6"/>
    <s v="18W000000000G1Q0"/>
    <x v="9"/>
    <s v="Venta"/>
    <s v="SZR"/>
    <s v="GNRA"/>
    <x v="0"/>
    <x v="46"/>
    <x v="9"/>
    <s v="SZR"/>
  </r>
  <r>
    <x v="2711"/>
    <s v="SESPV04"/>
    <s v="UNIDAD FOTOVOLTAICA 4"/>
    <n v="9.9"/>
    <s v="18W000000000GULY"/>
    <x v="9"/>
    <s v="Venta"/>
    <s v="SZR"/>
    <s v="SHELL"/>
    <x v="0"/>
    <x v="318"/>
    <x v="9"/>
    <s v="SZR"/>
  </r>
  <r>
    <x v="2712"/>
    <s v="OLIVARES"/>
    <s v="ENERPARC OLIVARES"/>
    <n v="10"/>
    <s v="18W000000000S1TK"/>
    <x v="9"/>
    <s v="Venta"/>
    <s v="SZR"/>
    <s v="SHELL"/>
    <x v="0"/>
    <x v="318"/>
    <x v="9"/>
    <s v="SZR"/>
  </r>
  <r>
    <x v="2713"/>
    <s v="SES"/>
    <s v="SERVICIO EXTREMEÑO DE SALUD"/>
    <n v="33.700000000000003"/>
    <s v="18W000000000907W"/>
    <x v="6"/>
    <s v="Compra"/>
    <s v="SZR"/>
    <s v="SEXTS"/>
    <x v="3"/>
    <x v="591"/>
    <x v="6"/>
    <s v="SZR"/>
  </r>
  <r>
    <x v="2714"/>
    <s v="SEZUELA"/>
    <s v="UP SOLAR SERREZUELA"/>
    <n v="5.4"/>
    <s v="18W000000000LI82"/>
    <x v="9"/>
    <s v="Venta"/>
    <s v="SZR"/>
    <s v="NEXU"/>
    <x v="0"/>
    <x v="187"/>
    <x v="9"/>
    <s v="SZR"/>
  </r>
  <r>
    <x v="2715"/>
    <s v="SFA1"/>
    <s v="SAN FAUSTO 1"/>
    <n v="0.7"/>
    <s v="18WSFA1-123456-Y"/>
    <x v="1"/>
    <s v="Venta"/>
    <s v="SZR"/>
    <s v="BARER"/>
    <x v="0"/>
    <x v="1"/>
    <x v="1"/>
    <s v="SZR"/>
  </r>
  <r>
    <x v="2716"/>
    <s v="SFA2"/>
    <s v="SAN FAUSTO 2"/>
    <n v="1.7"/>
    <s v="18WSFA2-123456-O"/>
    <x v="1"/>
    <s v="Venta"/>
    <s v="SZR"/>
    <s v="BARER"/>
    <x v="0"/>
    <x v="1"/>
    <x v="1"/>
    <s v="SZR"/>
  </r>
  <r>
    <x v="2717"/>
    <s v="SFADCA1"/>
    <s v="COOP. ELECT. SAN FCO DE ASIS"/>
    <n v="1.5"/>
    <s v="18WSFADCA1-123-E"/>
    <x v="2"/>
    <s v="Compra"/>
    <s v="SZR"/>
    <s v="SFAD"/>
    <x v="1"/>
    <x v="592"/>
    <x v="2"/>
    <s v="SZR"/>
  </r>
  <r>
    <x v="2718"/>
    <s v="EUROCAB"/>
    <s v="EUROCAB FV 1"/>
    <n v="5.3"/>
    <s v="18W000000000PZR8"/>
    <x v="9"/>
    <s v="Venta"/>
    <s v="SZR"/>
    <s v="IGNIS"/>
    <x v="0"/>
    <x v="28"/>
    <x v="9"/>
    <s v="SZR"/>
  </r>
  <r>
    <x v="2719"/>
    <s v="FSFERA"/>
    <s v="UP SF FOTOSFERA"/>
    <n v="42.3"/>
    <s v="18W000000000N79P"/>
    <x v="9"/>
    <s v="Venta"/>
    <s v="IGR"/>
    <s v="IGNIS"/>
    <x v="0"/>
    <x v="28"/>
    <x v="9"/>
    <s v="IGR"/>
  </r>
  <r>
    <x v="2720"/>
    <s v="GUADACANO"/>
    <s v="SF GUADACANO"/>
    <n v="48"/>
    <s v="18W000000000R4H2"/>
    <x v="9"/>
    <s v="Venta"/>
    <s v="IGR"/>
    <s v="IGNIS"/>
    <x v="0"/>
    <x v="28"/>
    <x v="9"/>
    <s v="IGR"/>
  </r>
  <r>
    <x v="2721"/>
    <s v="SGTSMOR"/>
    <s v="PST MORON"/>
    <n v="49.9"/>
    <s v="18W000000000PYNJ"/>
    <x v="27"/>
    <s v="Venta"/>
    <s v="SZR"/>
    <s v="EGLE"/>
    <x v="0"/>
    <x v="82"/>
    <x v="33"/>
    <s v="SZR"/>
  </r>
  <r>
    <x v="2722"/>
    <s v="SHEECP3"/>
    <s v="SHEEN EXPORTACIÓN DE ENERGÍA A FRANCIA (CON DERECHOS)"/>
    <n v="0"/>
    <s v="18WSHEECP3--1--D"/>
    <x v="16"/>
    <s v="Compra"/>
    <s v="SZR"/>
    <s v="SHEEN"/>
    <x v="7"/>
    <x v="318"/>
    <x v="16"/>
    <s v="SZR"/>
  </r>
  <r>
    <x v="2723"/>
    <s v="AUXILIARES"/>
    <s v="CONSUMOS AUXILIARES"/>
    <n v="10"/>
    <s v="18W000000000PRJB"/>
    <x v="5"/>
    <s v="Compra"/>
    <s v="SZR"/>
    <s v="SHEEN"/>
    <x v="2"/>
    <x v="318"/>
    <x v="5"/>
    <s v="SZR"/>
  </r>
  <r>
    <x v="2724"/>
    <s v="SHEEVP3"/>
    <s v="SHEEN IMPORTACIÓN DE ENERGÍA DESDE FRANCIA (CON DERECHOS)"/>
    <n v="500"/>
    <s v="18WSHEEVP3-12--D"/>
    <x v="17"/>
    <s v="Venta"/>
    <s v="SZR"/>
    <s v="SHEEN"/>
    <x v="7"/>
    <x v="318"/>
    <x v="17"/>
    <s v="SZR"/>
  </r>
  <r>
    <x v="2725"/>
    <s v="SHEEN PV1"/>
    <s v="SHEEN PV1"/>
    <n v="35"/>
    <s v="18W000000000IJKO"/>
    <x v="9"/>
    <s v="Venta"/>
    <s v="SZR"/>
    <s v="SHEEN"/>
    <x v="0"/>
    <x v="318"/>
    <x v="9"/>
    <s v="SZR"/>
  </r>
  <r>
    <x v="2726"/>
    <s v="SHEEN PV2"/>
    <s v="SHEEN PV2"/>
    <n v="35"/>
    <s v="18W000000000IJLM"/>
    <x v="9"/>
    <s v="Venta"/>
    <s v="SZR"/>
    <s v="SHEEN"/>
    <x v="0"/>
    <x v="318"/>
    <x v="9"/>
    <s v="SZR"/>
  </r>
  <r>
    <x v="2727"/>
    <s v="SHEEN PV3"/>
    <s v="SHEEN PV3"/>
    <n v="150"/>
    <s v="18W000000000J1G8"/>
    <x v="9"/>
    <s v="Venta"/>
    <s v="SZR"/>
    <s v="SHEEN"/>
    <x v="0"/>
    <x v="318"/>
    <x v="9"/>
    <s v="SZR"/>
  </r>
  <r>
    <x v="2728"/>
    <s v="SHEEN PV4"/>
    <s v="SHEEN PV4"/>
    <n v="47.4"/>
    <s v="18W000000000KLGI"/>
    <x v="9"/>
    <s v="Venta"/>
    <s v="SZR"/>
    <s v="SHEEN"/>
    <x v="0"/>
    <x v="318"/>
    <x v="9"/>
    <s v="SZR"/>
  </r>
  <r>
    <x v="2729"/>
    <s v="SHEPV05"/>
    <s v="SHEEN PV5"/>
    <n v="36"/>
    <s v="18W000000000KLHG"/>
    <x v="9"/>
    <s v="Venta"/>
    <s v="SZR"/>
    <s v="SHEEN"/>
    <x v="0"/>
    <x v="318"/>
    <x v="9"/>
    <s v="SZR"/>
  </r>
  <r>
    <x v="2730"/>
    <s v="SHEPV06"/>
    <s v="PV VIRGEN DEL CARMEN"/>
    <n v="20"/>
    <s v="18W000000000OB99"/>
    <x v="9"/>
    <s v="Venta"/>
    <s v="SZR"/>
    <s v="SHEEN"/>
    <x v="0"/>
    <x v="318"/>
    <x v="9"/>
    <s v="SZR"/>
  </r>
  <r>
    <x v="2731"/>
    <s v="QUNI SPV"/>
    <s v="LAS QUINIENTAS SPV"/>
    <n v="90.7"/>
    <s v="18W000000000LSA5"/>
    <x v="9"/>
    <s v="Venta"/>
    <s v="SZR"/>
    <s v="SHEEN"/>
    <x v="0"/>
    <x v="318"/>
    <x v="9"/>
    <s v="SZR"/>
  </r>
  <r>
    <x v="2732"/>
    <s v="SPV HUELVA"/>
    <s v="SPV HUELVA BRUC"/>
    <n v="40.9"/>
    <s v="18W000000000MGUY"/>
    <x v="9"/>
    <s v="Venta"/>
    <s v="SZR"/>
    <s v="SHEEN"/>
    <x v="0"/>
    <x v="318"/>
    <x v="9"/>
    <s v="SZR"/>
  </r>
  <r>
    <x v="2733"/>
    <s v="TLLANO"/>
    <s v="PUERTOLLANO"/>
    <n v="26.5"/>
    <s v="18W000000000PS41"/>
    <x v="9"/>
    <s v="Venta"/>
    <s v="SZR"/>
    <s v="SHEEN"/>
    <x v="0"/>
    <x v="318"/>
    <x v="9"/>
    <s v="SZR"/>
  </r>
  <r>
    <x v="2734"/>
    <s v="VILLAR"/>
    <s v="VILLAR"/>
    <n v="26.5"/>
    <s v="18W000000000PS7W"/>
    <x v="9"/>
    <s v="Venta"/>
    <s v="SZR"/>
    <s v="SHEEN"/>
    <x v="0"/>
    <x v="318"/>
    <x v="9"/>
    <s v="SZR"/>
  </r>
  <r>
    <x v="2735"/>
    <s v="MERIDA"/>
    <s v="SAN SERVAN 2020"/>
    <n v="43.2"/>
    <s v="18W000000000PH05"/>
    <x v="9"/>
    <s v="Venta"/>
    <s v="SZR"/>
    <s v="SHEEN"/>
    <x v="0"/>
    <x v="318"/>
    <x v="9"/>
    <s v="SZR"/>
  </r>
  <r>
    <x v="2736"/>
    <s v="FREYA"/>
    <s v="FREYA SOLAR"/>
    <n v="40.799999999999997"/>
    <s v="18W000000000PPAZ"/>
    <x v="9"/>
    <s v="Venta"/>
    <s v="SZR"/>
    <s v="SHEEN"/>
    <x v="0"/>
    <x v="318"/>
    <x v="9"/>
    <s v="SZR"/>
  </r>
  <r>
    <x v="2737"/>
    <s v="DR III"/>
    <s v="DON RODRIGO III"/>
    <n v="40.799999999999997"/>
    <s v="18W000000000POYR"/>
    <x v="9"/>
    <s v="Venta"/>
    <s v="SZR"/>
    <s v="SHEEN"/>
    <x v="0"/>
    <x v="318"/>
    <x v="9"/>
    <s v="SZR"/>
  </r>
  <r>
    <x v="2738"/>
    <s v="DR IV"/>
    <s v="DON ROGDRIGO IV"/>
    <n v="42.8"/>
    <s v="18W000000000POZP"/>
    <x v="9"/>
    <s v="Venta"/>
    <s v="SZR"/>
    <s v="SHEEN"/>
    <x v="0"/>
    <x v="318"/>
    <x v="9"/>
    <s v="SZR"/>
  </r>
  <r>
    <x v="2739"/>
    <s v="DR V"/>
    <s v="DON RODRIGO V"/>
    <n v="42.8"/>
    <s v="18W000000000PP0I"/>
    <x v="9"/>
    <s v="Venta"/>
    <s v="SZR"/>
    <s v="SHEEN"/>
    <x v="0"/>
    <x v="318"/>
    <x v="9"/>
    <s v="SZR"/>
  </r>
  <r>
    <x v="2740"/>
    <s v="BIANOR"/>
    <s v="BIANOR SOLAR"/>
    <n v="11"/>
    <s v="18W000000000PP1G"/>
    <x v="9"/>
    <s v="Venta"/>
    <s v="SZR"/>
    <s v="SHEEN"/>
    <x v="0"/>
    <x v="318"/>
    <x v="9"/>
    <s v="SZR"/>
  </r>
  <r>
    <x v="2741"/>
    <s v="FUENTE1"/>
    <s v="FUENTE1"/>
    <n v="15"/>
    <s v="18W000000000PV4T"/>
    <x v="9"/>
    <s v="Venta"/>
    <s v="SZR"/>
    <s v="SHEEN"/>
    <x v="0"/>
    <x v="318"/>
    <x v="9"/>
    <s v="SZR"/>
  </r>
  <r>
    <x v="2742"/>
    <s v="FUENTE2"/>
    <s v="FUENTE2"/>
    <n v="41.3"/>
    <s v="18W000000000PV6P"/>
    <x v="9"/>
    <s v="Venta"/>
    <s v="SZR"/>
    <s v="SHEEN"/>
    <x v="0"/>
    <x v="318"/>
    <x v="9"/>
    <s v="SZR"/>
  </r>
  <r>
    <x v="2743"/>
    <s v="FUENTE3"/>
    <s v="FUENTE3"/>
    <n v="41.3"/>
    <s v="18W000000000PV7N"/>
    <x v="9"/>
    <s v="Venta"/>
    <s v="SZR"/>
    <s v="SHEEN"/>
    <x v="0"/>
    <x v="318"/>
    <x v="9"/>
    <s v="SZR"/>
  </r>
  <r>
    <x v="2744"/>
    <s v="FUENTE4"/>
    <s v="FUENTE4"/>
    <n v="14.3"/>
    <s v="18W000000000PV8L"/>
    <x v="9"/>
    <s v="Venta"/>
    <s v="SZR"/>
    <s v="SHEEN"/>
    <x v="0"/>
    <x v="318"/>
    <x v="9"/>
    <s v="SZR"/>
  </r>
  <r>
    <x v="2745"/>
    <s v="HINOJOSAS"/>
    <s v="HINOJOSAS"/>
    <n v="35"/>
    <s v="18W000000000QDYJ"/>
    <x v="9"/>
    <s v="Venta"/>
    <s v="SZR"/>
    <s v="SHEEN"/>
    <x v="0"/>
    <x v="318"/>
    <x v="9"/>
    <s v="SZR"/>
  </r>
  <r>
    <x v="2746"/>
    <s v="THERMISTO"/>
    <s v="THERMISTO FV147"/>
    <n v="40"/>
    <s v="18W000000000Q0UT"/>
    <x v="9"/>
    <s v="Venta"/>
    <s v="SZR"/>
    <s v="SHEEN"/>
    <x v="0"/>
    <x v="318"/>
    <x v="9"/>
    <s v="SZR"/>
  </r>
  <r>
    <x v="2747"/>
    <s v="TELESTO7"/>
    <s v="TELESTO7"/>
    <n v="40"/>
    <s v="18W000000000Q6AE"/>
    <x v="9"/>
    <s v="Venta"/>
    <s v="SZR"/>
    <s v="SHEEN"/>
    <x v="0"/>
    <x v="318"/>
    <x v="9"/>
    <s v="SZR"/>
  </r>
  <r>
    <x v="2748"/>
    <s v="TETHYS"/>
    <s v="THETYS SOLAR FV144"/>
    <n v="40"/>
    <s v="18W000000000Q4AK"/>
    <x v="9"/>
    <s v="Venta"/>
    <s v="SZR"/>
    <s v="SHEEN"/>
    <x v="0"/>
    <x v="318"/>
    <x v="9"/>
    <s v="SZR"/>
  </r>
  <r>
    <x v="2749"/>
    <s v="RHEA"/>
    <s v="TRILLO4"/>
    <n v="40"/>
    <s v="18W000000000Q0WP"/>
    <x v="9"/>
    <s v="Venta"/>
    <s v="SZR"/>
    <s v="SHEEN"/>
    <x v="0"/>
    <x v="318"/>
    <x v="9"/>
    <s v="SZR"/>
  </r>
  <r>
    <x v="2750"/>
    <s v="TELESTO"/>
    <s v="TELESTO"/>
    <n v="40"/>
    <s v="18W000000000Q6CA"/>
    <x v="9"/>
    <s v="Venta"/>
    <s v="SZR"/>
    <s v="SHEEN"/>
    <x v="0"/>
    <x v="318"/>
    <x v="9"/>
    <s v="SZR"/>
  </r>
  <r>
    <x v="2751"/>
    <s v="BIANOR SPV"/>
    <s v="BIANOR SPV"/>
    <n v="29.7"/>
    <s v="18W000000000QQIC"/>
    <x v="9"/>
    <s v="Venta"/>
    <s v="SZR"/>
    <s v="SHEEN"/>
    <x v="0"/>
    <x v="318"/>
    <x v="9"/>
    <s v="SZR"/>
  </r>
  <r>
    <x v="2752"/>
    <s v="CANADA ALT"/>
    <s v="CANADA ALTA"/>
    <n v="43.4"/>
    <s v="18W000000000R7YX"/>
    <x v="9"/>
    <s v="Venta"/>
    <s v="SZR"/>
    <s v="SHEEN"/>
    <x v="0"/>
    <x v="318"/>
    <x v="9"/>
    <s v="SZR"/>
  </r>
  <r>
    <x v="2753"/>
    <s v="JEREZ"/>
    <s v="JEREZ"/>
    <n v="20"/>
    <s v="18W000000000TF3Q"/>
    <x v="9"/>
    <s v="Venta"/>
    <s v="SZR"/>
    <s v="SHEEN"/>
    <x v="0"/>
    <x v="318"/>
    <x v="9"/>
    <s v="SZR"/>
  </r>
  <r>
    <x v="2754"/>
    <s v="BENACAZON"/>
    <s v="BENACAZON"/>
    <n v="20"/>
    <s v="18W000000000T8P3"/>
    <x v="9"/>
    <s v="Venta"/>
    <s v="SZR"/>
    <s v="SHEEN"/>
    <x v="0"/>
    <x v="318"/>
    <x v="9"/>
    <s v="SZR"/>
  </r>
  <r>
    <x v="2755"/>
    <s v="CASA VIEJA"/>
    <s v="CASA VIEJA"/>
    <n v="47.3"/>
    <s v="18W000000000SSPL"/>
    <x v="11"/>
    <s v="Venta"/>
    <s v="SZR"/>
    <s v="SHEEN"/>
    <x v="0"/>
    <x v="318"/>
    <x v="11"/>
    <s v="SZR"/>
  </r>
  <r>
    <x v="2756"/>
    <s v="PEDREJONES"/>
    <s v="PE PEDREJONES"/>
    <n v="44"/>
    <s v="18W000000000T5PC"/>
    <x v="11"/>
    <s v="Venta"/>
    <s v="SZR"/>
    <s v="SHEEN"/>
    <x v="0"/>
    <x v="318"/>
    <x v="11"/>
    <s v="SZR"/>
  </r>
  <r>
    <x v="2757"/>
    <s v="PE AIRAS"/>
    <s v="PE AIRAS"/>
    <n v="23.3"/>
    <s v="18W000000000SRKY"/>
    <x v="11"/>
    <s v="Venta"/>
    <s v="SZR"/>
    <s v="SHEEN"/>
    <x v="0"/>
    <x v="318"/>
    <x v="11"/>
    <s v="SZR"/>
  </r>
  <r>
    <x v="2758"/>
    <s v="FTE ALB 2"/>
    <s v="FUENTE ALBILLA 2"/>
    <n v="2"/>
    <s v="18W000000000QVZ0"/>
    <x v="9"/>
    <s v="Venta"/>
    <s v="SZR"/>
    <s v="SECOB"/>
    <x v="0"/>
    <x v="360"/>
    <x v="9"/>
    <s v="SZR"/>
  </r>
  <r>
    <x v="2759"/>
    <s v="SOLARMULA"/>
    <s v="UP MULA 400MW"/>
    <n v="392.8"/>
    <s v="18W000000000F3DO"/>
    <x v="9"/>
    <s v="Venta"/>
    <s v="AXPO"/>
    <s v="EGLE"/>
    <x v="0"/>
    <x v="82"/>
    <x v="9"/>
    <s v="AXP"/>
  </r>
  <r>
    <x v="2760"/>
    <s v="SIGNO"/>
    <s v="SIGNO"/>
    <n v="0.1"/>
    <s v="18W000000000JX58"/>
    <x v="2"/>
    <s v="Compra"/>
    <s v="SZR"/>
    <s v="SIGNO"/>
    <x v="1"/>
    <x v="593"/>
    <x v="2"/>
    <s v="SZR"/>
  </r>
  <r>
    <x v="2761"/>
    <s v="SIL G"/>
    <s v="UGH. SIL GENERACION"/>
    <n v="1556.6"/>
    <s v="18WSIL-123456-0G"/>
    <x v="1"/>
    <s v="Venta"/>
    <s v="IBEG"/>
    <s v="IBEG"/>
    <x v="0"/>
    <x v="7"/>
    <x v="1"/>
    <s v="IMA"/>
  </r>
  <r>
    <x v="2762"/>
    <s v="SIL B"/>
    <s v="UGH.B. SIL BOMBEO"/>
    <n v="412"/>
    <s v="18WSILB-12345-0I"/>
    <x v="13"/>
    <s v="Compra"/>
    <s v="SZR"/>
    <s v="IBEG"/>
    <x v="6"/>
    <x v="7"/>
    <x v="13"/>
    <s v="SZR"/>
  </r>
  <r>
    <x v="2763"/>
    <s v="HSILOS"/>
    <s v="HOTEL SANTO DOMINGO DE SILOS"/>
    <n v="0.1"/>
    <s v="18W00000000086QH"/>
    <x v="6"/>
    <s v="Compra"/>
    <s v="SZR"/>
    <s v="SILOS"/>
    <x v="3"/>
    <x v="594"/>
    <x v="6"/>
    <s v="SZR"/>
  </r>
  <r>
    <x v="2764"/>
    <s v="SIMPV01"/>
    <s v="SIMPV01"/>
    <n v="0.7"/>
    <s v="18W000000000F2EP"/>
    <x v="9"/>
    <s v="Venta"/>
    <s v="SZR"/>
    <s v="SIMPE"/>
    <x v="0"/>
    <x v="595"/>
    <x v="9"/>
    <s v="SZR"/>
  </r>
  <r>
    <x v="2765"/>
    <s v="FV LA ISLA"/>
    <s v="PFV LA ISLA"/>
    <n v="4.2"/>
    <s v="18W000000000R6OJ"/>
    <x v="9"/>
    <s v="Venta"/>
    <s v="SZR"/>
    <s v="TOTGA"/>
    <x v="0"/>
    <x v="141"/>
    <x v="9"/>
    <s v="SZR"/>
  </r>
  <r>
    <x v="2766"/>
    <s v="KISSORO"/>
    <s v="UP SF KISSORO"/>
    <n v="42.3"/>
    <s v="18W000000000N7BL"/>
    <x v="9"/>
    <s v="Venta"/>
    <s v="IGR"/>
    <s v="IGNIS"/>
    <x v="0"/>
    <x v="28"/>
    <x v="9"/>
    <s v="IGR"/>
  </r>
  <r>
    <x v="2767"/>
    <s v="SALLENT B"/>
    <s v="UGH.B. ESTANGENTO-SALLENTE BOMBEO"/>
    <n v="400"/>
    <s v="18WSLTB-12345-05"/>
    <x v="13"/>
    <s v="Compra"/>
    <s v="SZR"/>
    <s v="ENDG"/>
    <x v="6"/>
    <x v="72"/>
    <x v="13"/>
    <s v="SZR"/>
  </r>
  <r>
    <x v="2768"/>
    <s v="SALLENT G"/>
    <s v="UGH. ESTANGENTO -SALLENTE GENERACION"/>
    <n v="439.2"/>
    <s v="18WSLTG-12345-0T"/>
    <x v="14"/>
    <s v="Venta"/>
    <s v="END"/>
    <s v="ENDG"/>
    <x v="0"/>
    <x v="72"/>
    <x v="14"/>
    <s v="END"/>
  </r>
  <r>
    <x v="2769"/>
    <s v="MAJADAS"/>
    <s v="TERMOSOLAR MAJADAS"/>
    <n v="50"/>
    <s v="18WSMAJADA-123-N"/>
    <x v="27"/>
    <s v="Venta"/>
    <s v="SZR"/>
    <s v="GNRA"/>
    <x v="0"/>
    <x v="46"/>
    <x v="33"/>
    <s v="SZR"/>
  </r>
  <r>
    <x v="2770"/>
    <s v="SMAR_C"/>
    <s v="SMARD_COMPRA"/>
    <n v="10"/>
    <s v="18W000000000SWEV"/>
    <x v="16"/>
    <s v="Compra"/>
    <s v="SZR"/>
    <s v="SMARC"/>
    <x v="7"/>
    <x v="361"/>
    <x v="16"/>
    <s v="SZR"/>
  </r>
  <r>
    <x v="2771"/>
    <s v="SMARV"/>
    <s v="SMARD-VENTA"/>
    <n v="10"/>
    <s v="18W000000000SWFT"/>
    <x v="17"/>
    <s v="Venta"/>
    <s v="SZR"/>
    <s v="SMARC"/>
    <x v="7"/>
    <x v="361"/>
    <x v="17"/>
    <s v="SZR"/>
  </r>
  <r>
    <x v="2772"/>
    <s v="SMASOL1"/>
    <s v="MANCHASOL I"/>
    <n v="49.9"/>
    <s v="18W000000000FZB6"/>
    <x v="27"/>
    <s v="Venta"/>
    <s v="SZR"/>
    <s v="ELEIA"/>
    <x v="0"/>
    <x v="90"/>
    <x v="33"/>
    <s v="SZR"/>
  </r>
  <r>
    <x v="2773"/>
    <s v="SMGCP3"/>
    <s v="SMG ENTREGA DE ENERGÍA EN FRANCIA (AGENTE EXTERNO)"/>
    <n v="300"/>
    <s v="18WSMGCP3-123-4U"/>
    <x v="16"/>
    <s v="Compra"/>
    <s v="SZR"/>
    <s v="SMG"/>
    <x v="7"/>
    <x v="362"/>
    <x v="16"/>
    <s v="SZR"/>
  </r>
  <r>
    <x v="2774"/>
    <s v="SMGVP3"/>
    <s v="SMG INCORPORACIÓN DE ENERGÍA DESDE FRANCIA (AGENTE EXTERNO)"/>
    <n v="300"/>
    <s v="18WSMGVP3-123-3R"/>
    <x v="17"/>
    <s v="Venta"/>
    <s v="SZR"/>
    <s v="SMG"/>
    <x v="7"/>
    <x v="362"/>
    <x v="17"/>
    <s v="SZR"/>
  </r>
  <r>
    <x v="2775"/>
    <s v="UP MILANO"/>
    <s v="UP FV MILANO SOLAR"/>
    <n v="43.8"/>
    <s v="18W000000000R4F6"/>
    <x v="9"/>
    <s v="Venta"/>
    <s v="IGR"/>
    <s v="IGNIS"/>
    <x v="0"/>
    <x v="28"/>
    <x v="9"/>
    <s v="IGR"/>
  </r>
  <r>
    <x v="2776"/>
    <s v="NARANJILLA"/>
    <s v="PSF LAS NARANJILLAS"/>
    <n v="48.7"/>
    <s v="18W000000000JDRO"/>
    <x v="9"/>
    <s v="Venta"/>
    <s v="IGR"/>
    <s v="IGNIS"/>
    <x v="0"/>
    <x v="28"/>
    <x v="9"/>
    <s v="IGR"/>
  </r>
  <r>
    <x v="2777"/>
    <s v="SNIACONS"/>
    <s v="SNIACECONSUMIDORDIRECTO"/>
    <n v="4.5"/>
    <s v="18WSNIAC01-123-E"/>
    <x v="6"/>
    <s v="Compra"/>
    <s v="SZR"/>
    <s v="SNIA"/>
    <x v="3"/>
    <x v="596"/>
    <x v="6"/>
    <s v="SZR"/>
  </r>
  <r>
    <x v="2778"/>
    <s v="SNIACE COG"/>
    <s v="SNIACE COGENERACION, S.A."/>
    <n v="84.1"/>
    <s v="18WSNICOG-123-0K"/>
    <x v="10"/>
    <s v="Venta"/>
    <s v="SZR"/>
    <s v="COGEN"/>
    <x v="0"/>
    <x v="20"/>
    <x v="10"/>
    <s v="SZR"/>
  </r>
  <r>
    <x v="2779"/>
    <s v="SF ENERGY"/>
    <s v="SECONF FOUNDATION ENERGY"/>
    <n v="1"/>
    <s v="18W000000000OWRL"/>
    <x v="2"/>
    <s v="Compra"/>
    <s v="SZR"/>
    <s v="SECOB"/>
    <x v="1"/>
    <x v="360"/>
    <x v="2"/>
    <s v="SZR"/>
  </r>
  <r>
    <x v="2780"/>
    <s v="SOL2"/>
    <s v="EL SOLVENTE 2"/>
    <n v="2.1"/>
    <s v="18WSOL2-123456-H"/>
    <x v="1"/>
    <s v="Venta"/>
    <s v="SZR"/>
    <s v="BARER"/>
    <x v="0"/>
    <x v="1"/>
    <x v="1"/>
    <s v="SZR"/>
  </r>
  <r>
    <x v="2781"/>
    <s v="FVSOLAN"/>
    <s v="LAS SOLANAS FV"/>
    <n v="4.9000000000000004"/>
    <s v="18W000000000RZUV"/>
    <x v="9"/>
    <s v="Venta"/>
    <s v="SZR"/>
    <s v="ELEIA"/>
    <x v="0"/>
    <x v="90"/>
    <x v="9"/>
    <s v="SZR"/>
  </r>
  <r>
    <x v="2782"/>
    <s v="SOLFC01"/>
    <s v="COMPRA COMERCIALIZADORA"/>
    <n v="1"/>
    <s v="18W000000000Q2BO"/>
    <x v="2"/>
    <s v="Compra"/>
    <s v="SZR"/>
    <s v="SOLFL"/>
    <x v="1"/>
    <x v="597"/>
    <x v="2"/>
    <s v="SZR"/>
  </r>
  <r>
    <x v="2783"/>
    <s v="SOLGENERA"/>
    <s v="SOLGENERA"/>
    <n v="3.5"/>
    <s v="18W000000000SLDT"/>
    <x v="9"/>
    <s v="Venta"/>
    <s v="SZR"/>
    <s v="TRISO"/>
    <x v="0"/>
    <x v="115"/>
    <x v="9"/>
    <s v="SZR"/>
  </r>
  <r>
    <x v="2784"/>
    <s v="SOLINZA"/>
    <s v="PTS OLIVENZA 1"/>
    <n v="50"/>
    <s v="18W000000000PYLN"/>
    <x v="27"/>
    <s v="Venta"/>
    <s v="SZR"/>
    <s v="EGLE"/>
    <x v="0"/>
    <x v="82"/>
    <x v="33"/>
    <s v="SZR"/>
  </r>
  <r>
    <x v="2785"/>
    <s v="SOLLC01"/>
    <s v="E.SOLLERENSE PENINSULA"/>
    <n v="0.3"/>
    <s v="18WSOLLC01-123-7"/>
    <x v="2"/>
    <s v="Compra"/>
    <s v="SZR"/>
    <s v="SOLL"/>
    <x v="1"/>
    <x v="598"/>
    <x v="2"/>
    <s v="SZR"/>
  </r>
  <r>
    <x v="2786"/>
    <s v="SOLRED"/>
    <s v="SOLRED"/>
    <n v="2.1"/>
    <s v="18W000000000M0NM"/>
    <x v="9"/>
    <s v="Venta"/>
    <s v="SZR"/>
    <s v="GNRA"/>
    <x v="0"/>
    <x v="46"/>
    <x v="9"/>
    <s v="SZR"/>
  </r>
  <r>
    <x v="2787"/>
    <s v="SOLTC01"/>
    <s v="SOLTC01"/>
    <n v="0.1"/>
    <s v="18W000000000Q8C4"/>
    <x v="2"/>
    <s v="Compra"/>
    <s v="SZR"/>
    <s v="SOLTE"/>
    <x v="1"/>
    <x v="599"/>
    <x v="2"/>
    <s v="SZR"/>
  </r>
  <r>
    <x v="2788"/>
    <s v="SOLVAY M"/>
    <s v="SOLVAY - MARTORELL"/>
    <n v="21"/>
    <s v="18WSOLVAYM-12-1W"/>
    <x v="10"/>
    <s v="Venta"/>
    <s v="SZR"/>
    <s v="EBLCO"/>
    <x v="0"/>
    <x v="158"/>
    <x v="10"/>
    <s v="SZR"/>
  </r>
  <r>
    <x v="2789"/>
    <s v="SOLWE"/>
    <s v="SOLWE ENERGIA"/>
    <n v="0.2"/>
    <s v="18W000000000K5C0"/>
    <x v="2"/>
    <s v="Compra"/>
    <s v="SZR"/>
    <s v="SOLWE"/>
    <x v="1"/>
    <x v="600"/>
    <x v="2"/>
    <s v="SZR"/>
  </r>
  <r>
    <x v="2790"/>
    <s v="SOLWE JUND"/>
    <s v="SOLWE JUNDESOL"/>
    <n v="0.9"/>
    <s v="18W000000000SFAG"/>
    <x v="9"/>
    <s v="Venta"/>
    <s v="SZR"/>
    <s v="SOLWE"/>
    <x v="0"/>
    <x v="600"/>
    <x v="9"/>
    <s v="SZR"/>
  </r>
  <r>
    <x v="2791"/>
    <s v="SOLWESOLCA"/>
    <s v="SOLWE SOLCASTEL"/>
    <n v="0.9"/>
    <s v="18W000000000SF9I"/>
    <x v="9"/>
    <s v="Venta"/>
    <s v="SZR"/>
    <s v="SOLWE"/>
    <x v="0"/>
    <x v="600"/>
    <x v="9"/>
    <s v="SZR"/>
  </r>
  <r>
    <x v="2792"/>
    <s v="SOMENERGIA"/>
    <s v="SOM ENERGIA"/>
    <n v="200"/>
    <s v="18WSOMEC01-123-T"/>
    <x v="2"/>
    <s v="Compra"/>
    <s v="SZR"/>
    <s v="SOMEN"/>
    <x v="1"/>
    <x v="589"/>
    <x v="2"/>
    <s v="SZR"/>
  </r>
  <r>
    <x v="2793"/>
    <s v="SOMEN FV P"/>
    <s v="SOMEN FOTOVOLTAICA MENOR 1MW"/>
    <n v="4.9000000000000004"/>
    <s v="18W000000000RFSL"/>
    <x v="9"/>
    <s v="Venta"/>
    <s v="SZR"/>
    <s v="SOMEN"/>
    <x v="0"/>
    <x v="589"/>
    <x v="9"/>
    <s v="SZR"/>
  </r>
  <r>
    <x v="2794"/>
    <s v="REP_FV_PEN"/>
    <s v="REPRESENTACION SOLAR FOTOVOLTAICA PENINSULA"/>
    <n v="11.8"/>
    <s v="18W000000000FDBZ"/>
    <x v="9"/>
    <s v="Venta"/>
    <s v="SZR"/>
    <s v="SOMRE"/>
    <x v="0"/>
    <x v="601"/>
    <x v="9"/>
    <s v="SZR"/>
  </r>
  <r>
    <x v="2795"/>
    <s v="MINIHIDR P"/>
    <s v="SR MINIHIDRAULICA PENINSULA"/>
    <n v="1.8"/>
    <s v="18W000000000GB5C"/>
    <x v="1"/>
    <s v="Venta"/>
    <s v="SZR"/>
    <s v="SOMRE"/>
    <x v="0"/>
    <x v="601"/>
    <x v="19"/>
    <s v="SZR"/>
  </r>
  <r>
    <x v="2796"/>
    <s v="SONESTA L"/>
    <s v="SONESTA LUZ"/>
    <n v="5"/>
    <s v="18W000000000TFG0"/>
    <x v="2"/>
    <s v="Compra"/>
    <s v="SZR"/>
    <s v="SOLUZ"/>
    <x v="1"/>
    <x v="602"/>
    <x v="2"/>
    <s v="SZR"/>
  </r>
  <r>
    <x v="2797"/>
    <s v="SONES"/>
    <s v="SONES"/>
    <n v="5.4"/>
    <s v="18W000000000JNL6"/>
    <x v="9"/>
    <s v="Venta"/>
    <s v="SZR"/>
    <s v="GNRA"/>
    <x v="0"/>
    <x v="46"/>
    <x v="9"/>
    <s v="SZR"/>
  </r>
  <r>
    <x v="2798"/>
    <s v="SOPAG"/>
    <s v="SOPAG"/>
    <n v="5.8"/>
    <s v="18WSOPAG-12345-3"/>
    <x v="9"/>
    <s v="Venta"/>
    <s v="SZR"/>
    <s v="GNRA"/>
    <x v="0"/>
    <x v="46"/>
    <x v="9"/>
    <s v="SZR"/>
  </r>
  <r>
    <x v="2799"/>
    <s v="SOPRO PEN"/>
    <s v="SOPRO PEN"/>
    <n v="1"/>
    <s v="18W000000000OBFY"/>
    <x v="2"/>
    <s v="Compra"/>
    <s v="SZR"/>
    <s v="SOPRO"/>
    <x v="1"/>
    <x v="603"/>
    <x v="2"/>
    <s v="SZR"/>
  </r>
  <r>
    <x v="2800"/>
    <s v="SOREX"/>
    <s v="SORS MARKETS LTD"/>
    <n v="100"/>
    <s v="18W000000000K2MQ"/>
    <x v="2"/>
    <s v="Compra"/>
    <s v="SZR"/>
    <s v="SOREX"/>
    <x v="1"/>
    <x v="604"/>
    <x v="2"/>
    <s v="SZR"/>
  </r>
  <r>
    <x v="2801"/>
    <s v="SPBB"/>
    <s v="SPBB"/>
    <n v="4.4000000000000004"/>
    <s v="18WSPBBC01-123-K"/>
    <x v="6"/>
    <s v="Compra"/>
    <s v="SZR"/>
    <s v="SPBB"/>
    <x v="3"/>
    <x v="605"/>
    <x v="6"/>
    <s v="SZR"/>
  </r>
  <r>
    <x v="2802"/>
    <s v="SPK_CM_PEN"/>
    <s v="SPOCK COMERCIALIZADORA PENINSULA"/>
    <n v="0.1"/>
    <s v="18W000000000QWZY"/>
    <x v="2"/>
    <s v="Compra"/>
    <s v="SZR"/>
    <s v="SPOCK"/>
    <x v="1"/>
    <x v="606"/>
    <x v="2"/>
    <s v="SZR"/>
  </r>
  <r>
    <x v="2803"/>
    <s v="SPEEXXI"/>
    <s v="ENDESA CUR ( SOLAR TERMICA, PRUEBAS)"/>
    <n v="0"/>
    <s v="18WSPEEXXI-123-E"/>
    <x v="27"/>
    <s v="Venta"/>
    <s v="SZR"/>
    <s v="EEXXI"/>
    <x v="0"/>
    <x v="72"/>
    <x v="33"/>
    <s v="SZR"/>
  </r>
  <r>
    <x v="2804"/>
    <s v="SPEONUR"/>
    <s v="E.ON CUR ( SOLAR TERMICA, PRUEBAS)"/>
    <n v="0"/>
    <s v="18WSPEONUR-123-2"/>
    <x v="27"/>
    <s v="Venta"/>
    <s v="SZR"/>
    <s v="EONUR"/>
    <x v="0"/>
    <x v="270"/>
    <x v="33"/>
    <s v="SZR"/>
  </r>
  <r>
    <x v="2805"/>
    <s v="SPGG"/>
    <s v="PLASTIENVASE"/>
    <n v="4.8"/>
    <s v="18W000000000G0YO"/>
    <x v="6"/>
    <s v="Compra"/>
    <s v="SZR"/>
    <s v="SPGG"/>
    <x v="3"/>
    <x v="607"/>
    <x v="6"/>
    <s v="SZR"/>
  </r>
  <r>
    <x v="2806"/>
    <s v="SPHCCUR"/>
    <s v="HIDROCANTABRICO CUR ( SOLAR TERMICA, PRUEBAS)"/>
    <n v="0"/>
    <s v="18WSPHCCUR-123-3"/>
    <x v="27"/>
    <s v="Venta"/>
    <s v="SZR"/>
    <s v="HCCUR"/>
    <x v="0"/>
    <x v="273"/>
    <x v="33"/>
    <s v="SZR"/>
  </r>
  <r>
    <x v="2807"/>
    <s v="SPIBCUR"/>
    <s v="IBERDROLA CUR ( SOLAR TERMICA, PRUEBAS)"/>
    <n v="0"/>
    <s v="18WSPIBCUR-123-2"/>
    <x v="27"/>
    <s v="Venta"/>
    <s v="SZR"/>
    <s v="IBCUR"/>
    <x v="0"/>
    <x v="7"/>
    <x v="33"/>
    <s v="SZR"/>
  </r>
  <r>
    <x v="2808"/>
    <s v="SPINC01"/>
    <s v="SPINREACT SAU"/>
    <n v="1"/>
    <s v="18W0000000007IVC"/>
    <x v="6"/>
    <s v="Compra"/>
    <s v="SZR"/>
    <s v="SPINR"/>
    <x v="3"/>
    <x v="608"/>
    <x v="6"/>
    <s v="SZR"/>
  </r>
  <r>
    <x v="2809"/>
    <s v="SUNPLEX"/>
    <s v="UP SF SUNPLEX"/>
    <n v="42.3"/>
    <s v="18W000000000N77T"/>
    <x v="9"/>
    <s v="Venta"/>
    <s v="IGR"/>
    <s v="IGNIS"/>
    <x v="0"/>
    <x v="28"/>
    <x v="9"/>
    <s v="IGR"/>
  </r>
  <r>
    <x v="2810"/>
    <s v="PUERTOLL5"/>
    <s v="RENOVALIA PUERTOLLANO 5"/>
    <n v="13.3"/>
    <s v="18W000000000JFKW"/>
    <x v="9"/>
    <s v="Venta"/>
    <s v="IGR"/>
    <s v="IGNIS"/>
    <x v="0"/>
    <x v="28"/>
    <x v="9"/>
    <s v="IGR"/>
  </r>
  <r>
    <x v="2811"/>
    <s v="PUERTOLL6"/>
    <s v="RENOVALIA PUERTOLLANO 6"/>
    <n v="17.600000000000001"/>
    <s v="18W000000000JFLU"/>
    <x v="9"/>
    <s v="Venta"/>
    <s v="IGR"/>
    <s v="IGNIS"/>
    <x v="0"/>
    <x v="28"/>
    <x v="9"/>
    <s v="IGR"/>
  </r>
  <r>
    <x v="2812"/>
    <s v="PUERTOLL7"/>
    <s v="RENOVALIA PUERTOLLANO 7"/>
    <n v="17.600000000000001"/>
    <s v="18W000000000JFMS"/>
    <x v="9"/>
    <s v="Venta"/>
    <s v="IGR"/>
    <s v="IGNIS"/>
    <x v="0"/>
    <x v="28"/>
    <x v="9"/>
    <s v="IGR"/>
  </r>
  <r>
    <x v="2813"/>
    <s v="PUERTOLL8"/>
    <s v="RENOVALIA PUERTOLLANO 8"/>
    <n v="13.3"/>
    <s v="18W000000000JFNQ"/>
    <x v="9"/>
    <s v="Venta"/>
    <s v="IGR"/>
    <s v="IGNIS"/>
    <x v="0"/>
    <x v="28"/>
    <x v="9"/>
    <s v="IGR"/>
  </r>
  <r>
    <x v="2814"/>
    <s v="PUERTOLL9"/>
    <s v="RENOVALIA PUERTOLLANO 9"/>
    <n v="8"/>
    <s v="18W000000000JFOO"/>
    <x v="9"/>
    <s v="Venta"/>
    <s v="IGR"/>
    <s v="IGNIS"/>
    <x v="0"/>
    <x v="28"/>
    <x v="9"/>
    <s v="IGR"/>
  </r>
  <r>
    <x v="2815"/>
    <s v="PALMASAETI"/>
    <s v="TERMOSOLAR PALMA SAETILLA"/>
    <n v="100"/>
    <s v="18WSPSAETI-123-T"/>
    <x v="27"/>
    <s v="Venta"/>
    <s v="SZR"/>
    <s v="GNRA"/>
    <x v="0"/>
    <x v="46"/>
    <x v="33"/>
    <s v="SZR"/>
  </r>
  <r>
    <x v="2816"/>
    <s v="SRFVMAJ1"/>
    <s v="SRFV MAJOR 1MW"/>
    <n v="14.5"/>
    <s v="18W000000000L3D0"/>
    <x v="9"/>
    <s v="Venta"/>
    <s v="SZR"/>
    <s v="SOMRE"/>
    <x v="0"/>
    <x v="601"/>
    <x v="9"/>
    <s v="SZR"/>
  </r>
  <r>
    <x v="2817"/>
    <s v="SOTORIBE 3"/>
    <s v="C.T. SOTO DE RIBERA 3"/>
    <n v="346.2"/>
    <s v="18WSRI3-12345-0N"/>
    <x v="3"/>
    <s v="Venta"/>
    <s v="HC"/>
    <s v="HC G"/>
    <x v="0"/>
    <x v="3"/>
    <x v="3"/>
    <s v="HC"/>
  </r>
  <r>
    <x v="2818"/>
    <s v="SOTORIBE 4"/>
    <s v="CC SOTO RIBERA 4"/>
    <n v="426"/>
    <s v="18W18WSRI4--123V"/>
    <x v="8"/>
    <s v="Venta"/>
    <s v="HC"/>
    <s v="HC G"/>
    <x v="0"/>
    <x v="3"/>
    <x v="8"/>
    <s v="HC"/>
  </r>
  <r>
    <x v="2819"/>
    <s v="SOTO5"/>
    <s v="C.C. SOTO DE RIBERA 5"/>
    <n v="428.1"/>
    <s v="18WSRI5-123456-L"/>
    <x v="8"/>
    <s v="Venta"/>
    <s v="HC"/>
    <s v="CCSR4"/>
    <x v="0"/>
    <x v="3"/>
    <x v="8"/>
    <s v="HC"/>
  </r>
  <r>
    <x v="2820"/>
    <s v="SANROQUE1"/>
    <s v="C.T. SAN ROQUE (CICLO COMBINADO) GAS NATURAL"/>
    <n v="389.8"/>
    <s v="18WSROQ1-1234-06"/>
    <x v="8"/>
    <s v="Venta"/>
    <s v="NTG"/>
    <s v="GNCC"/>
    <x v="0"/>
    <x v="8"/>
    <x v="8"/>
    <s v="GN"/>
  </r>
  <r>
    <x v="2821"/>
    <s v="SANROQUE2"/>
    <s v="C.T. SAN ROQUE (CICLO COMBINADO) ENDESA"/>
    <n v="401.8"/>
    <s v="18WSROQ2-1234-0Y"/>
    <x v="8"/>
    <s v="Venta"/>
    <s v="END"/>
    <s v="ENDG"/>
    <x v="0"/>
    <x v="72"/>
    <x v="8"/>
    <s v="END"/>
  </r>
  <r>
    <x v="2822"/>
    <s v="GASHOGAR15"/>
    <s v="GASHOGAR15"/>
    <n v="50"/>
    <s v="18WSRVGC01-123-M"/>
    <x v="2"/>
    <s v="Compra"/>
    <s v="SZR"/>
    <s v="SRVGS"/>
    <x v="1"/>
    <x v="609"/>
    <x v="2"/>
    <s v="SZR"/>
  </r>
  <r>
    <x v="2823"/>
    <s v="SRVI"/>
    <s v="SERVINERGIA"/>
    <n v="1"/>
    <s v="18W000000000RLFT"/>
    <x v="2"/>
    <s v="Compra"/>
    <s v="SZR"/>
    <s v="SERV"/>
    <x v="1"/>
    <x v="610"/>
    <x v="2"/>
    <s v="SZR"/>
  </r>
  <r>
    <x v="2824"/>
    <s v="COMPRA_F"/>
    <s v="COMPRA_FRANCIA"/>
    <n v="20"/>
    <s v="18W000000000R3MW"/>
    <x v="16"/>
    <s v="Compra"/>
    <s v="SZR"/>
    <s v="SSEEN"/>
    <x v="7"/>
    <x v="363"/>
    <x v="16"/>
    <s v="SZR"/>
  </r>
  <r>
    <x v="2825"/>
    <s v="VENTA_F"/>
    <s v="VENTA_FRANCIA"/>
    <n v="20"/>
    <s v="18W000000000R3NU"/>
    <x v="17"/>
    <s v="Venta"/>
    <s v="SZR"/>
    <s v="SSEEN"/>
    <x v="7"/>
    <x v="363"/>
    <x v="17"/>
    <s v="SZR"/>
  </r>
  <r>
    <x v="2826"/>
    <s v="ASOMADA"/>
    <s v="UP SF LA ASOMADA"/>
    <n v="4.2"/>
    <s v="18W000000000N0A7"/>
    <x v="9"/>
    <s v="Venta"/>
    <s v="TOTENERG"/>
    <s v="TOTGA"/>
    <x v="0"/>
    <x v="141"/>
    <x v="9"/>
    <s v="TTE"/>
  </r>
  <r>
    <x v="2827"/>
    <s v="ST4"/>
    <s v="PARC ALBA ST4"/>
    <n v="9.6999999999999993"/>
    <s v="18WST4-1234567-C"/>
    <x v="10"/>
    <s v="Venta"/>
    <s v="SZR"/>
    <s v="LMER"/>
    <x v="0"/>
    <x v="89"/>
    <x v="10"/>
    <s v="SZR"/>
  </r>
  <r>
    <x v="2828"/>
    <s v="S COLOMA"/>
    <s v="ELEC MUN S COLOMA DE QUERALT"/>
    <n v="1.6"/>
    <s v="18W0000000002VN9"/>
    <x v="2"/>
    <s v="Compra"/>
    <s v="SZR"/>
    <s v="STACO"/>
    <x v="1"/>
    <x v="611"/>
    <x v="2"/>
    <s v="SZR"/>
  </r>
  <r>
    <x v="2829"/>
    <s v="SANTURCE 4"/>
    <s v="C.T. SANTURCE 4"/>
    <n v="396.4"/>
    <s v="18WSTC4-12345-0I"/>
    <x v="8"/>
    <s v="Venta"/>
    <s v="IBEG"/>
    <s v="IBGT"/>
    <x v="0"/>
    <x v="7"/>
    <x v="8"/>
    <s v="IMA"/>
  </r>
  <r>
    <x v="2830"/>
    <s v="STHEEN1"/>
    <s v="HELIOENERGY 1"/>
    <n v="50"/>
    <s v="18WSTHEEN1-123-7"/>
    <x v="27"/>
    <s v="Venta"/>
    <s v="SZR"/>
    <s v="EGLE"/>
    <x v="0"/>
    <x v="82"/>
    <x v="33"/>
    <s v="SZR"/>
  </r>
  <r>
    <x v="2831"/>
    <s v="STHEEN2"/>
    <s v="HELIOENERGY 2"/>
    <n v="50"/>
    <s v="18WSTHEEN2-123-0"/>
    <x v="27"/>
    <s v="Venta"/>
    <s v="SZR"/>
    <s v="EGLE"/>
    <x v="0"/>
    <x v="82"/>
    <x v="33"/>
    <s v="SZR"/>
  </r>
  <r>
    <x v="2832"/>
    <s v="STHELI1"/>
    <s v="HELIOS 1 HYPERION"/>
    <n v="49.9"/>
    <s v="18WSTHELI1-123-L"/>
    <x v="27"/>
    <s v="Venta"/>
    <s v="SZR"/>
    <s v="EGLE"/>
    <x v="0"/>
    <x v="82"/>
    <x v="33"/>
    <s v="SZR"/>
  </r>
  <r>
    <x v="2833"/>
    <s v="STHELI2"/>
    <s v="HELIOS 2 HYPERION"/>
    <n v="49.9"/>
    <s v="18WSTHELI2-123-E"/>
    <x v="27"/>
    <s v="Venta"/>
    <s v="SZR"/>
    <s v="EGLE"/>
    <x v="0"/>
    <x v="82"/>
    <x v="33"/>
    <s v="SZR"/>
  </r>
  <r>
    <x v="2834"/>
    <s v="STINC01"/>
    <s v="STIN UNIDAD COMERCIALIZACION"/>
    <n v="1"/>
    <s v="18W0000000000QYA"/>
    <x v="2"/>
    <s v="Compra"/>
    <s v="SZR"/>
    <s v="STIN"/>
    <x v="1"/>
    <x v="139"/>
    <x v="2"/>
    <s v="SZR"/>
  </r>
  <r>
    <x v="2835"/>
    <s v="STOCK"/>
    <s v="STOCKFIL"/>
    <n v="0.1"/>
    <s v="18W000000000QSUJ"/>
    <x v="6"/>
    <s v="Compra"/>
    <s v="SZR"/>
    <s v="STOCK"/>
    <x v="3"/>
    <x v="612"/>
    <x v="6"/>
    <s v="SZR"/>
  </r>
  <r>
    <x v="2836"/>
    <s v="STROC1"/>
    <s v="STROC01ENERGY"/>
    <n v="0.1"/>
    <s v="18WENERGYSTROMXC"/>
    <x v="2"/>
    <s v="Compra"/>
    <s v="SZR"/>
    <s v="STROM"/>
    <x v="1"/>
    <x v="613"/>
    <x v="2"/>
    <s v="SZR"/>
  </r>
  <r>
    <x v="2837"/>
    <s v="STSANSO"/>
    <s v="SANLUCAR SOLAR"/>
    <n v="11"/>
    <s v="18WSTSANSO-123-E"/>
    <x v="27"/>
    <s v="Venta"/>
    <s v="SZR"/>
    <s v="EGLE"/>
    <x v="0"/>
    <x v="82"/>
    <x v="33"/>
    <s v="SZR"/>
  </r>
  <r>
    <x v="2838"/>
    <s v="STSLPRO"/>
    <s v="SOLAR PROCESSES"/>
    <n v="20"/>
    <s v="18WSTSLPRO-123-5"/>
    <x v="27"/>
    <s v="Venta"/>
    <s v="SZR"/>
    <s v="EGLE"/>
    <x v="0"/>
    <x v="82"/>
    <x v="33"/>
    <s v="SZR"/>
  </r>
  <r>
    <x v="2839"/>
    <s v="STSOLA1"/>
    <s v="TS SOLACOR 1"/>
    <n v="50"/>
    <s v="18WSTSOLA1-123-C"/>
    <x v="27"/>
    <s v="Venta"/>
    <s v="SZR"/>
    <s v="EGLE"/>
    <x v="0"/>
    <x v="82"/>
    <x v="33"/>
    <s v="SZR"/>
  </r>
  <r>
    <x v="2840"/>
    <s v="STSOLA2"/>
    <s v="SOLACOR 2"/>
    <n v="50"/>
    <s v="18WSTSOLA2-123-5"/>
    <x v="27"/>
    <s v="Venta"/>
    <s v="SZR"/>
    <s v="EGLE"/>
    <x v="0"/>
    <x v="82"/>
    <x v="33"/>
    <s v="SZR"/>
  </r>
  <r>
    <x v="2841"/>
    <s v="STSOLB1"/>
    <s v="SOLABEN 1"/>
    <n v="50"/>
    <s v="18WSTSOLB1-123-4"/>
    <x v="27"/>
    <s v="Venta"/>
    <s v="SZR"/>
    <s v="EGLE"/>
    <x v="0"/>
    <x v="82"/>
    <x v="33"/>
    <s v="SZR"/>
  </r>
  <r>
    <x v="2842"/>
    <s v="STSOLB2"/>
    <s v="SOLABEN 2"/>
    <n v="50"/>
    <s v="18WSTSOLB2-123-Y"/>
    <x v="27"/>
    <s v="Venta"/>
    <s v="SZR"/>
    <s v="EGLE"/>
    <x v="0"/>
    <x v="82"/>
    <x v="33"/>
    <s v="SZR"/>
  </r>
  <r>
    <x v="2843"/>
    <s v="STSOLB3"/>
    <s v="SOLABEN 3"/>
    <n v="50"/>
    <s v="18WSTSOLB3-123-R"/>
    <x v="27"/>
    <s v="Venta"/>
    <s v="SZR"/>
    <s v="EGLE"/>
    <x v="0"/>
    <x v="82"/>
    <x v="33"/>
    <s v="SZR"/>
  </r>
  <r>
    <x v="2844"/>
    <s v="STSOLB6"/>
    <s v="SOLABEN 6"/>
    <n v="50"/>
    <s v="18WSTSOLB6-123-6"/>
    <x v="27"/>
    <s v="Venta"/>
    <s v="SZR"/>
    <s v="EGLE"/>
    <x v="0"/>
    <x v="82"/>
    <x v="33"/>
    <s v="SZR"/>
  </r>
  <r>
    <x v="2845"/>
    <s v="STSOLN1"/>
    <s v="SOLNOVA 1"/>
    <n v="50"/>
    <s v="18WSTSOLN1-123-J"/>
    <x v="27"/>
    <s v="Venta"/>
    <s v="SZR"/>
    <s v="EGLE"/>
    <x v="0"/>
    <x v="82"/>
    <x v="33"/>
    <s v="SZR"/>
  </r>
  <r>
    <x v="2846"/>
    <s v="STSOLN3"/>
    <s v="SOLNOVA 3"/>
    <n v="50"/>
    <s v="18WSTSOLN3-123-5"/>
    <x v="27"/>
    <s v="Venta"/>
    <s v="SZR"/>
    <s v="EGLE"/>
    <x v="0"/>
    <x v="82"/>
    <x v="33"/>
    <s v="SZR"/>
  </r>
  <r>
    <x v="2847"/>
    <s v="STSOLN4"/>
    <s v="SOLNOVA 4"/>
    <n v="50"/>
    <s v="18WSTSOLN4-123-Z"/>
    <x v="27"/>
    <s v="Venta"/>
    <s v="SZR"/>
    <s v="EGLE"/>
    <x v="0"/>
    <x v="82"/>
    <x v="33"/>
    <s v="SZR"/>
  </r>
  <r>
    <x v="2848"/>
    <s v="STSOLUC"/>
    <s v="UP TERMICA SOLUCIA"/>
    <n v="49.9"/>
    <s v="18W000000000NHEM"/>
    <x v="27"/>
    <s v="Venta"/>
    <s v="SZR"/>
    <s v="NEXU"/>
    <x v="0"/>
    <x v="187"/>
    <x v="33"/>
    <s v="SZR"/>
  </r>
  <r>
    <x v="2849"/>
    <s v="STUBOS"/>
    <s v="18WSTUBOS-1234-D"/>
    <n v="30"/>
    <s v="18WSTUBOS-1234-D"/>
    <x v="27"/>
    <s v="Venta"/>
    <s v="SZR"/>
    <s v="EGLE"/>
    <x v="0"/>
    <x v="82"/>
    <x v="33"/>
    <s v="SZR"/>
  </r>
  <r>
    <x v="2850"/>
    <s v="STVILLE"/>
    <s v="UP TERMOSOLAR VILLENA"/>
    <n v="49.9"/>
    <s v="18W000000000IR11"/>
    <x v="27"/>
    <s v="Venta"/>
    <s v="SZR"/>
    <s v="NEXU"/>
    <x v="0"/>
    <x v="187"/>
    <x v="33"/>
    <s v="SZR"/>
  </r>
  <r>
    <x v="2851"/>
    <s v="SUCAS"/>
    <s v="SUCA SOCIEDAD COOPERATIVA"/>
    <n v="3"/>
    <s v="18W0000000005O6F"/>
    <x v="2"/>
    <s v="Compra"/>
    <s v="SZR"/>
    <s v="SUCAS"/>
    <x v="1"/>
    <x v="614"/>
    <x v="2"/>
    <s v="SZR"/>
  </r>
  <r>
    <x v="2852"/>
    <s v="SULAYR"/>
    <s v="SULAYR GLOBAL SERVICE"/>
    <n v="0.7"/>
    <s v="18WSULAC01-123-8"/>
    <x v="6"/>
    <s v="Compra"/>
    <s v="SZR"/>
    <s v="SULA"/>
    <x v="3"/>
    <x v="615"/>
    <x v="6"/>
    <s v="SZR"/>
  </r>
  <r>
    <x v="2853"/>
    <s v="SUMAE"/>
    <s v="SUMA ENERGIA SL"/>
    <n v="0.6"/>
    <s v="18W000000000HWT8"/>
    <x v="2"/>
    <s v="Compra"/>
    <s v="SZR"/>
    <s v="SUMAE"/>
    <x v="1"/>
    <x v="616"/>
    <x v="2"/>
    <s v="SZR"/>
  </r>
  <r>
    <x v="2854"/>
    <s v="SUNAIR ONE"/>
    <s v="SUNAIR ONE ENERGY S.L."/>
    <n v="0.1"/>
    <s v="18WSUNAC01-123-N"/>
    <x v="2"/>
    <s v="Compra"/>
    <s v="SZR"/>
    <s v="SUNAI"/>
    <x v="1"/>
    <x v="617"/>
    <x v="2"/>
    <s v="SZR"/>
  </r>
  <r>
    <x v="2855"/>
    <s v="SUNCAPEN"/>
    <s v="SUNCA PENINSULA"/>
    <n v="0.1"/>
    <s v="18W000000000FCMG"/>
    <x v="2"/>
    <s v="Compra"/>
    <s v="SZR"/>
    <s v="SUNCA"/>
    <x v="1"/>
    <x v="618"/>
    <x v="2"/>
    <s v="SZR"/>
  </r>
  <r>
    <x v="2856"/>
    <s v="SUNFC01"/>
    <s v="COMPRA ALDERAAN"/>
    <n v="1"/>
    <s v="18W000000000Q2AQ"/>
    <x v="2"/>
    <s v="Compra"/>
    <s v="SZR"/>
    <s v="SUNFL"/>
    <x v="1"/>
    <x v="619"/>
    <x v="2"/>
    <s v="SZR"/>
  </r>
  <r>
    <x v="2857"/>
    <s v="SUNAIRHOME"/>
    <s v="SUNAIR ONE HOME"/>
    <n v="0.1"/>
    <s v="18WSUNAIRHOMEPEJ"/>
    <x v="2"/>
    <s v="Compra"/>
    <s v="SZR"/>
    <s v="SUNHO"/>
    <x v="1"/>
    <x v="620"/>
    <x v="2"/>
    <s v="SZR"/>
  </r>
  <r>
    <x v="2858"/>
    <s v="UP SUNPS"/>
    <s v="UP SUN POWER 365"/>
    <n v="0.1"/>
    <s v="18W000000000OJXB"/>
    <x v="2"/>
    <s v="Compra"/>
    <s v="SZR"/>
    <s v="SUNPS"/>
    <x v="1"/>
    <x v="621"/>
    <x v="2"/>
    <s v="SZR"/>
  </r>
  <r>
    <x v="2859"/>
    <s v="SWAPENERGI"/>
    <s v="SWAP ENERGIA"/>
    <n v="0.1"/>
    <s v="18WSWAPCO1-123-M"/>
    <x v="2"/>
    <s v="Compra"/>
    <s v="SZR"/>
    <s v="SWAPE"/>
    <x v="1"/>
    <x v="622"/>
    <x v="2"/>
    <s v="SZR"/>
  </r>
  <r>
    <x v="2860"/>
    <s v="SYEEXXI"/>
    <s v="ENDESA CUR ( TARIFA, SOLAR TERMICA, NO EXENTA)"/>
    <n v="0"/>
    <s v="18WSYEEXXI-123-H"/>
    <x v="27"/>
    <s v="Venta"/>
    <s v="SZR"/>
    <s v="EEXXI"/>
    <x v="0"/>
    <x v="72"/>
    <x v="33"/>
    <s v="SZR"/>
  </r>
  <r>
    <x v="2861"/>
    <s v="SYENC01"/>
    <s v="SYENE_UP"/>
    <n v="1"/>
    <s v="18W000000000LN6S"/>
    <x v="2"/>
    <s v="Compra"/>
    <s v="SZR"/>
    <s v="SYENE"/>
    <x v="1"/>
    <x v="623"/>
    <x v="2"/>
    <s v="SZR"/>
  </r>
  <r>
    <x v="2862"/>
    <s v="SYEONUR"/>
    <s v="E.ON CUR ( TARIFA, SOLAR TERMICA, NO EXENTA)"/>
    <n v="0"/>
    <s v="18WSYEONUR-123-5"/>
    <x v="27"/>
    <s v="Venta"/>
    <s v="SZR"/>
    <s v="EONUR"/>
    <x v="0"/>
    <x v="270"/>
    <x v="33"/>
    <s v="SZR"/>
  </r>
  <r>
    <x v="2863"/>
    <s v="SYGNSUR"/>
    <s v="GAS NATURAL SUR SDG ( TARIFA, SOLAR TERMICA, NO EXENTA"/>
    <n v="0"/>
    <s v="18WSYGNSUR-123-M"/>
    <x v="27"/>
    <s v="Venta"/>
    <s v="SZR"/>
    <s v="GNSUR"/>
    <x v="0"/>
    <x v="8"/>
    <x v="33"/>
    <s v="SZR"/>
  </r>
  <r>
    <x v="2864"/>
    <s v="SYHCCUR"/>
    <s v="HIDROCANTABRICO CUR ( TARIFA, SOLAR TERMICA, NO EXENTA)"/>
    <n v="0"/>
    <s v="18WSYHCCUR-123-6"/>
    <x v="27"/>
    <s v="Venta"/>
    <s v="SZR"/>
    <s v="HCCUR"/>
    <x v="0"/>
    <x v="273"/>
    <x v="33"/>
    <s v="SZR"/>
  </r>
  <r>
    <x v="2865"/>
    <s v="SYIBCUR"/>
    <s v="IBERDROLA CUR ( TARIFA, SOLAR TERMICA, NO EXENTA)"/>
    <n v="0"/>
    <s v="18WSYIBCUR-123-5"/>
    <x v="27"/>
    <s v="Venta"/>
    <s v="SZR"/>
    <s v="IBCUR"/>
    <x v="0"/>
    <x v="7"/>
    <x v="33"/>
    <s v="SZR"/>
  </r>
  <r>
    <x v="2866"/>
    <s v="T1CEG"/>
    <s v="TERMICA AE 1MW EVM"/>
    <n v="10"/>
    <s v="18W0000000003XEH"/>
    <x v="10"/>
    <s v="Venta"/>
    <s v="EVM"/>
    <s v="CEG"/>
    <x v="0"/>
    <x v="124"/>
    <x v="10"/>
    <s v="EVM"/>
  </r>
  <r>
    <x v="2867"/>
    <s v="TACOR"/>
    <s v="18WTACOR-12345-P"/>
    <n v="6.3"/>
    <s v="18WTACOR-12345-P"/>
    <x v="10"/>
    <s v="Venta"/>
    <s v="SZR"/>
    <s v="EGLE"/>
    <x v="0"/>
    <x v="82"/>
    <x v="10"/>
    <s v="SZR"/>
  </r>
  <r>
    <x v="2868"/>
    <s v="TAE2COG"/>
    <s v="T ALTA EFICIENCIA 2 COGENERACION"/>
    <n v="32"/>
    <s v="18W0000000000S2V"/>
    <x v="10"/>
    <s v="Venta"/>
    <s v="SZR"/>
    <s v="COGEN"/>
    <x v="0"/>
    <x v="20"/>
    <x v="10"/>
    <s v="SZR"/>
  </r>
  <r>
    <x v="2869"/>
    <s v="TAE3COG"/>
    <s v="T ALTA EFICIENCIA 3 COGENERACION"/>
    <n v="13.5"/>
    <s v="18W0000000000S3T"/>
    <x v="10"/>
    <s v="Venta"/>
    <s v="SZR"/>
    <s v="COGEN"/>
    <x v="0"/>
    <x v="20"/>
    <x v="10"/>
    <s v="SZR"/>
  </r>
  <r>
    <x v="2870"/>
    <s v="TAE4COG"/>
    <s v="T ALTA EFICIENCIA 4 COGENERACION"/>
    <n v="6.4"/>
    <s v="18W0000000000S4R"/>
    <x v="10"/>
    <s v="Venta"/>
    <s v="SZR"/>
    <s v="COGEN"/>
    <x v="0"/>
    <x v="20"/>
    <x v="10"/>
    <s v="SZR"/>
  </r>
  <r>
    <x v="2871"/>
    <s v="TAE5COG"/>
    <s v="T ALTA EFICIENCIA 5 COG"/>
    <n v="6.4"/>
    <s v="18W0000000000S5P"/>
    <x v="10"/>
    <s v="Venta"/>
    <s v="SZR"/>
    <s v="COGEN"/>
    <x v="0"/>
    <x v="20"/>
    <x v="10"/>
    <s v="SZR"/>
  </r>
  <r>
    <x v="2872"/>
    <s v="TAE6COG"/>
    <s v="T ALTA EFICIENCIA 6 COG"/>
    <n v="8.4"/>
    <s v="18W0000000000S6N"/>
    <x v="10"/>
    <s v="Venta"/>
    <s v="SZR"/>
    <s v="COGEN"/>
    <x v="0"/>
    <x v="20"/>
    <x v="10"/>
    <s v="SZR"/>
  </r>
  <r>
    <x v="2873"/>
    <s v="TAE7COG"/>
    <s v="T ALTA EFICIENCIA 7 COG"/>
    <n v="4.4000000000000004"/>
    <s v="18W0000000000S7L"/>
    <x v="10"/>
    <s v="Venta"/>
    <s v="SZR"/>
    <s v="COGEN"/>
    <x v="0"/>
    <x v="20"/>
    <x v="10"/>
    <s v="SZR"/>
  </r>
  <r>
    <x v="2874"/>
    <s v="ATL COOP"/>
    <s v="ATLANTIC COOPER"/>
    <n v="11.5"/>
    <s v="18WTAEEXXI-123-X"/>
    <x v="0"/>
    <s v="Venta"/>
    <s v="SZR"/>
    <s v="EEXXI"/>
    <x v="0"/>
    <x v="72"/>
    <x v="0"/>
    <s v="SZR"/>
  </r>
  <r>
    <x v="2875"/>
    <s v="AFRICAN"/>
    <s v="AFRICANA"/>
    <n v="49.9"/>
    <s v="18W000000000QV0X"/>
    <x v="27"/>
    <s v="Venta"/>
    <s v="SZR"/>
    <s v="GESTE"/>
    <x v="0"/>
    <x v="219"/>
    <x v="33"/>
    <s v="SZR"/>
  </r>
  <r>
    <x v="2876"/>
    <s v="TAJO B"/>
    <s v="UGH.B. TAJO BOMBEO"/>
    <n v="380"/>
    <s v="18WTAJB-12345-0C"/>
    <x v="13"/>
    <s v="Compra"/>
    <s v="SZR"/>
    <s v="IBEG"/>
    <x v="6"/>
    <x v="7"/>
    <x v="13"/>
    <s v="SZR"/>
  </r>
  <r>
    <x v="2877"/>
    <s v="TAJO G"/>
    <s v="UGH. TAJO GENERACION"/>
    <n v="2227.8000000000002"/>
    <s v="18WTAJO-12345-0U"/>
    <x v="1"/>
    <s v="Venta"/>
    <s v="IBEG"/>
    <s v="IBEG"/>
    <x v="0"/>
    <x v="7"/>
    <x v="1"/>
    <s v="IMA"/>
  </r>
  <r>
    <x v="2878"/>
    <s v="TALARN_UP"/>
    <s v="TALARN_UNIDAD_PROGRAMACION"/>
    <n v="0.2"/>
    <s v="18W00000000047YE"/>
    <x v="2"/>
    <s v="Compra"/>
    <s v="SZR"/>
    <s v="TALEN"/>
    <x v="1"/>
    <x v="624"/>
    <x v="2"/>
    <s v="SZR"/>
  </r>
  <r>
    <x v="2879"/>
    <s v="TALGAR"/>
    <s v="METALGAR"/>
    <n v="0.3"/>
    <s v="18W000000000PO93"/>
    <x v="6"/>
    <s v="Compra"/>
    <s v="SZR"/>
    <s v="TALGA"/>
    <x v="3"/>
    <x v="625"/>
    <x v="6"/>
    <s v="SZR"/>
  </r>
  <r>
    <x v="2880"/>
    <s v="TAMIZAL"/>
    <s v="ATOMIZADAS ALCORA"/>
    <n v="12"/>
    <s v="18WTAMIZAL-123-D"/>
    <x v="10"/>
    <s v="Venta"/>
    <s v="SZR"/>
    <s v="ATAL"/>
    <x v="0"/>
    <x v="626"/>
    <x v="10"/>
    <s v="SZR"/>
  </r>
  <r>
    <x v="2881"/>
    <s v="AMPO"/>
    <s v="AMPO"/>
    <n v="7.6"/>
    <s v="18WTAMPOC-1234-8"/>
    <x v="10"/>
    <s v="Venta"/>
    <s v="SZR"/>
    <s v="GEMSL"/>
    <x v="0"/>
    <x v="280"/>
    <x v="10"/>
    <s v="SZR"/>
  </r>
  <r>
    <x v="2882"/>
    <s v="TANES B"/>
    <s v="C.H.B. TANES BOMBEO"/>
    <n v="110"/>
    <s v="18WTANB-12345-05"/>
    <x v="13"/>
    <s v="Compra"/>
    <s v="SZR"/>
    <s v="HC G"/>
    <x v="6"/>
    <x v="3"/>
    <x v="13"/>
    <s v="SZR"/>
  </r>
  <r>
    <x v="2883"/>
    <s v="UP ANTEX"/>
    <s v="UP ANTEX"/>
    <n v="1"/>
    <s v="18WTANTEX-1234-R"/>
    <x v="10"/>
    <s v="Venta"/>
    <s v="SZR"/>
    <s v="AME"/>
    <x v="0"/>
    <x v="0"/>
    <x v="10"/>
    <s v="SZR"/>
  </r>
  <r>
    <x v="2884"/>
    <s v="TARRAG IB"/>
    <s v="TARRAGONA POWER"/>
    <n v="416.9"/>
    <s v="18WTAPOWER-12-0V"/>
    <x v="8"/>
    <s v="Venta"/>
    <s v="SZR"/>
    <s v="TAPOW"/>
    <x v="0"/>
    <x v="627"/>
    <x v="8"/>
    <s v="SZR"/>
  </r>
  <r>
    <x v="2885"/>
    <s v="TARATO"/>
    <s v="18WTARATO-123--E"/>
    <n v="12.5"/>
    <s v="18WTARATO-123--E"/>
    <x v="10"/>
    <s v="Venta"/>
    <s v="SZR"/>
    <s v="EGLE"/>
    <x v="0"/>
    <x v="82"/>
    <x v="10"/>
    <s v="SZR"/>
  </r>
  <r>
    <x v="2886"/>
    <s v="TARCILL"/>
    <s v="UO ARCILLA BLANCA"/>
    <n v="9.9"/>
    <s v="18WTARCILL-123-9"/>
    <x v="10"/>
    <s v="Venta"/>
    <s v="SZR"/>
    <s v="GNRA"/>
    <x v="0"/>
    <x v="46"/>
    <x v="10"/>
    <s v="SZR"/>
  </r>
  <r>
    <x v="2887"/>
    <s v="TARTABR"/>
    <s v="ARTABRA 1MW GASOLEO"/>
    <n v="13.1"/>
    <s v="18WTARTABR-123-N"/>
    <x v="3"/>
    <s v="Venta"/>
    <s v="SZR"/>
    <s v="CEG"/>
    <x v="0"/>
    <x v="124"/>
    <x v="18"/>
    <s v="SZR"/>
  </r>
  <r>
    <x v="2888"/>
    <s v="TATLROS"/>
    <s v="ATLAS ROSELLO"/>
    <n v="23.4"/>
    <s v="18W000000000SSX5"/>
    <x v="10"/>
    <s v="Venta"/>
    <s v="SZR"/>
    <s v="ATLAS"/>
    <x v="0"/>
    <x v="78"/>
    <x v="10"/>
    <s v="SZR"/>
  </r>
  <r>
    <x v="2889"/>
    <s v="TATOM"/>
    <s v="18WTATOM-1234-18"/>
    <n v="17.8"/>
    <s v="18WTATOM-1234-18"/>
    <x v="10"/>
    <s v="Venta"/>
    <s v="SZR"/>
    <s v="EGLE"/>
    <x v="0"/>
    <x v="82"/>
    <x v="10"/>
    <s v="SZR"/>
  </r>
  <r>
    <x v="2890"/>
    <s v="TAUTRA"/>
    <s v="TAUTRA COMPRA"/>
    <n v="0.1"/>
    <s v="18W000000000L72A"/>
    <x v="2"/>
    <s v="Compra"/>
    <s v="SZR"/>
    <s v="TAUTR"/>
    <x v="1"/>
    <x v="628"/>
    <x v="2"/>
    <s v="SZR"/>
  </r>
  <r>
    <x v="2891"/>
    <s v="TAZGUAL"/>
    <s v="TAZGUAL"/>
    <n v="8.6"/>
    <s v="18W000000000NOX0"/>
    <x v="10"/>
    <s v="Venta"/>
    <s v="SZR"/>
    <s v="DETIC"/>
    <x v="0"/>
    <x v="71"/>
    <x v="10"/>
    <s v="SZR"/>
  </r>
  <r>
    <x v="2892"/>
    <s v="TAZUCA2"/>
    <s v="UP INST ALTA EFICIENCIA"/>
    <n v="20.8"/>
    <s v="18W000000000RTMS"/>
    <x v="10"/>
    <s v="Venta"/>
    <s v="SZR"/>
    <s v="EGLE"/>
    <x v="0"/>
    <x v="82"/>
    <x v="10"/>
    <s v="SZR"/>
  </r>
  <r>
    <x v="2893"/>
    <s v="TAZUCAR"/>
    <s v="UP INST NO ALTA EFICIENCIA"/>
    <n v="12.8"/>
    <s v="18W000000000RTNQ"/>
    <x v="10"/>
    <s v="Venta"/>
    <s v="SZR"/>
    <s v="EGLE"/>
    <x v="0"/>
    <x v="82"/>
    <x v="10"/>
    <s v="SZR"/>
  </r>
  <r>
    <x v="2894"/>
    <s v="TAZULME"/>
    <s v="TAZULME"/>
    <n v="5.7"/>
    <s v="18W000000000NOYZ"/>
    <x v="10"/>
    <s v="Venta"/>
    <s v="SZR"/>
    <s v="DETIC"/>
    <x v="0"/>
    <x v="71"/>
    <x v="10"/>
    <s v="SZR"/>
  </r>
  <r>
    <x v="2895"/>
    <s v="TBANER"/>
    <s v="UP ACABADOS BAÑERES"/>
    <n v="1.9"/>
    <s v="18W000000000L9VK"/>
    <x v="10"/>
    <s v="Venta"/>
    <s v="SZR"/>
    <s v="EGLE"/>
    <x v="0"/>
    <x v="82"/>
    <x v="10"/>
    <s v="SZR"/>
  </r>
  <r>
    <x v="2896"/>
    <s v="TBANY"/>
    <s v="UP COG BANYOLES"/>
    <n v="4.4000000000000004"/>
    <s v="18WTBANY-1234-1X"/>
    <x v="10"/>
    <s v="Venta"/>
    <s v="SZR"/>
    <s v="AME"/>
    <x v="0"/>
    <x v="0"/>
    <x v="10"/>
    <s v="SZR"/>
  </r>
  <r>
    <x v="2897"/>
    <s v="TBEFESA"/>
    <s v="TBEFESA"/>
    <n v="12.2"/>
    <s v="18WTBEFESA-123-J"/>
    <x v="18"/>
    <s v="Venta"/>
    <s v="SZR"/>
    <s v="REPSB"/>
    <x v="0"/>
    <x v="29"/>
    <x v="39"/>
    <s v="SZR"/>
  </r>
  <r>
    <x v="2898"/>
    <s v="TBESOS"/>
    <s v="UP TERMICA FBESOS"/>
    <n v="4.5999999999999996"/>
    <s v="18W000000000NQHQ"/>
    <x v="10"/>
    <s v="Venta"/>
    <s v="SZR"/>
    <s v="NEXU"/>
    <x v="0"/>
    <x v="187"/>
    <x v="10"/>
    <s v="SZR"/>
  </r>
  <r>
    <x v="2899"/>
    <s v="TBIEMTE"/>
    <s v="BIEMTE ( NO RENOVABLE,TARIFA,NO EXENTO )"/>
    <n v="9.9"/>
    <s v="18WTBIEMTE-123-P"/>
    <x v="10"/>
    <s v="Venta"/>
    <s v="IGNIS"/>
    <s v="IGNIS"/>
    <x v="0"/>
    <x v="28"/>
    <x v="10"/>
    <s v="IGN"/>
  </r>
  <r>
    <x v="2900"/>
    <s v="VERTBG"/>
    <s v="VERTBG"/>
    <n v="24.8"/>
    <s v="18W000000000GW3R"/>
    <x v="10"/>
    <s v="Venta"/>
    <s v="AXC"/>
    <s v="EGLE"/>
    <x v="0"/>
    <x v="82"/>
    <x v="10"/>
    <s v="AXC"/>
  </r>
  <r>
    <x v="2901"/>
    <s v="COGPAS"/>
    <s v="BIO CASTILLA LEON VX"/>
    <n v="24.7"/>
    <s v="18W000000000GMS7"/>
    <x v="10"/>
    <s v="Venta"/>
    <s v="ENCE"/>
    <s v="EENER"/>
    <x v="0"/>
    <x v="211"/>
    <x v="10"/>
    <s v="ENC"/>
  </r>
  <r>
    <x v="2902"/>
    <s v="VERTEC"/>
    <s v="VERTEC"/>
    <n v="21.6"/>
    <s v="18W000000000GW4P"/>
    <x v="10"/>
    <s v="Venta"/>
    <s v="SZR"/>
    <s v="EENER"/>
    <x v="0"/>
    <x v="211"/>
    <x v="10"/>
    <s v="SZR"/>
  </r>
  <r>
    <x v="2903"/>
    <s v="TBLANSA"/>
    <s v="18W000000000N7H9"/>
    <n v="4.9000000000000004"/>
    <s v="18W000000000N7H9"/>
    <x v="10"/>
    <s v="Venta"/>
    <s v="SZR"/>
    <s v="EGLE"/>
    <x v="0"/>
    <x v="82"/>
    <x v="10"/>
    <s v="SZR"/>
  </r>
  <r>
    <x v="2904"/>
    <s v="TBOIRO"/>
    <s v="18WTBOIRO-1234-W"/>
    <n v="24.6"/>
    <s v="18WTBOIRO-1234-W"/>
    <x v="3"/>
    <s v="Venta"/>
    <s v="SZR"/>
    <s v="EGLE"/>
    <x v="0"/>
    <x v="82"/>
    <x v="18"/>
    <s v="SZR"/>
  </r>
  <r>
    <x v="2905"/>
    <s v="TBOREME"/>
    <s v="BOREMER GN 1MW"/>
    <n v="24.1"/>
    <s v="18WTBOREME-123-V"/>
    <x v="10"/>
    <s v="Venta"/>
    <s v="SZR"/>
    <s v="GNRA"/>
    <x v="0"/>
    <x v="46"/>
    <x v="10"/>
    <s v="SZR"/>
  </r>
  <r>
    <x v="2906"/>
    <s v="BORGS"/>
    <s v="BORGES"/>
    <n v="22.5"/>
    <s v="18W000000000QV5N"/>
    <x v="27"/>
    <s v="Venta"/>
    <s v="SZR"/>
    <s v="GESTE"/>
    <x v="0"/>
    <x v="219"/>
    <x v="33"/>
    <s v="SZR"/>
  </r>
  <r>
    <x v="2907"/>
    <s v="TBPREF1"/>
    <s v="BP REFI 1"/>
    <n v="28.5"/>
    <s v="18W000000000IZTW"/>
    <x v="18"/>
    <s v="Venta"/>
    <s v="SZR"/>
    <s v="BP"/>
    <x v="0"/>
    <x v="104"/>
    <x v="39"/>
    <s v="SZR"/>
  </r>
  <r>
    <x v="2908"/>
    <s v="TBPREF2"/>
    <s v="BP REFI 2"/>
    <n v="25.6"/>
    <s v="18W000000000IZUU"/>
    <x v="18"/>
    <s v="Venta"/>
    <s v="SZR"/>
    <s v="BP"/>
    <x v="0"/>
    <x v="104"/>
    <x v="39"/>
    <s v="SZR"/>
  </r>
  <r>
    <x v="2909"/>
    <s v="TBUNGE"/>
    <s v="BUNGE GN AE 1MW"/>
    <n v="29.7"/>
    <s v="18WTBUNGE-1234-L"/>
    <x v="10"/>
    <s v="Venta"/>
    <s v="SZR"/>
    <s v="CEG"/>
    <x v="0"/>
    <x v="124"/>
    <x v="10"/>
    <s v="SZR"/>
  </r>
  <r>
    <x v="2910"/>
    <s v="TBUTARQ"/>
    <s v="BUTARQUE - TARIFA&gt;10MW"/>
    <n v="18"/>
    <s v="18WTBUTARQ-123-5"/>
    <x v="10"/>
    <s v="Venta"/>
    <s v="SZR"/>
    <s v="CEG"/>
    <x v="0"/>
    <x v="124"/>
    <x v="10"/>
    <s v="SZR"/>
  </r>
  <r>
    <x v="2911"/>
    <s v="BIOGASUTEM"/>
    <s v="BIOGAS UTE TEM"/>
    <n v="1.6"/>
    <s v="18WTBUTETE-123-0"/>
    <x v="18"/>
    <s v="Venta"/>
    <s v="SZR"/>
    <s v="UTTEM"/>
    <x v="0"/>
    <x v="629"/>
    <x v="20"/>
    <s v="SZR"/>
  </r>
  <r>
    <x v="2912"/>
    <s v="TCANAIS"/>
    <s v="CANAISA - TARIFA&gt;10MW"/>
    <n v="19.899999999999999"/>
    <s v="18WTCANAIS-123-Z"/>
    <x v="10"/>
    <s v="Venta"/>
    <s v="SZR"/>
    <s v="GNRA"/>
    <x v="0"/>
    <x v="46"/>
    <x v="10"/>
    <s v="SZR"/>
  </r>
  <r>
    <x v="2913"/>
    <s v="TCAPSA"/>
    <s v="UP CAPSA"/>
    <n v="9.6999999999999993"/>
    <s v="18WTCAPSA-1234-M"/>
    <x v="10"/>
    <s v="Venta"/>
    <s v="SZR"/>
    <s v="DETIC"/>
    <x v="0"/>
    <x v="71"/>
    <x v="10"/>
    <s v="SZR"/>
  </r>
  <r>
    <x v="2914"/>
    <s v="TCAVLO"/>
    <s v="DICEPA PAPELERA ENATE ( T )"/>
    <n v="4.9000000000000004"/>
    <s v="18WTCAVLO-123-1Z"/>
    <x v="10"/>
    <s v="Venta"/>
    <s v="SZR"/>
    <s v="WMARK"/>
    <x v="0"/>
    <x v="22"/>
    <x v="10"/>
    <s v="SZR"/>
  </r>
  <r>
    <x v="2915"/>
    <s v="TCELISI"/>
    <s v="COMPAÑIA ENERGÉTICA DE LINARES, S.L."/>
    <n v="25"/>
    <s v="18WTCELISI-123-3"/>
    <x v="10"/>
    <s v="Venta"/>
    <s v="SZR"/>
    <s v="GNRA"/>
    <x v="0"/>
    <x v="46"/>
    <x v="10"/>
    <s v="SZR"/>
  </r>
  <r>
    <x v="2916"/>
    <s v="TCELVSI"/>
    <s v="COMPAÑIA ENERGÉTICA DE LAS VILLAS, S.L."/>
    <n v="24.9"/>
    <s v="18WTCELVSI-123-Y"/>
    <x v="10"/>
    <s v="Venta"/>
    <s v="SZR"/>
    <s v="GNRA"/>
    <x v="0"/>
    <x v="46"/>
    <x v="10"/>
    <s v="SZR"/>
  </r>
  <r>
    <x v="2917"/>
    <s v="TCEMO"/>
    <s v="CEMOSA T"/>
    <n v="4.8"/>
    <s v="18W000000000GMPD"/>
    <x v="10"/>
    <s v="Venta"/>
    <s v="SZR"/>
    <s v="GEMSL"/>
    <x v="0"/>
    <x v="280"/>
    <x v="10"/>
    <s v="SZR"/>
  </r>
  <r>
    <x v="2918"/>
    <s v="TCEPMSI"/>
    <s v="COMPAÑIA ENERGÉTICA PATA DE MULO, S.L."/>
    <n v="17.2"/>
    <s v="18WTCEPMSI-123-1"/>
    <x v="10"/>
    <s v="Venta"/>
    <s v="SZR"/>
    <s v="GNRA"/>
    <x v="0"/>
    <x v="46"/>
    <x v="10"/>
    <s v="SZR"/>
  </r>
  <r>
    <x v="2919"/>
    <s v="TCEPUSI"/>
    <s v="COMPAÑIA ENERGÉTICA PUENTE DEL OBISPO, S.L."/>
    <n v="24.9"/>
    <s v="18WTCEPUSI-123-3"/>
    <x v="10"/>
    <s v="Venta"/>
    <s v="SZR"/>
    <s v="GNRA"/>
    <x v="0"/>
    <x v="46"/>
    <x v="10"/>
    <s v="SZR"/>
  </r>
  <r>
    <x v="2920"/>
    <s v="TCERMA"/>
    <s v="UP CERM MAYOR DE 5MW"/>
    <n v="9.9"/>
    <s v="18WTCERMA-1234-C"/>
    <x v="10"/>
    <s v="Venta"/>
    <s v="SZR"/>
    <s v="NEXU"/>
    <x v="0"/>
    <x v="187"/>
    <x v="10"/>
    <s v="SZR"/>
  </r>
  <r>
    <x v="2921"/>
    <s v="TCHAPEL"/>
    <s v="UP COG CHAPELA"/>
    <n v="2.9"/>
    <s v="18W000000000OIRQ"/>
    <x v="3"/>
    <s v="Venta"/>
    <s v="SZR"/>
    <s v="NEXU"/>
    <x v="0"/>
    <x v="187"/>
    <x v="18"/>
    <s v="SZR"/>
  </r>
  <r>
    <x v="2922"/>
    <s v="TCHPAGR"/>
    <s v="TCHPAGR"/>
    <n v="1"/>
    <s v="18W000000000NP3K"/>
    <x v="10"/>
    <s v="Venta"/>
    <s v="SZR"/>
    <s v="DETIC"/>
    <x v="0"/>
    <x v="71"/>
    <x v="10"/>
    <s v="SZR"/>
  </r>
  <r>
    <x v="2923"/>
    <s v="TCIBCUR"/>
    <s v="COGENERACION MECANISMO AJUSTE"/>
    <n v="0"/>
    <s v="18W000000000P9GY"/>
    <x v="10"/>
    <s v="Venta"/>
    <s v="SZR"/>
    <s v="IBCUR"/>
    <x v="0"/>
    <x v="7"/>
    <x v="10"/>
    <s v="SZR"/>
  </r>
  <r>
    <x v="2924"/>
    <s v="COG VIL"/>
    <s v="COG VILASECA"/>
    <n v="5.8"/>
    <s v="18WTCJVIL-1234-D"/>
    <x v="10"/>
    <s v="Venta"/>
    <s v="SZR"/>
    <s v="DETIC"/>
    <x v="0"/>
    <x v="71"/>
    <x v="10"/>
    <s v="SZR"/>
  </r>
  <r>
    <x v="2925"/>
    <s v="TCOALSA"/>
    <s v="18W000000000N3R1"/>
    <n v="7.2"/>
    <s v="18W000000000N3R1"/>
    <x v="10"/>
    <s v="Venta"/>
    <s v="SZR"/>
    <s v="EGLE"/>
    <x v="0"/>
    <x v="82"/>
    <x v="10"/>
    <s v="SZR"/>
  </r>
  <r>
    <x v="2926"/>
    <s v="TCOBUR"/>
    <s v="COGENERADORA BURGALESA ( T )"/>
    <n v="4.9000000000000004"/>
    <s v="18WTCOBUR-1234-2"/>
    <x v="10"/>
    <s v="Venta"/>
    <s v="SZR"/>
    <s v="COBUR"/>
    <x v="0"/>
    <x v="630"/>
    <x v="10"/>
    <s v="SZR"/>
  </r>
  <r>
    <x v="2927"/>
    <s v="TCOGNA"/>
    <s v="18WTCOGNA-1234-3"/>
    <n v="24"/>
    <s v="18WTCOGNA-1234-3"/>
    <x v="3"/>
    <s v="Venta"/>
    <s v="SZR"/>
    <s v="EGLE"/>
    <x v="0"/>
    <x v="82"/>
    <x v="18"/>
    <s v="SZR"/>
  </r>
  <r>
    <x v="2928"/>
    <s v="TCOLASEM"/>
    <s v="UP TERMICA COLASEM"/>
    <n v="5"/>
    <s v="18WTCOLSEM-123-Z"/>
    <x v="10"/>
    <s v="Venta"/>
    <s v="SZR"/>
    <s v="NEXU"/>
    <x v="0"/>
    <x v="187"/>
    <x v="10"/>
    <s v="SZR"/>
  </r>
  <r>
    <x v="2929"/>
    <s v="TCONOR"/>
    <s v="18WTCONOR-1234-A"/>
    <n v="23.9"/>
    <s v="18WTCONOR-1234-A"/>
    <x v="3"/>
    <s v="Venta"/>
    <s v="SZR"/>
    <s v="EGLE"/>
    <x v="0"/>
    <x v="82"/>
    <x v="18"/>
    <s v="SZR"/>
  </r>
  <r>
    <x v="2930"/>
    <s v="TCOOSU2"/>
    <s v="TCOOSUR2_AE"/>
    <n v="20.7"/>
    <s v="18W00000000001YB"/>
    <x v="3"/>
    <s v="Venta"/>
    <s v="SZR"/>
    <s v="DETIC"/>
    <x v="0"/>
    <x v="71"/>
    <x v="18"/>
    <s v="SZR"/>
  </r>
  <r>
    <x v="2931"/>
    <s v="TCOOSUR"/>
    <s v="COOSUR - TARIFA &gt;10MW"/>
    <n v="21"/>
    <s v="18WTCOOSUR-123-R"/>
    <x v="3"/>
    <s v="Venta"/>
    <s v="SZR"/>
    <s v="DETIC"/>
    <x v="0"/>
    <x v="71"/>
    <x v="18"/>
    <s v="SZR"/>
  </r>
  <r>
    <x v="2932"/>
    <s v="TCOPAQ"/>
    <s v="18WTCOPAQ-1234-D"/>
    <n v="3.6"/>
    <s v="18WTCOPAQ-1234-D"/>
    <x v="3"/>
    <s v="Venta"/>
    <s v="SZR"/>
    <s v="EGLE"/>
    <x v="0"/>
    <x v="82"/>
    <x v="18"/>
    <s v="SZR"/>
  </r>
  <r>
    <x v="2933"/>
    <s v="TCORCOG"/>
    <s v="UP TERMICA CORA"/>
    <n v="5.4"/>
    <s v="18WTCORCOG-123-7"/>
    <x v="10"/>
    <s v="Venta"/>
    <s v="SZR"/>
    <s v="NEXU"/>
    <x v="0"/>
    <x v="187"/>
    <x v="10"/>
    <s v="SZR"/>
  </r>
  <r>
    <x v="2934"/>
    <s v="TCOREY"/>
    <s v="18WTCOREY-1234-4"/>
    <n v="3.8"/>
    <s v="18WTCOREY-1234-4"/>
    <x v="10"/>
    <s v="Venta"/>
    <s v="SZR"/>
    <s v="EGLE"/>
    <x v="0"/>
    <x v="82"/>
    <x v="10"/>
    <s v="SZR"/>
  </r>
  <r>
    <x v="2935"/>
    <s v="TCOVAP"/>
    <s v="HIBRIDACIN COG -FV COVAP"/>
    <n v="9"/>
    <s v="18WTCOVAP-1234-Z"/>
    <x v="22"/>
    <s v="Venta"/>
    <s v="SZR"/>
    <s v="EGLE"/>
    <x v="9"/>
    <x v="82"/>
    <x v="35"/>
    <s v="SZR"/>
  </r>
  <r>
    <x v="2936"/>
    <s v="TCRNOR"/>
    <s v="18WTCRNOR-1234-E"/>
    <n v="19.7"/>
    <s v="18WTCRNOR-1234-E"/>
    <x v="10"/>
    <s v="Venta"/>
    <s v="SZR"/>
    <s v="EGLE"/>
    <x v="0"/>
    <x v="82"/>
    <x v="10"/>
    <s v="SZR"/>
  </r>
  <r>
    <x v="2937"/>
    <s v="TCRUCES"/>
    <s v="COG GAS NATURAL H CRUCES"/>
    <n v="3.4"/>
    <s v="18W000000000R3CF"/>
    <x v="10"/>
    <s v="Venta"/>
    <s v="SZR"/>
    <s v="WMARK"/>
    <x v="0"/>
    <x v="22"/>
    <x v="10"/>
    <s v="SZR"/>
  </r>
  <r>
    <x v="2938"/>
    <s v="TCTAULE"/>
    <s v="TCTAULE"/>
    <n v="9.9"/>
    <s v="18WTCTAULE-123-Z"/>
    <x v="10"/>
    <s v="Venta"/>
    <s v="SZR"/>
    <s v="WMARK"/>
    <x v="0"/>
    <x v="22"/>
    <x v="10"/>
    <s v="SZR"/>
  </r>
  <r>
    <x v="2939"/>
    <s v="TCUALIN"/>
    <s v="CUALIN GN AE 1MW"/>
    <n v="7.8"/>
    <s v="18WTCUALIN-123-T"/>
    <x v="10"/>
    <s v="Venta"/>
    <s v="SZR"/>
    <s v="CEG"/>
    <x v="0"/>
    <x v="124"/>
    <x v="10"/>
    <s v="SZR"/>
  </r>
  <r>
    <x v="2940"/>
    <s v="TCUTOLE"/>
    <s v="TCUTOLE_MAJ"/>
    <n v="0.8"/>
    <s v="18W000000000OTDL"/>
    <x v="10"/>
    <s v="Venta"/>
    <s v="SZR"/>
    <s v="CEG"/>
    <x v="0"/>
    <x v="124"/>
    <x v="10"/>
    <s v="SZR"/>
  </r>
  <r>
    <x v="2941"/>
    <s v="TDEDRE"/>
    <s v="18WTDEDRE-1234-Q"/>
    <n v="9.9"/>
    <s v="18WTDEDRE-1234-Q"/>
    <x v="3"/>
    <s v="Venta"/>
    <s v="SZR"/>
    <s v="EGLE"/>
    <x v="0"/>
    <x v="82"/>
    <x v="18"/>
    <s v="SZR"/>
  </r>
  <r>
    <x v="2942"/>
    <s v="DOWCHEM"/>
    <s v="UP DOW CHEMICAL"/>
    <n v="14.5"/>
    <s v="18WTDEEXXI-123-Y"/>
    <x v="3"/>
    <s v="Venta"/>
    <s v="SZR"/>
    <s v="EEXXI"/>
    <x v="0"/>
    <x v="72"/>
    <x v="18"/>
    <s v="SZR"/>
  </r>
  <r>
    <x v="2943"/>
    <s v="TDERMO"/>
    <s v="18WTDERMO-123--E"/>
    <n v="3.6"/>
    <s v="18WTDERMO-123--E"/>
    <x v="3"/>
    <s v="Venta"/>
    <s v="SZR"/>
    <s v="EGLE"/>
    <x v="0"/>
    <x v="82"/>
    <x v="18"/>
    <s v="SZR"/>
  </r>
  <r>
    <x v="2944"/>
    <s v="TDIBCUR"/>
    <s v="TDIBCUR"/>
    <n v="0"/>
    <s v="18W000000000PA6E"/>
    <x v="10"/>
    <s v="Venta"/>
    <s v="SZR"/>
    <s v="IBCUR"/>
    <x v="0"/>
    <x v="7"/>
    <x v="10"/>
    <s v="SZR"/>
  </r>
  <r>
    <x v="2945"/>
    <s v="TDNEXU"/>
    <s v="UP COGENERACION GLP"/>
    <n v="9.1999999999999993"/>
    <s v="18WTDNEXU-1234-V"/>
    <x v="3"/>
    <s v="Venta"/>
    <s v="SZR"/>
    <s v="NEXU"/>
    <x v="0"/>
    <x v="187"/>
    <x v="18"/>
    <s v="SZR"/>
  </r>
  <r>
    <x v="2946"/>
    <s v="TDONOST"/>
    <s v="HOSPITAL DE DONOSTIA"/>
    <n v="4.8"/>
    <s v="18W000000000RC8X"/>
    <x v="10"/>
    <s v="Venta"/>
    <s v="SZR"/>
    <s v="WMARK"/>
    <x v="0"/>
    <x v="22"/>
    <x v="10"/>
    <s v="SZR"/>
  </r>
  <r>
    <x v="2947"/>
    <s v="TEBLLRB"/>
    <s v="UNIDAD DE PROGRMACIÓN DE EMSSA"/>
    <n v="7.7"/>
    <s v="18WTEBLLRB-123-5"/>
    <x v="10"/>
    <s v="Venta"/>
    <s v="SZR"/>
    <s v="AME"/>
    <x v="0"/>
    <x v="0"/>
    <x v="10"/>
    <s v="SZR"/>
  </r>
  <r>
    <x v="2948"/>
    <s v="TECKER"/>
    <s v="18WECKER-SA----T"/>
    <n v="4.8"/>
    <s v="18WECKER-SA----T"/>
    <x v="10"/>
    <s v="Venta"/>
    <s v="SZR"/>
    <s v="PECKE"/>
    <x v="0"/>
    <x v="631"/>
    <x v="10"/>
    <s v="SZR"/>
  </r>
  <r>
    <x v="2949"/>
    <s v="TECLAS"/>
    <s v="FVTECLAS"/>
    <n v="4.9000000000000004"/>
    <s v="18W000000000SJWY"/>
    <x v="9"/>
    <s v="Venta"/>
    <s v="SZR"/>
    <s v="ELEIA"/>
    <x v="0"/>
    <x v="90"/>
    <x v="9"/>
    <s v="SZR"/>
  </r>
  <r>
    <x v="2950"/>
    <s v="TECONAV"/>
    <s v="UP NEOEL ECOENERGA NAVARRA"/>
    <n v="15"/>
    <s v="18W000000000RA2E"/>
    <x v="10"/>
    <s v="Venta"/>
    <s v="SZR"/>
    <s v="EGLE"/>
    <x v="0"/>
    <x v="82"/>
    <x v="10"/>
    <s v="SZR"/>
  </r>
  <r>
    <x v="2951"/>
    <s v="TEDARUB"/>
    <s v="UP TERMICA EDAR RUBI"/>
    <n v="6.1"/>
    <s v="18WTEDARUB-123-F"/>
    <x v="10"/>
    <s v="Venta"/>
    <s v="SZR"/>
    <s v="NEXU"/>
    <x v="0"/>
    <x v="187"/>
    <x v="10"/>
    <s v="SZR"/>
  </r>
  <r>
    <x v="2952"/>
    <s v="TERA-ESLA"/>
    <s v="UGH. TERA-ESLA"/>
    <n v="113.7"/>
    <s v="18WTEES-12345-0Y"/>
    <x v="1"/>
    <s v="Venta"/>
    <s v="END"/>
    <s v="ENDG"/>
    <x v="0"/>
    <x v="72"/>
    <x v="1"/>
    <s v="END"/>
  </r>
  <r>
    <x v="2953"/>
    <s v="TEGASN"/>
    <s v="TEGASN"/>
    <n v="15.2"/>
    <s v="18W00000000014U6"/>
    <x v="10"/>
    <s v="Venta"/>
    <s v="SZR"/>
    <s v="GNCO"/>
    <x v="0"/>
    <x v="8"/>
    <x v="10"/>
    <s v="SZR"/>
  </r>
  <r>
    <x v="2954"/>
    <s v="TEGBREN"/>
    <s v="UP COGENERACION EGABRENSE"/>
    <n v="13"/>
    <s v="18W000000000P2N4"/>
    <x v="10"/>
    <s v="Venta"/>
    <s v="SZR"/>
    <s v="NEXU"/>
    <x v="0"/>
    <x v="187"/>
    <x v="10"/>
    <s v="SZR"/>
  </r>
  <r>
    <x v="2955"/>
    <s v="TEITOL"/>
    <s v="COG. LA PUEBLA ALMORADIEL 10 MW"/>
    <n v="10"/>
    <s v="18WTEITOL-1234-3"/>
    <x v="10"/>
    <s v="Venta"/>
    <s v="SZR"/>
    <s v="CEG"/>
    <x v="0"/>
    <x v="124"/>
    <x v="10"/>
    <s v="SZR"/>
  </r>
  <r>
    <x v="2956"/>
    <s v="TELPOZO"/>
    <s v="TELPOZO"/>
    <n v="17.2"/>
    <s v="18W000000000NOU6"/>
    <x v="10"/>
    <s v="Venta"/>
    <s v="SZR"/>
    <s v="DETIC"/>
    <x v="0"/>
    <x v="71"/>
    <x v="10"/>
    <s v="SZR"/>
  </r>
  <r>
    <x v="2957"/>
    <s v="TEMASA"/>
    <s v="EMPRESA MUNICIPAL DE AGUAS DE MÁLAGA ( T )"/>
    <n v="10"/>
    <s v="18WTEMASA-1234-G"/>
    <x v="10"/>
    <s v="Venta"/>
    <s v="SZR"/>
    <s v="WMARK"/>
    <x v="0"/>
    <x v="22"/>
    <x v="10"/>
    <s v="SZR"/>
  </r>
  <r>
    <x v="2958"/>
    <s v="TENCRI"/>
    <s v="18WTENCRI-1234-4"/>
    <n v="19.600000000000001"/>
    <s v="18WTENCRI-1234-4"/>
    <x v="10"/>
    <s v="Venta"/>
    <s v="SZR"/>
    <s v="EGLE"/>
    <x v="0"/>
    <x v="82"/>
    <x v="10"/>
    <s v="SZR"/>
  </r>
  <r>
    <x v="2959"/>
    <s v="TENDC01"/>
    <s v="TENDC01"/>
    <n v="1"/>
    <s v="18W0000000005704"/>
    <x v="2"/>
    <s v="Compra"/>
    <s v="SZR"/>
    <s v="TENDE"/>
    <x v="1"/>
    <x v="632"/>
    <x v="2"/>
    <s v="SZR"/>
  </r>
  <r>
    <x v="2960"/>
    <s v="TENERCO"/>
    <s v="ENERCORR T"/>
    <n v="14.9"/>
    <s v="18W000000000IJ2N"/>
    <x v="10"/>
    <s v="Venta"/>
    <s v="SZR"/>
    <s v="GEMSL"/>
    <x v="0"/>
    <x v="280"/>
    <x v="10"/>
    <s v="SZR"/>
  </r>
  <r>
    <x v="2961"/>
    <s v="TORNA"/>
    <s v="TORNAENER"/>
    <n v="0"/>
    <s v="18W000000000RS7O"/>
    <x v="2"/>
    <s v="Compra"/>
    <s v="SZR"/>
    <s v="TORNA"/>
    <x v="1"/>
    <x v="633"/>
    <x v="2"/>
    <s v="SZR"/>
  </r>
  <r>
    <x v="2962"/>
    <s v="TEPCSA"/>
    <s v="18WTEPCSA-1234-0"/>
    <n v="5"/>
    <s v="18WTEPCSA-1234-0"/>
    <x v="10"/>
    <s v="Venta"/>
    <s v="SZR"/>
    <s v="EGLE"/>
    <x v="0"/>
    <x v="82"/>
    <x v="10"/>
    <s v="SZR"/>
  </r>
  <r>
    <x v="2963"/>
    <s v="TER"/>
    <s v="UGH. TER"/>
    <n v="150.80000000000001"/>
    <s v="18WTERE-12345-0V"/>
    <x v="1"/>
    <s v="Venta"/>
    <s v="END"/>
    <s v="ENDG"/>
    <x v="0"/>
    <x v="72"/>
    <x v="1"/>
    <s v="END"/>
  </r>
  <r>
    <x v="2964"/>
    <s v="TERMLLANO"/>
    <s v="TERMOLLANO"/>
    <n v="48"/>
    <s v="18W000000000QV2T"/>
    <x v="27"/>
    <s v="Venta"/>
    <s v="SZR"/>
    <s v="GESTE"/>
    <x v="0"/>
    <x v="219"/>
    <x v="33"/>
    <s v="SZR"/>
  </r>
  <r>
    <x v="2965"/>
    <s v="FV MAZ TMA"/>
    <s v="FV MAZARRN TERMOARCILLA"/>
    <n v="2.2999999999999998"/>
    <s v="18W000000000T7XR"/>
    <x v="9"/>
    <s v="Venta"/>
    <s v="SZR"/>
    <s v="LMER"/>
    <x v="0"/>
    <x v="89"/>
    <x v="9"/>
    <s v="SZR"/>
  </r>
  <r>
    <x v="2966"/>
    <s v="TERSACOMER"/>
    <s v="TERSA COMPRA PEN"/>
    <n v="0.1"/>
    <s v="18W00000000058NT"/>
    <x v="2"/>
    <s v="Compra"/>
    <s v="SZR"/>
    <s v="TERSA"/>
    <x v="1"/>
    <x v="319"/>
    <x v="2"/>
    <s v="SZR"/>
  </r>
  <r>
    <x v="2967"/>
    <s v="TESJOAN"/>
    <s v="TERM_6045KW"/>
    <n v="6"/>
    <s v="18W000000000OP1K"/>
    <x v="10"/>
    <s v="Venta"/>
    <s v="SZR"/>
    <s v="EBLCO"/>
    <x v="0"/>
    <x v="158"/>
    <x v="10"/>
    <s v="SZR"/>
  </r>
  <r>
    <x v="2968"/>
    <s v="TESNELA"/>
    <s v="UP COG ESNELAT"/>
    <n v="12"/>
    <s v="18W000000000P2P0"/>
    <x v="10"/>
    <s v="Venta"/>
    <s v="NEXUS"/>
    <s v="NEXU"/>
    <x v="0"/>
    <x v="187"/>
    <x v="10"/>
    <s v="NEX"/>
  </r>
  <r>
    <x v="2969"/>
    <s v="TESTEL"/>
    <s v="CARNES ESTELLES (T)"/>
    <n v="1.5"/>
    <s v="18WTESTEL-123-1V"/>
    <x v="10"/>
    <s v="Venta"/>
    <s v="SZR"/>
    <s v="ESTEL"/>
    <x v="0"/>
    <x v="634"/>
    <x v="10"/>
    <s v="SZR"/>
  </r>
  <r>
    <x v="2970"/>
    <s v="TEUROAT"/>
    <s v="EUROATOMIZADOS"/>
    <n v="9.9"/>
    <s v="18WTEUROAT-123-F"/>
    <x v="10"/>
    <s v="Venta"/>
    <s v="SZR"/>
    <s v="WMARK"/>
    <x v="0"/>
    <x v="22"/>
    <x v="10"/>
    <s v="SZR"/>
  </r>
  <r>
    <x v="2971"/>
    <s v="TEVI2"/>
    <s v="TVITEC SIN IE"/>
    <n v="2.7"/>
    <s v="18W000000000NEHP"/>
    <x v="6"/>
    <s v="Compra"/>
    <s v="SZR"/>
    <s v="TEVI"/>
    <x v="3"/>
    <x v="635"/>
    <x v="6"/>
    <s v="SZR"/>
  </r>
  <r>
    <x v="2972"/>
    <s v="TVITEC"/>
    <s v="TVITEC SYSTEM GLASS"/>
    <n v="14.3"/>
    <s v="18W0000000003LSP"/>
    <x v="6"/>
    <s v="Compra"/>
    <s v="SZR"/>
    <s v="TEVI"/>
    <x v="3"/>
    <x v="635"/>
    <x v="6"/>
    <s v="SZR"/>
  </r>
  <r>
    <x v="2973"/>
    <s v="FF"/>
    <s v="FABRICA FORRERIA"/>
    <n v="1.5"/>
    <s v="18WTEXZC01-123-R"/>
    <x v="6"/>
    <s v="Compra"/>
    <s v="SZR"/>
    <s v="TEXOR"/>
    <x v="3"/>
    <x v="636"/>
    <x v="6"/>
    <s v="SZR"/>
  </r>
  <r>
    <x v="2974"/>
    <s v="TFARMHI"/>
    <s v="FARMINDUSTRIA"/>
    <n v="3.3"/>
    <s v="18WTFARMHI-123-3"/>
    <x v="10"/>
    <s v="Venta"/>
    <s v="SZR"/>
    <s v="GNRA"/>
    <x v="0"/>
    <x v="46"/>
    <x v="10"/>
    <s v="SZR"/>
  </r>
  <r>
    <x v="2975"/>
    <s v="TFASESA"/>
    <s v="TFASESA"/>
    <n v="13.5"/>
    <s v="18W0000000009T3R"/>
    <x v="10"/>
    <s v="Venta"/>
    <s v="SZR"/>
    <s v="DETIC"/>
    <x v="0"/>
    <x v="71"/>
    <x v="10"/>
    <s v="SZR"/>
  </r>
  <r>
    <x v="2976"/>
    <s v="UPTARIFA"/>
    <s v="UP TARIFA"/>
    <n v="4.5999999999999996"/>
    <s v="18WTFEGED-1234-N"/>
    <x v="10"/>
    <s v="Venta"/>
    <s v="SZR"/>
    <s v="EGED"/>
    <x v="0"/>
    <x v="186"/>
    <x v="10"/>
    <s v="SZR"/>
  </r>
  <r>
    <x v="2977"/>
    <s v="TFEIRA"/>
    <s v="FEIRACO GN AE 1MW"/>
    <n v="7.3"/>
    <s v="18WTFEIRA--12--K"/>
    <x v="10"/>
    <s v="Venta"/>
    <s v="SZR"/>
    <s v="EGLE"/>
    <x v="0"/>
    <x v="82"/>
    <x v="10"/>
    <s v="SZR"/>
  </r>
  <r>
    <x v="2978"/>
    <s v="TFENAMU"/>
    <s v="TFENAMU"/>
    <n v="14.9"/>
    <s v="18W000000000HACY"/>
    <x v="10"/>
    <s v="Venta"/>
    <s v="SZR"/>
    <s v="DETIC"/>
    <x v="0"/>
    <x v="71"/>
    <x v="10"/>
    <s v="SZR"/>
  </r>
  <r>
    <x v="2979"/>
    <s v="TFERRE"/>
    <s v="COG FERRE"/>
    <n v="1.9"/>
    <s v="18W000000000S66E"/>
    <x v="10"/>
    <s v="Venta"/>
    <s v="SZR"/>
    <s v="EGLE"/>
    <x v="0"/>
    <x v="82"/>
    <x v="10"/>
    <s v="SZR"/>
  </r>
  <r>
    <x v="2980"/>
    <s v="TFERT1"/>
    <s v="FERTIBERIA - TERMICA"/>
    <n v="9.4"/>
    <s v="18WTFERT1-1234-M"/>
    <x v="0"/>
    <s v="Venta"/>
    <s v="SZR"/>
    <s v="EGLE"/>
    <x v="0"/>
    <x v="82"/>
    <x v="0"/>
    <s v="SZR"/>
  </r>
  <r>
    <x v="2981"/>
    <s v="TFGASN"/>
    <s v="GNSDG TERMICA TARIFA MAS 10 MW"/>
    <n v="45.8"/>
    <s v="18WTFGASN-1234-3"/>
    <x v="10"/>
    <s v="Venta"/>
    <s v="SZR"/>
    <s v="GNCO"/>
    <x v="0"/>
    <x v="8"/>
    <x v="10"/>
    <s v="SZR"/>
  </r>
  <r>
    <x v="2982"/>
    <s v="TFGEGS1"/>
    <s v="TFGEGS1"/>
    <n v="37"/>
    <s v="18WTFGEGS1-123-4"/>
    <x v="10"/>
    <s v="Venta"/>
    <s v="SZR"/>
    <s v="SEDAE"/>
    <x v="0"/>
    <x v="71"/>
    <x v="10"/>
    <s v="SZR"/>
  </r>
  <r>
    <x v="2983"/>
    <s v="TFGEMAS"/>
    <s v="TFGEMAS"/>
    <n v="27"/>
    <s v="18W0000000002DUC"/>
    <x v="10"/>
    <s v="Venta"/>
    <s v="SZR"/>
    <s v="SEDAE"/>
    <x v="0"/>
    <x v="71"/>
    <x v="10"/>
    <s v="SZR"/>
  </r>
  <r>
    <x v="2984"/>
    <s v="TFIBGES"/>
    <s v="TFIBGES"/>
    <n v="132.30000000000001"/>
    <s v="18WTFIBGES-123-9"/>
    <x v="10"/>
    <s v="Venta"/>
    <s v="SZR"/>
    <s v="IBGES"/>
    <x v="0"/>
    <x v="7"/>
    <x v="10"/>
    <s v="SZR"/>
  </r>
  <r>
    <x v="2985"/>
    <s v="TFIBR"/>
    <s v="NEXUS ENERGÍA"/>
    <n v="17"/>
    <s v="18WTFIBR-12345-T"/>
    <x v="3"/>
    <s v="Venta"/>
    <s v="SZR"/>
    <s v="FIBR"/>
    <x v="0"/>
    <x v="637"/>
    <x v="18"/>
    <s v="SZR"/>
  </r>
  <r>
    <x v="2986"/>
    <s v="TFINPEL"/>
    <s v="TFINPEL"/>
    <n v="2.4"/>
    <s v="18W000000000HXV1"/>
    <x v="10"/>
    <s v="Venta"/>
    <s v="SZR"/>
    <s v="DETIC"/>
    <x v="0"/>
    <x v="71"/>
    <x v="10"/>
    <s v="SZR"/>
  </r>
  <r>
    <x v="2987"/>
    <s v="TFINS2"/>
    <s v="18WTFINS2-1234-J"/>
    <n v="15.7"/>
    <s v="18WTFINS2-1234-J"/>
    <x v="3"/>
    <s v="Venta"/>
    <s v="SZR"/>
    <s v="EGLE"/>
    <x v="0"/>
    <x v="82"/>
    <x v="18"/>
    <s v="SZR"/>
  </r>
  <r>
    <x v="2988"/>
    <s v="TFINSA"/>
    <s v="FINSA GN 1MW"/>
    <n v="24.9"/>
    <s v="18WTFINSA-1234-T"/>
    <x v="10"/>
    <s v="Venta"/>
    <s v="SZR"/>
    <s v="CEG"/>
    <x v="0"/>
    <x v="124"/>
    <x v="10"/>
    <s v="SZR"/>
  </r>
  <r>
    <x v="2989"/>
    <s v="TFLUBRB"/>
    <s v="TFLUBRB"/>
    <n v="39.200000000000003"/>
    <s v="18WTFLUBRB-123-V"/>
    <x v="10"/>
    <s v="Venta"/>
    <s v="SZR"/>
    <s v="SEDAE"/>
    <x v="0"/>
    <x v="71"/>
    <x v="10"/>
    <s v="SZR"/>
  </r>
  <r>
    <x v="2990"/>
    <s v="TFNEXU"/>
    <s v="UP TERMICA MAYOR 1MW"/>
    <n v="5.0999999999999996"/>
    <s v="18WTFNEXU-1234-7"/>
    <x v="10"/>
    <s v="Venta"/>
    <s v="SZR"/>
    <s v="NEXU"/>
    <x v="0"/>
    <x v="187"/>
    <x v="10"/>
    <s v="SZR"/>
  </r>
  <r>
    <x v="2991"/>
    <s v="TFOREST"/>
    <s v="FOREST ( NO RENOVABLE,TARIFA,NO EXENTO )"/>
    <n v="24.8"/>
    <s v="18WTFOREST-123-F"/>
    <x v="3"/>
    <s v="Venta"/>
    <s v="SZR"/>
    <s v="DETIC"/>
    <x v="0"/>
    <x v="71"/>
    <x v="18"/>
    <s v="SZR"/>
  </r>
  <r>
    <x v="2992"/>
    <s v="FREPP"/>
    <s v="COGS PETRONROR A TARIFA"/>
    <n v="43.3"/>
    <s v="18WTFREPP-1234-1"/>
    <x v="10"/>
    <s v="Venta"/>
    <s v="SZR"/>
    <s v="REPP"/>
    <x v="0"/>
    <x v="29"/>
    <x v="10"/>
    <s v="SZR"/>
  </r>
  <r>
    <x v="2993"/>
    <s v="PETRONOR6"/>
    <s v="PETRONOR6"/>
    <n v="37.9"/>
    <s v="18W000000000NMMS"/>
    <x v="10"/>
    <s v="Venta"/>
    <s v="SZR"/>
    <s v="REPP"/>
    <x v="0"/>
    <x v="29"/>
    <x v="10"/>
    <s v="SZR"/>
  </r>
  <r>
    <x v="2994"/>
    <s v="TFRIGN"/>
    <s v="18WTFRIGN-1234-L"/>
    <n v="13.1"/>
    <s v="18WTFRIGN-1234-L"/>
    <x v="3"/>
    <s v="Venta"/>
    <s v="SZR"/>
    <s v="EGLE"/>
    <x v="0"/>
    <x v="82"/>
    <x v="18"/>
    <s v="SZR"/>
  </r>
  <r>
    <x v="2995"/>
    <s v="TARMAS10MW"/>
    <s v="TARIFA MAS DE 10MW"/>
    <n v="33"/>
    <s v="18WTFSAMP-1234-K"/>
    <x v="10"/>
    <s v="Venta"/>
    <s v="SZR"/>
    <s v="SAMP"/>
    <x v="0"/>
    <x v="359"/>
    <x v="10"/>
    <s v="SZR"/>
  </r>
  <r>
    <x v="2996"/>
    <s v="TFSEDAE"/>
    <s v="UP TERMICA A TARIFA MAYOR 10MW"/>
    <n v="49.9"/>
    <s v="18WTFSEDAE-123-Q"/>
    <x v="10"/>
    <s v="Venta"/>
    <s v="SZR"/>
    <s v="SEDAE"/>
    <x v="0"/>
    <x v="71"/>
    <x v="10"/>
    <s v="SZR"/>
  </r>
  <r>
    <x v="2997"/>
    <s v="TFUDEP"/>
    <s v="18WTFUDEP-1234-3"/>
    <n v="15"/>
    <s v="18WTFUDEP-1234-3"/>
    <x v="10"/>
    <s v="Venta"/>
    <s v="SZR"/>
    <s v="EGLE"/>
    <x v="0"/>
    <x v="82"/>
    <x v="10"/>
    <s v="SZR"/>
  </r>
  <r>
    <x v="2998"/>
    <s v="TGALES"/>
    <s v="GALESA GN AE 1MW"/>
    <n v="2.1"/>
    <s v="18WTGALES-1234-X"/>
    <x v="10"/>
    <s v="Venta"/>
    <s v="SZR"/>
    <s v="CEG"/>
    <x v="0"/>
    <x v="124"/>
    <x v="10"/>
    <s v="SZR"/>
  </r>
  <r>
    <x v="2999"/>
    <s v="TGARFER"/>
    <s v="UP TERMICA GARFER"/>
    <n v="3.6"/>
    <s v="18W000000000OF9Y"/>
    <x v="10"/>
    <s v="Venta"/>
    <s v="SZR"/>
    <s v="NEXU"/>
    <x v="0"/>
    <x v="187"/>
    <x v="10"/>
    <s v="SZR"/>
  </r>
  <r>
    <x v="3000"/>
    <s v="TGBSC01"/>
    <s v="TGB SA"/>
    <n v="0.6"/>
    <s v="18W0000000007IAH"/>
    <x v="6"/>
    <s v="Compra"/>
    <s v="SZR"/>
    <s v="TGBSA"/>
    <x v="3"/>
    <x v="638"/>
    <x v="6"/>
    <s v="SZR"/>
  </r>
  <r>
    <x v="3001"/>
    <s v="TGCOOSU"/>
    <s v="TERMICA GN-COG"/>
    <n v="13.7"/>
    <s v="18WTGCOOSU-123-V"/>
    <x v="10"/>
    <s v="Venta"/>
    <s v="SZR"/>
    <s v="DETIC"/>
    <x v="0"/>
    <x v="71"/>
    <x v="10"/>
    <s v="SZR"/>
  </r>
  <r>
    <x v="3002"/>
    <s v="TGEC"/>
    <s v="18WTGEC-123456-3"/>
    <n v="9.8000000000000007"/>
    <s v="18WTGEC-123456-3"/>
    <x v="10"/>
    <s v="Venta"/>
    <s v="SZR"/>
    <s v="EGLE"/>
    <x v="0"/>
    <x v="82"/>
    <x v="10"/>
    <s v="SZR"/>
  </r>
  <r>
    <x v="3003"/>
    <s v="TGECAS"/>
    <s v="GECASA - AÑARBE GN AE 1MW"/>
    <n v="4.2"/>
    <s v="18W000000000034S"/>
    <x v="10"/>
    <s v="Venta"/>
    <s v="SZR"/>
    <s v="CEG"/>
    <x v="0"/>
    <x v="124"/>
    <x v="10"/>
    <s v="SZR"/>
  </r>
  <r>
    <x v="3004"/>
    <s v="TGEMOT"/>
    <s v="18WTGEMOT-1234-T"/>
    <n v="13.3"/>
    <s v="18WTGEMOT-1234-T"/>
    <x v="10"/>
    <s v="Venta"/>
    <s v="SZR"/>
    <s v="EGLE"/>
    <x v="0"/>
    <x v="82"/>
    <x v="10"/>
    <s v="SZR"/>
  </r>
  <r>
    <x v="3005"/>
    <s v="TGIRCO"/>
    <s v="GIROA COGENERACION"/>
    <n v="4.2"/>
    <s v="18W00000000001OV"/>
    <x v="10"/>
    <s v="Venta"/>
    <s v="SZR"/>
    <s v="WMARK"/>
    <x v="0"/>
    <x v="22"/>
    <x v="10"/>
    <s v="SZR"/>
  </r>
  <r>
    <x v="3006"/>
    <s v="TGIRSA"/>
    <s v="GIROA SA"/>
    <n v="4"/>
    <s v="18W00000000001PT"/>
    <x v="10"/>
    <s v="Venta"/>
    <s v="SZR"/>
    <s v="WMARK"/>
    <x v="0"/>
    <x v="22"/>
    <x v="10"/>
    <s v="SZR"/>
  </r>
  <r>
    <x v="3007"/>
    <s v="TGRESP"/>
    <s v="GRESPANIA"/>
    <n v="4.9000000000000004"/>
    <s v="18W000000000JLZL"/>
    <x v="10"/>
    <s v="Venta"/>
    <s v="SZR"/>
    <s v="WMARK"/>
    <x v="0"/>
    <x v="22"/>
    <x v="10"/>
    <s v="SZR"/>
  </r>
  <r>
    <x v="3008"/>
    <s v="GRIFOLS"/>
    <s v="GRIFOLS"/>
    <n v="6"/>
    <s v="18WTGRIFOL-123-S"/>
    <x v="10"/>
    <s v="Venta"/>
    <s v="SZR"/>
    <s v="AME"/>
    <x v="0"/>
    <x v="0"/>
    <x v="10"/>
    <s v="SZR"/>
  </r>
  <r>
    <x v="3009"/>
    <s v="TGST148"/>
    <s v="TGST148"/>
    <n v="49.9"/>
    <s v="18W000000000RWMJ"/>
    <x v="27"/>
    <s v="Venta"/>
    <s v="SZR"/>
    <s v="GESTE"/>
    <x v="0"/>
    <x v="219"/>
    <x v="33"/>
    <s v="SZR"/>
  </r>
  <r>
    <x v="3010"/>
    <s v="TGST149"/>
    <s v="TGST149"/>
    <n v="49.9"/>
    <s v="18W000000000RWPD"/>
    <x v="27"/>
    <s v="Venta"/>
    <s v="SZR"/>
    <s v="GESTE"/>
    <x v="0"/>
    <x v="219"/>
    <x v="33"/>
    <s v="SZR"/>
  </r>
  <r>
    <x v="3011"/>
    <s v="TGST188"/>
    <s v="TGST188"/>
    <n v="50"/>
    <s v="18W000000000T89Z"/>
    <x v="27"/>
    <s v="Venta"/>
    <s v="SZR"/>
    <s v="GESTE"/>
    <x v="0"/>
    <x v="219"/>
    <x v="33"/>
    <s v="SZR"/>
  </r>
  <r>
    <x v="3012"/>
    <s v="TGST229"/>
    <s v="TGST229"/>
    <n v="49.9"/>
    <s v="18W000000000TOSN"/>
    <x v="27"/>
    <s v="Venta"/>
    <s v="SZR"/>
    <s v="GESTE"/>
    <x v="0"/>
    <x v="219"/>
    <x v="33"/>
    <s v="SZR"/>
  </r>
  <r>
    <x v="3013"/>
    <s v="TGYE"/>
    <s v="TOTAL GAS Y ELECTRICIDAD ESPAÑA"/>
    <n v="1"/>
    <s v="18W00000000056HA"/>
    <x v="2"/>
    <s v="Compra"/>
    <s v="SZR"/>
    <s v="TGYE"/>
    <x v="1"/>
    <x v="141"/>
    <x v="2"/>
    <s v="SZR"/>
  </r>
  <r>
    <x v="3014"/>
    <s v="TGYE SRAD"/>
    <s v="TGYE SRAD"/>
    <n v="1"/>
    <s v="18W000000000S3D9"/>
    <x v="2"/>
    <s v="Compra"/>
    <s v="SZR"/>
    <s v="TGYE"/>
    <x v="1"/>
    <x v="141"/>
    <x v="2"/>
    <s v="SZR"/>
  </r>
  <r>
    <x v="3015"/>
    <s v="THARIM"/>
    <s v="UP HARIMASA"/>
    <n v="1"/>
    <s v="18WTHARIM-1234-A"/>
    <x v="10"/>
    <s v="Venta"/>
    <s v="SZR"/>
    <s v="GNRA"/>
    <x v="0"/>
    <x v="46"/>
    <x v="10"/>
    <s v="SZR"/>
  </r>
  <r>
    <x v="3016"/>
    <s v="THCTUDE"/>
    <s v="COGENERACION TUDELA"/>
    <n v="10"/>
    <s v="18WTHCTUDE-12--B"/>
    <x v="10"/>
    <s v="Venta"/>
    <s v="SZR"/>
    <s v="HC G"/>
    <x v="0"/>
    <x v="3"/>
    <x v="10"/>
    <s v="SZR"/>
  </r>
  <r>
    <x v="3017"/>
    <s v="THELC01"/>
    <s v="UP THE ELECTRICTY"/>
    <n v="0.1"/>
    <s v="18W000000000QZNC"/>
    <x v="2"/>
    <s v="Compra"/>
    <s v="SZR"/>
    <s v="THELE"/>
    <x v="1"/>
    <x v="639"/>
    <x v="2"/>
    <s v="SZR"/>
  </r>
  <r>
    <x v="3018"/>
    <s v="THERMOLYMP"/>
    <s v="THERMOLYMPIC S.L"/>
    <n v="0.7"/>
    <s v="18WTHERC01-123-L"/>
    <x v="6"/>
    <s v="Compra"/>
    <s v="SZR"/>
    <s v="THER"/>
    <x v="3"/>
    <x v="640"/>
    <x v="6"/>
    <s v="SZR"/>
  </r>
  <r>
    <x v="3019"/>
    <s v="THUNOS"/>
    <s v="HUNOSA - TARIFA TERMICA&gt;10"/>
    <n v="50"/>
    <s v="18WTHUNOS-1234-O"/>
    <x v="3"/>
    <s v="Venta"/>
    <s v="SZR"/>
    <s v="HUNOS"/>
    <x v="0"/>
    <x v="641"/>
    <x v="41"/>
    <s v="SZR"/>
  </r>
  <r>
    <x v="3020"/>
    <s v="TICO"/>
    <s v="TICO"/>
    <n v="180"/>
    <s v="18W000000000RCL7"/>
    <x v="11"/>
    <s v="Venta"/>
    <s v="END"/>
    <s v="ECYR"/>
    <x v="0"/>
    <x v="72"/>
    <x v="11"/>
    <s v="END"/>
  </r>
  <r>
    <x v="3021"/>
    <s v="ALCARRASIE"/>
    <s v="VENTA DDP ALCARRAS"/>
    <n v="14.6"/>
    <s v="18WTIGALC-1234-7"/>
    <x v="10"/>
    <s v="Venta"/>
    <s v="SZR"/>
    <s v="FUTGR"/>
    <x v="0"/>
    <x v="146"/>
    <x v="10"/>
    <s v="SZR"/>
  </r>
  <r>
    <x v="3022"/>
    <s v="ALTORRICON"/>
    <s v="DDP ALTORRICON"/>
    <n v="14.6"/>
    <s v="18W000000000BYUO"/>
    <x v="10"/>
    <s v="Venta"/>
    <s v="SZR"/>
    <s v="COGEN"/>
    <x v="0"/>
    <x v="20"/>
    <x v="10"/>
    <s v="SZR"/>
  </r>
  <r>
    <x v="3023"/>
    <s v="CORCOIE"/>
    <s v="VENTA DDP CORCO"/>
    <n v="14.6"/>
    <s v="18WTIGCOR-1234-P"/>
    <x v="10"/>
    <s v="Venta"/>
    <s v="SZR"/>
    <s v="COGEN"/>
    <x v="0"/>
    <x v="20"/>
    <x v="10"/>
    <s v="SZR"/>
  </r>
  <r>
    <x v="3024"/>
    <s v="ERESMA"/>
    <s v="VENTA DDP ERESMA"/>
    <n v="14.6"/>
    <s v="18WTIGERE-1234-8"/>
    <x v="10"/>
    <s v="Venta"/>
    <s v="SZR"/>
    <s v="COGEN"/>
    <x v="0"/>
    <x v="20"/>
    <x v="10"/>
    <s v="SZR"/>
  </r>
  <r>
    <x v="3025"/>
    <s v="TUREGANO"/>
    <s v="DDP TURGANO"/>
    <n v="14.6"/>
    <s v="18W000000000AY62"/>
    <x v="10"/>
    <s v="Venta"/>
    <s v="SZR"/>
    <s v="COGEN"/>
    <x v="0"/>
    <x v="20"/>
    <x v="10"/>
    <s v="SZR"/>
  </r>
  <r>
    <x v="3026"/>
    <s v="VOLTREGA"/>
    <s v="VENTA DDP VOLTREGA"/>
    <n v="14.6"/>
    <s v="18WTIGVOL-1234-V"/>
    <x v="10"/>
    <s v="Venta"/>
    <s v="SZR"/>
    <s v="FUTGR"/>
    <x v="0"/>
    <x v="146"/>
    <x v="10"/>
    <s v="SZR"/>
  </r>
  <r>
    <x v="3027"/>
    <s v="TINDIP"/>
    <s v="18WTINDIP-1234-8"/>
    <n v="2"/>
    <s v="18WTINDIP-1234-8"/>
    <x v="10"/>
    <s v="Venta"/>
    <s v="SZR"/>
    <s v="EGLE"/>
    <x v="0"/>
    <x v="82"/>
    <x v="10"/>
    <s v="SZR"/>
  </r>
  <r>
    <x v="3028"/>
    <s v="INGAROIL"/>
    <s v="INGAROIL"/>
    <n v="15.6"/>
    <s v="18WTINGARO-123-V"/>
    <x v="18"/>
    <s v="Venta"/>
    <s v="SZR"/>
    <s v="INGAR"/>
    <x v="0"/>
    <x v="642"/>
    <x v="39"/>
    <s v="SZR"/>
  </r>
  <r>
    <x v="3029"/>
    <s v="TINMAL"/>
    <s v="18WTINMAL-1234-M"/>
    <n v="13.2"/>
    <s v="18WTINMAL-1234-M"/>
    <x v="10"/>
    <s v="Venta"/>
    <s v="SZR"/>
    <s v="EGLE"/>
    <x v="0"/>
    <x v="82"/>
    <x v="10"/>
    <s v="SZR"/>
  </r>
  <r>
    <x v="3030"/>
    <s v="TINROKO"/>
    <s v="UP INDUSTRIAS ROKO"/>
    <n v="3.5"/>
    <s v="18W000000000THZU"/>
    <x v="10"/>
    <s v="Venta"/>
    <s v="SZR"/>
    <s v="EGLE"/>
    <x v="0"/>
    <x v="82"/>
    <x v="10"/>
    <s v="SZR"/>
  </r>
  <r>
    <x v="3031"/>
    <s v="TIRVIA"/>
    <s v="SOCIETAT MUNICIPAL DE COMERCIALITZACIO ELECTRICA DE TIRVIA SL.U."/>
    <n v="0.3"/>
    <s v="18W00000000056YD"/>
    <x v="2"/>
    <s v="Compra"/>
    <s v="SZR"/>
    <s v="COTIR"/>
    <x v="1"/>
    <x v="643"/>
    <x v="2"/>
    <s v="SZR"/>
  </r>
  <r>
    <x v="3032"/>
    <s v="TAJOENC B"/>
    <s v="C.H.B. TAJO ENCANTADA BOMBEO"/>
    <n v="420"/>
    <s v="18WTJEB-12345-0X"/>
    <x v="13"/>
    <s v="Compra"/>
    <s v="SZR"/>
    <s v="ENDG"/>
    <x v="6"/>
    <x v="72"/>
    <x v="13"/>
    <s v="SZR"/>
  </r>
  <r>
    <x v="3033"/>
    <s v="TAJOENC G"/>
    <s v="C.H. TAJO ENCANTADA GENERACION"/>
    <n v="376.7"/>
    <s v="18WTJEG-12345-0K"/>
    <x v="14"/>
    <s v="Venta"/>
    <s v="END"/>
    <s v="ENDG"/>
    <x v="0"/>
    <x v="72"/>
    <x v="14"/>
    <s v="END"/>
  </r>
  <r>
    <x v="3034"/>
    <s v="TKERAB"/>
    <s v="TERMICA KERABEN"/>
    <n v="9.6"/>
    <s v="18WTKERAB-123-1R"/>
    <x v="10"/>
    <s v="Venta"/>
    <s v="SZR"/>
    <s v="WMARK"/>
    <x v="0"/>
    <x v="22"/>
    <x v="10"/>
    <s v="SZR"/>
  </r>
  <r>
    <x v="3035"/>
    <s v="TLARODA"/>
    <s v="COMPAÑIA ENERGETICA LA RODA, S.L."/>
    <n v="8.1999999999999993"/>
    <s v="18WTLARODA-123-1"/>
    <x v="10"/>
    <s v="Venta"/>
    <s v="SZR"/>
    <s v="GNRA"/>
    <x v="0"/>
    <x v="46"/>
    <x v="10"/>
    <s v="SZR"/>
  </r>
  <r>
    <x v="3036"/>
    <s v="UP LATIN"/>
    <s v="UP LATINFOODS"/>
    <n v="6.4"/>
    <s v="18W000000000T0FA"/>
    <x v="3"/>
    <s v="Venta"/>
    <s v="SZR"/>
    <s v="GEMSL"/>
    <x v="0"/>
    <x v="280"/>
    <x v="18"/>
    <s v="SZR"/>
  </r>
  <r>
    <x v="3037"/>
    <s v="TEL COMER1"/>
    <s v="TELECOR COMERCIALIZADORA 01"/>
    <n v="1"/>
    <s v="18W000000000JTMN"/>
    <x v="2"/>
    <s v="Compra"/>
    <s v="SZR"/>
    <s v="TLCOR"/>
    <x v="1"/>
    <x v="644"/>
    <x v="2"/>
    <s v="SZR"/>
  </r>
  <r>
    <x v="3038"/>
    <s v="TLCOR"/>
    <s v="TLCOR"/>
    <n v="16675.599999999999"/>
    <s v="18W000000000J7YS"/>
    <x v="6"/>
    <s v="Compra"/>
    <s v="SZR"/>
    <s v="TLCOR"/>
    <x v="3"/>
    <x v="644"/>
    <x v="6"/>
    <s v="SZR"/>
  </r>
  <r>
    <x v="3039"/>
    <s v="TLEITZA"/>
    <s v="UP TERMICA SARRIOPAPEL"/>
    <n v="7.2"/>
    <s v="18WTLEITZA-123-B"/>
    <x v="10"/>
    <s v="Venta"/>
    <s v="SZR"/>
    <s v="NEXU"/>
    <x v="0"/>
    <x v="187"/>
    <x v="10"/>
    <s v="SZR"/>
  </r>
  <r>
    <x v="3040"/>
    <s v="TLLERPR"/>
    <s v="UNIDAD PROGRAMACION LLERPROTEIN"/>
    <n v="7.7"/>
    <s v="18WTLLERPR-123-R"/>
    <x v="10"/>
    <s v="Venta"/>
    <s v="SZR"/>
    <s v="AME"/>
    <x v="0"/>
    <x v="0"/>
    <x v="10"/>
    <s v="SZR"/>
  </r>
  <r>
    <x v="3041"/>
    <s v="TMARDG"/>
    <s v="18WTMARDG-1234-6"/>
    <n v="3.1"/>
    <s v="18WTMARDG-1234-6"/>
    <x v="10"/>
    <s v="Venta"/>
    <s v="SZR"/>
    <s v="EGLE"/>
    <x v="0"/>
    <x v="82"/>
    <x v="10"/>
    <s v="SZR"/>
  </r>
  <r>
    <x v="3042"/>
    <s v="TMARE"/>
    <s v="MARE -TARIFA&gt;10MW"/>
    <n v="12"/>
    <s v="18WTMARE-12345-R"/>
    <x v="10"/>
    <s v="Venta"/>
    <s v="SZR"/>
    <s v="CEG"/>
    <x v="0"/>
    <x v="124"/>
    <x v="10"/>
    <s v="SZR"/>
  </r>
  <r>
    <x v="3043"/>
    <s v="TMARIG"/>
    <s v="18WTMARIG-1234-Z"/>
    <n v="5.4"/>
    <s v="18WTMARIG-1234-Z"/>
    <x v="3"/>
    <s v="Venta"/>
    <s v="SZR"/>
    <s v="EGLE"/>
    <x v="0"/>
    <x v="82"/>
    <x v="18"/>
    <s v="SZR"/>
  </r>
  <r>
    <x v="3044"/>
    <s v="TMARTIA"/>
    <s v="UP COG MARTIARTU"/>
    <n v="3.3"/>
    <s v="18WTMARTIA-123-F"/>
    <x v="10"/>
    <s v="Venta"/>
    <s v="SZR"/>
    <s v="GNRA"/>
    <x v="0"/>
    <x v="46"/>
    <x v="10"/>
    <s v="SZR"/>
  </r>
  <r>
    <x v="3045"/>
    <s v="TMBPE"/>
    <s v="UP COG PREMB"/>
    <n v="3.4"/>
    <s v="18WTMBPE-1234--H"/>
    <x v="10"/>
    <s v="Venta"/>
    <s v="SZR"/>
    <s v="NEXU"/>
    <x v="0"/>
    <x v="187"/>
    <x v="10"/>
    <s v="SZR"/>
  </r>
  <r>
    <x v="3046"/>
    <s v="TMEH"/>
    <s v="COG MUSEO EVOL HUMANA"/>
    <n v="2.2999999999999998"/>
    <s v="18W000000000JE3W"/>
    <x v="10"/>
    <s v="Venta"/>
    <s v="SZR"/>
    <s v="CEG"/>
    <x v="0"/>
    <x v="124"/>
    <x v="10"/>
    <s v="SZR"/>
  </r>
  <r>
    <x v="3047"/>
    <s v="TMGAL"/>
    <s v="TMGAL"/>
    <n v="38.700000000000003"/>
    <s v="18W000000000NBIW"/>
    <x v="9"/>
    <s v="Venta"/>
    <s v="SZR"/>
    <s v="GNRA"/>
    <x v="0"/>
    <x v="46"/>
    <x v="9"/>
    <s v="SZR"/>
  </r>
  <r>
    <x v="3048"/>
    <s v="MIRALCAMP"/>
    <s v="MIRALCAMP ARGAL"/>
    <n v="2"/>
    <s v="18WTMIRALP-123-6"/>
    <x v="10"/>
    <s v="Venta"/>
    <s v="SZR"/>
    <s v="LMER"/>
    <x v="0"/>
    <x v="89"/>
    <x v="10"/>
    <s v="SZR"/>
  </r>
  <r>
    <x v="3049"/>
    <s v="TMORON"/>
    <s v="18WTMORON-1234-U"/>
    <n v="10.8"/>
    <s v="18WTMORON-1234-U"/>
    <x v="10"/>
    <s v="Venta"/>
    <s v="SZR"/>
    <s v="HISPE"/>
    <x v="0"/>
    <x v="43"/>
    <x v="10"/>
    <s v="SZR"/>
  </r>
  <r>
    <x v="3050"/>
    <s v="TMOVIAL"/>
    <s v="MOVIALSA GN AE 1MW"/>
    <n v="19.8"/>
    <s v="18WTMOVIAL-123-I"/>
    <x v="10"/>
    <s v="Venta"/>
    <s v="SZR"/>
    <s v="CEG"/>
    <x v="0"/>
    <x v="124"/>
    <x v="10"/>
    <s v="SZR"/>
  </r>
  <r>
    <x v="3051"/>
    <s v="TMOVIAS"/>
    <s v="MOVIALSA COGENERACIÓN"/>
    <n v="23.7"/>
    <s v="18WTMOVIAS-123-6"/>
    <x v="3"/>
    <s v="Venta"/>
    <s v="SZR"/>
    <s v="CEG"/>
    <x v="0"/>
    <x v="124"/>
    <x v="18"/>
    <s v="SZR"/>
  </r>
  <r>
    <x v="3052"/>
    <s v="TMOYGI"/>
    <s v="MOYRESA GN AE 1MW"/>
    <n v="19.8"/>
    <s v="18WTMOYGI-123--D"/>
    <x v="10"/>
    <s v="Venta"/>
    <s v="SZR"/>
    <s v="CEG"/>
    <x v="0"/>
    <x v="124"/>
    <x v="10"/>
    <s v="SZR"/>
  </r>
  <r>
    <x v="3053"/>
    <s v="NCA"/>
    <s v="NEWARK CATALANA"/>
    <n v="4.8"/>
    <s v="18WTNCA-123456-Z"/>
    <x v="10"/>
    <s v="Venta"/>
    <s v="SZR"/>
    <s v="AME"/>
    <x v="0"/>
    <x v="0"/>
    <x v="10"/>
    <s v="SZR"/>
  </r>
  <r>
    <x v="3054"/>
    <s v="TNEOFP"/>
    <s v="TNEOFP"/>
    <n v="16.399999999999999"/>
    <s v="18W000000000H2CL"/>
    <x v="10"/>
    <s v="Venta"/>
    <s v="SZR"/>
    <s v="HISPE"/>
    <x v="0"/>
    <x v="43"/>
    <x v="10"/>
    <s v="SZR"/>
  </r>
  <r>
    <x v="3055"/>
    <s v="TNEORAN"/>
    <s v="TNEORAN"/>
    <n v="14.9"/>
    <s v="18W000000000H2BN"/>
    <x v="10"/>
    <s v="Venta"/>
    <s v="ALP"/>
    <s v="HISPE"/>
    <x v="0"/>
    <x v="43"/>
    <x v="10"/>
    <s v="ALP"/>
  </r>
  <r>
    <x v="3056"/>
    <s v="TNEOROD"/>
    <s v="UP NEO SC LA RODA SA"/>
    <n v="9.6999999999999993"/>
    <s v="18W000000000MFIO"/>
    <x v="10"/>
    <s v="Venta"/>
    <s v="SZR"/>
    <s v="EGLE"/>
    <x v="0"/>
    <x v="82"/>
    <x v="10"/>
    <s v="SZR"/>
  </r>
  <r>
    <x v="3057"/>
    <s v="TNEOSC"/>
    <s v="18WTNEOSC-1234-P"/>
    <n v="9.6999999999999993"/>
    <s v="18WTNEOSC-1234-P"/>
    <x v="10"/>
    <s v="Venta"/>
    <s v="SZR"/>
    <s v="NEOSC"/>
    <x v="0"/>
    <x v="645"/>
    <x v="10"/>
    <s v="SZR"/>
  </r>
  <r>
    <x v="3058"/>
    <s v="TNESPE"/>
    <s v="UNIDAD DE PROGRAMACIÓN NESTLE LA PENILLA"/>
    <n v="5.5"/>
    <s v="18WTNESEP-1234-7"/>
    <x v="10"/>
    <s v="Venta"/>
    <s v="SZR"/>
    <s v="AME"/>
    <x v="0"/>
    <x v="0"/>
    <x v="10"/>
    <s v="SZR"/>
  </r>
  <r>
    <x v="3059"/>
    <s v="TNESGI"/>
    <s v="UNIDAD DE PROGRAMACIÓN NESTLE GIRONA"/>
    <n v="5.0999999999999996"/>
    <s v="18WTNESGI-123--N"/>
    <x v="10"/>
    <s v="Venta"/>
    <s v="SZR"/>
    <s v="AME"/>
    <x v="0"/>
    <x v="0"/>
    <x v="10"/>
    <s v="SZR"/>
  </r>
  <r>
    <x v="3060"/>
    <s v="TNOEL"/>
    <s v="18WTNOEL-12345-2"/>
    <n v="8.9"/>
    <s v="18WTNOEL-12345-2"/>
    <x v="10"/>
    <s v="Venta"/>
    <s v="SZR"/>
    <s v="NOEL"/>
    <x v="0"/>
    <x v="646"/>
    <x v="10"/>
    <s v="SZR"/>
  </r>
  <r>
    <x v="3061"/>
    <s v="TNPCE"/>
    <s v="TARIFA &gt;10 NPC"/>
    <n v="13.6"/>
    <s v="18WTNPCE-1234-1E"/>
    <x v="10"/>
    <s v="Venta"/>
    <s v="SZR"/>
    <s v="WMARK"/>
    <x v="0"/>
    <x v="22"/>
    <x v="10"/>
    <s v="SZR"/>
  </r>
  <r>
    <x v="3062"/>
    <s v="NSA"/>
    <s v="ABELAN SAN ANDRES"/>
    <n v="6.7"/>
    <s v="18WTNSA-123456-7"/>
    <x v="10"/>
    <s v="Venta"/>
    <s v="SZR"/>
    <s v="AME"/>
    <x v="0"/>
    <x v="0"/>
    <x v="10"/>
    <s v="SZR"/>
  </r>
  <r>
    <x v="3063"/>
    <s v="TNUCE"/>
    <s v="18WTNUCE-12345-J"/>
    <n v="3.9"/>
    <s v="18WTNUCE-12345-J"/>
    <x v="3"/>
    <s v="Venta"/>
    <s v="SZR"/>
    <s v="EGLE"/>
    <x v="0"/>
    <x v="82"/>
    <x v="18"/>
    <s v="SZR"/>
  </r>
  <r>
    <x v="3064"/>
    <s v="TRISO"/>
    <s v="TRISOLARIS"/>
    <n v="1"/>
    <s v="18W000000000R1WI"/>
    <x v="2"/>
    <s v="Compra"/>
    <s v="SZR"/>
    <s v="TRISO"/>
    <x v="1"/>
    <x v="115"/>
    <x v="2"/>
    <s v="SZR"/>
  </r>
  <r>
    <x v="3065"/>
    <s v="TOFGE"/>
    <s v="TOFGE PINARES"/>
    <n v="1.9"/>
    <s v="18W0000000008QQV"/>
    <x v="9"/>
    <s v="Venta"/>
    <s v="SZR"/>
    <s v="GNRA"/>
    <x v="0"/>
    <x v="46"/>
    <x v="9"/>
    <s v="SZR"/>
  </r>
  <r>
    <x v="3066"/>
    <s v="TOLEPU"/>
    <s v="18W00000000072QX"/>
    <n v="9.1"/>
    <s v="18W00000000072QX"/>
    <x v="10"/>
    <s v="Venta"/>
    <s v="SZR"/>
    <s v="EGLE"/>
    <x v="0"/>
    <x v="82"/>
    <x v="10"/>
    <s v="SZR"/>
  </r>
  <r>
    <x v="3067"/>
    <s v="TOLEXTR"/>
    <s v="OLEXTRA T"/>
    <n v="16.600000000000001"/>
    <s v="18W000000000O2UV"/>
    <x v="10"/>
    <s v="Venta"/>
    <s v="NEXUS"/>
    <s v="NEXU"/>
    <x v="0"/>
    <x v="187"/>
    <x v="10"/>
    <s v="NEX"/>
  </r>
  <r>
    <x v="3068"/>
    <s v="TOMMI"/>
    <s v="TOMMI ENERGY SL"/>
    <n v="1"/>
    <s v="18W000000000RW5G"/>
    <x v="2"/>
    <s v="Compra"/>
    <s v="SZR"/>
    <s v="TOMMY"/>
    <x v="1"/>
    <x v="647"/>
    <x v="2"/>
    <s v="SZR"/>
  </r>
  <r>
    <x v="3069"/>
    <s v="TOREC01"/>
    <s v="TOREC01"/>
    <n v="0.1"/>
    <s v="18W0000000001PEC"/>
    <x v="2"/>
    <s v="Compra"/>
    <s v="SZR"/>
    <s v="TOREN"/>
    <x v="1"/>
    <x v="648"/>
    <x v="2"/>
    <s v="SZR"/>
  </r>
  <r>
    <x v="3070"/>
    <s v="TOREMB"/>
    <s v="18W0000000000XMD"/>
    <n v="11.9"/>
    <s v="18W0000000000XMD"/>
    <x v="3"/>
    <s v="Venta"/>
    <s v="SZR"/>
    <s v="EGLE"/>
    <x v="0"/>
    <x v="82"/>
    <x v="18"/>
    <s v="SZR"/>
  </r>
  <r>
    <x v="3071"/>
    <s v="TORIA"/>
    <s v="18WTORIA-1234-1U"/>
    <n v="5.4"/>
    <s v="18WTORIA-1234-1U"/>
    <x v="10"/>
    <s v="Venta"/>
    <s v="SZR"/>
    <s v="EGLE"/>
    <x v="0"/>
    <x v="82"/>
    <x v="10"/>
    <s v="SZR"/>
  </r>
  <r>
    <x v="3072"/>
    <s v="TORTE CU"/>
    <s v="TORTOSA ENERGÍA - C. CUALIFICADO"/>
    <n v="100"/>
    <s v="18WTORTE01-12-2L"/>
    <x v="6"/>
    <s v="Compra"/>
    <s v="SZR"/>
    <s v="TORTE"/>
    <x v="3"/>
    <x v="649"/>
    <x v="6"/>
    <s v="SZR"/>
  </r>
  <r>
    <x v="3073"/>
    <s v="TOTEC01"/>
    <s v="TOTEC01"/>
    <n v="0.1"/>
    <s v="18W000000000R28Q"/>
    <x v="2"/>
    <s v="Compra"/>
    <s v="SZR"/>
    <s v="TOTEM"/>
    <x v="1"/>
    <x v="650"/>
    <x v="2"/>
    <s v="SZR"/>
  </r>
  <r>
    <x v="3074"/>
    <s v="TOTGCP3"/>
    <s v="BORDER"/>
    <n v="1400"/>
    <s v="18WTOTGCP3-12-43"/>
    <x v="16"/>
    <s v="Compra"/>
    <s v="SZR"/>
    <s v="TOTGA"/>
    <x v="7"/>
    <x v="141"/>
    <x v="16"/>
    <s v="SZR"/>
  </r>
  <r>
    <x v="3075"/>
    <s v="TOTGVP3"/>
    <s v="TOTGVP3"/>
    <n v="1400"/>
    <s v="18WTOTGVP3-12-3J"/>
    <x v="17"/>
    <s v="Venta"/>
    <s v="SZR"/>
    <s v="TOTGA"/>
    <x v="7"/>
    <x v="141"/>
    <x v="17"/>
    <s v="SZR"/>
  </r>
  <r>
    <x v="3076"/>
    <s v="TPAARA"/>
    <s v="18WTPAARA-123--3"/>
    <n v="13.9"/>
    <s v="18WTPAARA-123--3"/>
    <x v="10"/>
    <s v="Venta"/>
    <s v="SZR"/>
    <s v="EGLE"/>
    <x v="0"/>
    <x v="82"/>
    <x v="10"/>
    <s v="SZR"/>
  </r>
  <r>
    <x v="3077"/>
    <s v="TPALAC"/>
    <s v="18WTPALAC-1234-F"/>
    <n v="9.9"/>
    <s v="18WTPALAC-1234-F"/>
    <x v="10"/>
    <s v="Venta"/>
    <s v="SZR"/>
    <s v="EGLE"/>
    <x v="0"/>
    <x v="82"/>
    <x v="10"/>
    <s v="SZR"/>
  </r>
  <r>
    <x v="3078"/>
    <s v="TPAMEC"/>
    <s v="18WTPAMEC-1234-6"/>
    <n v="9.1"/>
    <s v="18WTPAMEC-1234-6"/>
    <x v="10"/>
    <s v="Venta"/>
    <s v="SZR"/>
    <s v="EGLE"/>
    <x v="0"/>
    <x v="82"/>
    <x v="10"/>
    <s v="SZR"/>
  </r>
  <r>
    <x v="3079"/>
    <s v="TPANTA"/>
    <s v="PANTANET"/>
    <n v="5"/>
    <s v="18W000000000NNTB"/>
    <x v="10"/>
    <s v="Venta"/>
    <s v="SZR"/>
    <s v="CEG"/>
    <x v="0"/>
    <x v="124"/>
    <x v="10"/>
    <s v="SZR"/>
  </r>
  <r>
    <x v="3080"/>
    <s v="TPAPRI"/>
    <s v="18W0000000009ZQ0"/>
    <n v="4.7"/>
    <s v="18W0000000009ZQ0"/>
    <x v="10"/>
    <s v="Venta"/>
    <s v="SZR"/>
    <s v="EGLE"/>
    <x v="0"/>
    <x v="82"/>
    <x v="10"/>
    <s v="SZR"/>
  </r>
  <r>
    <x v="3081"/>
    <s v="TPAPRI1"/>
    <s v="UP PAPRI CON MECANISMO"/>
    <n v="6.4"/>
    <s v="18W000000000NWQR"/>
    <x v="10"/>
    <s v="Venta"/>
    <s v="SZR"/>
    <s v="EGLE"/>
    <x v="0"/>
    <x v="82"/>
    <x v="10"/>
    <s v="SZR"/>
  </r>
  <r>
    <x v="3082"/>
    <s v="TPAYCA"/>
    <s v="18WTPAYCA-1234-V"/>
    <n v="7.5"/>
    <s v="18WTPAYCA-1234-V"/>
    <x v="10"/>
    <s v="Venta"/>
    <s v="SZR"/>
    <s v="EGLE"/>
    <x v="0"/>
    <x v="82"/>
    <x v="10"/>
    <s v="SZR"/>
  </r>
  <r>
    <x v="3083"/>
    <s v="TPCOGE"/>
    <s v="18W00000000064BO"/>
    <n v="31.3"/>
    <s v="18W00000000064BO"/>
    <x v="10"/>
    <s v="Venta"/>
    <s v="SZR"/>
    <s v="EGLE"/>
    <x v="0"/>
    <x v="82"/>
    <x v="10"/>
    <s v="SZR"/>
  </r>
  <r>
    <x v="3084"/>
    <s v="TPCOGEN"/>
    <s v="18WTPCOGEN-123-8"/>
    <n v="7.3"/>
    <s v="18WTPCOGEN-123-8"/>
    <x v="10"/>
    <s v="Venta"/>
    <s v="SZR"/>
    <s v="EGLE"/>
    <x v="0"/>
    <x v="82"/>
    <x v="10"/>
    <s v="SZR"/>
  </r>
  <r>
    <x v="3085"/>
    <s v="TPCOVI"/>
    <s v="TERMICA PETR COG VILLARICOS"/>
    <n v="22.3"/>
    <s v="18WTPCOVI-1234-M"/>
    <x v="3"/>
    <s v="Venta"/>
    <s v="SZR"/>
    <s v="EGLE"/>
    <x v="0"/>
    <x v="82"/>
    <x v="18"/>
    <s v="SZR"/>
  </r>
  <r>
    <x v="3086"/>
    <s v="TPEEXXI"/>
    <s v="ENDESA CUR ( TERMICA NO RENOVABLE, PRUEBAS)"/>
    <n v="0.9"/>
    <s v="18WTPEEXXI-123-1"/>
    <x v="10"/>
    <s v="Venta"/>
    <s v="SZR"/>
    <s v="EEXXI"/>
    <x v="0"/>
    <x v="72"/>
    <x v="10"/>
    <s v="SZR"/>
  </r>
  <r>
    <x v="3087"/>
    <s v="TPEONUR"/>
    <s v="E.ON CUR ( TERMICA NO RENOVABLE, PRUEBAS)"/>
    <n v="0"/>
    <s v="18WTPEONUR-123-Q"/>
    <x v="10"/>
    <s v="Venta"/>
    <s v="SZR"/>
    <s v="EONUR"/>
    <x v="0"/>
    <x v="270"/>
    <x v="10"/>
    <s v="SZR"/>
  </r>
  <r>
    <x v="3088"/>
    <s v="TPERSAN"/>
    <s v="TPERSAN"/>
    <n v="6.8"/>
    <s v="18W000000000JLWR"/>
    <x v="10"/>
    <s v="Venta"/>
    <s v="SZR"/>
    <s v="DETIC"/>
    <x v="0"/>
    <x v="71"/>
    <x v="10"/>
    <s v="SZR"/>
  </r>
  <r>
    <x v="3089"/>
    <s v="COGPOOL"/>
    <s v="COGENERACION POOL"/>
    <n v="0"/>
    <s v="18WTPFEN-12345-M"/>
    <x v="3"/>
    <s v="Venta"/>
    <s v="SZR"/>
    <s v="FEN"/>
    <x v="0"/>
    <x v="154"/>
    <x v="18"/>
    <s v="SZR"/>
  </r>
  <r>
    <x v="3090"/>
    <s v="TPGUIZ"/>
    <s v="18WTPGUIZ-1234-A"/>
    <n v="48.6"/>
    <s v="18WTPGUIZ-1234-A"/>
    <x v="10"/>
    <s v="Venta"/>
    <s v="SZR"/>
    <s v="EGLE"/>
    <x v="0"/>
    <x v="82"/>
    <x v="10"/>
    <s v="SZR"/>
  </r>
  <r>
    <x v="3091"/>
    <s v="TPHCCUR"/>
    <s v="HIDROCANTABRICO CUR ( TERMICA NO RENOVABLE, PRUEBAS)"/>
    <n v="0"/>
    <s v="18WTPHCCUR-123-R"/>
    <x v="10"/>
    <s v="Venta"/>
    <s v="SZR"/>
    <s v="HCCUR"/>
    <x v="0"/>
    <x v="273"/>
    <x v="10"/>
    <s v="SZR"/>
  </r>
  <r>
    <x v="3092"/>
    <s v="TPIBCUR"/>
    <s v="IBERDROLA CUR ( TERMICA NO RENOVABLE, PRUEBAS)"/>
    <n v="3.6"/>
    <s v="18WTPIBCUR-123-Q"/>
    <x v="10"/>
    <s v="Venta"/>
    <s v="SZR"/>
    <s v="IBCUR"/>
    <x v="0"/>
    <x v="7"/>
    <x v="10"/>
    <s v="SZR"/>
  </r>
  <r>
    <x v="3093"/>
    <s v="TPIBGES"/>
    <s v="COGENERACION PETROLEO"/>
    <n v="13.1"/>
    <s v="18W000000000PNPB"/>
    <x v="3"/>
    <s v="Venta"/>
    <s v="SZR"/>
    <s v="IBGES"/>
    <x v="0"/>
    <x v="7"/>
    <x v="18"/>
    <s v="SZR"/>
  </r>
  <r>
    <x v="3094"/>
    <s v="TPIERO"/>
    <s v="PIEROLA 1MW AE GASOLEO"/>
    <n v="4.4000000000000004"/>
    <s v="18W00000000018WR"/>
    <x v="3"/>
    <s v="Venta"/>
    <s v="SZR"/>
    <s v="CEG"/>
    <x v="0"/>
    <x v="124"/>
    <x v="18"/>
    <s v="SZR"/>
  </r>
  <r>
    <x v="3095"/>
    <s v="TPLACG"/>
    <s v="TPLACG"/>
    <n v="8.3000000000000007"/>
    <s v="18WTPLACG-123--6"/>
    <x v="3"/>
    <s v="Venta"/>
    <s v="SZR"/>
    <s v="PLACG"/>
    <x v="0"/>
    <x v="651"/>
    <x v="18"/>
    <s v="SZR"/>
  </r>
  <r>
    <x v="3096"/>
    <s v="TPLAST"/>
    <s v="UNIDAD DE PROGRMACIÓN PLASTIVERD"/>
    <n v="7.3"/>
    <s v="18WTPLAST-1234-2"/>
    <x v="10"/>
    <s v="Venta"/>
    <s v="SZR"/>
    <s v="AME"/>
    <x v="0"/>
    <x v="0"/>
    <x v="10"/>
    <s v="SZR"/>
  </r>
  <r>
    <x v="3097"/>
    <s v="TPODEBO"/>
    <s v="PODEBO RDL 17_2022"/>
    <n v="0.5"/>
    <s v="18W000000000OIL1"/>
    <x v="10"/>
    <s v="Venta"/>
    <s v="SZR"/>
    <s v="CEG"/>
    <x v="0"/>
    <x v="124"/>
    <x v="10"/>
    <s v="SZR"/>
  </r>
  <r>
    <x v="3098"/>
    <s v="TPYC2"/>
    <s v="18WTPYC2-12345-M"/>
    <n v="8.8000000000000007"/>
    <s v="18WTPYC2-12345-M"/>
    <x v="10"/>
    <s v="Venta"/>
    <s v="SZR"/>
    <s v="EGLE"/>
    <x v="0"/>
    <x v="82"/>
    <x v="10"/>
    <s v="SZR"/>
  </r>
  <r>
    <x v="3099"/>
    <s v="TPYCE"/>
    <s v="18WTPYCE-1234-12"/>
    <n v="9.9"/>
    <s v="18WTPYCE-1234-12"/>
    <x v="10"/>
    <s v="Venta"/>
    <s v="SZR"/>
    <s v="EGLE"/>
    <x v="0"/>
    <x v="82"/>
    <x v="10"/>
    <s v="SZR"/>
  </r>
  <r>
    <x v="3100"/>
    <s v="TPYSA"/>
    <s v="18W0000000000IPF"/>
    <n v="34.9"/>
    <s v="18W0000000000IPF"/>
    <x v="10"/>
    <s v="Venta"/>
    <s v="AXC"/>
    <s v="EGLE"/>
    <x v="0"/>
    <x v="82"/>
    <x v="10"/>
    <s v="AXC"/>
  </r>
  <r>
    <x v="3101"/>
    <s v="TQUALI"/>
    <s v="QUALICAPS"/>
    <n v="2"/>
    <s v="18W0000000001HMK"/>
    <x v="10"/>
    <s v="Venta"/>
    <s v="SZR"/>
    <s v="WMARK"/>
    <x v="0"/>
    <x v="22"/>
    <x v="10"/>
    <s v="SZR"/>
  </r>
  <r>
    <x v="3102"/>
    <s v="COMPENERGI"/>
    <s v="COMPRAENERGIAGRUPO"/>
    <n v="11136"/>
    <s v="18W000000000GMIR"/>
    <x v="6"/>
    <s v="Compra"/>
    <s v="SZR"/>
    <s v="TRADB"/>
    <x v="3"/>
    <x v="652"/>
    <x v="6"/>
    <s v="SZR"/>
  </r>
  <r>
    <x v="3103"/>
    <s v="TRC2"/>
    <s v="TRC2"/>
    <n v="0.9"/>
    <s v="18WTRC2-123456-U"/>
    <x v="1"/>
    <s v="Venta"/>
    <s v="SZR"/>
    <s v="WMARK"/>
    <x v="0"/>
    <x v="22"/>
    <x v="1"/>
    <s v="SZR"/>
  </r>
  <r>
    <x v="3104"/>
    <s v="TRCD"/>
    <s v="TRCD"/>
    <n v="2.2000000000000002"/>
    <s v="18WTRCD-123456-V"/>
    <x v="1"/>
    <s v="Venta"/>
    <s v="SZR"/>
    <s v="WMARK"/>
    <x v="0"/>
    <x v="22"/>
    <x v="1"/>
    <s v="SZR"/>
  </r>
  <r>
    <x v="3105"/>
    <s v="TRECKIT"/>
    <s v="TRECKIT"/>
    <n v="3.6"/>
    <s v="18W000000000NOW2"/>
    <x v="10"/>
    <s v="Venta"/>
    <s v="SZR"/>
    <s v="DETIC"/>
    <x v="0"/>
    <x v="71"/>
    <x v="10"/>
    <s v="SZR"/>
  </r>
  <r>
    <x v="3106"/>
    <s v="TRELECO"/>
    <s v="RELECO DERIV PET AE 1MW"/>
    <n v="4.7"/>
    <s v="18W0000000001U3J"/>
    <x v="3"/>
    <s v="Venta"/>
    <s v="SZR"/>
    <s v="CEG"/>
    <x v="0"/>
    <x v="124"/>
    <x v="18"/>
    <s v="SZR"/>
  </r>
  <r>
    <x v="3107"/>
    <s v="TREPP"/>
    <s v="REPSOL PETROLEO (TARIFA, NO RENOVABLE)"/>
    <n v="40.799999999999997"/>
    <s v="18WTREPP-12345-T"/>
    <x v="10"/>
    <s v="Venta"/>
    <s v="SZR"/>
    <s v="REPP"/>
    <x v="0"/>
    <x v="29"/>
    <x v="10"/>
    <s v="SZR"/>
  </r>
  <r>
    <x v="3108"/>
    <s v="TRICLINIUM"/>
    <s v="TRICLINIUM INVERSIONES SL"/>
    <n v="0.6"/>
    <s v="18W000000000SESK"/>
    <x v="2"/>
    <s v="Compra"/>
    <s v="SZR"/>
    <s v="TRICL"/>
    <x v="1"/>
    <x v="653"/>
    <x v="2"/>
    <s v="SZR"/>
  </r>
  <r>
    <x v="3109"/>
    <s v="TRIPCX1"/>
    <s v="TRIPCX1"/>
    <n v="9999"/>
    <s v="18W000000000STZZ"/>
    <x v="20"/>
    <s v="Compra"/>
    <s v="SZR"/>
    <s v="TRISO"/>
    <x v="8"/>
    <x v="115"/>
    <x v="23"/>
    <s v="SZR"/>
  </r>
  <r>
    <x v="3110"/>
    <s v="TRIPVX1"/>
    <s v="TRIPVX1"/>
    <n v="9999"/>
    <s v="18W000000000SU1Q"/>
    <x v="20"/>
    <s v="Venta"/>
    <s v="SZR"/>
    <s v="TRISO"/>
    <x v="8"/>
    <x v="115"/>
    <x v="23"/>
    <s v="SZR"/>
  </r>
  <r>
    <x v="3111"/>
    <s v="TRILLO"/>
    <s v="C.N. TRILLO"/>
    <n v="1003.4"/>
    <s v="18WTRL1-12345-0Y"/>
    <x v="15"/>
    <s v="Venta"/>
    <s v="SZR"/>
    <s v="IGNU"/>
    <x v="0"/>
    <x v="7"/>
    <x v="15"/>
    <s v="SZR"/>
  </r>
  <r>
    <x v="3112"/>
    <s v="TRLE"/>
    <s v="18WTRLE-123456-X"/>
    <n v="14.6"/>
    <s v="18WTRLE-123456-X"/>
    <x v="10"/>
    <s v="Venta"/>
    <s v="SZR"/>
    <s v="EGLE"/>
    <x v="0"/>
    <x v="82"/>
    <x v="10"/>
    <s v="SZR"/>
  </r>
  <r>
    <x v="3113"/>
    <s v="TRLE1"/>
    <s v="UP MECANISMO AJUSTE RLESG"/>
    <n v="4"/>
    <s v="18W000000000NSDS"/>
    <x v="10"/>
    <s v="Venta"/>
    <s v="SZR"/>
    <s v="EGLE"/>
    <x v="0"/>
    <x v="82"/>
    <x v="10"/>
    <s v="SZR"/>
  </r>
  <r>
    <x v="3114"/>
    <s v="TRODO2"/>
    <s v="18WTRODO2-1234-J"/>
    <n v="6.8"/>
    <s v="18WTRODO2-1234-J"/>
    <x v="10"/>
    <s v="Venta"/>
    <s v="SZR"/>
    <s v="EGLE"/>
    <x v="0"/>
    <x v="82"/>
    <x v="10"/>
    <s v="SZR"/>
  </r>
  <r>
    <x v="3115"/>
    <s v="TRODON"/>
    <s v="18WTRODON-123--E"/>
    <n v="6.8"/>
    <s v="18WTRODON-123--E"/>
    <x v="10"/>
    <s v="Venta"/>
    <s v="SZR"/>
    <s v="EGLE"/>
    <x v="0"/>
    <x v="82"/>
    <x v="10"/>
    <s v="SZR"/>
  </r>
  <r>
    <x v="3116"/>
    <s v="TREPP2"/>
    <s v="REPSOL CARTAGENA 2"/>
    <n v="39.9"/>
    <s v="18WTRPCAR2-123-L"/>
    <x v="10"/>
    <s v="Venta"/>
    <s v="SZR"/>
    <s v="REPP"/>
    <x v="0"/>
    <x v="29"/>
    <x v="10"/>
    <s v="SZR"/>
  </r>
  <r>
    <x v="3117"/>
    <s v="TSALIA"/>
    <s v="SALIANA DERIV PET AE 1MW"/>
    <n v="7.1"/>
    <s v="18W0000000001U1N"/>
    <x v="3"/>
    <s v="Venta"/>
    <s v="SZR"/>
    <s v="CEG"/>
    <x v="0"/>
    <x v="124"/>
    <x v="18"/>
    <s v="SZR"/>
  </r>
  <r>
    <x v="3118"/>
    <s v="TSALONI"/>
    <s v="UP COGENERACION SALONI"/>
    <n v="4.4000000000000004"/>
    <s v="18W000000000NL5S"/>
    <x v="10"/>
    <s v="Venta"/>
    <s v="SZR"/>
    <s v="NEXU"/>
    <x v="0"/>
    <x v="187"/>
    <x v="10"/>
    <s v="SZR"/>
  </r>
  <r>
    <x v="3119"/>
    <s v="TSANTA"/>
    <s v="UP SANTANDERINA"/>
    <n v="4.5"/>
    <s v="18W000000000NMAF"/>
    <x v="10"/>
    <s v="Venta"/>
    <s v="SZR"/>
    <s v="NEXU"/>
    <x v="0"/>
    <x v="187"/>
    <x v="10"/>
    <s v="SZR"/>
  </r>
  <r>
    <x v="3120"/>
    <s v="TSANTG"/>
    <s v="18WTSANTG-1234-F"/>
    <n v="12.8"/>
    <s v="18WTSANTG-1234-F"/>
    <x v="10"/>
    <s v="Venta"/>
    <s v="ENCE"/>
    <s v="SANTG"/>
    <x v="0"/>
    <x v="211"/>
    <x v="10"/>
    <s v="ENC"/>
  </r>
  <r>
    <x v="3121"/>
    <s v="TSAVA"/>
    <s v="SAVA T"/>
    <n v="15"/>
    <s v="18W000000000O38Z"/>
    <x v="10"/>
    <s v="Venta"/>
    <s v="NEXUS"/>
    <s v="NEXU"/>
    <x v="0"/>
    <x v="187"/>
    <x v="10"/>
    <s v="NEX"/>
  </r>
  <r>
    <x v="3122"/>
    <s v="COGE SEAT"/>
    <s v="COGE SEAT"/>
    <n v="22.8"/>
    <s v="18WTSEAT-12345-K"/>
    <x v="10"/>
    <s v="Venta"/>
    <s v="SZR"/>
    <s v="CLIDM"/>
    <x v="0"/>
    <x v="143"/>
    <x v="10"/>
    <s v="SZR"/>
  </r>
  <r>
    <x v="3123"/>
    <s v="SEPIOL"/>
    <s v="SEPIOLSA"/>
    <n v="5.2"/>
    <s v="18WTSEPIOL-123-4"/>
    <x v="10"/>
    <s v="Venta"/>
    <s v="SZR"/>
    <s v="AME"/>
    <x v="0"/>
    <x v="0"/>
    <x v="10"/>
    <s v="SZR"/>
  </r>
  <r>
    <x v="3124"/>
    <s v="TSERVI"/>
    <s v="18WTSERVI-1234-8"/>
    <n v="14.2"/>
    <s v="18WTSERVI-1234-8"/>
    <x v="10"/>
    <s v="Venta"/>
    <s v="SZR"/>
    <s v="EGLE"/>
    <x v="0"/>
    <x v="82"/>
    <x v="10"/>
    <s v="SZR"/>
  </r>
  <r>
    <x v="3125"/>
    <s v="TSGNR"/>
    <s v="TSGNR"/>
    <n v="50"/>
    <s v="18W000000000KTR9"/>
    <x v="27"/>
    <s v="Venta"/>
    <s v="SZR"/>
    <s v="GNRA"/>
    <x v="0"/>
    <x v="46"/>
    <x v="33"/>
    <s v="SZR"/>
  </r>
  <r>
    <x v="3126"/>
    <s v="TSGNR2"/>
    <s v="TSGNR2"/>
    <n v="50"/>
    <s v="18W000000000LCPN"/>
    <x v="27"/>
    <s v="Venta"/>
    <s v="SZR"/>
    <s v="GNRA"/>
    <x v="0"/>
    <x v="46"/>
    <x v="33"/>
    <s v="SZR"/>
  </r>
  <r>
    <x v="3127"/>
    <s v="TSGNR3"/>
    <s v="TSGNR3"/>
    <n v="17"/>
    <s v="18W000000000LCQL"/>
    <x v="27"/>
    <s v="Venta"/>
    <s v="SZR"/>
    <s v="GNRA"/>
    <x v="0"/>
    <x v="46"/>
    <x v="33"/>
    <s v="SZR"/>
  </r>
  <r>
    <x v="3128"/>
    <s v="TSIBGES"/>
    <s v="COGENERACION NO EFICIENTE"/>
    <n v="37"/>
    <s v="18W0000000001AEK"/>
    <x v="10"/>
    <s v="Venta"/>
    <s v="SZR"/>
    <s v="IBGES"/>
    <x v="0"/>
    <x v="7"/>
    <x v="10"/>
    <s v="SZR"/>
  </r>
  <r>
    <x v="3129"/>
    <s v="TSIRUS"/>
    <s v="SERVEI DINCINERACIÓ DELS RESIDUS URBANS ( T )"/>
    <n v="7.4"/>
    <s v="18WSIRUSA------6"/>
    <x v="18"/>
    <s v="Venta"/>
    <s v="SZR"/>
    <s v="SIRUS"/>
    <x v="0"/>
    <x v="654"/>
    <x v="40"/>
    <s v="SZR"/>
  </r>
  <r>
    <x v="3130"/>
    <s v="TSLQ"/>
    <s v="UNIDAD DE PROGRMACIÓN DE SULQUISA"/>
    <n v="14.8"/>
    <s v="18WTSLQ-12345-1T"/>
    <x v="10"/>
    <s v="Venta"/>
    <s v="SZR"/>
    <s v="AME"/>
    <x v="0"/>
    <x v="0"/>
    <x v="10"/>
    <s v="SZR"/>
  </r>
  <r>
    <x v="3131"/>
    <s v="TSMURES"/>
    <s v="SMURFIT KAPPA ESPANA"/>
    <n v="24.7"/>
    <s v="18W0000000005WNV"/>
    <x v="10"/>
    <s v="Venta"/>
    <s v="SZR"/>
    <s v="WMARK"/>
    <x v="0"/>
    <x v="22"/>
    <x v="10"/>
    <s v="SZR"/>
  </r>
  <r>
    <x v="3132"/>
    <s v="TSOGAM"/>
    <s v="SOGAMA S.A. (T)"/>
    <n v="21.2"/>
    <s v="18WTSOGAM-123-1S"/>
    <x v="10"/>
    <s v="Venta"/>
    <s v="SZR"/>
    <s v="WMARK"/>
    <x v="0"/>
    <x v="22"/>
    <x v="10"/>
    <s v="SZR"/>
  </r>
  <r>
    <x v="3133"/>
    <s v="TSOL_UPC01"/>
    <s v="TELEFONICA SOLUCIONES (UNIDAD PROGRAMACION COMERCIALIZACION)"/>
    <n v="75"/>
    <s v="18WTSOLUCIONES02"/>
    <x v="2"/>
    <s v="Compra"/>
    <s v="SZR"/>
    <s v="TSOL"/>
    <x v="1"/>
    <x v="655"/>
    <x v="2"/>
    <s v="SZR"/>
  </r>
  <r>
    <x v="3134"/>
    <s v="TSOLVAY I"/>
    <s v="TSOLVAY I"/>
    <n v="47"/>
    <s v="18W00000000029FH"/>
    <x v="3"/>
    <s v="Venta"/>
    <s v="SZR"/>
    <s v="REPSB"/>
    <x v="0"/>
    <x v="29"/>
    <x v="18"/>
    <s v="SZR"/>
  </r>
  <r>
    <x v="3135"/>
    <s v="TSOLVAYII"/>
    <s v="TSOLVAYII"/>
    <n v="42"/>
    <s v="18W00000000029GF"/>
    <x v="10"/>
    <s v="Venta"/>
    <s v="SZR"/>
    <s v="REPSB"/>
    <x v="0"/>
    <x v="29"/>
    <x v="10"/>
    <s v="SZR"/>
  </r>
  <r>
    <x v="3136"/>
    <s v="TSRDCP3"/>
    <s v="TSRDE EXPORT"/>
    <n v="500"/>
    <s v="18W000000000IJ1P"/>
    <x v="16"/>
    <s v="Compra"/>
    <s v="SZR"/>
    <s v="TSRDE"/>
    <x v="7"/>
    <x v="364"/>
    <x v="16"/>
    <s v="SZR"/>
  </r>
  <r>
    <x v="3137"/>
    <s v="TSRDVP3"/>
    <s v="TSR DE IMPORT UNIT"/>
    <n v="500"/>
    <s v="18W000000000IJ0R"/>
    <x v="17"/>
    <s v="Venta"/>
    <s v="SZR"/>
    <s v="TSRDE"/>
    <x v="7"/>
    <x v="364"/>
    <x v="17"/>
    <s v="SZR"/>
  </r>
  <r>
    <x v="3138"/>
    <s v="TSTENBA"/>
    <s v="18WTSTENBA-123-B"/>
    <n v="46"/>
    <s v="18WTSTENBA-123-B"/>
    <x v="10"/>
    <s v="Venta"/>
    <s v="SZR"/>
    <s v="EGLE"/>
    <x v="0"/>
    <x v="82"/>
    <x v="10"/>
    <s v="SZR"/>
  </r>
  <r>
    <x v="3139"/>
    <s v="TTABLER"/>
    <s v="TABLER ( NO RENOVABLE,TARIFA,NO EXENTO )"/>
    <n v="24.8"/>
    <s v="18WTTABLER-123-2"/>
    <x v="3"/>
    <s v="Venta"/>
    <s v="SZR"/>
    <s v="WMARK"/>
    <x v="0"/>
    <x v="22"/>
    <x v="18"/>
    <s v="SZR"/>
  </r>
  <r>
    <x v="3140"/>
    <s v="TTARBA"/>
    <s v="TARBA T"/>
    <n v="2.7"/>
    <s v="18W000000000JYRZ"/>
    <x v="18"/>
    <s v="Venta"/>
    <s v="SZR"/>
    <s v="GEMSL"/>
    <x v="0"/>
    <x v="280"/>
    <x v="39"/>
    <s v="SZR"/>
  </r>
  <r>
    <x v="3141"/>
    <s v="TTBAYPO"/>
    <s v="TTBAYPO"/>
    <n v="14.5"/>
    <s v="18W000000000JGNN"/>
    <x v="10"/>
    <s v="Venta"/>
    <s v="SZR"/>
    <s v="DETIC"/>
    <x v="0"/>
    <x v="71"/>
    <x v="10"/>
    <s v="SZR"/>
  </r>
  <r>
    <x v="3142"/>
    <s v="TTCAYPA"/>
    <s v="TERM_7314KW"/>
    <n v="7.3"/>
    <s v="18W000000000OIOW"/>
    <x v="10"/>
    <s v="Venta"/>
    <s v="SZR"/>
    <s v="EBLCO"/>
    <x v="0"/>
    <x v="158"/>
    <x v="10"/>
    <s v="SZR"/>
  </r>
  <r>
    <x v="3143"/>
    <s v="TTECGA"/>
    <s v="18W00000000078V5"/>
    <n v="7.3"/>
    <s v="18W00000000078V5"/>
    <x v="10"/>
    <s v="Venta"/>
    <s v="SZR"/>
    <s v="EGLE"/>
    <x v="0"/>
    <x v="82"/>
    <x v="10"/>
    <s v="SZR"/>
  </r>
  <r>
    <x v="3144"/>
    <s v="TTECQU"/>
    <s v="TECNICAS DE COGENERACIÓN DE QUART ( T )"/>
    <n v="7.3"/>
    <s v="18WTTECQU-1234-L"/>
    <x v="10"/>
    <s v="Venta"/>
    <s v="IGNIS"/>
    <s v="IGNIS"/>
    <x v="0"/>
    <x v="28"/>
    <x v="10"/>
    <s v="IGN"/>
  </r>
  <r>
    <x v="3145"/>
    <s v="TFANOIA"/>
    <s v="TARIFA&gt;10 ANOIA"/>
    <n v="13.8"/>
    <s v="18WTTFANOI-123-X"/>
    <x v="10"/>
    <s v="Venta"/>
    <s v="SZR"/>
    <s v="NEXU"/>
    <x v="0"/>
    <x v="187"/>
    <x v="10"/>
    <s v="SZR"/>
  </r>
  <r>
    <x v="3146"/>
    <s v="TFCONFIREL"/>
    <s v="TARIFA&gt;10 CONFIREL"/>
    <n v="11.9"/>
    <s v="18WTTFCONF-123-X"/>
    <x v="10"/>
    <s v="Venta"/>
    <s v="SZR"/>
    <s v="NEXU"/>
    <x v="0"/>
    <x v="187"/>
    <x v="10"/>
    <s v="SZR"/>
  </r>
  <r>
    <x v="3147"/>
    <s v="TFGALLREGA"/>
    <s v="TARIFA&gt;10 GALLREGA"/>
    <n v="14.8"/>
    <s v="18WTTFGALL-123-J"/>
    <x v="10"/>
    <s v="Venta"/>
    <s v="SZR"/>
    <s v="NEXU"/>
    <x v="0"/>
    <x v="187"/>
    <x v="10"/>
    <s v="SZR"/>
  </r>
  <r>
    <x v="3148"/>
    <s v="TFMOTRIL"/>
    <s v="TARIFA&gt;10 COG.MOTRIL"/>
    <n v="48.8"/>
    <s v="18WTTFMOTR-123-N"/>
    <x v="10"/>
    <s v="Venta"/>
    <s v="SZR"/>
    <s v="NEXU"/>
    <x v="0"/>
    <x v="187"/>
    <x v="10"/>
    <s v="SZR"/>
  </r>
  <r>
    <x v="3149"/>
    <s v="TTFTPSJ"/>
    <s v="TARIFA&gt;10 COG.TPSJOAN"/>
    <n v="24.9"/>
    <s v="18WTTFTPSJ-123-8"/>
    <x v="10"/>
    <s v="Venta"/>
    <s v="SZR"/>
    <s v="NEXU"/>
    <x v="0"/>
    <x v="187"/>
    <x v="10"/>
    <s v="SZR"/>
  </r>
  <r>
    <x v="3150"/>
    <s v="TFTPZG"/>
    <s v="TARIFA&gt;10 TPZARAGOZA GAS"/>
    <n v="23.6"/>
    <s v="18WTTFTPZG-123-A"/>
    <x v="10"/>
    <s v="Venta"/>
    <s v="SZR"/>
    <s v="NEXU"/>
    <x v="0"/>
    <x v="187"/>
    <x v="10"/>
    <s v="SZR"/>
  </r>
  <r>
    <x v="3151"/>
    <s v="TFTRENCA"/>
    <s v="TARIFA&gt;10 TRENCA"/>
    <n v="13.4"/>
    <s v="18WTTFTREN-123-0"/>
    <x v="10"/>
    <s v="Venta"/>
    <s v="SZR"/>
    <s v="NEXU"/>
    <x v="0"/>
    <x v="187"/>
    <x v="10"/>
    <s v="SZR"/>
  </r>
  <r>
    <x v="3152"/>
    <s v="COG PETROL"/>
    <s v="COGENERACION PETROLEO"/>
    <n v="24"/>
    <s v="18WTTIBGES-123-Q"/>
    <x v="3"/>
    <s v="Venta"/>
    <s v="SZR"/>
    <s v="IBGES"/>
    <x v="0"/>
    <x v="7"/>
    <x v="18"/>
    <s v="SZR"/>
  </r>
  <r>
    <x v="3153"/>
    <s v="TTINTS"/>
    <s v="18W0000000009YMB"/>
    <n v="2"/>
    <s v="18W0000000009YMB"/>
    <x v="10"/>
    <s v="Venta"/>
    <s v="SZR"/>
    <s v="EGLE"/>
    <x v="0"/>
    <x v="82"/>
    <x v="10"/>
    <s v="SZR"/>
  </r>
  <r>
    <x v="3154"/>
    <s v="TTIP"/>
    <s v="INTERMONEY ENERGIA AG. VEND. 2"/>
    <n v="3.4"/>
    <s v="18WTTIP-12345-1N"/>
    <x v="10"/>
    <s v="Venta"/>
    <s v="SZR"/>
    <s v="TIP"/>
    <x v="0"/>
    <x v="656"/>
    <x v="10"/>
    <s v="SZR"/>
  </r>
  <r>
    <x v="3155"/>
    <s v="TTOLSA"/>
    <s v="TOLSA - TARIFA&gt;10MW"/>
    <n v="12.5"/>
    <s v="18WTTOLSA-1234-0"/>
    <x v="10"/>
    <s v="Venta"/>
    <s v="SZR"/>
    <s v="CEG"/>
    <x v="0"/>
    <x v="124"/>
    <x v="10"/>
    <s v="SZR"/>
  </r>
  <r>
    <x v="3156"/>
    <s v="TTOVAG"/>
    <s v="18WTTOVAG-1234-E"/>
    <n v="22.9"/>
    <s v="18WTTOVAG-1234-E"/>
    <x v="10"/>
    <s v="Venta"/>
    <s v="SZR"/>
    <s v="EGLE"/>
    <x v="0"/>
    <x v="82"/>
    <x v="10"/>
    <s v="SZR"/>
  </r>
  <r>
    <x v="3157"/>
    <s v="TTRACTA"/>
    <s v="TTRACTA"/>
    <n v="1.3"/>
    <s v="18W000000000RCTS"/>
    <x v="18"/>
    <s v="Venta"/>
    <s v="SZR"/>
    <s v="DETIC"/>
    <x v="0"/>
    <x v="71"/>
    <x v="20"/>
    <s v="SZR"/>
  </r>
  <r>
    <x v="3158"/>
    <s v="TTRAJUN"/>
    <s v="TTRAJUN"/>
    <n v="15"/>
    <s v="18W000000000RCVO"/>
    <x v="10"/>
    <s v="Venta"/>
    <s v="SZR"/>
    <s v="DETIC"/>
    <x v="0"/>
    <x v="71"/>
    <x v="10"/>
    <s v="SZR"/>
  </r>
  <r>
    <x v="3159"/>
    <s v="TTROYO"/>
    <s v="UP COG ROYO"/>
    <n v="1"/>
    <s v="18W000000000OI9P"/>
    <x v="10"/>
    <s v="Venta"/>
    <s v="SZR"/>
    <s v="NEXU"/>
    <x v="0"/>
    <x v="187"/>
    <x v="10"/>
    <s v="SZR"/>
  </r>
  <r>
    <x v="3160"/>
    <s v="TTUDELA"/>
    <s v="UP CIUDAD AGROALIMENTARIA TUDELA"/>
    <n v="9.9"/>
    <s v="18WTTUDELA-12--B"/>
    <x v="10"/>
    <s v="Venta"/>
    <s v="SZR"/>
    <s v="GNRA"/>
    <x v="0"/>
    <x v="46"/>
    <x v="10"/>
    <s v="SZR"/>
  </r>
  <r>
    <x v="3161"/>
    <s v="TUCAN"/>
    <s v="TUCAN_ENERGIA"/>
    <n v="1"/>
    <s v="18W000000000JBWK"/>
    <x v="2"/>
    <s v="Compra"/>
    <s v="SZR"/>
    <s v="TUCAN"/>
    <x v="1"/>
    <x v="657"/>
    <x v="2"/>
    <s v="SZR"/>
  </r>
  <r>
    <x v="3162"/>
    <s v="UP TUELE"/>
    <s v="UP TU ELECTRICA"/>
    <n v="0.1"/>
    <s v="18W000000000OGZG"/>
    <x v="2"/>
    <s v="Compra"/>
    <s v="SZR"/>
    <s v="TUELE"/>
    <x v="1"/>
    <x v="658"/>
    <x v="2"/>
    <s v="SZR"/>
  </r>
  <r>
    <x v="3163"/>
    <s v="TUEMADE"/>
    <s v="UEMADE ( NO RENOVABLE,TARIFA,NO EXENTO )"/>
    <n v="14.7"/>
    <s v="18WTUEMADE-123-Y"/>
    <x v="3"/>
    <s v="Venta"/>
    <s v="SZR"/>
    <s v="WMARK"/>
    <x v="0"/>
    <x v="22"/>
    <x v="18"/>
    <s v="SZR"/>
  </r>
  <r>
    <x v="3164"/>
    <s v="TUFICS"/>
    <s v="UNIDAD DE PROGRAMACIÓN DE UFICSA"/>
    <n v="32.5"/>
    <s v="18WTUFICS-1234-6"/>
    <x v="10"/>
    <s v="Venta"/>
    <s v="SZR"/>
    <s v="AME"/>
    <x v="0"/>
    <x v="0"/>
    <x v="10"/>
    <s v="SZR"/>
  </r>
  <r>
    <x v="3165"/>
    <s v="TUSARGO"/>
    <s v="UP USARGOITI"/>
    <n v="1.9"/>
    <s v="18WTUSARGO-123-C"/>
    <x v="3"/>
    <s v="Venta"/>
    <s v="SZR"/>
    <s v="GNRA"/>
    <x v="0"/>
    <x v="46"/>
    <x v="18"/>
    <s v="SZR"/>
  </r>
  <r>
    <x v="3166"/>
    <s v="GTA2UTETEM"/>
    <s v="UP GTA2 UTE TEM"/>
    <n v="13.1"/>
    <s v="18WTUTETEM-123-A"/>
    <x v="18"/>
    <s v="Venta"/>
    <s v="SZR"/>
    <s v="UTTEM"/>
    <x v="0"/>
    <x v="629"/>
    <x v="40"/>
    <s v="SZR"/>
  </r>
  <r>
    <x v="3167"/>
    <s v="TUTISA"/>
    <s v="UTISA - TARIFA&gt;10MW"/>
    <n v="10"/>
    <s v="18WTUTISA-123-1B"/>
    <x v="10"/>
    <s v="Venta"/>
    <s v="SZR"/>
    <s v="CEG"/>
    <x v="0"/>
    <x v="124"/>
    <x v="10"/>
    <s v="SZR"/>
  </r>
  <r>
    <x v="3168"/>
    <s v="TVALPBA"/>
    <s v="TERMICA VALPUREN BANUELO"/>
    <n v="16.5"/>
    <s v="18WTVALPBA-123-M"/>
    <x v="10"/>
    <s v="Venta"/>
    <s v="NEXUS"/>
    <s v="NEXU"/>
    <x v="0"/>
    <x v="187"/>
    <x v="10"/>
    <s v="NEX"/>
  </r>
  <r>
    <x v="3169"/>
    <s v="TVCOMAT"/>
    <s v="VALPUREN COMAT TERMICA"/>
    <n v="16.5"/>
    <s v="18WTVCOMAT-123-K"/>
    <x v="10"/>
    <s v="Venta"/>
    <s v="NEXUS"/>
    <s v="NEXU"/>
    <x v="0"/>
    <x v="187"/>
    <x v="10"/>
    <s v="NEX"/>
  </r>
  <r>
    <x v="3170"/>
    <s v="TVGARR"/>
    <s v="UP RE-3886 2"/>
    <n v="15"/>
    <s v="18W000000000RC36"/>
    <x v="10"/>
    <s v="Venta"/>
    <s v="SZR"/>
    <s v="EGLE"/>
    <x v="0"/>
    <x v="82"/>
    <x v="10"/>
    <s v="SZR"/>
  </r>
  <r>
    <x v="3171"/>
    <s v="TVGNRA2"/>
    <s v="TVGNRA2"/>
    <n v="3.2"/>
    <s v="18W000000000LUKG"/>
    <x v="3"/>
    <s v="Venta"/>
    <s v="SZR"/>
    <s v="GNRA"/>
    <x v="0"/>
    <x v="46"/>
    <x v="18"/>
    <s v="SZR"/>
  </r>
  <r>
    <x v="3172"/>
    <s v="TWAME"/>
    <s v="TWAME - CHP NO ALTA EFICIENCIA POT SUPERIOR 1 MW"/>
    <n v="2.6"/>
    <s v="18W00000000005D4"/>
    <x v="10"/>
    <s v="Venta"/>
    <s v="SZR"/>
    <s v="AME"/>
    <x v="0"/>
    <x v="0"/>
    <x v="10"/>
    <s v="SZR"/>
  </r>
  <r>
    <x v="3173"/>
    <s v="TWART2"/>
    <s v="UP WARTSILA 2"/>
    <n v="15"/>
    <s v="18W0000000005DNE"/>
    <x v="0"/>
    <s v="Venta"/>
    <s v="SZR"/>
    <s v="AME"/>
    <x v="0"/>
    <x v="0"/>
    <x v="0"/>
    <s v="SZR"/>
  </r>
  <r>
    <x v="3174"/>
    <s v="TWARTS"/>
    <s v="WARTSILA IBERICA ( T )"/>
    <n v="14.9"/>
    <s v="18WTWARTS-1234-G"/>
    <x v="0"/>
    <s v="Venta"/>
    <s v="SZR"/>
    <s v="WARTS"/>
    <x v="0"/>
    <x v="659"/>
    <x v="0"/>
    <s v="SZR"/>
  </r>
  <r>
    <x v="3175"/>
    <s v="TYAME"/>
    <s v="AME ( NO RENOVABLE, TARIFA, NO EXENTO)"/>
    <n v="8.1"/>
    <s v="18WTYAME-12345-7"/>
    <x v="10"/>
    <s v="Venta"/>
    <s v="SZR"/>
    <s v="AME"/>
    <x v="0"/>
    <x v="0"/>
    <x v="10"/>
    <s v="SZR"/>
  </r>
  <r>
    <x v="3176"/>
    <s v="TYCEG"/>
    <s v="CEG (TARIFA, NO RENOVABLE, NO EXENTO)"/>
    <n v="5.4"/>
    <s v="18WTYCEG-12345-A"/>
    <x v="10"/>
    <s v="Venta"/>
    <s v="SZR"/>
    <s v="CEG"/>
    <x v="0"/>
    <x v="124"/>
    <x v="10"/>
    <s v="SZR"/>
  </r>
  <r>
    <x v="3177"/>
    <s v="TYDETIC"/>
    <s v="DETISA ( TARIFA, NO RENOVABLE, NO EXENTO)"/>
    <n v="12"/>
    <s v="18WTYDETIC-123-S"/>
    <x v="10"/>
    <s v="Venta"/>
    <s v="SZR"/>
    <s v="DETIC"/>
    <x v="0"/>
    <x v="71"/>
    <x v="10"/>
    <s v="SZR"/>
  </r>
  <r>
    <x v="3178"/>
    <s v="TYEEXXI"/>
    <s v="ENDESA CUR ( TARIFA, TERMICA NO RENOVABLE, NO EXENTA)"/>
    <n v="282"/>
    <s v="18WTYEEXXI-123-4"/>
    <x v="10"/>
    <s v="Venta"/>
    <s v="SZR"/>
    <s v="EEXXI"/>
    <x v="0"/>
    <x v="72"/>
    <x v="10"/>
    <s v="SZR"/>
  </r>
  <r>
    <x v="3179"/>
    <s v="TYEGLE"/>
    <s v="EGLE (TARIFA, NO RENOVABLE, NO EXENTO)"/>
    <n v="3.9"/>
    <s v="18WTYEGLE-1234-K"/>
    <x v="10"/>
    <s v="Venta"/>
    <s v="SZR"/>
    <s v="EGLE"/>
    <x v="0"/>
    <x v="82"/>
    <x v="10"/>
    <s v="SZR"/>
  </r>
  <r>
    <x v="3180"/>
    <s v="TYEONUR"/>
    <s v="E.ON CUR ( TARIFA, TERMICA NO RENOVABLE, NO EXENTA)"/>
    <n v="6.7"/>
    <s v="18WTYEONUR-123-T"/>
    <x v="10"/>
    <s v="Venta"/>
    <s v="SZR"/>
    <s v="EONUR"/>
    <x v="0"/>
    <x v="270"/>
    <x v="10"/>
    <s v="SZR"/>
  </r>
  <r>
    <x v="3181"/>
    <s v="TYESYF"/>
    <s v="YESYFORMA T"/>
    <n v="1.5"/>
    <s v="18W000000000GMOF"/>
    <x v="10"/>
    <s v="Venta"/>
    <s v="SZR"/>
    <s v="GEMSL"/>
    <x v="0"/>
    <x v="280"/>
    <x v="10"/>
    <s v="SZR"/>
  </r>
  <r>
    <x v="3182"/>
    <s v="TYGEMSL"/>
    <s v="TARIFA VENTA GEM NO RENOVABLE"/>
    <n v="3.9"/>
    <s v="18WTYGEMSL-123-Q"/>
    <x v="10"/>
    <s v="Venta"/>
    <s v="SZR"/>
    <s v="GEMSL"/>
    <x v="0"/>
    <x v="280"/>
    <x v="10"/>
    <s v="SZR"/>
  </r>
  <r>
    <x v="3183"/>
    <s v="TYGENER"/>
    <s v="GENER ( NO RENOVABLE, TARIFA, NO EXENTO)"/>
    <n v="0.9"/>
    <s v="18WTYGENER-123-D"/>
    <x v="10"/>
    <s v="Venta"/>
    <s v="SZR"/>
    <s v="ADXRE"/>
    <x v="0"/>
    <x v="37"/>
    <x v="10"/>
    <s v="SZR"/>
  </r>
  <r>
    <x v="3184"/>
    <s v="TYGNRA"/>
    <s v="GNRA ( TARIFA, NO RENOVABLE,NO EXENTO)"/>
    <n v="3.4"/>
    <s v="18WTYGNRA-1234-H"/>
    <x v="10"/>
    <s v="Venta"/>
    <s v="SZR"/>
    <s v="GNRA"/>
    <x v="0"/>
    <x v="46"/>
    <x v="10"/>
    <s v="SZR"/>
  </r>
  <r>
    <x v="3185"/>
    <s v="TYGNSUR"/>
    <s v="GAS NATURAL SUR SDG ( TARIFA, TERMICA NO RENOVABLE, NO EXENTA)"/>
    <n v="121.2"/>
    <s v="18WTYGNSUR-123-9"/>
    <x v="10"/>
    <s v="Venta"/>
    <s v="SZR"/>
    <s v="GNSUR"/>
    <x v="0"/>
    <x v="8"/>
    <x v="10"/>
    <s v="SZR"/>
  </r>
  <r>
    <x v="3186"/>
    <s v="TYHCCUR"/>
    <s v="HIDROCANTABRICO CUR ( TARIFA,TERMICA NO RENOVABLE, NO EXENTA)"/>
    <n v="15.8"/>
    <s v="18WTYHCCUR-123-U"/>
    <x v="10"/>
    <s v="Venta"/>
    <s v="SZR"/>
    <s v="HCCUR"/>
    <x v="0"/>
    <x v="273"/>
    <x v="10"/>
    <s v="SZR"/>
  </r>
  <r>
    <x v="3187"/>
    <s v="TYHCG"/>
    <s v="VENTA COGENERACIONES Y MICROS"/>
    <n v="0"/>
    <s v="18W000000000CRQC"/>
    <x v="10"/>
    <s v="Venta"/>
    <s v="SZR"/>
    <s v="HC G"/>
    <x v="0"/>
    <x v="3"/>
    <x v="10"/>
    <s v="SZR"/>
  </r>
  <r>
    <x v="3188"/>
    <s v="TYIBCUR"/>
    <s v="IBERDROLA CUR ( TARIFA, TERMICA NO RENOVABLE, NO EXENTA)"/>
    <n v="126.6"/>
    <s v="18WTYIBCUR-123-T"/>
    <x v="10"/>
    <s v="Venta"/>
    <s v="SZR"/>
    <s v="IBCUR"/>
    <x v="0"/>
    <x v="7"/>
    <x v="10"/>
    <s v="SZR"/>
  </r>
  <r>
    <x v="3189"/>
    <s v="TYLAUE3"/>
    <s v="UP COGENERACION CREVILLENTINA"/>
    <n v="9.1999999999999993"/>
    <s v="18W000000000R1DJ"/>
    <x v="3"/>
    <s v="Venta"/>
    <s v="SZR"/>
    <s v="LAUEI"/>
    <x v="0"/>
    <x v="301"/>
    <x v="18"/>
    <s v="SZR"/>
  </r>
  <r>
    <x v="3190"/>
    <s v="TYLMER"/>
    <s v="LONJAS Y MERCADOS (TARIFA, NO EXENTO, NO RENOVABLE)"/>
    <n v="41"/>
    <s v="18WTYLMER-1234-R"/>
    <x v="10"/>
    <s v="Venta"/>
    <s v="SZR"/>
    <s v="LMER"/>
    <x v="0"/>
    <x v="89"/>
    <x v="10"/>
    <s v="SZR"/>
  </r>
  <r>
    <x v="3191"/>
    <s v="TYNEXU"/>
    <s v="NEXUS ENERGÍA ( TARIFA, NO RENOVABLE, NO EXENTO)"/>
    <n v="9.6999999999999993"/>
    <s v="18WTYNEXU-1234-1"/>
    <x v="10"/>
    <s v="Venta"/>
    <s v="SZR"/>
    <s v="NEXU"/>
    <x v="0"/>
    <x v="187"/>
    <x v="10"/>
    <s v="SZR"/>
  </r>
  <r>
    <x v="3192"/>
    <s v="TERSATERM"/>
    <s v="TERSA TERMICA PVE"/>
    <n v="31.7"/>
    <s v="18W0000000007ANF"/>
    <x v="18"/>
    <s v="Venta"/>
    <s v="SZR"/>
    <s v="TERSA"/>
    <x v="0"/>
    <x v="319"/>
    <x v="40"/>
    <s v="SZR"/>
  </r>
  <r>
    <x v="3193"/>
    <s v="PRODUCCION"/>
    <s v="PRODUCCION ENERGIA RESIDUOS"/>
    <n v="5"/>
    <s v="18W000000000HJHY"/>
    <x v="18"/>
    <s v="Venta"/>
    <s v="SZR"/>
    <s v="TRADB"/>
    <x v="0"/>
    <x v="652"/>
    <x v="20"/>
    <s v="SZR"/>
  </r>
  <r>
    <x v="3194"/>
    <s v="TYWMARK"/>
    <s v="COGENERACION SIN UF"/>
    <n v="3.8"/>
    <s v="18WTYWMARK-123-4"/>
    <x v="10"/>
    <s v="Venta"/>
    <s v="SZR"/>
    <s v="WMARK"/>
    <x v="0"/>
    <x v="22"/>
    <x v="10"/>
    <s v="SZR"/>
  </r>
  <r>
    <x v="3195"/>
    <s v="TZAME"/>
    <s v="TZAME"/>
    <n v="12.1"/>
    <s v="18WTZAME-12345-W"/>
    <x v="10"/>
    <s v="Venta"/>
    <s v="SZR"/>
    <s v="AME"/>
    <x v="0"/>
    <x v="0"/>
    <x v="10"/>
    <s v="SZR"/>
  </r>
  <r>
    <x v="3196"/>
    <s v="TZAME2 TG"/>
    <s v="TZAME2 TOPADO GAS"/>
    <n v="4.3"/>
    <s v="18W000000000NPZU"/>
    <x v="10"/>
    <s v="Venta"/>
    <s v="SZR"/>
    <s v="AME"/>
    <x v="0"/>
    <x v="0"/>
    <x v="10"/>
    <s v="SZR"/>
  </r>
  <r>
    <x v="3197"/>
    <s v="BOLARQUE B"/>
    <s v="C.H.B. BOLARQUE BOMBEO"/>
    <n v="208"/>
    <s v="18WUFBB-12345-0R"/>
    <x v="13"/>
    <s v="Compra"/>
    <s v="SZR"/>
    <s v="GNFG"/>
    <x v="6"/>
    <x v="8"/>
    <x v="13"/>
    <s v="SZR"/>
  </r>
  <r>
    <x v="3198"/>
    <s v="BOLARQUE G"/>
    <s v="C.H. BOLARQUE GENERACION"/>
    <n v="215"/>
    <s v="18WUFBG-12345-0E"/>
    <x v="14"/>
    <s v="Venta"/>
    <s v="NTG"/>
    <s v="GNFG"/>
    <x v="0"/>
    <x v="8"/>
    <x v="14"/>
    <s v="GN"/>
  </r>
  <r>
    <x v="3199"/>
    <s v="GNF GALCOS"/>
    <s v="UGH. GNF-GALICIA COSTA"/>
    <n v="385.4"/>
    <s v="18WUFGC--1234-00"/>
    <x v="1"/>
    <s v="Venta"/>
    <s v="NTG"/>
    <s v="GNFG"/>
    <x v="0"/>
    <x v="8"/>
    <x v="1"/>
    <s v="GN"/>
  </r>
  <r>
    <x v="3200"/>
    <s v="GNF MIÑO"/>
    <s v="UGH. GNF-MIÑO"/>
    <n v="941.1"/>
    <s v="18WUFMI-12345-0L"/>
    <x v="1"/>
    <s v="Venta"/>
    <s v="NTG"/>
    <s v="GNFG"/>
    <x v="0"/>
    <x v="8"/>
    <x v="1"/>
    <s v="GN"/>
  </r>
  <r>
    <x v="3201"/>
    <s v="GNF TAJO"/>
    <s v="UGH. GNF-TAJO"/>
    <n v="388.4"/>
    <s v="18WUFTA-12345-0O"/>
    <x v="1"/>
    <s v="Venta"/>
    <s v="NTG"/>
    <s v="GNFG"/>
    <x v="0"/>
    <x v="8"/>
    <x v="1"/>
    <s v="GN"/>
  </r>
  <r>
    <x v="3202"/>
    <s v="ULEA"/>
    <s v="ULEA"/>
    <n v="1.5"/>
    <s v="18WULEA-123456-O"/>
    <x v="1"/>
    <s v="Venta"/>
    <s v="SZR"/>
    <s v="BARER"/>
    <x v="0"/>
    <x v="1"/>
    <x v="1"/>
    <s v="SZR"/>
  </r>
  <r>
    <x v="3203"/>
    <s v="ULTREYA"/>
    <s v="SOL ULTREYA COMERCIALIZADORA"/>
    <n v="1"/>
    <s v="18W000000000K0AJ"/>
    <x v="2"/>
    <s v="Compra"/>
    <s v="SZR"/>
    <s v="ULSOL"/>
    <x v="1"/>
    <x v="660"/>
    <x v="2"/>
    <s v="SZR"/>
  </r>
  <r>
    <x v="3204"/>
    <s v="UMBRELLA"/>
    <s v="UMBRELLA ELECTRON SL"/>
    <n v="1"/>
    <s v="18W000000000PUVF"/>
    <x v="2"/>
    <s v="Compra"/>
    <s v="SZR"/>
    <s v="UMBRE"/>
    <x v="1"/>
    <x v="661"/>
    <x v="2"/>
    <s v="SZR"/>
  </r>
  <r>
    <x v="3205"/>
    <s v="UMEME"/>
    <s v="UMEME UPR1"/>
    <n v="30"/>
    <s v="18W000000000F0ND"/>
    <x v="2"/>
    <s v="Compra"/>
    <s v="SZR"/>
    <s v="UMEME"/>
    <x v="1"/>
    <x v="662"/>
    <x v="2"/>
    <s v="SZR"/>
  </r>
  <r>
    <x v="3206"/>
    <s v="UNELC01"/>
    <s v="UNIELECTRICA ENERGIA"/>
    <n v="0.2"/>
    <s v="18WUNELC01-123-X"/>
    <x v="2"/>
    <s v="Compra"/>
    <s v="SZR"/>
    <s v="UNEL"/>
    <x v="1"/>
    <x v="366"/>
    <x v="2"/>
    <s v="SZR"/>
  </r>
  <r>
    <x v="3207"/>
    <s v="UP_COGFUTN"/>
    <s v="UP_COGENERACION NO ALTA EFICIENCIA"/>
    <n v="0.4"/>
    <s v="18W0000000005E84"/>
    <x v="10"/>
    <s v="Venta"/>
    <s v="SZR"/>
    <s v="FUTGR"/>
    <x v="0"/>
    <x v="146"/>
    <x v="10"/>
    <s v="SZR"/>
  </r>
  <r>
    <x v="3208"/>
    <s v="UPCOMPRA"/>
    <s v="UP ACADIEMS COMPRA"/>
    <n v="1"/>
    <s v="18W000000000T7ZN"/>
    <x v="12"/>
    <s v="Compra"/>
    <s v="SZR"/>
    <s v="IGNIS"/>
    <x v="5"/>
    <x v="28"/>
    <x v="12"/>
    <s v="SZR"/>
  </r>
  <r>
    <x v="3209"/>
    <s v="UPACAMPO"/>
    <s v="UP CF ACAMPO ESTREN 11498"/>
    <n v="25"/>
    <s v="18W000000000RR9N"/>
    <x v="9"/>
    <s v="Venta"/>
    <s v="SZR"/>
    <s v="IGNIS"/>
    <x v="0"/>
    <x v="28"/>
    <x v="9"/>
    <s v="SZR"/>
  </r>
  <r>
    <x v="3210"/>
    <s v="UPACADIEMV"/>
    <s v="UP ACADIEMS VENTA"/>
    <n v="1"/>
    <s v="18W000000000T81E"/>
    <x v="12"/>
    <s v="Venta"/>
    <s v="SZR"/>
    <s v="IGNIS"/>
    <x v="5"/>
    <x v="28"/>
    <x v="12"/>
    <s v="SZR"/>
  </r>
  <r>
    <x v="3211"/>
    <s v="UPADELFA"/>
    <s v="UP ADELFA SOLAR"/>
    <n v="46.5"/>
    <s v="18W000000000TBM0"/>
    <x v="9"/>
    <s v="Venta"/>
    <s v="SZR"/>
    <s v="IGNIS"/>
    <x v="0"/>
    <x v="28"/>
    <x v="9"/>
    <s v="SZR"/>
  </r>
  <r>
    <x v="3212"/>
    <s v="UPAGA"/>
    <s v="UPAGA"/>
    <n v="18"/>
    <s v="18W000000000SIJQ"/>
    <x v="9"/>
    <s v="Venta"/>
    <s v="SZR"/>
    <s v="GNRA"/>
    <x v="0"/>
    <x v="46"/>
    <x v="9"/>
    <s v="SZR"/>
  </r>
  <r>
    <x v="3213"/>
    <s v="UPAGB"/>
    <s v="UPAGB"/>
    <n v="22"/>
    <s v="18W000000000SIQC"/>
    <x v="9"/>
    <s v="Venta"/>
    <s v="SZR"/>
    <s v="GNRA"/>
    <x v="0"/>
    <x v="46"/>
    <x v="9"/>
    <s v="SZR"/>
  </r>
  <r>
    <x v="3214"/>
    <s v="UPAIRPORT"/>
    <s v="UP SOLAR AIRPORT FV 1133327"/>
    <n v="43.6"/>
    <s v="18W000000000RR7R"/>
    <x v="9"/>
    <s v="Venta"/>
    <s v="IGR"/>
    <s v="IGNIS"/>
    <x v="0"/>
    <x v="28"/>
    <x v="9"/>
    <s v="IGR"/>
  </r>
  <r>
    <x v="3215"/>
    <s v="ALAMBOR SO"/>
    <s v="ALAMBOR SOLAR SLU"/>
    <n v="44.5"/>
    <s v="18W000000000SE7P"/>
    <x v="9"/>
    <s v="Venta"/>
    <s v="IGR"/>
    <s v="IGNIS"/>
    <x v="0"/>
    <x v="28"/>
    <x v="9"/>
    <s v="IGR"/>
  </r>
  <r>
    <x v="3216"/>
    <s v="UPALC1"/>
    <s v="UPALC1"/>
    <n v="43.2"/>
    <s v="18W000000000SY1E"/>
    <x v="9"/>
    <s v="Venta"/>
    <s v="SZR"/>
    <s v="GNRA"/>
    <x v="0"/>
    <x v="46"/>
    <x v="9"/>
    <s v="SZR"/>
  </r>
  <r>
    <x v="3217"/>
    <s v="UPALC2"/>
    <s v="UPALC2"/>
    <n v="27.1"/>
    <s v="18W000000000SY2C"/>
    <x v="9"/>
    <s v="Venta"/>
    <s v="SZR"/>
    <s v="GNRA"/>
    <x v="0"/>
    <x v="46"/>
    <x v="9"/>
    <s v="SZR"/>
  </r>
  <r>
    <x v="3218"/>
    <s v="UPALDEA"/>
    <s v="UPALDEA"/>
    <n v="4.8"/>
    <s v="18W000000000SY0G"/>
    <x v="9"/>
    <s v="Venta"/>
    <s v="SZR"/>
    <s v="GNRA"/>
    <x v="0"/>
    <x v="46"/>
    <x v="9"/>
    <s v="SZR"/>
  </r>
  <r>
    <x v="3219"/>
    <s v="ALFOZ"/>
    <s v="ELICA DEL ALFOZ SL"/>
    <n v="112"/>
    <s v="18W000000000Q2YF"/>
    <x v="11"/>
    <s v="Venta"/>
    <s v="SZR"/>
    <s v="IGNIS"/>
    <x v="0"/>
    <x v="28"/>
    <x v="11"/>
    <s v="SZR"/>
  </r>
  <r>
    <x v="3220"/>
    <s v="UPGUADA1"/>
    <s v="UP ALCALA GUADAIRA 1"/>
    <n v="10"/>
    <s v="18W000000000T4FZ"/>
    <x v="9"/>
    <s v="Venta"/>
    <s v="SZR"/>
    <s v="IGNIS"/>
    <x v="0"/>
    <x v="28"/>
    <x v="9"/>
    <s v="SZR"/>
  </r>
  <r>
    <x v="3221"/>
    <s v="UPGUADA2"/>
    <s v="UP ALCALA GUADAIRA 2"/>
    <n v="2.7"/>
    <s v="18W000000000T4HV"/>
    <x v="9"/>
    <s v="Venta"/>
    <s v="SZR"/>
    <s v="IGNIS"/>
    <x v="0"/>
    <x v="28"/>
    <x v="9"/>
    <s v="SZR"/>
  </r>
  <r>
    <x v="3222"/>
    <s v="UP ALMANSO"/>
    <s v="ERG SOLAR ALMANSA SLU"/>
    <n v="42"/>
    <s v="18W000000000SMUT"/>
    <x v="9"/>
    <s v="Venta"/>
    <s v="IGR"/>
    <s v="IGNIS"/>
    <x v="0"/>
    <x v="28"/>
    <x v="9"/>
    <s v="IGR"/>
  </r>
  <r>
    <x v="3223"/>
    <s v="UPALMENDRO"/>
    <s v="UP ALMENDRO SOLAR"/>
    <n v="46.2"/>
    <s v="18W000000000T4ZW"/>
    <x v="9"/>
    <s v="Venta"/>
    <s v="SZR"/>
    <s v="IGNIS"/>
    <x v="0"/>
    <x v="28"/>
    <x v="9"/>
    <s v="SZR"/>
  </r>
  <r>
    <x v="3224"/>
    <s v="UP ALTER 2"/>
    <s v="UP ALTER ENERSUN MRIDA DOS SL"/>
    <n v="10.8"/>
    <s v="18W000000000RQFE"/>
    <x v="9"/>
    <s v="Venta"/>
    <s v="IGR"/>
    <s v="IGNIS"/>
    <x v="0"/>
    <x v="28"/>
    <x v="9"/>
    <s v="IGR"/>
  </r>
  <r>
    <x v="3225"/>
    <s v="UP ALTER 3"/>
    <s v="UP ALTER ENERSUN CCERES TRES SL"/>
    <n v="24.2"/>
    <s v="18W000000000RQEG"/>
    <x v="9"/>
    <s v="Venta"/>
    <s v="IGR"/>
    <s v="IGNIS"/>
    <x v="0"/>
    <x v="28"/>
    <x v="9"/>
    <s v="IGR"/>
  </r>
  <r>
    <x v="3226"/>
    <s v="UPAMB"/>
    <s v="UPAMB"/>
    <n v="4.3"/>
    <s v="18W000000000T8FN"/>
    <x v="9"/>
    <s v="Venta"/>
    <s v="SZR"/>
    <s v="GNRA"/>
    <x v="0"/>
    <x v="46"/>
    <x v="9"/>
    <s v="SZR"/>
  </r>
  <r>
    <x v="3227"/>
    <s v="UP ANDELLA"/>
    <s v="UP PE ANDELLA"/>
    <n v="48.2"/>
    <s v="18W000000000RQGC"/>
    <x v="11"/>
    <s v="Venta"/>
    <s v="IGS"/>
    <s v="IGNIS"/>
    <x v="0"/>
    <x v="28"/>
    <x v="11"/>
    <s v="IGS"/>
  </r>
  <r>
    <x v="3228"/>
    <s v="UPANT"/>
    <s v="UPANT"/>
    <n v="45"/>
    <s v="18W000000000S8MD"/>
    <x v="9"/>
    <s v="Venta"/>
    <s v="SZR"/>
    <s v="GNRA"/>
    <x v="0"/>
    <x v="46"/>
    <x v="9"/>
    <s v="SZR"/>
  </r>
  <r>
    <x v="3229"/>
    <s v="UPARCHO II"/>
    <s v="UP MATILDE SOLAR SL"/>
    <n v="43.5"/>
    <s v="18W000000000S7A3"/>
    <x v="9"/>
    <s v="Venta"/>
    <s v="IGR"/>
    <s v="IGNIS"/>
    <x v="0"/>
    <x v="28"/>
    <x v="9"/>
    <s v="IGR"/>
  </r>
  <r>
    <x v="3230"/>
    <s v="UP ARCHO I"/>
    <s v="UP IRINEO INERGIA SL"/>
    <n v="43.5"/>
    <s v="18W000000000S787"/>
    <x v="9"/>
    <s v="Venta"/>
    <s v="IGR"/>
    <s v="IGNIS"/>
    <x v="0"/>
    <x v="28"/>
    <x v="9"/>
    <s v="IGR"/>
  </r>
  <r>
    <x v="3231"/>
    <s v="UPARCKG"/>
    <s v="UPARCKG"/>
    <n v="39.200000000000003"/>
    <s v="18W000000000SGIY"/>
    <x v="9"/>
    <s v="Venta"/>
    <s v="SZR"/>
    <s v="GNRA"/>
    <x v="0"/>
    <x v="46"/>
    <x v="9"/>
    <s v="SZR"/>
  </r>
  <r>
    <x v="3232"/>
    <s v="UPARCOH"/>
    <s v="UPARCOH"/>
    <n v="42"/>
    <s v="18W000000000R78B"/>
    <x v="9"/>
    <s v="Venta"/>
    <s v="GNRA01"/>
    <s v="GNRA"/>
    <x v="0"/>
    <x v="46"/>
    <x v="9"/>
    <s v="GNE"/>
  </r>
  <r>
    <x v="3233"/>
    <s v="UP ARENOSA"/>
    <s v="UP FV ARENOSAS"/>
    <n v="43.5"/>
    <s v="18W000000000QQST"/>
    <x v="9"/>
    <s v="Venta"/>
    <s v="IGR"/>
    <s v="IGNIS"/>
    <x v="0"/>
    <x v="28"/>
    <x v="9"/>
    <s v="IGR"/>
  </r>
  <r>
    <x v="3234"/>
    <s v="UPARN1"/>
    <s v="UPARN1"/>
    <n v="8"/>
    <s v="18W000000000T0TJ"/>
    <x v="9"/>
    <s v="Venta"/>
    <s v="SZR"/>
    <s v="GNRA"/>
    <x v="0"/>
    <x v="46"/>
    <x v="9"/>
    <s v="SZR"/>
  </r>
  <r>
    <x v="3235"/>
    <s v="UPARN2"/>
    <s v="UPARN2"/>
    <n v="8"/>
    <s v="18W000000000T0UH"/>
    <x v="9"/>
    <s v="Venta"/>
    <s v="SZR"/>
    <s v="GNRA"/>
    <x v="0"/>
    <x v="46"/>
    <x v="9"/>
    <s v="SZR"/>
  </r>
  <r>
    <x v="3236"/>
    <s v="UPARN3"/>
    <s v="UPARN3"/>
    <n v="8"/>
    <s v="18W000000000T0QP"/>
    <x v="9"/>
    <s v="Venta"/>
    <s v="SZR"/>
    <s v="GNRA"/>
    <x v="0"/>
    <x v="46"/>
    <x v="9"/>
    <s v="SZR"/>
  </r>
  <r>
    <x v="3237"/>
    <s v="UPARN4"/>
    <s v="UPARN4"/>
    <n v="6"/>
    <s v="18W000000000T0SL"/>
    <x v="9"/>
    <s v="Venta"/>
    <s v="SZR"/>
    <s v="GNRA"/>
    <x v="0"/>
    <x v="46"/>
    <x v="9"/>
    <s v="SZR"/>
  </r>
  <r>
    <x v="3238"/>
    <s v="ARROYADAS"/>
    <s v="UP FV LAS ARROYADAS"/>
    <n v="30"/>
    <s v="18W000000000RBP2"/>
    <x v="9"/>
    <s v="Venta"/>
    <s v="IGR"/>
    <s v="IGNIS"/>
    <x v="0"/>
    <x v="28"/>
    <x v="9"/>
    <s v="IGR"/>
  </r>
  <r>
    <x v="3239"/>
    <s v="UP ASERPAL"/>
    <s v="UP ASERPAL"/>
    <n v="6.6"/>
    <s v="18W000000000QCO5"/>
    <x v="10"/>
    <s v="Venta"/>
    <s v="IGNIS"/>
    <s v="IGNIS"/>
    <x v="0"/>
    <x v="28"/>
    <x v="10"/>
    <s v="IGN"/>
  </r>
  <r>
    <x v="3240"/>
    <s v="ATOMIZADAS"/>
    <s v="COGENERACIN NUEVAS ATOMIZADAS"/>
    <n v="4.8"/>
    <s v="18W000000000QGJ3"/>
    <x v="10"/>
    <s v="Venta"/>
    <s v="SZR"/>
    <s v="IGNIS"/>
    <x v="0"/>
    <x v="28"/>
    <x v="10"/>
    <s v="SZR"/>
  </r>
  <r>
    <x v="3241"/>
    <s v="UPAYM"/>
    <s v="UPAYM"/>
    <n v="25"/>
    <s v="18W000000000TMST"/>
    <x v="11"/>
    <s v="Venta"/>
    <s v="SZR"/>
    <s v="GNRA"/>
    <x v="0"/>
    <x v="46"/>
    <x v="11"/>
    <s v="SZR"/>
  </r>
  <r>
    <x v="3242"/>
    <s v="UPBADAJOZ1"/>
    <s v="UP BADAJOZ 1"/>
    <n v="41.6"/>
    <s v="18W000000000TIS4"/>
    <x v="9"/>
    <s v="Venta"/>
    <s v="SZR"/>
    <s v="IGNIS"/>
    <x v="0"/>
    <x v="28"/>
    <x v="9"/>
    <s v="SZR"/>
  </r>
  <r>
    <x v="3243"/>
    <s v="UPBADAJOZ2"/>
    <s v="UP BADAJOZ 2"/>
    <n v="41.6"/>
    <s v="18W000000000SWA2"/>
    <x v="9"/>
    <s v="Venta"/>
    <s v="SZR"/>
    <s v="IGNIS"/>
    <x v="0"/>
    <x v="28"/>
    <x v="9"/>
    <s v="SZR"/>
  </r>
  <r>
    <x v="3244"/>
    <s v="UPBADAJOZ3"/>
    <s v="UP BADAJOZ 3"/>
    <n v="41.6"/>
    <s v="18W000000000TMGG"/>
    <x v="9"/>
    <s v="Venta"/>
    <s v="SZR"/>
    <s v="IGNIS"/>
    <x v="0"/>
    <x v="28"/>
    <x v="9"/>
    <s v="SZR"/>
  </r>
  <r>
    <x v="3245"/>
    <s v="UPBADAJOZ4"/>
    <s v="UP BADAJOZ 4"/>
    <n v="41.6"/>
    <s v="18W000000000SWYS"/>
    <x v="9"/>
    <s v="Venta"/>
    <s v="SZR"/>
    <s v="IGNIS"/>
    <x v="0"/>
    <x v="28"/>
    <x v="9"/>
    <s v="SZR"/>
  </r>
  <r>
    <x v="3246"/>
    <s v="UPBADAJOZ5"/>
    <s v="UP BADAJOZ 5"/>
    <n v="41.6"/>
    <s v="18W000000000TMIC"/>
    <x v="9"/>
    <s v="Venta"/>
    <s v="SZR"/>
    <s v="IGNIS"/>
    <x v="0"/>
    <x v="28"/>
    <x v="9"/>
    <s v="SZR"/>
  </r>
  <r>
    <x v="3247"/>
    <s v="UPBADAJOZ6"/>
    <s v="UP BADAJOZ 6"/>
    <n v="41.6"/>
    <s v="18W000000000TIU0"/>
    <x v="9"/>
    <s v="Venta"/>
    <s v="SZR"/>
    <s v="IGNIS"/>
    <x v="0"/>
    <x v="28"/>
    <x v="9"/>
    <s v="SZR"/>
  </r>
  <r>
    <x v="3248"/>
    <s v="UPBADAJOZ7"/>
    <s v="UP BADAJOZ 7"/>
    <n v="24.9"/>
    <s v="18W000000000SUFZ"/>
    <x v="9"/>
    <s v="Venta"/>
    <s v="SZR"/>
    <s v="IGNIS"/>
    <x v="0"/>
    <x v="28"/>
    <x v="9"/>
    <s v="SZR"/>
  </r>
  <r>
    <x v="3249"/>
    <s v="UPBAOBAB"/>
    <s v="UP BAOBAB SOLAR"/>
    <n v="81.2"/>
    <s v="18W000000000SOTP"/>
    <x v="9"/>
    <s v="Venta"/>
    <s v="IGR"/>
    <s v="IGNIS"/>
    <x v="0"/>
    <x v="28"/>
    <x v="9"/>
    <s v="IGR"/>
  </r>
  <r>
    <x v="3250"/>
    <s v="UP BARRAN"/>
    <s v="UP PSF BARRANQUILLA"/>
    <n v="40"/>
    <s v="18W000000000SKJK"/>
    <x v="9"/>
    <s v="Venta"/>
    <s v="IGR"/>
    <s v="IGNIS"/>
    <x v="0"/>
    <x v="28"/>
    <x v="9"/>
    <s v="IGR"/>
  </r>
  <r>
    <x v="3251"/>
    <s v="ALHENDIN 2"/>
    <s v="UP FV ALHENDIN II"/>
    <n v="4"/>
    <s v="18W000000000ROFK"/>
    <x v="9"/>
    <s v="Venta"/>
    <s v="SZR"/>
    <s v="IGNIS"/>
    <x v="0"/>
    <x v="28"/>
    <x v="9"/>
    <s v="SZR"/>
  </r>
  <r>
    <x v="3252"/>
    <s v="BELINCHON3"/>
    <s v="BELINCHON III"/>
    <n v="41.2"/>
    <s v="18W000000000RDTP"/>
    <x v="9"/>
    <s v="Venta"/>
    <s v="IGR"/>
    <s v="IGNIS"/>
    <x v="0"/>
    <x v="28"/>
    <x v="9"/>
    <s v="IGR"/>
  </r>
  <r>
    <x v="3253"/>
    <s v="BELINCHON2"/>
    <s v="BELINCHON II"/>
    <n v="41.2"/>
    <s v="18W000000000RDSR"/>
    <x v="9"/>
    <s v="Venta"/>
    <s v="IGR"/>
    <s v="IGNIS"/>
    <x v="0"/>
    <x v="28"/>
    <x v="9"/>
    <s v="IGR"/>
  </r>
  <r>
    <x v="3254"/>
    <s v="BELORADO"/>
    <s v="COGENERACIN BELORADO"/>
    <n v="19.7"/>
    <s v="18W000000000QGI5"/>
    <x v="3"/>
    <s v="Venta"/>
    <s v="SZR"/>
    <s v="IGNIS"/>
    <x v="0"/>
    <x v="28"/>
    <x v="18"/>
    <s v="SZR"/>
  </r>
  <r>
    <x v="3255"/>
    <s v="UP BERROCA"/>
    <s v="UP BERROCA-FERROVIAL"/>
    <n v="44.1"/>
    <s v="18W000000000Q4QP"/>
    <x v="9"/>
    <s v="Venta"/>
    <s v="IGR"/>
    <s v="IGNIS"/>
    <x v="0"/>
    <x v="28"/>
    <x v="9"/>
    <s v="IGR"/>
  </r>
  <r>
    <x v="3256"/>
    <s v="UPBLAN"/>
    <s v="UPBLAN"/>
    <n v="6"/>
    <s v="18W000000000SQJ2"/>
    <x v="9"/>
    <s v="Venta"/>
    <s v="SZR"/>
    <s v="GNRA"/>
    <x v="0"/>
    <x v="46"/>
    <x v="9"/>
    <s v="SZR"/>
  </r>
  <r>
    <x v="3257"/>
    <s v="UPBON2"/>
    <s v="UPBON2"/>
    <n v="39.6"/>
    <s v="18W000000000R5KU"/>
    <x v="9"/>
    <s v="Venta"/>
    <s v="GNRA01"/>
    <s v="GNRA"/>
    <x v="0"/>
    <x v="46"/>
    <x v="9"/>
    <s v="GNE"/>
  </r>
  <r>
    <x v="3258"/>
    <s v="UPBON3"/>
    <s v="UPBON3"/>
    <n v="36.700000000000003"/>
    <s v="18W000000000R5LS"/>
    <x v="9"/>
    <s v="Venta"/>
    <s v="GNRA01"/>
    <s v="GNRA"/>
    <x v="0"/>
    <x v="46"/>
    <x v="9"/>
    <s v="GNE"/>
  </r>
  <r>
    <x v="3259"/>
    <s v="UPBON4"/>
    <s v="UPBON4"/>
    <n v="39.6"/>
    <s v="18W000000000R5MQ"/>
    <x v="9"/>
    <s v="Venta"/>
    <s v="GN3"/>
    <s v="GNRA"/>
    <x v="0"/>
    <x v="46"/>
    <x v="9"/>
    <s v="GN3"/>
  </r>
  <r>
    <x v="3260"/>
    <s v="UPBONPR"/>
    <s v="UPBONPR"/>
    <n v="2"/>
    <s v="18W000000000SK85"/>
    <x v="2"/>
    <s v="Compra"/>
    <s v="SZR"/>
    <s v="BNPRU"/>
    <x v="1"/>
    <x v="102"/>
    <x v="2"/>
    <s v="SZR"/>
  </r>
  <r>
    <x v="3261"/>
    <s v="UP BRAZATO"/>
    <s v="UP ELAWAN FOTOVOLTAICA BRAZATORTAS 220 SL"/>
    <n v="44.1"/>
    <s v="18W000000000S7FU"/>
    <x v="9"/>
    <s v="Venta"/>
    <s v="SZR"/>
    <s v="IGNIS"/>
    <x v="0"/>
    <x v="28"/>
    <x v="9"/>
    <s v="SZR"/>
  </r>
  <r>
    <x v="3262"/>
    <s v="BRAZOINVES"/>
    <s v="UP BRAZOINVES I"/>
    <n v="30"/>
    <s v="18W000000000RYR3"/>
    <x v="9"/>
    <s v="Venta"/>
    <s v="IGR"/>
    <s v="IGNIS"/>
    <x v="0"/>
    <x v="28"/>
    <x v="9"/>
    <s v="IGR"/>
  </r>
  <r>
    <x v="3263"/>
    <s v="BRILEN"/>
    <s v="COGENERACIN BRILEN"/>
    <n v="24.7"/>
    <s v="18W000000000QGH7"/>
    <x v="10"/>
    <s v="Venta"/>
    <s v="SZR"/>
    <s v="IGNIS"/>
    <x v="0"/>
    <x v="28"/>
    <x v="10"/>
    <s v="SZR"/>
  </r>
  <r>
    <x v="3264"/>
    <s v="UPBUS"/>
    <s v="UPBUS"/>
    <n v="50"/>
    <s v="18W000000000T08O"/>
    <x v="11"/>
    <s v="Venta"/>
    <s v="SZR"/>
    <s v="GNRA"/>
    <x v="0"/>
    <x v="46"/>
    <x v="11"/>
    <s v="SZR"/>
  </r>
  <r>
    <x v="3265"/>
    <s v="UP CABEZO"/>
    <s v="UP CABEZO"/>
    <n v="49.4"/>
    <s v="18W000000000RDDK"/>
    <x v="11"/>
    <s v="Venta"/>
    <s v="IGE"/>
    <s v="IGNIS"/>
    <x v="0"/>
    <x v="28"/>
    <x v="11"/>
    <s v="IGE"/>
  </r>
  <r>
    <x v="3266"/>
    <s v="UPCAM1"/>
    <s v="UPCAM1"/>
    <n v="50"/>
    <s v="18W000000000SILM"/>
    <x v="9"/>
    <s v="Venta"/>
    <s v="SZR"/>
    <s v="GNRA"/>
    <x v="0"/>
    <x v="46"/>
    <x v="9"/>
    <s v="SZR"/>
  </r>
  <r>
    <x v="3267"/>
    <s v="UPCAM5"/>
    <s v="UPCAM5"/>
    <n v="50"/>
    <s v="18W000000000SIMK"/>
    <x v="9"/>
    <s v="Venta"/>
    <s v="SZR"/>
    <s v="GNRA"/>
    <x v="0"/>
    <x v="46"/>
    <x v="9"/>
    <s v="SZR"/>
  </r>
  <r>
    <x v="3268"/>
    <s v="UP CASTAÑO"/>
    <s v="UP CASTAÑO SOLAR"/>
    <n v="112.8"/>
    <s v="18W000000000SNID"/>
    <x v="9"/>
    <s v="Venta"/>
    <s v="IGR"/>
    <s v="IGNIS"/>
    <x v="0"/>
    <x v="28"/>
    <x v="9"/>
    <s v="IGR"/>
  </r>
  <r>
    <x v="3269"/>
    <s v="UPCENS"/>
    <s v="UPCENS"/>
    <n v="4.9000000000000004"/>
    <s v="18W000000000TGYZ"/>
    <x v="9"/>
    <s v="Venta"/>
    <s v="SZR"/>
    <s v="GNRA"/>
    <x v="0"/>
    <x v="46"/>
    <x v="9"/>
    <s v="SZR"/>
  </r>
  <r>
    <x v="3270"/>
    <s v="CERNEG"/>
    <s v="UP CERNEGULA"/>
    <n v="45"/>
    <s v="18W000000000SKZP"/>
    <x v="11"/>
    <s v="Venta"/>
    <s v="SZR"/>
    <s v="IGNIS"/>
    <x v="0"/>
    <x v="28"/>
    <x v="11"/>
    <s v="SZR"/>
  </r>
  <r>
    <x v="3271"/>
    <s v="FV EL CERR"/>
    <s v="FV EL CERRO"/>
    <n v="40.299999999999997"/>
    <s v="18W000000000SI8B"/>
    <x v="9"/>
    <s v="Venta"/>
    <s v="IGR"/>
    <s v="IGNIS"/>
    <x v="0"/>
    <x v="28"/>
    <x v="9"/>
    <s v="IGR"/>
  </r>
  <r>
    <x v="3272"/>
    <s v="UPCHAMORRO"/>
    <s v="UP CHAMORRO"/>
    <n v="8"/>
    <s v="18W000000000SZ37"/>
    <x v="9"/>
    <s v="Venta"/>
    <s v="SZR"/>
    <s v="IGNIS"/>
    <x v="0"/>
    <x v="28"/>
    <x v="9"/>
    <s v="SZR"/>
  </r>
  <r>
    <x v="3273"/>
    <s v="UPCIERZO"/>
    <s v="UP CIERZO AMARENCO"/>
    <n v="20"/>
    <s v="18W000000000S0I8"/>
    <x v="9"/>
    <s v="Venta"/>
    <s v="IGR"/>
    <s v="IGNIS"/>
    <x v="0"/>
    <x v="28"/>
    <x v="9"/>
    <s v="IGR"/>
  </r>
  <r>
    <x v="3274"/>
    <s v="CIMERA SOL"/>
    <s v="CIMERA SOLAR SLU"/>
    <n v="40"/>
    <s v="18W000000000SE8N"/>
    <x v="9"/>
    <s v="Venta"/>
    <s v="IGR"/>
    <s v="IGNIS"/>
    <x v="0"/>
    <x v="28"/>
    <x v="9"/>
    <s v="IGR"/>
  </r>
  <r>
    <x v="3275"/>
    <s v="UP CONVA"/>
    <s v="COGENERACIN CONVA"/>
    <n v="5.0999999999999996"/>
    <s v="18W000000000QGAL"/>
    <x v="10"/>
    <s v="Venta"/>
    <s v="SZR"/>
    <s v="IGNIS"/>
    <x v="0"/>
    <x v="28"/>
    <x v="10"/>
    <s v="SZR"/>
  </r>
  <r>
    <x v="3276"/>
    <s v="CORACHA SO"/>
    <s v="CORACHA SOLAR SLU"/>
    <n v="40"/>
    <s v="18W000000000SE5T"/>
    <x v="9"/>
    <s v="Venta"/>
    <s v="IGR"/>
    <s v="IGNIS"/>
    <x v="0"/>
    <x v="28"/>
    <x v="9"/>
    <s v="IGR"/>
  </r>
  <r>
    <x v="3277"/>
    <s v="UPCOV1"/>
    <s v="UPCOV1"/>
    <n v="41.7"/>
    <s v="18W000000000SJLJ"/>
    <x v="9"/>
    <s v="Venta"/>
    <s v="GN3"/>
    <s v="GNRA"/>
    <x v="0"/>
    <x v="46"/>
    <x v="9"/>
    <s v="GN3"/>
  </r>
  <r>
    <x v="3278"/>
    <s v="UPCOVA2"/>
    <s v="UP COVATILLAS 2"/>
    <n v="41.7"/>
    <s v="18W000000000SOXH"/>
    <x v="9"/>
    <s v="Venta"/>
    <s v="SZR"/>
    <s v="IGNIS"/>
    <x v="0"/>
    <x v="28"/>
    <x v="9"/>
    <s v="SZR"/>
  </r>
  <r>
    <x v="3279"/>
    <s v="UPCOVA3"/>
    <s v="UP COVATILLAS 3"/>
    <n v="41.7"/>
    <s v="18W000000000SOZD"/>
    <x v="9"/>
    <s v="Venta"/>
    <s v="SZR"/>
    <s v="IGNIS"/>
    <x v="0"/>
    <x v="28"/>
    <x v="9"/>
    <s v="SZR"/>
  </r>
  <r>
    <x v="3280"/>
    <s v="UPCOVA4"/>
    <s v="UP COVATILLAS 4"/>
    <n v="41.7"/>
    <s v="18W000000000SP22"/>
    <x v="9"/>
    <s v="Venta"/>
    <s v="SZR"/>
    <s v="IGNIS"/>
    <x v="0"/>
    <x v="28"/>
    <x v="9"/>
    <s v="SZR"/>
  </r>
  <r>
    <x v="3281"/>
    <s v="UPCOV5"/>
    <s v="UPCOV5"/>
    <n v="41.7"/>
    <s v="18W000000000SIYX"/>
    <x v="9"/>
    <s v="Venta"/>
    <s v="GN3"/>
    <s v="GNRA"/>
    <x v="0"/>
    <x v="46"/>
    <x v="9"/>
    <s v="GN3"/>
  </r>
  <r>
    <x v="3282"/>
    <s v="UPCOV6"/>
    <s v="UPCOV6"/>
    <n v="41.7"/>
    <s v="18W000000000SIW0"/>
    <x v="9"/>
    <s v="Venta"/>
    <s v="GN3"/>
    <s v="GNRA"/>
    <x v="0"/>
    <x v="46"/>
    <x v="9"/>
    <s v="GN3"/>
  </r>
  <r>
    <x v="3283"/>
    <s v="UF EL CUCO"/>
    <s v="UF PLANTA FOTOVOLTAICA EL CUCO"/>
    <n v="32"/>
    <s v="18W000000000RYS1"/>
    <x v="9"/>
    <s v="Venta"/>
    <s v="IGR"/>
    <s v="IGNIS"/>
    <x v="0"/>
    <x v="28"/>
    <x v="9"/>
    <s v="IGR"/>
  </r>
  <r>
    <x v="3284"/>
    <s v="UPCUE"/>
    <s v="UPCUE"/>
    <n v="10"/>
    <s v="18W000000000SINI"/>
    <x v="9"/>
    <s v="Venta"/>
    <s v="SZR"/>
    <s v="GNRA"/>
    <x v="0"/>
    <x v="46"/>
    <x v="9"/>
    <s v="SZR"/>
  </r>
  <r>
    <x v="3285"/>
    <s v="UPCUELLAR"/>
    <s v="UP ELICA CUELLAR DE LA SIERRA SLU"/>
    <n v="12.9"/>
    <s v="18W000000000RVNK"/>
    <x v="11"/>
    <s v="Venta"/>
    <s v="SZR"/>
    <s v="IGNIS"/>
    <x v="0"/>
    <x v="28"/>
    <x v="11"/>
    <s v="SZR"/>
  </r>
  <r>
    <x v="3286"/>
    <s v="UPDOH"/>
    <s v="UPDOH"/>
    <n v="25"/>
    <s v="18W000000000RPCN"/>
    <x v="9"/>
    <s v="Venta"/>
    <s v="GNRA01"/>
    <s v="GNRA"/>
    <x v="0"/>
    <x v="46"/>
    <x v="9"/>
    <s v="GNE"/>
  </r>
  <r>
    <x v="3287"/>
    <s v="UPDROS"/>
    <s v="UPDROS"/>
    <n v="25"/>
    <s v="18W000000000R74J"/>
    <x v="9"/>
    <s v="Venta"/>
    <s v="GNRA01"/>
    <s v="GNRA"/>
    <x v="0"/>
    <x v="46"/>
    <x v="9"/>
    <s v="GNE"/>
  </r>
  <r>
    <x v="3288"/>
    <s v="LA DEHESIC"/>
    <s v="PE LA DEHESICA"/>
    <n v="28.5"/>
    <s v="18W000000000Q2WJ"/>
    <x v="11"/>
    <s v="Venta"/>
    <s v="IGS"/>
    <s v="IGNIS"/>
    <x v="0"/>
    <x v="28"/>
    <x v="11"/>
    <s v="IGS"/>
  </r>
  <r>
    <x v="3289"/>
    <s v="MOL EBRO"/>
    <s v="UP MOLINOS DEL EBRO SA"/>
    <n v="328.4"/>
    <s v="18W000000000QG8P"/>
    <x v="11"/>
    <s v="Venta"/>
    <s v="SZR"/>
    <s v="IGNIS"/>
    <x v="0"/>
    <x v="28"/>
    <x v="11"/>
    <s v="SZR"/>
  </r>
  <r>
    <x v="3290"/>
    <s v="UPEBROHIBR"/>
    <s v="UP EBRO HIBRIDADA"/>
    <n v="50"/>
    <s v="18W000000000TGE1"/>
    <x v="22"/>
    <s v="Venta"/>
    <s v="SZR"/>
    <s v="IGNIS"/>
    <x v="9"/>
    <x v="28"/>
    <x v="30"/>
    <s v="SZR"/>
  </r>
  <r>
    <x v="3291"/>
    <s v="UPEJO"/>
    <s v="UPEJO"/>
    <n v="8"/>
    <s v="18W000000000T0LZ"/>
    <x v="9"/>
    <s v="Venta"/>
    <s v="SZR"/>
    <s v="GNRA"/>
    <x v="0"/>
    <x v="46"/>
    <x v="9"/>
    <s v="SZR"/>
  </r>
  <r>
    <x v="3292"/>
    <s v="ELVISA"/>
    <s v="UP FV ELVISA"/>
    <n v="40.799999999999997"/>
    <s v="18W000000000QPHH"/>
    <x v="9"/>
    <s v="Venta"/>
    <s v="IGR"/>
    <s v="IGNIS"/>
    <x v="0"/>
    <x v="28"/>
    <x v="9"/>
    <s v="IGR"/>
  </r>
  <r>
    <x v="3293"/>
    <s v="UP ENER 01"/>
    <s v="UP ENER 01"/>
    <n v="4.8"/>
    <s v="18W000000000S5C5"/>
    <x v="9"/>
    <s v="Venta"/>
    <s v="SZR"/>
    <s v="EFG"/>
    <x v="0"/>
    <x v="213"/>
    <x v="9"/>
    <s v="SZR"/>
  </r>
  <r>
    <x v="3294"/>
    <s v="UP ENER 02"/>
    <s v="UP ENER 02"/>
    <n v="4.8"/>
    <s v="18W000000000S5D3"/>
    <x v="9"/>
    <s v="Venta"/>
    <s v="SZR"/>
    <s v="EFG"/>
    <x v="0"/>
    <x v="213"/>
    <x v="9"/>
    <s v="SZR"/>
  </r>
  <r>
    <x v="3295"/>
    <s v="UPENE03"/>
    <s v="ES-UPENE03"/>
    <n v="4.0999999999999996"/>
    <s v="18W000000000SKHO"/>
    <x v="9"/>
    <s v="Venta"/>
    <s v="SZR"/>
    <s v="EFG"/>
    <x v="0"/>
    <x v="213"/>
    <x v="9"/>
    <s v="SZR"/>
  </r>
  <r>
    <x v="3296"/>
    <s v="UP ERESMA"/>
    <s v="UP ERESMA SOLAR"/>
    <n v="44"/>
    <s v="18W000000000SW4E"/>
    <x v="9"/>
    <s v="Venta"/>
    <s v="SZR"/>
    <s v="IGNIS"/>
    <x v="0"/>
    <x v="28"/>
    <x v="9"/>
    <s v="SZR"/>
  </r>
  <r>
    <x v="3297"/>
    <s v="UPERI"/>
    <s v="UPERI"/>
    <n v="5"/>
    <s v="18W000000000S6A6"/>
    <x v="9"/>
    <s v="Venta"/>
    <s v="SZR"/>
    <s v="GNRA"/>
    <x v="0"/>
    <x v="46"/>
    <x v="9"/>
    <s v="SZR"/>
  </r>
  <r>
    <x v="3298"/>
    <s v="ESCUDEROSI"/>
    <s v="UP FV ESCUDEROS I"/>
    <n v="44.3"/>
    <s v="18W000000000RDRT"/>
    <x v="9"/>
    <s v="Venta"/>
    <s v="SZR"/>
    <s v="IGNIS"/>
    <x v="0"/>
    <x v="28"/>
    <x v="9"/>
    <s v="SZR"/>
  </r>
  <r>
    <x v="3299"/>
    <s v="ESCUDEROS2"/>
    <s v="ELAWAN FOTOVOLTAICA ESCUDEROS 2 SL"/>
    <n v="43.3"/>
    <s v="18W000000000RMES"/>
    <x v="9"/>
    <s v="Venta"/>
    <s v="SZR"/>
    <s v="IGNIS"/>
    <x v="0"/>
    <x v="28"/>
    <x v="9"/>
    <s v="SZR"/>
  </r>
  <r>
    <x v="3300"/>
    <s v="ESCUDEROS"/>
    <s v="ELAWAN FOTOVOLTAICA ESCUDEROS 3 SL"/>
    <n v="44.3"/>
    <s v="18W000000000RMFQ"/>
    <x v="9"/>
    <s v="Venta"/>
    <s v="SZR"/>
    <s v="IGNIS"/>
    <x v="0"/>
    <x v="28"/>
    <x v="9"/>
    <s v="SZR"/>
  </r>
  <r>
    <x v="3301"/>
    <s v="ESCUDEROS"/>
    <s v="ELAWAN FOTOVOLTAICA ESCUDEROS 5 SL"/>
    <n v="33.6"/>
    <s v="18W000000000RMGO"/>
    <x v="9"/>
    <s v="Venta"/>
    <s v="SZR"/>
    <s v="IGNIS"/>
    <x v="0"/>
    <x v="28"/>
    <x v="9"/>
    <s v="SZR"/>
  </r>
  <r>
    <x v="3302"/>
    <s v="ESQUEDAS"/>
    <s v="UP SUNRISE VENTURES 1 ESQUEDAS"/>
    <n v="12.5"/>
    <s v="18W000000000QEN1"/>
    <x v="9"/>
    <s v="Venta"/>
    <s v="IGR"/>
    <s v="IGNIS"/>
    <x v="0"/>
    <x v="28"/>
    <x v="9"/>
    <s v="IGR"/>
  </r>
  <r>
    <x v="3303"/>
    <s v="UPETE"/>
    <s v="UPETE"/>
    <n v="5.5"/>
    <s v="18W000000000T0PR"/>
    <x v="9"/>
    <s v="Venta"/>
    <s v="SZR"/>
    <s v="GNRA"/>
    <x v="0"/>
    <x v="46"/>
    <x v="9"/>
    <s v="SZR"/>
  </r>
  <r>
    <x v="3304"/>
    <s v="UPFCENT"/>
    <s v="UP PLANTA FOTOVOLTAICA CENTURION"/>
    <n v="116.5"/>
    <s v="18W000000000RATY"/>
    <x v="9"/>
    <s v="Venta"/>
    <s v="SZR"/>
    <s v="ECYR"/>
    <x v="0"/>
    <x v="72"/>
    <x v="9"/>
    <s v="SZR"/>
  </r>
  <r>
    <x v="3305"/>
    <s v="UPFED"/>
    <s v="UPFED"/>
    <n v="5"/>
    <s v="18W000000000T04W"/>
    <x v="9"/>
    <s v="Venta"/>
    <s v="SZR"/>
    <s v="GNRA"/>
    <x v="0"/>
    <x v="46"/>
    <x v="9"/>
    <s v="SZR"/>
  </r>
  <r>
    <x v="3306"/>
    <s v="UPFLOR"/>
    <s v="UPFLOR"/>
    <n v="25"/>
    <s v="18W000000000R75H"/>
    <x v="9"/>
    <s v="Venta"/>
    <s v="GNRA01"/>
    <s v="GNRA"/>
    <x v="0"/>
    <x v="46"/>
    <x v="9"/>
    <s v="GNE"/>
  </r>
  <r>
    <x v="3307"/>
    <s v="REN SAMCA"/>
    <s v="UP RENOVABLES SAMCA SA"/>
    <n v="99.8"/>
    <s v="18W000000000QGG9"/>
    <x v="27"/>
    <s v="Venta"/>
    <s v="SZR"/>
    <s v="IGNIS"/>
    <x v="0"/>
    <x v="28"/>
    <x v="33"/>
    <s v="SZR"/>
  </r>
  <r>
    <x v="3308"/>
    <s v="UPFRAHI"/>
    <s v="UPFRAHI"/>
    <n v="30"/>
    <s v="18W000000000RB55"/>
    <x v="9"/>
    <s v="Venta"/>
    <s v="GN3"/>
    <s v="GNRA"/>
    <x v="0"/>
    <x v="46"/>
    <x v="9"/>
    <s v="GN3"/>
  </r>
  <r>
    <x v="3309"/>
    <s v="SERANTES"/>
    <s v="PARQUE SOLAR SERANTES"/>
    <n v="0"/>
    <s v="18W000000000RFCG"/>
    <x v="9"/>
    <s v="Venta"/>
    <s v="SZR"/>
    <s v="LUM1"/>
    <x v="0"/>
    <x v="461"/>
    <x v="9"/>
    <s v="SZR"/>
  </r>
  <r>
    <x v="3310"/>
    <s v="UPGAN"/>
    <s v="UPGAN"/>
    <n v="30"/>
    <s v="18W000000000RN0G"/>
    <x v="9"/>
    <s v="Venta"/>
    <s v="GNRA01"/>
    <s v="GNRA"/>
    <x v="0"/>
    <x v="46"/>
    <x v="9"/>
    <s v="GNE"/>
  </r>
  <r>
    <x v="3311"/>
    <s v="UPGARNACHA"/>
    <s v="UP GARNACHA SOLAR SL"/>
    <n v="114.4"/>
    <s v="18W000000000S8ET"/>
    <x v="9"/>
    <s v="Venta"/>
    <s v="SZR"/>
    <s v="IGNIS"/>
    <x v="0"/>
    <x v="28"/>
    <x v="9"/>
    <s v="SZR"/>
  </r>
  <r>
    <x v="3312"/>
    <s v="UPGAZULES1"/>
    <s v="UP GAZULES 1"/>
    <n v="45.8"/>
    <s v="18W000000000SPXE"/>
    <x v="9"/>
    <s v="Venta"/>
    <s v="IGR"/>
    <s v="IGNIS"/>
    <x v="0"/>
    <x v="28"/>
    <x v="9"/>
    <s v="IGR"/>
  </r>
  <r>
    <x v="3313"/>
    <s v="UPGAZULES2"/>
    <s v="UP GAZULES 2"/>
    <n v="45.8"/>
    <s v="18W000000000SPYC"/>
    <x v="9"/>
    <s v="Venta"/>
    <s v="IGR"/>
    <s v="IGNIS"/>
    <x v="0"/>
    <x v="28"/>
    <x v="9"/>
    <s v="IGR"/>
  </r>
  <r>
    <x v="3314"/>
    <s v="UPGERENA2"/>
    <s v="UP GERENA 2"/>
    <n v="43.4"/>
    <s v="18W000000000SZ53"/>
    <x v="9"/>
    <s v="Venta"/>
    <s v="SZR"/>
    <s v="IGNIS"/>
    <x v="0"/>
    <x v="28"/>
    <x v="9"/>
    <s v="SZR"/>
  </r>
  <r>
    <x v="3315"/>
    <s v="UPGETES"/>
    <s v="UPGETES"/>
    <n v="41.3"/>
    <s v="18W000000000NPS7"/>
    <x v="10"/>
    <s v="Venta"/>
    <s v="SZR"/>
    <s v="SEDAE"/>
    <x v="0"/>
    <x v="71"/>
    <x v="10"/>
    <s v="SZR"/>
  </r>
  <r>
    <x v="3316"/>
    <s v="GINESTAR"/>
    <s v="UP VENTA DEL GINESTAR"/>
    <n v="48"/>
    <s v="18W000000000RDCM"/>
    <x v="11"/>
    <s v="Venta"/>
    <s v="IGE"/>
    <s v="IGNIS"/>
    <x v="0"/>
    <x v="28"/>
    <x v="11"/>
    <s v="IGE"/>
  </r>
  <r>
    <x v="3317"/>
    <s v="UPGR025"/>
    <s v="UPGR025"/>
    <n v="10"/>
    <s v="18W000000000MDV4"/>
    <x v="9"/>
    <s v="Venta"/>
    <s v="SZR"/>
    <s v="EFG"/>
    <x v="0"/>
    <x v="213"/>
    <x v="9"/>
    <s v="SZR"/>
  </r>
  <r>
    <x v="3318"/>
    <s v="UPGR026"/>
    <s v="UPGR026"/>
    <n v="10"/>
    <s v="18W000000000MDW2"/>
    <x v="9"/>
    <s v="Venta"/>
    <s v="SZR"/>
    <s v="EFG"/>
    <x v="0"/>
    <x v="213"/>
    <x v="9"/>
    <s v="SZR"/>
  </r>
  <r>
    <x v="3319"/>
    <s v="UPGR027"/>
    <s v="UPGR027"/>
    <n v="7.2"/>
    <s v="18W000000000MDX0"/>
    <x v="9"/>
    <s v="Venta"/>
    <s v="SZR"/>
    <s v="EFG"/>
    <x v="0"/>
    <x v="213"/>
    <x v="9"/>
    <s v="SZR"/>
  </r>
  <r>
    <x v="3320"/>
    <s v="UPGR028"/>
    <s v="UPGR028"/>
    <n v="6.6"/>
    <s v="18W000000000MDYZ"/>
    <x v="9"/>
    <s v="Venta"/>
    <s v="SZR"/>
    <s v="EFG"/>
    <x v="0"/>
    <x v="213"/>
    <x v="9"/>
    <s v="SZR"/>
  </r>
  <r>
    <x v="3321"/>
    <s v="UPGR029"/>
    <s v="UPGR029"/>
    <n v="3.4"/>
    <s v="18W000000000N7SO"/>
    <x v="9"/>
    <s v="Venta"/>
    <s v="SZR"/>
    <s v="EFG"/>
    <x v="0"/>
    <x v="213"/>
    <x v="9"/>
    <s v="SZR"/>
  </r>
  <r>
    <x v="3322"/>
    <s v="UPGR030"/>
    <s v="UPGR030"/>
    <n v="7.9"/>
    <s v="18W000000000SPI7"/>
    <x v="9"/>
    <s v="Venta"/>
    <s v="SZR"/>
    <s v="EFG"/>
    <x v="0"/>
    <x v="213"/>
    <x v="9"/>
    <s v="SZR"/>
  </r>
  <r>
    <x v="3323"/>
    <s v="UPGR031"/>
    <s v="UPGR031"/>
    <n v="4.5"/>
    <s v="18W000000000SVU2"/>
    <x v="9"/>
    <s v="Venta"/>
    <s v="SZR"/>
    <s v="EFG"/>
    <x v="0"/>
    <x v="213"/>
    <x v="9"/>
    <s v="SZR"/>
  </r>
  <r>
    <x v="3324"/>
    <s v="UPGR032"/>
    <s v="UPGR032"/>
    <n v="2.2999999999999998"/>
    <s v="18W000000000SVV0"/>
    <x v="9"/>
    <s v="Venta"/>
    <s v="SZR"/>
    <s v="EFG"/>
    <x v="0"/>
    <x v="213"/>
    <x v="9"/>
    <s v="SZR"/>
  </r>
  <r>
    <x v="3325"/>
    <s v="UPGRIE1"/>
    <s v="UPGRIE1"/>
    <n v="44"/>
    <s v="18W000000000TBJ6"/>
    <x v="9"/>
    <s v="Venta"/>
    <s v="SZR"/>
    <s v="GNRA"/>
    <x v="0"/>
    <x v="46"/>
    <x v="9"/>
    <s v="SZR"/>
  </r>
  <r>
    <x v="3326"/>
    <s v="UPGRIE2"/>
    <s v="UPGRIE2"/>
    <n v="44"/>
    <s v="18W000000000TBHA"/>
    <x v="9"/>
    <s v="Venta"/>
    <s v="SZR"/>
    <s v="GNRA"/>
    <x v="0"/>
    <x v="46"/>
    <x v="9"/>
    <s v="SZR"/>
  </r>
  <r>
    <x v="3327"/>
    <s v="UPGUARDIAN"/>
    <s v="UP GUARDIAN AMARENCO"/>
    <n v="32"/>
    <s v="18W000000000S0J6"/>
    <x v="9"/>
    <s v="Venta"/>
    <s v="IGR"/>
    <s v="IGNIS"/>
    <x v="0"/>
    <x v="28"/>
    <x v="9"/>
    <s v="IGR"/>
  </r>
  <r>
    <x v="3328"/>
    <s v="UPGUICO"/>
    <s v="UPGUICO"/>
    <n v="5.5"/>
    <s v="18W000000000RB63"/>
    <x v="9"/>
    <s v="Venta"/>
    <s v="SZR"/>
    <s v="GNRA"/>
    <x v="0"/>
    <x v="46"/>
    <x v="9"/>
    <s v="SZR"/>
  </r>
  <r>
    <x v="3329"/>
    <s v="LA GUITA"/>
    <s v="UP FV LA GUITA"/>
    <n v="43.5"/>
    <s v="18W000000000QQVN"/>
    <x v="9"/>
    <s v="Venta"/>
    <s v="IGR"/>
    <s v="IGNIS"/>
    <x v="0"/>
    <x v="28"/>
    <x v="9"/>
    <s v="IGR"/>
  </r>
  <r>
    <x v="3330"/>
    <s v="UPHOY"/>
    <s v="UPHOY"/>
    <n v="20"/>
    <s v="18W000000000T0WD"/>
    <x v="9"/>
    <s v="Venta"/>
    <s v="SZR"/>
    <s v="GNRA"/>
    <x v="0"/>
    <x v="46"/>
    <x v="9"/>
    <s v="SZR"/>
  </r>
  <r>
    <x v="3331"/>
    <s v="UPIER1"/>
    <s v="UPIER1"/>
    <n v="13"/>
    <s v="18W000000000SIPE"/>
    <x v="9"/>
    <s v="Venta"/>
    <s v="SZR"/>
    <s v="GNRA"/>
    <x v="0"/>
    <x v="46"/>
    <x v="9"/>
    <s v="SZR"/>
  </r>
  <r>
    <x v="3332"/>
    <s v="UPIER2"/>
    <s v="UPIER2"/>
    <n v="2"/>
    <s v="18W000000000SIRA"/>
    <x v="9"/>
    <s v="Venta"/>
    <s v="SZR"/>
    <s v="GNRA"/>
    <x v="0"/>
    <x v="46"/>
    <x v="9"/>
    <s v="SZR"/>
  </r>
  <r>
    <x v="3333"/>
    <s v="UP INLOSAN"/>
    <s v="UP COMPAÑA ENERGTICA PARA EL TABLERO INLOSAN"/>
    <n v="13.3"/>
    <s v="18W000000000QCLB"/>
    <x v="10"/>
    <s v="Venta"/>
    <s v="IGNIS"/>
    <s v="IGNIS"/>
    <x v="0"/>
    <x v="28"/>
    <x v="10"/>
    <s v="IGN"/>
  </r>
  <r>
    <x v="3334"/>
    <s v="UPJAB"/>
    <s v="UPJAB"/>
    <n v="1"/>
    <s v="18W000000000T3HY"/>
    <x v="9"/>
    <s v="Venta"/>
    <s v="SZR"/>
    <s v="GNRA"/>
    <x v="0"/>
    <x v="46"/>
    <x v="9"/>
    <s v="SZR"/>
  </r>
  <r>
    <x v="3335"/>
    <s v="UP JALON"/>
    <s v="MOLINOS DEL JALN SA"/>
    <n v="49.5"/>
    <s v="18W000000000QG9N"/>
    <x v="11"/>
    <s v="Venta"/>
    <s v="IGS"/>
    <s v="IGNIS"/>
    <x v="0"/>
    <x v="28"/>
    <x v="11"/>
    <s v="IGS"/>
  </r>
  <r>
    <x v="3336"/>
    <s v="UP JENARIZ"/>
    <s v="UP JENARIZ PE NAVARRA"/>
    <n v="52.1"/>
    <s v="18W000000000R3EB"/>
    <x v="11"/>
    <s v="Venta"/>
    <s v="IGS"/>
    <s v="IGNIS"/>
    <x v="0"/>
    <x v="28"/>
    <x v="11"/>
    <s v="IGS"/>
  </r>
  <r>
    <x v="3337"/>
    <s v="UPSANJORGE"/>
    <s v="UP SAN JORGE PROSALIA"/>
    <n v="17.3"/>
    <s v="18W000000000QSCI"/>
    <x v="9"/>
    <s v="Venta"/>
    <s v="IGR"/>
    <s v="IGNIS"/>
    <x v="0"/>
    <x v="28"/>
    <x v="9"/>
    <s v="IGR"/>
  </r>
  <r>
    <x v="3338"/>
    <s v="UP KENIA 1"/>
    <s v="UP KENIA SOLAR 1"/>
    <n v="34.700000000000003"/>
    <s v="18W000000000T8SY"/>
    <x v="9"/>
    <s v="Venta"/>
    <s v="SZR"/>
    <s v="IGNIS"/>
    <x v="0"/>
    <x v="28"/>
    <x v="9"/>
    <s v="SZR"/>
  </r>
  <r>
    <x v="3339"/>
    <s v="UP KENIA 3"/>
    <s v="UP KENIA SOLAR 3"/>
    <n v="34.700000000000003"/>
    <s v="18W000000000T8WQ"/>
    <x v="9"/>
    <s v="Venta"/>
    <s v="SZR"/>
    <s v="IGNIS"/>
    <x v="0"/>
    <x v="28"/>
    <x v="9"/>
    <s v="SZR"/>
  </r>
  <r>
    <x v="3340"/>
    <s v="UP KENIA 4"/>
    <s v="UP KENIA SOLAR 4"/>
    <n v="34.700000000000003"/>
    <s v="18W000000000T8YM"/>
    <x v="9"/>
    <s v="Venta"/>
    <s v="SZR"/>
    <s v="IGNIS"/>
    <x v="0"/>
    <x v="28"/>
    <x v="9"/>
    <s v="SZR"/>
  </r>
  <r>
    <x v="3341"/>
    <s v="UPLAGUARD"/>
    <s v="UP LA GUARDIA"/>
    <n v="40"/>
    <s v="18W000000000T2V9"/>
    <x v="9"/>
    <s v="Venta"/>
    <s v="SZR"/>
    <s v="IGNIS"/>
    <x v="0"/>
    <x v="28"/>
    <x v="9"/>
    <s v="SZR"/>
  </r>
  <r>
    <x v="3342"/>
    <s v="UPLIT"/>
    <s v="UPLIT"/>
    <n v="10"/>
    <s v="18W000000000T011"/>
    <x v="9"/>
    <s v="Venta"/>
    <s v="SZR"/>
    <s v="GNRA"/>
    <x v="0"/>
    <x v="46"/>
    <x v="9"/>
    <s v="SZR"/>
  </r>
  <r>
    <x v="3343"/>
    <s v="UPLLA"/>
    <s v="UPLLA"/>
    <n v="3.2"/>
    <s v="18W000000000SUHV"/>
    <x v="9"/>
    <s v="Venta"/>
    <s v="SZR"/>
    <s v="GNRA"/>
    <x v="0"/>
    <x v="46"/>
    <x v="9"/>
    <s v="SZR"/>
  </r>
  <r>
    <x v="3344"/>
    <s v="UPLMP"/>
    <s v="UPLMP"/>
    <n v="38.5"/>
    <s v="18W000000000T07Q"/>
    <x v="11"/>
    <s v="Venta"/>
    <s v="SZR"/>
    <s v="GNRA"/>
    <x v="0"/>
    <x v="46"/>
    <x v="11"/>
    <s v="SZR"/>
  </r>
  <r>
    <x v="3345"/>
    <s v="UP LOSAN"/>
    <s v="UP TABLEROS LOSAN SA"/>
    <n v="4.2"/>
    <s v="18W000000000Q5G5"/>
    <x v="19"/>
    <s v="Venta"/>
    <s v="SZR"/>
    <s v="IGNIS"/>
    <x v="0"/>
    <x v="28"/>
    <x v="22"/>
    <s v="SZR"/>
  </r>
  <r>
    <x v="3346"/>
    <s v="ALTOSLUBIA"/>
    <s v="UP ALTOS DE LUBIA"/>
    <n v="14.6"/>
    <s v="18W000000000QEPY"/>
    <x v="9"/>
    <s v="Venta"/>
    <s v="IGR"/>
    <s v="IGNIS"/>
    <x v="0"/>
    <x v="28"/>
    <x v="9"/>
    <s v="IGR"/>
  </r>
  <r>
    <x v="3347"/>
    <s v="LA LUZ I"/>
    <s v="ALTER ENERSUN SA LA LUZ I"/>
    <n v="49.9"/>
    <s v="18W000000000SH3O"/>
    <x v="9"/>
    <s v="Venta"/>
    <s v="IGR"/>
    <s v="IGNIS"/>
    <x v="0"/>
    <x v="28"/>
    <x v="9"/>
    <s v="IGR"/>
  </r>
  <r>
    <x v="3348"/>
    <s v="LA LUZ II"/>
    <s v="ALTER ENERSUN SA LA LUZ II"/>
    <n v="49.8"/>
    <s v="18W000000000SH4M"/>
    <x v="9"/>
    <s v="Venta"/>
    <s v="IGR"/>
    <s v="IGNIS"/>
    <x v="0"/>
    <x v="28"/>
    <x v="9"/>
    <s v="IGR"/>
  </r>
  <r>
    <x v="3349"/>
    <s v="LA LUZ III"/>
    <s v="ALTER ENERSUN V"/>
    <n v="17.7"/>
    <s v="18W000000000SH6I"/>
    <x v="9"/>
    <s v="Venta"/>
    <s v="IGR"/>
    <s v="IGNIS"/>
    <x v="0"/>
    <x v="28"/>
    <x v="9"/>
    <s v="IGR"/>
  </r>
  <r>
    <x v="3350"/>
    <s v="LA LUZ IV"/>
    <s v="ALTER ENERSUN LA LUZ IV"/>
    <n v="17.7"/>
    <s v="18W000000000SH5K"/>
    <x v="9"/>
    <s v="Venta"/>
    <s v="IGR"/>
    <s v="IGNIS"/>
    <x v="0"/>
    <x v="28"/>
    <x v="9"/>
    <s v="IGR"/>
  </r>
  <r>
    <x v="3351"/>
    <s v="LA LUZ V"/>
    <s v="ALTER ENERSUN LA LUZ V"/>
    <n v="17.7"/>
    <s v="18W000000000SH7G"/>
    <x v="9"/>
    <s v="Venta"/>
    <s v="IGR"/>
    <s v="IGNIS"/>
    <x v="0"/>
    <x v="28"/>
    <x v="9"/>
    <s v="IGR"/>
  </r>
  <r>
    <x v="3352"/>
    <s v="LA LUZ VI"/>
    <s v="ALTER ENERSUN LA LUZ VI"/>
    <n v="19.2"/>
    <s v="18W000000000SH8E"/>
    <x v="9"/>
    <s v="Venta"/>
    <s v="IGR"/>
    <s v="IGNIS"/>
    <x v="0"/>
    <x v="28"/>
    <x v="9"/>
    <s v="IGR"/>
  </r>
  <r>
    <x v="3353"/>
    <s v="LALUZVII"/>
    <s v="ALTER ENERSUN LA LUZ VII"/>
    <n v="19.2"/>
    <s v="18W000000000SH9C"/>
    <x v="9"/>
    <s v="Venta"/>
    <s v="IGR"/>
    <s v="IGNIS"/>
    <x v="0"/>
    <x v="28"/>
    <x v="9"/>
    <s v="IGR"/>
  </r>
  <r>
    <x v="3354"/>
    <s v="ALTER ENER"/>
    <s v="ALTER ENERSUN SA"/>
    <n v="3.3"/>
    <s v="18W000000000SH2Q"/>
    <x v="9"/>
    <s v="Venta"/>
    <s v="IGR"/>
    <s v="IGNIS"/>
    <x v="0"/>
    <x v="28"/>
    <x v="9"/>
    <s v="IGR"/>
  </r>
  <r>
    <x v="3355"/>
    <s v="UP MACHOS"/>
    <s v="UP LOS MACHOS"/>
    <n v="44"/>
    <s v="18W000000000RXB1"/>
    <x v="9"/>
    <s v="Venta"/>
    <s v="IGR"/>
    <s v="IGNIS"/>
    <x v="0"/>
    <x v="28"/>
    <x v="9"/>
    <s v="IGR"/>
  </r>
  <r>
    <x v="3356"/>
    <s v="MADERUELO"/>
    <s v="COGENERACIN MADERUELO MYTA"/>
    <n v="1.2"/>
    <s v="18W000000000QGDF"/>
    <x v="3"/>
    <s v="Venta"/>
    <s v="SZR"/>
    <s v="IGNIS"/>
    <x v="0"/>
    <x v="28"/>
    <x v="18"/>
    <s v="SZR"/>
  </r>
  <r>
    <x v="3357"/>
    <s v="LAS MAJAS"/>
    <s v="UP LAS MAJAS"/>
    <n v="113.3"/>
    <s v="18W000000000RDHC"/>
    <x v="11"/>
    <s v="Venta"/>
    <s v="IGE"/>
    <s v="IGNIS"/>
    <x v="0"/>
    <x v="28"/>
    <x v="11"/>
    <s v="IGE"/>
  </r>
  <r>
    <x v="3358"/>
    <s v="MALABRIGO"/>
    <s v="UP FV MALABRIGO"/>
    <n v="43.5"/>
    <s v="18W000000000QQTR"/>
    <x v="9"/>
    <s v="Venta"/>
    <s v="IGR"/>
    <s v="IGNIS"/>
    <x v="0"/>
    <x v="28"/>
    <x v="9"/>
    <s v="IGR"/>
  </r>
  <r>
    <x v="3359"/>
    <s v="MANZA1"/>
    <s v="MANZANARES I"/>
    <n v="31.5"/>
    <s v="18W000000000RDUN"/>
    <x v="9"/>
    <s v="Venta"/>
    <s v="SZR"/>
    <s v="IGNIS"/>
    <x v="0"/>
    <x v="28"/>
    <x v="9"/>
    <s v="SZR"/>
  </r>
  <r>
    <x v="3360"/>
    <s v="MANZTIERRA"/>
    <s v="UP MANZTIERRA I"/>
    <n v="30"/>
    <s v="18W000000000RYQ5"/>
    <x v="9"/>
    <s v="Venta"/>
    <s v="IGR"/>
    <s v="IGNIS"/>
    <x v="0"/>
    <x v="28"/>
    <x v="9"/>
    <s v="IGR"/>
  </r>
  <r>
    <x v="3361"/>
    <s v="UPMAY"/>
    <s v="UPMAY"/>
    <n v="5.8"/>
    <s v="18W000000000TI6B"/>
    <x v="9"/>
    <s v="Venta"/>
    <s v="SZR"/>
    <s v="GNRA"/>
    <x v="0"/>
    <x v="46"/>
    <x v="9"/>
    <s v="SZR"/>
  </r>
  <r>
    <x v="3362"/>
    <s v="MONCA"/>
    <s v="SPK MONCLOVA"/>
    <n v="40"/>
    <s v="18W000000000PRDN"/>
    <x v="9"/>
    <s v="Venta"/>
    <s v="GNRA01"/>
    <s v="GNRA"/>
    <x v="0"/>
    <x v="46"/>
    <x v="9"/>
    <s v="GNE"/>
  </r>
  <r>
    <x v="3363"/>
    <s v="UP MONCAYO"/>
    <s v="MOLINOS DEL MONCAYO SL"/>
    <n v="96"/>
    <s v="18W000000000QGBJ"/>
    <x v="11"/>
    <s v="Venta"/>
    <s v="SZR"/>
    <s v="IGNIS"/>
    <x v="0"/>
    <x v="28"/>
    <x v="11"/>
    <s v="SZR"/>
  </r>
  <r>
    <x v="3364"/>
    <s v="UP MONEGRO"/>
    <s v="MONEGROS SOLAR SA"/>
    <n v="46.1"/>
    <s v="18W000000000QGCH"/>
    <x v="9"/>
    <s v="Venta"/>
    <s v="IGR"/>
    <s v="IGNIS"/>
    <x v="0"/>
    <x v="28"/>
    <x v="9"/>
    <s v="IGR"/>
  </r>
  <r>
    <x v="3365"/>
    <s v="UPMRA"/>
    <s v="UPMRA"/>
    <n v="9.3000000000000007"/>
    <s v="18W000000000S5W2"/>
    <x v="11"/>
    <s v="Venta"/>
    <s v="SZR"/>
    <s v="GNRA"/>
    <x v="0"/>
    <x v="46"/>
    <x v="11"/>
    <s v="SZR"/>
  </r>
  <r>
    <x v="3366"/>
    <s v="LA MUGA II"/>
    <s v="UP LA MUGA II"/>
    <n v="49.4"/>
    <s v="18W000000000RDAQ"/>
    <x v="11"/>
    <s v="Venta"/>
    <s v="IGE"/>
    <s v="IGNIS"/>
    <x v="0"/>
    <x v="28"/>
    <x v="11"/>
    <s v="IGE"/>
  </r>
  <r>
    <x v="3367"/>
    <s v="LA MUGA 3"/>
    <s v="UP LA MUGA III"/>
    <n v="30.4"/>
    <s v="18W000000000RDBO"/>
    <x v="11"/>
    <s v="Venta"/>
    <s v="IGE"/>
    <s v="IGNIS"/>
    <x v="0"/>
    <x v="28"/>
    <x v="11"/>
    <s v="IGE"/>
  </r>
  <r>
    <x v="3368"/>
    <s v="LA MUGA I"/>
    <s v="UP LA MUGA I"/>
    <n v="15"/>
    <s v="18W000000000RD9S"/>
    <x v="11"/>
    <s v="Venta"/>
    <s v="IGE"/>
    <s v="IGNIS"/>
    <x v="0"/>
    <x v="28"/>
    <x v="11"/>
    <s v="IGE"/>
  </r>
  <r>
    <x v="3369"/>
    <s v="LA NAVICA"/>
    <s v="PE LA NAVICA"/>
    <n v="30"/>
    <s v="18W000000000Q2XH"/>
    <x v="11"/>
    <s v="Venta"/>
    <s v="IGS"/>
    <s v="IGNIS"/>
    <x v="0"/>
    <x v="28"/>
    <x v="11"/>
    <s v="IGS"/>
  </r>
  <r>
    <x v="3370"/>
    <s v="UPNIEB"/>
    <s v="UPNIEB"/>
    <n v="42"/>
    <s v="18W000000000TPF9"/>
    <x v="9"/>
    <s v="Venta"/>
    <s v="SZR"/>
    <s v="GNRA"/>
    <x v="0"/>
    <x v="46"/>
    <x v="9"/>
    <s v="SZR"/>
  </r>
  <r>
    <x v="3371"/>
    <s v="UPINIESTA"/>
    <s v="UP PARQUE ELICO INIESTA SLU"/>
    <n v="50"/>
    <s v="18W000000000RWEZ"/>
    <x v="11"/>
    <s v="Venta"/>
    <s v="IGS"/>
    <s v="IGNIS"/>
    <x v="0"/>
    <x v="28"/>
    <x v="11"/>
    <s v="IGS"/>
  </r>
  <r>
    <x v="3372"/>
    <s v="UP OLIVARE"/>
    <s v="UP OLIVARES MATRIX"/>
    <n v="44"/>
    <s v="18W000000000QOFO"/>
    <x v="9"/>
    <s v="Venta"/>
    <s v="SZR"/>
    <s v="GNRA"/>
    <x v="0"/>
    <x v="46"/>
    <x v="9"/>
    <s v="SZR"/>
  </r>
  <r>
    <x v="3373"/>
    <s v="ONDA"/>
    <s v="COGENERACIN ONDA"/>
    <n v="4.8"/>
    <s v="18W000000000QGED"/>
    <x v="10"/>
    <s v="Venta"/>
    <s v="SZR"/>
    <s v="IGNIS"/>
    <x v="0"/>
    <x v="28"/>
    <x v="10"/>
    <s v="SZR"/>
  </r>
  <r>
    <x v="3374"/>
    <s v="ONDA 1"/>
    <s v="COGENERACIN ONDA 2"/>
    <n v="4.4000000000000004"/>
    <s v="18W000000000QGK1"/>
    <x v="10"/>
    <s v="Venta"/>
    <s v="SZR"/>
    <s v="IGNIS"/>
    <x v="0"/>
    <x v="28"/>
    <x v="10"/>
    <s v="SZR"/>
  </r>
  <r>
    <x v="3375"/>
    <s v="UPOUBASM"/>
    <s v="ENERGIAS AMBIENTALES DE OUTES SLU OUTES-BARRIGO -MBARDA"/>
    <n v="39.6"/>
    <s v="18W000000000QTOS"/>
    <x v="11"/>
    <s v="Venta"/>
    <s v="SZR"/>
    <s v="IGNIS"/>
    <x v="0"/>
    <x v="28"/>
    <x v="11"/>
    <s v="SZR"/>
  </r>
  <r>
    <x v="3376"/>
    <s v="UP PATO"/>
    <s v="UP PATO SOLAR"/>
    <n v="95.6"/>
    <s v="18W000000000SOVL"/>
    <x v="9"/>
    <s v="Venta"/>
    <s v="IGR"/>
    <s v="IGNIS"/>
    <x v="0"/>
    <x v="28"/>
    <x v="9"/>
    <s v="IGR"/>
  </r>
  <r>
    <x v="3377"/>
    <s v="UPPEPINO3"/>
    <s v="UP PEPINO 3"/>
    <n v="3"/>
    <s v="18W000000000SS9G"/>
    <x v="9"/>
    <s v="Venta"/>
    <s v="SZR"/>
    <s v="IGNIS"/>
    <x v="0"/>
    <x v="28"/>
    <x v="9"/>
    <s v="SZR"/>
  </r>
  <r>
    <x v="3378"/>
    <s v="UP PICON"/>
    <s v="UP PSFV PICN"/>
    <n v="34.299999999999997"/>
    <s v="18W000000000ROM6"/>
    <x v="9"/>
    <s v="Venta"/>
    <s v="IGR"/>
    <s v="IGNIS"/>
    <x v="0"/>
    <x v="28"/>
    <x v="9"/>
    <s v="IGR"/>
  </r>
  <r>
    <x v="3379"/>
    <s v="UP PINA"/>
    <s v="UP PINA"/>
    <n v="4"/>
    <s v="18W000000000Q5H3"/>
    <x v="19"/>
    <s v="Venta"/>
    <s v="SZR"/>
    <s v="IGNIS"/>
    <x v="0"/>
    <x v="28"/>
    <x v="22"/>
    <s v="SZR"/>
  </r>
  <r>
    <x v="3380"/>
    <s v="UPPINASA"/>
    <s v="UP PINASA COGENERACION"/>
    <n v="22.9"/>
    <s v="18W000000000QCM9"/>
    <x v="10"/>
    <s v="Venta"/>
    <s v="SZR"/>
    <s v="IGNIS"/>
    <x v="0"/>
    <x v="28"/>
    <x v="10"/>
    <s v="SZR"/>
  </r>
  <r>
    <x v="3381"/>
    <s v="RIO PIRON"/>
    <s v="COG RIO PIRON"/>
    <n v="6.1"/>
    <s v="18W000000000QGFB"/>
    <x v="3"/>
    <s v="Venta"/>
    <s v="SZR"/>
    <s v="IGNIS"/>
    <x v="0"/>
    <x v="28"/>
    <x v="18"/>
    <s v="SZR"/>
  </r>
  <r>
    <x v="3382"/>
    <s v="PORTILLO"/>
    <s v="UP PORTILLO"/>
    <n v="82.8"/>
    <s v="18W000000000RDEI"/>
    <x v="11"/>
    <s v="Venta"/>
    <s v="IGE"/>
    <s v="IGNIS"/>
    <x v="0"/>
    <x v="28"/>
    <x v="11"/>
    <s v="IGE"/>
  </r>
  <r>
    <x v="3383"/>
    <s v="FV POWER"/>
    <s v="SFV POWER ELECTRONICS"/>
    <n v="3.6"/>
    <s v="18W000000000Q1N3"/>
    <x v="9"/>
    <s v="Venta"/>
    <s v="SZR"/>
    <s v="IGNIS"/>
    <x v="0"/>
    <x v="28"/>
    <x v="9"/>
    <s v="SZR"/>
  </r>
  <r>
    <x v="3384"/>
    <s v="UPPRIOH"/>
    <s v="UPPRIOH"/>
    <n v="42"/>
    <s v="18W000000000R77D"/>
    <x v="9"/>
    <s v="Venta"/>
    <s v="GNRA01"/>
    <s v="GNRA"/>
    <x v="0"/>
    <x v="46"/>
    <x v="9"/>
    <s v="GNE"/>
  </r>
  <r>
    <x v="3385"/>
    <s v="UP PTCHA"/>
    <s v="PORTOCHAO UP RO"/>
    <n v="0.1"/>
    <s v="18WUPPTCHA-123-G"/>
    <x v="1"/>
    <s v="Venta"/>
    <s v="SZR"/>
    <s v="LUM1"/>
    <x v="0"/>
    <x v="461"/>
    <x v="1"/>
    <s v="SZR"/>
  </r>
  <r>
    <x v="3386"/>
    <s v="UP PTDIS"/>
    <s v="UP RO PTDIS"/>
    <n v="0.5"/>
    <s v="18WUPPTDIS-123-L"/>
    <x v="1"/>
    <s v="Venta"/>
    <s v="SZR"/>
    <s v="LUM1"/>
    <x v="0"/>
    <x v="461"/>
    <x v="1"/>
    <s v="SZR"/>
  </r>
  <r>
    <x v="3387"/>
    <s v="UPQLL"/>
    <s v="UPQLL"/>
    <n v="50"/>
    <s v="18W000000000RN1E"/>
    <x v="9"/>
    <s v="Venta"/>
    <s v="GNRA01"/>
    <s v="GNRA"/>
    <x v="0"/>
    <x v="46"/>
    <x v="9"/>
    <s v="GNE"/>
  </r>
  <r>
    <x v="3388"/>
    <s v="MUNERA I"/>
    <s v="PE MUNERA I"/>
    <n v="39.6"/>
    <s v="18W000000000Q2VL"/>
    <x v="11"/>
    <s v="Venta"/>
    <s v="SZR"/>
    <s v="IGNIS"/>
    <x v="0"/>
    <x v="28"/>
    <x v="11"/>
    <s v="SZR"/>
  </r>
  <r>
    <x v="3389"/>
    <s v="RADONA"/>
    <s v="PE CERROS DE RADONA"/>
    <n v="40"/>
    <s v="18W000000000Q314"/>
    <x v="11"/>
    <s v="Venta"/>
    <s v="IGS"/>
    <s v="IGNIS"/>
    <x v="0"/>
    <x v="28"/>
    <x v="11"/>
    <s v="IGS"/>
  </r>
  <r>
    <x v="3390"/>
    <s v="UPRASPO"/>
    <s v="ENERGAS ALTERNATIVAS ELICAS RIOJANAS SL RAPOS"/>
    <n v="40.5"/>
    <s v="18W000000000QTPQ"/>
    <x v="11"/>
    <s v="Venta"/>
    <s v="IGS"/>
    <s v="IGNIS"/>
    <x v="0"/>
    <x v="28"/>
    <x v="11"/>
    <s v="IGS"/>
  </r>
  <r>
    <x v="3391"/>
    <s v="UPRENCIERZ"/>
    <s v="UP RENOVABLES DEL CIERZO SLU"/>
    <n v="134.6"/>
    <s v="18W000000000QSL0"/>
    <x v="11"/>
    <s v="Venta"/>
    <s v="IGS"/>
    <s v="IGNIS"/>
    <x v="0"/>
    <x v="28"/>
    <x v="11"/>
    <s v="IGS"/>
  </r>
  <r>
    <x v="3392"/>
    <s v="UP REAL 3"/>
    <s v="UP FV PUERTO REAL 3 HEFESTO"/>
    <n v="44"/>
    <s v="18W000000000QFZB"/>
    <x v="9"/>
    <s v="Venta"/>
    <s v="IGR"/>
    <s v="IGNIS"/>
    <x v="0"/>
    <x v="28"/>
    <x v="9"/>
    <s v="IGR"/>
  </r>
  <r>
    <x v="3393"/>
    <s v="UPREBENTO"/>
    <s v="UPREBENTO"/>
    <n v="4.3"/>
    <s v="18W000000000SNSU"/>
    <x v="9"/>
    <s v="Venta"/>
    <s v="SZR"/>
    <s v="IGNIS"/>
    <x v="0"/>
    <x v="28"/>
    <x v="9"/>
    <s v="SZR"/>
  </r>
  <r>
    <x v="3394"/>
    <s v="UPRETAMA"/>
    <s v="UP RETAMA SOLAR"/>
    <n v="46.2"/>
    <s v="18W000000000T52L"/>
    <x v="9"/>
    <s v="Venta"/>
    <s v="SZR"/>
    <s v="IGNIS"/>
    <x v="0"/>
    <x v="28"/>
    <x v="9"/>
    <s v="SZR"/>
  </r>
  <r>
    <x v="3395"/>
    <s v="FVROCIO 1"/>
    <s v="ROLWIND HUELVA 1 SLU"/>
    <n v="46"/>
    <s v="18W000000000Q09Y"/>
    <x v="9"/>
    <s v="Venta"/>
    <s v="IGR"/>
    <s v="IGNIS"/>
    <x v="0"/>
    <x v="28"/>
    <x v="9"/>
    <s v="IGR"/>
  </r>
  <r>
    <x v="3396"/>
    <s v="FVROCIO3"/>
    <s v="ROLWIND HUELVA 3 SLU"/>
    <n v="19"/>
    <s v="18W000000000Q0BU"/>
    <x v="9"/>
    <s v="Venta"/>
    <s v="IGR"/>
    <s v="IGNIS"/>
    <x v="0"/>
    <x v="28"/>
    <x v="9"/>
    <s v="IGR"/>
  </r>
  <r>
    <x v="3397"/>
    <s v="RODRIGO 2"/>
    <s v="UP FV DON RODRIGO II"/>
    <n v="40.799999999999997"/>
    <s v="18W000000000QPGJ"/>
    <x v="9"/>
    <s v="Venta"/>
    <s v="IGR"/>
    <s v="IGNIS"/>
    <x v="0"/>
    <x v="28"/>
    <x v="9"/>
    <s v="IGR"/>
  </r>
  <r>
    <x v="3398"/>
    <s v="UPRTD"/>
    <s v="UPRTD"/>
    <n v="41.2"/>
    <s v="18W000000000RRUI"/>
    <x v="9"/>
    <s v="Venta"/>
    <s v="GNRA01"/>
    <s v="GNRA"/>
    <x v="0"/>
    <x v="46"/>
    <x v="9"/>
    <s v="GNE"/>
  </r>
  <r>
    <x v="3399"/>
    <s v="UPRTT"/>
    <s v="UPRTT"/>
    <n v="41.2"/>
    <s v="18W000000000RRXC"/>
    <x v="9"/>
    <s v="Venta"/>
    <s v="GNRA01"/>
    <s v="GNRA"/>
    <x v="0"/>
    <x v="46"/>
    <x v="9"/>
    <s v="GNE"/>
  </r>
  <r>
    <x v="3400"/>
    <s v="UPRTU"/>
    <s v="UPRTU"/>
    <n v="41.2"/>
    <s v="18W000000000RRZ8"/>
    <x v="9"/>
    <s v="Venta"/>
    <s v="GNRA01"/>
    <s v="GNRA"/>
    <x v="0"/>
    <x v="46"/>
    <x v="9"/>
    <s v="GNE"/>
  </r>
  <r>
    <x v="3401"/>
    <s v="UPSALINET2"/>
    <s v="UPSALINETES"/>
    <n v="4.7"/>
    <s v="18W000000000SNN3"/>
    <x v="9"/>
    <s v="Venta"/>
    <s v="SZR"/>
    <s v="IGNIS"/>
    <x v="0"/>
    <x v="28"/>
    <x v="9"/>
    <s v="SZR"/>
  </r>
  <r>
    <x v="3402"/>
    <s v="UP SERBAL"/>
    <s v="UP SERBAL SOLAR"/>
    <n v="126"/>
    <s v="18W000000000SNK9"/>
    <x v="9"/>
    <s v="Venta"/>
    <s v="IGR"/>
    <s v="IGNIS"/>
    <x v="0"/>
    <x v="28"/>
    <x v="9"/>
    <s v="IGR"/>
  </r>
  <r>
    <x v="3403"/>
    <s v="UPSERRE"/>
    <s v="UPSERRE"/>
    <n v="6"/>
    <s v="18W000000000TH7C"/>
    <x v="9"/>
    <s v="Venta"/>
    <s v="SZR"/>
    <s v="GNRA"/>
    <x v="0"/>
    <x v="46"/>
    <x v="9"/>
    <s v="SZR"/>
  </r>
  <r>
    <x v="3404"/>
    <s v="UPSFR"/>
    <s v="UPSFR"/>
    <n v="2.5"/>
    <s v="18W000000000S63K"/>
    <x v="9"/>
    <s v="Venta"/>
    <s v="SZR"/>
    <s v="GNRA"/>
    <x v="0"/>
    <x v="46"/>
    <x v="9"/>
    <s v="SZR"/>
  </r>
  <r>
    <x v="3405"/>
    <s v="UP SJUCAR"/>
    <s v="UP SALTOS JUCAR"/>
    <n v="0.5"/>
    <s v="18WUPSJUCA-123-Z"/>
    <x v="1"/>
    <s v="Venta"/>
    <s v="SZR"/>
    <s v="SJUCA"/>
    <x v="0"/>
    <x v="663"/>
    <x v="1"/>
    <s v="SZR"/>
  </r>
  <r>
    <x v="3406"/>
    <s v="UPSLN"/>
    <s v="UPSLN"/>
    <n v="17.5"/>
    <s v="18W000000000T06S"/>
    <x v="9"/>
    <s v="Venta"/>
    <s v="SZR"/>
    <s v="GNRA"/>
    <x v="0"/>
    <x v="46"/>
    <x v="9"/>
    <s v="SZR"/>
  </r>
  <r>
    <x v="3407"/>
    <s v="UPSOCOVOS"/>
    <s v="UP SOCOVOS"/>
    <n v="19.399999999999999"/>
    <s v="18W000000000T3SC"/>
    <x v="9"/>
    <s v="Venta"/>
    <s v="SZR"/>
    <s v="IGNIS"/>
    <x v="0"/>
    <x v="28"/>
    <x v="9"/>
    <s v="SZR"/>
  </r>
  <r>
    <x v="3408"/>
    <s v="UPSOLIEDRA"/>
    <s v="UP PE SOLIEDRA"/>
    <n v="21"/>
    <s v="18W000000000SRNS"/>
    <x v="11"/>
    <s v="Venta"/>
    <s v="IGS"/>
    <s v="IGNIS"/>
    <x v="0"/>
    <x v="28"/>
    <x v="11"/>
    <s v="IGS"/>
  </r>
  <r>
    <x v="3409"/>
    <s v="UPSOT"/>
    <s v="UPSOT"/>
    <n v="10"/>
    <s v="18W000000000SZXL"/>
    <x v="9"/>
    <s v="Venta"/>
    <s v="SZR"/>
    <s v="GNRA"/>
    <x v="0"/>
    <x v="46"/>
    <x v="9"/>
    <s v="SZR"/>
  </r>
  <r>
    <x v="3410"/>
    <s v="SRC"/>
    <s v="SANCHEZ ROMERO"/>
    <n v="1.6"/>
    <s v="18W000000000QA6A"/>
    <x v="10"/>
    <s v="Venta"/>
    <s v="SZR"/>
    <s v="LMER"/>
    <x v="0"/>
    <x v="89"/>
    <x v="10"/>
    <s v="SZR"/>
  </r>
  <r>
    <x v="3411"/>
    <s v="UPSALINETE"/>
    <s v="UP SALINETES SUN FARM SL SALIENTES I"/>
    <n v="4"/>
    <s v="18W000000000R72N"/>
    <x v="9"/>
    <s v="Venta"/>
    <s v="SZR"/>
    <s v="IGNIS"/>
    <x v="0"/>
    <x v="28"/>
    <x v="9"/>
    <s v="SZR"/>
  </r>
  <r>
    <x v="3412"/>
    <s v="UP TABERNA"/>
    <s v="UP ERG SOLAR TABERNAS SLU"/>
    <n v="35"/>
    <s v="18W000000000SMVR"/>
    <x v="9"/>
    <s v="Venta"/>
    <s v="IGR"/>
    <s v="IGNIS"/>
    <x v="0"/>
    <x v="28"/>
    <x v="9"/>
    <s v="IGR"/>
  </r>
  <r>
    <x v="3413"/>
    <s v="UPTAC"/>
    <s v="UPTAC"/>
    <n v="35"/>
    <s v="18W000000000RMUX"/>
    <x v="9"/>
    <s v="Venta"/>
    <s v="GN3"/>
    <s v="GNRA"/>
    <x v="0"/>
    <x v="46"/>
    <x v="9"/>
    <s v="GN3"/>
  </r>
  <r>
    <x v="3414"/>
    <s v="TALAFIZA I"/>
    <s v="UP PFV TALAFIZA I"/>
    <n v="30"/>
    <s v="18W000000000RBQ0"/>
    <x v="9"/>
    <s v="Venta"/>
    <s v="IGR"/>
    <s v="IGNIS"/>
    <x v="0"/>
    <x v="28"/>
    <x v="9"/>
    <s v="IGR"/>
  </r>
  <r>
    <x v="3415"/>
    <s v="UP TOLOSA"/>
    <s v="UP TALOSA COGENERACION"/>
    <n v="22.9"/>
    <s v="18W000000000QCN7"/>
    <x v="10"/>
    <s v="Venta"/>
    <s v="SZR"/>
    <s v="IGNIS"/>
    <x v="0"/>
    <x v="28"/>
    <x v="10"/>
    <s v="SZR"/>
  </r>
  <r>
    <x v="3416"/>
    <s v="UPTORRIJ"/>
    <s v="UP TORRIJOS RJE"/>
    <n v="7.1"/>
    <s v="18W000000000T3U8"/>
    <x v="9"/>
    <s v="Venta"/>
    <s v="SZR"/>
    <s v="IGNIS"/>
    <x v="0"/>
    <x v="28"/>
    <x v="9"/>
    <s v="SZR"/>
  </r>
  <r>
    <x v="3417"/>
    <s v="UPTORRUBIA"/>
    <s v="UP PS TORRUBIAS"/>
    <n v="40"/>
    <s v="18W000000000SRRK"/>
    <x v="9"/>
    <s v="Venta"/>
    <s v="IGR"/>
    <s v="IGNIS"/>
    <x v="0"/>
    <x v="28"/>
    <x v="9"/>
    <s v="IGR"/>
  </r>
  <r>
    <x v="3418"/>
    <s v="UP TOSCANO"/>
    <s v="UP FV TOSCANO"/>
    <n v="41.5"/>
    <s v="18W000000000QBVV"/>
    <x v="9"/>
    <s v="Venta"/>
    <s v="IGR"/>
    <s v="IGNIS"/>
    <x v="0"/>
    <x v="28"/>
    <x v="9"/>
    <s v="IGR"/>
  </r>
  <r>
    <x v="3419"/>
    <s v="UPTREVAGO1"/>
    <s v="UP PLANTA SOLAR OPDE 42 SL"/>
    <n v="30"/>
    <s v="18W000000000SBEK"/>
    <x v="9"/>
    <s v="Venta"/>
    <s v="IGR"/>
    <s v="IGNIS"/>
    <x v="0"/>
    <x v="28"/>
    <x v="9"/>
    <s v="IGR"/>
  </r>
  <r>
    <x v="3420"/>
    <s v="UPTREVAGO2"/>
    <s v="UP PLANTA SOLAR OPDE 47 SL"/>
    <n v="30"/>
    <s v="18W000000000SBFI"/>
    <x v="9"/>
    <s v="Venta"/>
    <s v="IGR"/>
    <s v="IGNIS"/>
    <x v="0"/>
    <x v="28"/>
    <x v="9"/>
    <s v="IGR"/>
  </r>
  <r>
    <x v="3421"/>
    <s v="UPTREV1"/>
    <s v="UPTREV1"/>
    <n v="24.5"/>
    <s v="18W000000000T678"/>
    <x v="9"/>
    <s v="Venta"/>
    <s v="SZR"/>
    <s v="GNRA"/>
    <x v="0"/>
    <x v="46"/>
    <x v="9"/>
    <s v="SZR"/>
  </r>
  <r>
    <x v="3422"/>
    <s v="UPTREV2"/>
    <s v="UPTREV2"/>
    <n v="24.5"/>
    <s v="18W000000000T66A"/>
    <x v="9"/>
    <s v="Venta"/>
    <s v="SZR"/>
    <s v="GNRA"/>
    <x v="0"/>
    <x v="46"/>
    <x v="9"/>
    <s v="SZR"/>
  </r>
  <r>
    <x v="3423"/>
    <s v="UP TRUJI"/>
    <s v="FV TRUJILLO"/>
    <n v="42"/>
    <s v="18W000000000QI1X"/>
    <x v="9"/>
    <s v="Venta"/>
    <s v="IGR"/>
    <s v="IGNIS"/>
    <x v="0"/>
    <x v="28"/>
    <x v="9"/>
    <s v="IGR"/>
  </r>
  <r>
    <x v="3424"/>
    <s v="UPUSE"/>
    <s v="UPUSE"/>
    <n v="3"/>
    <s v="18W000000000RWYW"/>
    <x v="9"/>
    <s v="Venta"/>
    <s v="GNRA01"/>
    <s v="GNRA"/>
    <x v="0"/>
    <x v="46"/>
    <x v="9"/>
    <s v="GNE"/>
  </r>
  <r>
    <x v="3425"/>
    <s v="VADOMPE1"/>
    <s v="VALDOMPE1"/>
    <n v="40"/>
    <s v="18W000000000QX1P"/>
    <x v="9"/>
    <s v="Venta"/>
    <s v="IGR"/>
    <s v="IGNIS"/>
    <x v="0"/>
    <x v="28"/>
    <x v="9"/>
    <s v="IGR"/>
  </r>
  <r>
    <x v="3426"/>
    <s v="VADOMPERE2"/>
    <s v="VALDOMPE2"/>
    <n v="40"/>
    <s v="18W000000000QX2N"/>
    <x v="9"/>
    <s v="Venta"/>
    <s v="IGR"/>
    <s v="IGNIS"/>
    <x v="0"/>
    <x v="28"/>
    <x v="9"/>
    <s v="IGR"/>
  </r>
  <r>
    <x v="3427"/>
    <s v="VALDOMPERE"/>
    <s v="VALDOMPE3"/>
    <n v="40"/>
    <s v="18W000000000QX3L"/>
    <x v="9"/>
    <s v="Venta"/>
    <s v="IGR"/>
    <s v="IGNIS"/>
    <x v="0"/>
    <x v="28"/>
    <x v="9"/>
    <s v="IGR"/>
  </r>
  <r>
    <x v="3428"/>
    <s v="UPVALDENEB"/>
    <s v="UP VALDENEBRO SOLAR SL VALDENEBRO"/>
    <n v="39.200000000000003"/>
    <s v="18W000000000QCXO"/>
    <x v="9"/>
    <s v="Venta"/>
    <s v="IGR"/>
    <s v="IGNIS"/>
    <x v="0"/>
    <x v="28"/>
    <x v="9"/>
    <s v="IGR"/>
  </r>
  <r>
    <x v="3429"/>
    <s v="UPVALLE"/>
    <s v="PSF VALLE DEL SOL"/>
    <n v="40"/>
    <s v="18W000000000SLIJ"/>
    <x v="9"/>
    <s v="Venta"/>
    <s v="IGR"/>
    <s v="IGNIS"/>
    <x v="0"/>
    <x v="28"/>
    <x v="9"/>
    <s v="IGR"/>
  </r>
  <r>
    <x v="3430"/>
    <s v="UP VENATOR"/>
    <s v="UP VENATOR PA SPAIN SL"/>
    <n v="10"/>
    <s v="18W000000000SDVH"/>
    <x v="10"/>
    <s v="Venta"/>
    <s v="SZR"/>
    <s v="IGNIS"/>
    <x v="0"/>
    <x v="28"/>
    <x v="10"/>
    <s v="SZR"/>
  </r>
  <r>
    <x v="3431"/>
    <s v="UPVIL"/>
    <s v="UPVIL"/>
    <n v="42.2"/>
    <s v="18W000000000S8O9"/>
    <x v="9"/>
    <s v="Venta"/>
    <s v="SZR"/>
    <s v="GNRA"/>
    <x v="0"/>
    <x v="46"/>
    <x v="9"/>
    <s v="SZR"/>
  </r>
  <r>
    <x v="3432"/>
    <s v="UP VILLA 2"/>
    <s v="UP - FOTOVOLTAICA ESCUDERO SL VILLANUEVA"/>
    <n v="42.2"/>
    <s v="18W000000000R8ZS"/>
    <x v="9"/>
    <s v="Venta"/>
    <s v="IGR"/>
    <s v="IGNIS"/>
    <x v="0"/>
    <x v="28"/>
    <x v="9"/>
    <s v="IGR"/>
  </r>
  <r>
    <x v="3433"/>
    <s v="VIRODANAS2"/>
    <s v="UP VIRGEN DE RODANAS II"/>
    <n v="49.5"/>
    <s v="18W000000000RDGE"/>
    <x v="11"/>
    <s v="Venta"/>
    <s v="IGE"/>
    <s v="IGNIS"/>
    <x v="0"/>
    <x v="28"/>
    <x v="11"/>
    <s v="IGE"/>
  </r>
  <r>
    <x v="3434"/>
    <s v="VIRODANASI"/>
    <s v="UP VIRGEN DE RODANAS I"/>
    <n v="49.5"/>
    <s v="18W000000000RDFG"/>
    <x v="11"/>
    <s v="Venta"/>
    <s v="IGE"/>
    <s v="IGNIS"/>
    <x v="0"/>
    <x v="28"/>
    <x v="11"/>
    <s v="IGE"/>
  </r>
  <r>
    <x v="3435"/>
    <s v="UPVISCOFAN"/>
    <s v="UP VISCOFAN"/>
    <n v="48.2"/>
    <s v="18W000000000RCAT"/>
    <x v="10"/>
    <s v="Venta"/>
    <s v="IGNIS"/>
    <s v="IGNIS"/>
    <x v="0"/>
    <x v="28"/>
    <x v="10"/>
    <s v="IGN"/>
  </r>
  <r>
    <x v="3436"/>
    <s v="LA FATAREL"/>
    <s v="PE LA FATARELLA"/>
    <n v="49.9"/>
    <s v="18W000000000Q306"/>
    <x v="11"/>
    <s v="Venta"/>
    <s v="IGS"/>
    <s v="IGNIS"/>
    <x v="0"/>
    <x v="28"/>
    <x v="11"/>
    <s v="IGS"/>
  </r>
  <r>
    <x v="3437"/>
    <s v="VILALBA"/>
    <s v="PE VILALBA"/>
    <n v="48.9"/>
    <s v="18W000000000Q2ZD"/>
    <x v="11"/>
    <s v="Venta"/>
    <s v="SZR"/>
    <s v="IGNIS"/>
    <x v="0"/>
    <x v="28"/>
    <x v="11"/>
    <s v="SZR"/>
  </r>
  <r>
    <x v="3438"/>
    <s v="UPXENC"/>
    <s v="UPXENC"/>
    <n v="5"/>
    <s v="18W000000000TJ3E"/>
    <x v="12"/>
    <s v="Compra"/>
    <s v="SZR"/>
    <s v="GNRA"/>
    <x v="5"/>
    <x v="46"/>
    <x v="12"/>
    <s v="SZR"/>
  </r>
  <r>
    <x v="3439"/>
    <s v="UPXENV"/>
    <s v="UPXENV"/>
    <n v="5"/>
    <s v="18W000000000TJ1I"/>
    <x v="12"/>
    <s v="Venta"/>
    <s v="SZR"/>
    <s v="GNRA"/>
    <x v="5"/>
    <x v="46"/>
    <x v="12"/>
    <s v="SZR"/>
  </r>
  <r>
    <x v="3440"/>
    <s v="EL YARTE"/>
    <s v="UP FV EL YARTE"/>
    <n v="43.5"/>
    <s v="18W000000000QQUP"/>
    <x v="9"/>
    <s v="Venta"/>
    <s v="IGR"/>
    <s v="IGNIS"/>
    <x v="0"/>
    <x v="28"/>
    <x v="9"/>
    <s v="IGR"/>
  </r>
  <r>
    <x v="3441"/>
    <s v="UPYEN"/>
    <s v="UPYEN"/>
    <n v="10"/>
    <s v="18W000000000SUKP"/>
    <x v="9"/>
    <s v="Venta"/>
    <s v="SZR"/>
    <s v="GNRA"/>
    <x v="0"/>
    <x v="46"/>
    <x v="9"/>
    <s v="SZR"/>
  </r>
  <r>
    <x v="3442"/>
    <s v="UPZOR"/>
    <s v="UPZOR"/>
    <n v="10"/>
    <s v="18W000000000SZZH"/>
    <x v="9"/>
    <s v="Venta"/>
    <s v="SZR"/>
    <s v="GNRA"/>
    <x v="0"/>
    <x v="46"/>
    <x v="9"/>
    <s v="SZR"/>
  </r>
  <r>
    <x v="3443"/>
    <s v="URANOVII"/>
    <s v="URANOSCOPIDAE VII ENERGIA SL"/>
    <n v="1"/>
    <s v="18W000000000QBKG"/>
    <x v="2"/>
    <s v="Compra"/>
    <s v="SZR"/>
    <s v="URANC"/>
    <x v="1"/>
    <x v="664"/>
    <x v="2"/>
    <s v="SZR"/>
  </r>
  <r>
    <x v="3444"/>
    <s v="URAIV"/>
    <s v="URANOSCOPIDAE IV"/>
    <n v="1"/>
    <s v="18W000000000ISE9"/>
    <x v="2"/>
    <s v="Compra"/>
    <s v="SZR"/>
    <s v="URAIV"/>
    <x v="1"/>
    <x v="665"/>
    <x v="2"/>
    <s v="SZR"/>
  </r>
  <r>
    <x v="3445"/>
    <s v="URBE COMER"/>
    <s v="URBENER COMERCAIZADADORA"/>
    <n v="0.1"/>
    <s v="18W0000000005LE8"/>
    <x v="2"/>
    <s v="Compra"/>
    <s v="SZR"/>
    <s v="URBEN"/>
    <x v="1"/>
    <x v="666"/>
    <x v="2"/>
    <s v="SZR"/>
  </r>
  <r>
    <x v="3446"/>
    <s v="URBE CD"/>
    <s v="URBENER CD"/>
    <n v="12.3"/>
    <s v="18WURBNC01-123-Z"/>
    <x v="6"/>
    <s v="Compra"/>
    <s v="SZR"/>
    <s v="URBEN"/>
    <x v="3"/>
    <x v="666"/>
    <x v="6"/>
    <s v="SZR"/>
  </r>
  <r>
    <x v="3447"/>
    <s v="URUS"/>
    <s v="URUS ENERGY SORIA SL"/>
    <n v="1"/>
    <s v="18W000000000SXUX"/>
    <x v="2"/>
    <s v="Compra"/>
    <s v="SZR"/>
    <s v="URUSE"/>
    <x v="1"/>
    <x v="667"/>
    <x v="2"/>
    <s v="SZR"/>
  </r>
  <r>
    <x v="3448"/>
    <s v="URANOVI"/>
    <s v="URANOSCOPIDAE ENERGIA VI SL"/>
    <n v="1"/>
    <s v="18W000000000QV7J"/>
    <x v="2"/>
    <s v="Compra"/>
    <s v="SZR"/>
    <s v="URANB"/>
    <x v="1"/>
    <x v="668"/>
    <x v="2"/>
    <s v="SZR"/>
  </r>
  <r>
    <x v="3449"/>
    <s v="HID VALIRA"/>
    <s v="HIDROELECTRICA DEL VALIRA, S.L."/>
    <n v="0"/>
    <s v="18WVALIC01-12-2O"/>
    <x v="2"/>
    <s v="Compra"/>
    <s v="SZR"/>
    <s v="VALI"/>
    <x v="1"/>
    <x v="669"/>
    <x v="2"/>
    <s v="SZR"/>
  </r>
  <r>
    <x v="3450"/>
    <s v="MV"/>
    <s v="TEXTIL VALOR"/>
    <n v="1"/>
    <s v="18W000000000HOYM"/>
    <x v="6"/>
    <s v="Compra"/>
    <s v="SZR"/>
    <s v="VALOR"/>
    <x v="3"/>
    <x v="670"/>
    <x v="6"/>
    <s v="SZR"/>
  </r>
  <r>
    <x v="3451"/>
    <s v="VALERO"/>
    <s v="VALERO FORN TRADICIONAL"/>
    <n v="3.5"/>
    <s v="18W000000000O12G"/>
    <x v="6"/>
    <s v="Compra"/>
    <s v="SZR"/>
    <s v="VALEA"/>
    <x v="3"/>
    <x v="671"/>
    <x v="6"/>
    <s v="SZR"/>
  </r>
  <r>
    <x v="3452"/>
    <s v="VANDELLOS"/>
    <s v="C.N. VANDELLOS II"/>
    <n v="1045.3"/>
    <s v="18WVAN2-12345-0W"/>
    <x v="15"/>
    <s v="Venta"/>
    <s v="SZR"/>
    <s v="ENDG"/>
    <x v="0"/>
    <x v="72"/>
    <x v="15"/>
    <s v="SZR"/>
  </r>
  <r>
    <x v="3453"/>
    <s v="VAQ CO"/>
    <s v="ELECTRA VAQUER, S.A."/>
    <n v="0"/>
    <s v="18WVAQC01-123-2B"/>
    <x v="2"/>
    <s v="Compra"/>
    <s v="SZR"/>
    <s v="VAQ"/>
    <x v="1"/>
    <x v="672"/>
    <x v="2"/>
    <s v="SZR"/>
  </r>
  <r>
    <x v="3454"/>
    <s v="VARAENER"/>
    <s v="COMERCIALIZADORA VARAENER"/>
    <n v="0.1"/>
    <s v="18W000000000P520"/>
    <x v="2"/>
    <s v="Compra"/>
    <s v="SZR"/>
    <s v="VARAE"/>
    <x v="1"/>
    <x v="673"/>
    <x v="2"/>
    <s v="SZR"/>
  </r>
  <r>
    <x v="3455"/>
    <s v="VDLUZ"/>
    <s v="VERDELUZ"/>
    <n v="1"/>
    <s v="18W000000000M1IT"/>
    <x v="2"/>
    <s v="Compra"/>
    <s v="SZR"/>
    <s v="VDLUZ"/>
    <x v="1"/>
    <x v="674"/>
    <x v="2"/>
    <s v="SZR"/>
  </r>
  <r>
    <x v="3456"/>
    <s v="UPVECTORC"/>
    <s v="UP COMPRA VECTOR"/>
    <n v="5"/>
    <s v="18W000000000RKZT"/>
    <x v="2"/>
    <s v="Compra"/>
    <s v="SZR"/>
    <s v="VECTO"/>
    <x v="1"/>
    <x v="675"/>
    <x v="2"/>
    <s v="SZR"/>
  </r>
  <r>
    <x v="3457"/>
    <s v="FOT 5 MW"/>
    <s v="FOT MAYOR DE 1 MW"/>
    <n v="4.5"/>
    <s v="18W000000000T4U5"/>
    <x v="9"/>
    <s v="Venta"/>
    <s v="SZR"/>
    <s v="FEN"/>
    <x v="0"/>
    <x v="154"/>
    <x v="9"/>
    <s v="SZR"/>
  </r>
  <r>
    <x v="3458"/>
    <s v="VELTC01"/>
    <s v="VELTC01"/>
    <n v="0.1"/>
    <s v="18W000000000PUTJ"/>
    <x v="2"/>
    <s v="Compra"/>
    <s v="SZR"/>
    <s v="VELTA"/>
    <x v="1"/>
    <x v="676"/>
    <x v="2"/>
    <s v="SZR"/>
  </r>
  <r>
    <x v="3459"/>
    <s v="VEMTR"/>
    <s v="VEMTR"/>
    <n v="30"/>
    <s v="18W000000000F5FE"/>
    <x v="9"/>
    <s v="Venta"/>
    <s v="SZR"/>
    <s v="GNRA"/>
    <x v="0"/>
    <x v="46"/>
    <x v="9"/>
    <s v="SZR"/>
  </r>
  <r>
    <x v="3460"/>
    <s v="VESTC01"/>
    <s v="VESTA RENOVABLES SLL"/>
    <n v="0"/>
    <s v="18W000000000Q90P"/>
    <x v="2"/>
    <s v="Compra"/>
    <s v="SZR"/>
    <s v="VESTB"/>
    <x v="1"/>
    <x v="677"/>
    <x v="2"/>
    <s v="SZR"/>
  </r>
  <r>
    <x v="3461"/>
    <s v="EONECA1"/>
    <s v="COMERCIALIZADOR EON ENERGIA (COMERCIALIZADORA NACIONAL)"/>
    <n v="0"/>
    <s v="18WVIEECA1-12-22"/>
    <x v="2"/>
    <s v="Compra"/>
    <s v="SZR"/>
    <s v="VIEE"/>
    <x v="1"/>
    <x v="310"/>
    <x v="2"/>
    <s v="SZR"/>
  </r>
  <r>
    <x v="3462"/>
    <s v="UGH EON"/>
    <s v="UGH. EON"/>
    <n v="331.3"/>
    <s v="18WVIES-12345-0Y"/>
    <x v="1"/>
    <s v="Venta"/>
    <s v="REPSOL"/>
    <s v="REPSB"/>
    <x v="0"/>
    <x v="29"/>
    <x v="1"/>
    <s v="EV"/>
  </r>
  <r>
    <x v="3463"/>
    <s v="VIMCOMEL"/>
    <s v="VIMCOMEL"/>
    <n v="0"/>
    <s v="18W000000000RID5"/>
    <x v="2"/>
    <s v="Compra"/>
    <s v="SZR"/>
    <s v="VIMCO"/>
    <x v="1"/>
    <x v="678"/>
    <x v="2"/>
    <s v="SZR"/>
  </r>
  <r>
    <x v="3464"/>
    <s v="VINAS FV"/>
    <s v="VINAS FOTOVOLTAICA"/>
    <n v="2.2999999999999998"/>
    <s v="18W000000000SDYB"/>
    <x v="9"/>
    <s v="Venta"/>
    <s v="SZR"/>
    <s v="ELEIA"/>
    <x v="0"/>
    <x v="90"/>
    <x v="9"/>
    <s v="SZR"/>
  </r>
  <r>
    <x v="3465"/>
    <s v="COVINIL"/>
    <s v="COVINIL"/>
    <n v="2"/>
    <s v="18WVINIC01-123-B"/>
    <x v="6"/>
    <s v="Compra"/>
    <s v="SZR"/>
    <s v="VINI"/>
    <x v="3"/>
    <x v="679"/>
    <x v="6"/>
    <s v="SZR"/>
  </r>
  <r>
    <x v="3466"/>
    <s v="VINAOLIVA"/>
    <s v="VINAOLIVA SDAD COOP"/>
    <n v="0.1"/>
    <s v="18W000000000SKGQ"/>
    <x v="6"/>
    <s v="Compra"/>
    <s v="SZR"/>
    <s v="VINAO"/>
    <x v="3"/>
    <x v="680"/>
    <x v="6"/>
    <s v="SZR"/>
  </r>
  <r>
    <x v="3467"/>
    <s v="VIRGE02"/>
    <s v="REPRESENTACION FOTOVOLAICA VIRTUM 2"/>
    <n v="1"/>
    <s v="18W000000000QDDO"/>
    <x v="9"/>
    <s v="Venta"/>
    <s v="SZR"/>
    <s v="VIRTM"/>
    <x v="0"/>
    <x v="681"/>
    <x v="9"/>
    <s v="SZR"/>
  </r>
  <r>
    <x v="3468"/>
    <s v="VIRGIN UP"/>
    <s v="VIRGIN ELECTRIC UP"/>
    <n v="0.5"/>
    <s v="18W0000000003U2D"/>
    <x v="2"/>
    <s v="Compra"/>
    <s v="SZR"/>
    <s v="VIRGI"/>
    <x v="1"/>
    <x v="682"/>
    <x v="2"/>
    <s v="SZR"/>
  </r>
  <r>
    <x v="3469"/>
    <s v="VIROQ_UP"/>
    <s v="VIROQ_COMPRAS"/>
    <n v="0.1"/>
    <s v="18W000000000O66U"/>
    <x v="2"/>
    <s v="Compra"/>
    <s v="SZR"/>
    <s v="VIROQ"/>
    <x v="1"/>
    <x v="683"/>
    <x v="2"/>
    <s v="SZR"/>
  </r>
  <r>
    <x v="3470"/>
    <s v="VIRTC01"/>
    <s v="VIRTUS GLOBAL ENERGY"/>
    <n v="0.1"/>
    <s v="18W0000000008IE5"/>
    <x v="2"/>
    <s v="Compra"/>
    <s v="SZR"/>
    <s v="VIRTU"/>
    <x v="1"/>
    <x v="684"/>
    <x v="2"/>
    <s v="SZR"/>
  </r>
  <r>
    <x v="3471"/>
    <s v="VIRTGE"/>
    <s v="VIRTGE"/>
    <n v="0.7"/>
    <s v="18W000000000P059"/>
    <x v="9"/>
    <s v="Venta"/>
    <s v="SZR"/>
    <s v="VIRTM"/>
    <x v="0"/>
    <x v="681"/>
    <x v="9"/>
    <s v="SZR"/>
  </r>
  <r>
    <x v="3472"/>
    <s v="SOCIEDAD"/>
    <s v="SOCIEDAD ARAGONESA DE COMERCIALIZACION DE ENERGIA"/>
    <n v="1"/>
    <s v="18W000000000I66H"/>
    <x v="2"/>
    <s v="Compra"/>
    <s v="SZR"/>
    <s v="VIRTM"/>
    <x v="1"/>
    <x v="681"/>
    <x v="2"/>
    <s v="SZR"/>
  </r>
  <r>
    <x v="3473"/>
    <s v="VISC01"/>
    <s v="VISCOCEL"/>
    <n v="3"/>
    <s v="18WVISC01-1234-W"/>
    <x v="6"/>
    <s v="Compra"/>
    <s v="SZR"/>
    <s v="SNIVI"/>
    <x v="3"/>
    <x v="685"/>
    <x v="6"/>
    <s v="SZR"/>
  </r>
  <r>
    <x v="3474"/>
    <s v="VISFV18"/>
    <s v="LOGIFASHION SOLAR"/>
    <n v="1.2"/>
    <s v="18W000000000SD4Y"/>
    <x v="9"/>
    <s v="Venta"/>
    <s v="SZR"/>
    <s v="VISAL"/>
    <x v="0"/>
    <x v="368"/>
    <x v="9"/>
    <s v="SZR"/>
  </r>
  <r>
    <x v="3475"/>
    <s v="VISFV19"/>
    <s v="ENERVALL MERCED"/>
    <n v="1"/>
    <s v="18W000000000SD6U"/>
    <x v="9"/>
    <s v="Venta"/>
    <s v="SZR"/>
    <s v="VISAL"/>
    <x v="0"/>
    <x v="368"/>
    <x v="9"/>
    <s v="SZR"/>
  </r>
  <r>
    <x v="3476"/>
    <s v="VISFV21"/>
    <s v="PSFV OLIVARES"/>
    <n v="6"/>
    <s v="18W000000000SKXT"/>
    <x v="9"/>
    <s v="Venta"/>
    <s v="SZR"/>
    <s v="VISAL"/>
    <x v="0"/>
    <x v="368"/>
    <x v="9"/>
    <s v="SZR"/>
  </r>
  <r>
    <x v="3477"/>
    <s v="VISFV22"/>
    <s v="INVERSIONES FERNANDEZ HIGUERA- IFV TORRECILLA"/>
    <n v="0.9"/>
    <s v="18W000000000SQVF"/>
    <x v="9"/>
    <s v="Venta"/>
    <s v="SZR"/>
    <s v="VISAL"/>
    <x v="0"/>
    <x v="368"/>
    <x v="9"/>
    <s v="SZR"/>
  </r>
  <r>
    <x v="3478"/>
    <s v="VISLC01"/>
    <s v="VISALIA ENERGIA SLU"/>
    <n v="0.1"/>
    <s v="18W000000000CYZA"/>
    <x v="2"/>
    <s v="Compra"/>
    <s v="SZR"/>
    <s v="VISAL"/>
    <x v="1"/>
    <x v="368"/>
    <x v="2"/>
    <s v="SZR"/>
  </r>
  <r>
    <x v="3479"/>
    <s v="VITLC01"/>
    <s v="VITOL COMERCIALIZADORA"/>
    <n v="500"/>
    <s v="18W000000000PPR1"/>
    <x v="2"/>
    <s v="Compra"/>
    <s v="SZR"/>
    <s v="VITOL"/>
    <x v="1"/>
    <x v="369"/>
    <x v="2"/>
    <s v="SZR"/>
  </r>
  <r>
    <x v="3480"/>
    <s v="VITOLCP3"/>
    <s v="VITOL COMPRAS PARA EXPORT FRA"/>
    <n v="500"/>
    <s v="18W000000000NFHM"/>
    <x v="16"/>
    <s v="Compra"/>
    <s v="SZR"/>
    <s v="VITOL"/>
    <x v="7"/>
    <x v="369"/>
    <x v="16"/>
    <s v="SZR"/>
  </r>
  <r>
    <x v="3481"/>
    <s v="VITOLVP3"/>
    <s v="VITOL VENTAS DE IMPORTACION DESDE FRA"/>
    <n v="500"/>
    <s v="18W000000000NFIK"/>
    <x v="17"/>
    <s v="Venta"/>
    <s v="SZR"/>
    <s v="VITOL"/>
    <x v="7"/>
    <x v="369"/>
    <x v="17"/>
    <s v="SZR"/>
  </r>
  <r>
    <x v="3482"/>
    <s v="VIVO"/>
    <s v="VIVO ENERGIA"/>
    <n v="0.1"/>
    <s v="18W00000000013W5"/>
    <x v="2"/>
    <s v="Compra"/>
    <s v="SZR"/>
    <s v="VIVO"/>
    <x v="1"/>
    <x v="686"/>
    <x v="2"/>
    <s v="SZR"/>
  </r>
  <r>
    <x v="3483"/>
    <s v="VMANGM"/>
    <s v="VMANGM"/>
    <n v="2"/>
    <s v="18W000000000TB07"/>
    <x v="9"/>
    <s v="Venta"/>
    <s v="SZR"/>
    <s v="MANUE"/>
    <x v="0"/>
    <x v="687"/>
    <x v="9"/>
    <s v="SZR"/>
  </r>
  <r>
    <x v="3484"/>
    <s v="VINALESA"/>
    <s v="ELECTRICA DE VINALESA SCV"/>
    <n v="25"/>
    <s v="18W00000000093KY"/>
    <x v="2"/>
    <s v="Compra"/>
    <s v="SZR"/>
    <s v="VINAL"/>
    <x v="1"/>
    <x v="688"/>
    <x v="2"/>
    <s v="SZR"/>
  </r>
  <r>
    <x v="3485"/>
    <s v="VPEL"/>
    <s v="VENTA PEL COG"/>
    <n v="0.9"/>
    <s v="18W0000000003YI6"/>
    <x v="19"/>
    <s v="Venta"/>
    <s v="SZR"/>
    <s v="PEL"/>
    <x v="0"/>
    <x v="689"/>
    <x v="22"/>
    <s v="SZR"/>
  </r>
  <r>
    <x v="3486"/>
    <s v="VPFIL"/>
    <s v="UP VALLES PLASTIC FILM, S.L."/>
    <n v="0.5"/>
    <s v="18WVPFIC01-123-F"/>
    <x v="6"/>
    <s v="Compra"/>
    <s v="SZR"/>
    <s v="VPFIL"/>
    <x v="3"/>
    <x v="690"/>
    <x v="6"/>
    <s v="SZR"/>
  </r>
  <r>
    <x v="3487"/>
    <s v="VIVA EYS"/>
    <s v="VIVA ENERGIA Y SOLUCIONES"/>
    <n v="0.1"/>
    <s v="18W0000000002NUJ"/>
    <x v="2"/>
    <s v="Compra"/>
    <s v="SZR"/>
    <s v="VIVA"/>
    <x v="1"/>
    <x v="691"/>
    <x v="2"/>
    <s v="SZR"/>
  </r>
  <r>
    <x v="3488"/>
    <s v="WATFV01"/>
    <s v="WATIUM FV 01"/>
    <n v="13.9"/>
    <s v="18W000000000FTSR"/>
    <x v="9"/>
    <s v="Venta"/>
    <s v="SZR"/>
    <s v="VISAL"/>
    <x v="0"/>
    <x v="368"/>
    <x v="9"/>
    <s v="SZR"/>
  </r>
  <r>
    <x v="3489"/>
    <s v="WATFV02"/>
    <s v="WATIUM 13 ROELES"/>
    <n v="12.5"/>
    <s v="18W000000000PMPE"/>
    <x v="9"/>
    <s v="Venta"/>
    <s v="SZR"/>
    <s v="VISAL"/>
    <x v="0"/>
    <x v="368"/>
    <x v="9"/>
    <s v="SZR"/>
  </r>
  <r>
    <x v="3490"/>
    <s v="WATFV03"/>
    <s v="WATIUM FV BEAVIER PHOTO POWER"/>
    <n v="5"/>
    <s v="18W000000000PMQC"/>
    <x v="9"/>
    <s v="Venta"/>
    <s v="SZR"/>
    <s v="VISAL"/>
    <x v="0"/>
    <x v="368"/>
    <x v="9"/>
    <s v="SZR"/>
  </r>
  <r>
    <x v="3491"/>
    <s v="WATIUMFV04"/>
    <s v="WATIUM FV AGUASAL"/>
    <n v="2.5"/>
    <s v="18W000000000PR0C"/>
    <x v="9"/>
    <s v="Venta"/>
    <s v="SZR"/>
    <s v="VISAL"/>
    <x v="0"/>
    <x v="368"/>
    <x v="9"/>
    <s v="SZR"/>
  </r>
  <r>
    <x v="3492"/>
    <s v="WATFV05"/>
    <s v="WATIUM FV LOPEZ BRAVO PIO CAMARA BURGOS"/>
    <n v="1.2"/>
    <s v="18W000000000PR1A"/>
    <x v="9"/>
    <s v="Venta"/>
    <s v="SZR"/>
    <s v="VISAL"/>
    <x v="0"/>
    <x v="368"/>
    <x v="9"/>
    <s v="SZR"/>
  </r>
  <r>
    <x v="3493"/>
    <s v="WATFV06"/>
    <s v="WATIUM FV RODERO ENERGIA"/>
    <n v="2.4"/>
    <s v="18W000000000PWPL"/>
    <x v="9"/>
    <s v="Venta"/>
    <s v="SZR"/>
    <s v="VISAL"/>
    <x v="0"/>
    <x v="368"/>
    <x v="9"/>
    <s v="SZR"/>
  </r>
  <r>
    <x v="3494"/>
    <s v="WATFV11"/>
    <s v="PIO CAMARA VILLALONQUEJAR"/>
    <n v="1.8"/>
    <s v="18W000000000QP0E"/>
    <x v="9"/>
    <s v="Venta"/>
    <s v="SZR"/>
    <s v="VISAL"/>
    <x v="0"/>
    <x v="368"/>
    <x v="9"/>
    <s v="SZR"/>
  </r>
  <r>
    <x v="3495"/>
    <s v="WATFV12"/>
    <s v="FOTOSFERA-BARCO DE LOS FRAILES I"/>
    <n v="2.5"/>
    <s v="18W000000000QUTF"/>
    <x v="9"/>
    <s v="Venta"/>
    <s v="SZR"/>
    <s v="VISAL"/>
    <x v="0"/>
    <x v="368"/>
    <x v="9"/>
    <s v="SZR"/>
  </r>
  <r>
    <x v="3496"/>
    <s v="WATFV13"/>
    <s v="VILLAHERMOSA"/>
    <n v="1"/>
    <s v="18W000000000R0L6"/>
    <x v="9"/>
    <s v="Venta"/>
    <s v="SZR"/>
    <s v="VISAL"/>
    <x v="0"/>
    <x v="368"/>
    <x v="9"/>
    <s v="SZR"/>
  </r>
  <r>
    <x v="3497"/>
    <s v="WATFV14"/>
    <s v="FV BURRIANA 2"/>
    <n v="5"/>
    <s v="18W000000000RMYP"/>
    <x v="9"/>
    <s v="Venta"/>
    <s v="SZR"/>
    <s v="VISAL"/>
    <x v="0"/>
    <x v="368"/>
    <x v="9"/>
    <s v="SZR"/>
  </r>
  <r>
    <x v="3498"/>
    <s v="WATFV15"/>
    <s v="FV LA MOCHA"/>
    <n v="1.2"/>
    <s v="18W000000000ROVP"/>
    <x v="9"/>
    <s v="Venta"/>
    <s v="SZR"/>
    <s v="VISAL"/>
    <x v="0"/>
    <x v="368"/>
    <x v="9"/>
    <s v="SZR"/>
  </r>
  <r>
    <x v="3499"/>
    <s v="13ROELESNO"/>
    <s v="13 ROELES NORTE"/>
    <n v="9.6"/>
    <s v="18W000000000RXJM"/>
    <x v="9"/>
    <s v="Venta"/>
    <s v="SZR"/>
    <s v="VISAL"/>
    <x v="0"/>
    <x v="368"/>
    <x v="9"/>
    <s v="SZR"/>
  </r>
  <r>
    <x v="3500"/>
    <s v="WATFV17"/>
    <s v="PSF TARRAGON"/>
    <n v="2.8"/>
    <s v="18W000000000S0UL"/>
    <x v="9"/>
    <s v="Venta"/>
    <s v="SZR"/>
    <s v="VISAL"/>
    <x v="0"/>
    <x v="368"/>
    <x v="9"/>
    <s v="SZR"/>
  </r>
  <r>
    <x v="3501"/>
    <s v="WATIOX"/>
    <s v="RECICLAJES ECOLOGICOS BARATHEON"/>
    <n v="1"/>
    <s v="18W000000000HGMX"/>
    <x v="2"/>
    <s v="Compra"/>
    <s v="SZR"/>
    <s v="WATIO"/>
    <x v="1"/>
    <x v="692"/>
    <x v="2"/>
    <s v="SZR"/>
  </r>
  <r>
    <x v="3502"/>
    <s v="WIND"/>
    <s v="WIND AUDAX"/>
    <n v="45"/>
    <s v="18W000000000KBPU"/>
    <x v="11"/>
    <s v="Venta"/>
    <s v="SZR"/>
    <s v="ADXRE"/>
    <x v="0"/>
    <x v="37"/>
    <x v="11"/>
    <s v="SZR"/>
  </r>
  <r>
    <x v="3503"/>
    <s v="WIBER"/>
    <s v="WIBERLUZYGAS"/>
    <n v="10"/>
    <s v="18W000000000IZ80"/>
    <x v="2"/>
    <s v="Compra"/>
    <s v="SZR"/>
    <s v="WIBER"/>
    <x v="1"/>
    <x v="693"/>
    <x v="2"/>
    <s v="SZR"/>
  </r>
  <r>
    <x v="3504"/>
    <s v="WEKIWI"/>
    <s v="COMERCIALIZADOR ELECTRICIDAD Y GAS"/>
    <n v="10"/>
    <s v="18W000000000MHGM"/>
    <x v="2"/>
    <s v="Compra"/>
    <s v="SZR"/>
    <s v="WEKIW"/>
    <x v="1"/>
    <x v="694"/>
    <x v="2"/>
    <s v="SZR"/>
  </r>
  <r>
    <x v="3505"/>
    <s v="WMARC01"/>
    <s v="WMARC01"/>
    <n v="71"/>
    <s v="18WWMARC01-123-3"/>
    <x v="2"/>
    <s v="Compra"/>
    <s v="SZR"/>
    <s v="WMARK"/>
    <x v="1"/>
    <x v="22"/>
    <x v="2"/>
    <s v="SZR"/>
  </r>
  <r>
    <x v="3506"/>
    <s v="WMARCAX"/>
    <s v="CONSUMO DE SERVICIOS AUXILIARES"/>
    <n v="1"/>
    <s v="18W000000000IKMH"/>
    <x v="5"/>
    <s v="Compra"/>
    <s v="SZR"/>
    <s v="WMARK"/>
    <x v="2"/>
    <x v="22"/>
    <x v="5"/>
    <s v="SZR"/>
  </r>
  <r>
    <x v="3507"/>
    <s v="COMPRA YEL"/>
    <s v="UNIDAD COMPRA THE YELLOW ENERGY PENINS"/>
    <n v="2"/>
    <s v="18WYELLC01-123-C"/>
    <x v="2"/>
    <s v="Compra"/>
    <s v="SZR"/>
    <s v="YELLO"/>
    <x v="1"/>
    <x v="695"/>
    <x v="2"/>
    <s v="SZR"/>
  </r>
  <r>
    <x v="3508"/>
    <s v="YOURC01"/>
    <s v="YOUAREENERGY"/>
    <n v="1"/>
    <s v="18W000000000PXW4"/>
    <x v="2"/>
    <s v="Compra"/>
    <s v="SZR"/>
    <s v="YOUAR"/>
    <x v="1"/>
    <x v="696"/>
    <x v="2"/>
    <s v="SZR"/>
  </r>
  <r>
    <x v="3509"/>
    <s v="ZABU"/>
    <s v="ZARBURDON"/>
    <n v="1.1000000000000001"/>
    <s v="18WZABU-123456-Z"/>
    <x v="1"/>
    <s v="Venta"/>
    <s v="SZR"/>
    <s v="HIDRJ"/>
    <x v="0"/>
    <x v="95"/>
    <x v="1"/>
    <s v="SZR"/>
  </r>
  <r>
    <x v="3510"/>
    <s v="ZARATAN1"/>
    <s v="ZARATAN1"/>
    <n v="8"/>
    <s v="18W000000000RBKC"/>
    <x v="9"/>
    <s v="Venta"/>
    <s v="SZR"/>
    <s v="ADXRE"/>
    <x v="0"/>
    <x v="37"/>
    <x v="9"/>
    <s v="SZR"/>
  </r>
  <r>
    <x v="3511"/>
    <s v="ZELTRIA"/>
    <s v="ZELTRIA ENERGIA"/>
    <n v="0.1"/>
    <s v="18WZELTC01-123-U"/>
    <x v="2"/>
    <s v="Compra"/>
    <s v="SZR"/>
    <s v="ZELTR"/>
    <x v="1"/>
    <x v="697"/>
    <x v="2"/>
    <s v="SZR"/>
  </r>
  <r>
    <x v="3512"/>
    <s v="ZERBI"/>
    <s v="UP IRUGURUTZETA"/>
    <n v="1.3"/>
    <s v="18WZERBI-12345-J"/>
    <x v="1"/>
    <s v="Venta"/>
    <s v="SZR"/>
    <s v="GNRA"/>
    <x v="0"/>
    <x v="46"/>
    <x v="19"/>
    <s v="SZR"/>
  </r>
  <r>
    <x v="3513"/>
    <s v="ZERC01"/>
    <s v="ZERC01"/>
    <n v="0.1"/>
    <s v="18W0000000002ZI7"/>
    <x v="2"/>
    <s v="Compra"/>
    <s v="SZR"/>
    <s v="ZEREN"/>
    <x v="1"/>
    <x v="698"/>
    <x v="2"/>
    <s v="SZR"/>
  </r>
  <r>
    <x v="3514"/>
    <s v="ZEREP"/>
    <s v="ZEREP CARBONICAS Y AGUAS"/>
    <n v="0.8"/>
    <s v="18WZEREC01-123-3"/>
    <x v="6"/>
    <s v="Compra"/>
    <s v="SZR"/>
    <s v="ZERE"/>
    <x v="3"/>
    <x v="699"/>
    <x v="6"/>
    <s v="SZR"/>
  </r>
  <r>
    <x v="3515"/>
    <s v="ZETAC01"/>
    <s v="ZETAC01"/>
    <n v="0.1"/>
    <s v="18W000000000R93F"/>
    <x v="2"/>
    <s v="Compra"/>
    <s v="SZR"/>
    <s v="ZETAE"/>
    <x v="1"/>
    <x v="700"/>
    <x v="2"/>
    <s v="SZR"/>
  </r>
  <r>
    <x v="3516"/>
    <s v="ZJARVE"/>
    <s v="ZJARVE"/>
    <n v="6"/>
    <s v="18W000000000LAEE"/>
    <x v="9"/>
    <s v="Venta"/>
    <s v="SZR"/>
    <s v="GNRA"/>
    <x v="0"/>
    <x v="46"/>
    <x v="9"/>
    <s v="SZR"/>
  </r>
  <r>
    <x v="3517"/>
    <s v="ZERMATT"/>
    <s v="ZERMATT POWER"/>
    <n v="0.1"/>
    <s v="18W000000000L3YW"/>
    <x v="2"/>
    <s v="Compra"/>
    <s v="SZR"/>
    <s v="ZRMTT"/>
    <x v="1"/>
    <x v="130"/>
    <x v="2"/>
    <s v="SZR"/>
  </r>
  <r>
    <x v="3518"/>
    <s v="ZUG POWER"/>
    <s v="ZUG POWER SL"/>
    <n v="0.1"/>
    <s v="18W000000000NER5"/>
    <x v="2"/>
    <s v="Compra"/>
    <s v="SZR"/>
    <s v="ZUGPW"/>
    <x v="1"/>
    <x v="701"/>
    <x v="2"/>
    <s v="SZR"/>
  </r>
  <r>
    <x v="3519"/>
    <s v="ZULU"/>
    <s v="ZULUX ENERGIA"/>
    <n v="0.2"/>
    <s v="18W000000000FCIO"/>
    <x v="2"/>
    <s v="Compra"/>
    <s v="SZR"/>
    <s v="ZULU"/>
    <x v="1"/>
    <x v="702"/>
    <x v="2"/>
    <s v="SZ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B20994-E193-49E3-A6BA-121B193E5FE4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20" firstHeaderRow="1" firstDataRow="1" firstDataCol="1" rowPageCount="2" colPageCount="1"/>
  <pivotFields count="13">
    <pivotField axis="axisRow" showAll="0">
      <items count="3521">
        <item x="0"/>
        <item x="1"/>
        <item x="2"/>
        <item x="3"/>
        <item x="4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1"/>
        <item x="52"/>
        <item x="53"/>
        <item x="54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5"/>
        <item x="76"/>
        <item x="77"/>
        <item x="80"/>
        <item x="81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5"/>
        <item x="206"/>
        <item x="207"/>
        <item x="210"/>
        <item x="211"/>
        <item x="212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4"/>
        <item x="355"/>
        <item x="356"/>
        <item x="357"/>
        <item x="358"/>
        <item x="359"/>
        <item x="360"/>
        <item x="361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5"/>
        <item x="386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3"/>
        <item x="404"/>
        <item x="405"/>
        <item x="406"/>
        <item x="407"/>
        <item x="408"/>
        <item x="409"/>
        <item x="411"/>
        <item x="412"/>
        <item x="413"/>
        <item x="414"/>
        <item x="415"/>
        <item x="416"/>
        <item x="417"/>
        <item x="418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7"/>
        <item x="478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8"/>
        <item x="499"/>
        <item x="500"/>
        <item x="501"/>
        <item x="503"/>
        <item x="504"/>
        <item x="505"/>
        <item x="506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2"/>
        <item x="523"/>
        <item x="524"/>
        <item x="525"/>
        <item x="526"/>
        <item x="527"/>
        <item x="528"/>
        <item x="529"/>
        <item x="530"/>
        <item x="531"/>
        <item x="533"/>
        <item x="535"/>
        <item x="536"/>
        <item x="537"/>
        <item x="538"/>
        <item x="539"/>
        <item x="540"/>
        <item x="541"/>
        <item x="542"/>
        <item x="543"/>
        <item x="544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6"/>
        <item x="618"/>
        <item x="619"/>
        <item x="620"/>
        <item x="621"/>
        <item x="622"/>
        <item x="623"/>
        <item x="624"/>
        <item x="625"/>
        <item x="626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62"/>
        <item x="663"/>
        <item x="664"/>
        <item x="667"/>
        <item x="668"/>
        <item x="669"/>
        <item x="672"/>
        <item x="673"/>
        <item x="674"/>
        <item x="675"/>
        <item x="676"/>
        <item x="677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8"/>
        <item x="799"/>
        <item x="800"/>
        <item x="801"/>
        <item x="802"/>
        <item x="803"/>
        <item x="804"/>
        <item x="805"/>
        <item x="806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6"/>
        <item x="857"/>
        <item x="858"/>
        <item x="859"/>
        <item x="860"/>
        <item x="861"/>
        <item x="862"/>
        <item x="865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90"/>
        <item x="891"/>
        <item x="892"/>
        <item x="866"/>
        <item x="867"/>
        <item x="868"/>
        <item x="893"/>
        <item x="869"/>
        <item x="894"/>
        <item x="895"/>
        <item x="896"/>
        <item x="897"/>
        <item x="898"/>
        <item x="899"/>
        <item x="900"/>
        <item x="870"/>
        <item x="901"/>
        <item x="87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6"/>
        <item x="977"/>
        <item x="979"/>
        <item x="980"/>
        <item x="981"/>
        <item x="982"/>
        <item x="983"/>
        <item x="984"/>
        <item x="986"/>
        <item x="987"/>
        <item x="988"/>
        <item x="989"/>
        <item x="990"/>
        <item x="993"/>
        <item x="994"/>
        <item x="996"/>
        <item x="997"/>
        <item x="1005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5"/>
        <item x="1026"/>
        <item x="1027"/>
        <item x="1028"/>
        <item x="1029"/>
        <item x="1030"/>
        <item x="1031"/>
        <item x="1033"/>
        <item x="1034"/>
        <item x="1035"/>
        <item x="1036"/>
        <item x="1038"/>
        <item x="1040"/>
        <item x="1041"/>
        <item x="1042"/>
        <item x="1043"/>
        <item x="1044"/>
        <item x="1045"/>
        <item x="1046"/>
        <item x="1047"/>
        <item x="1048"/>
        <item x="1050"/>
        <item x="1051"/>
        <item x="1052"/>
        <item x="1053"/>
        <item x="1054"/>
        <item x="1055"/>
        <item x="1056"/>
        <item x="1058"/>
        <item x="1059"/>
        <item x="1060"/>
        <item x="1061"/>
        <item x="1062"/>
        <item x="1063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6"/>
        <item x="1087"/>
        <item x="1088"/>
        <item x="1089"/>
        <item x="1090"/>
        <item x="1091"/>
        <item x="1092"/>
        <item x="1094"/>
        <item x="1095"/>
        <item x="1096"/>
        <item x="1098"/>
        <item x="1099"/>
        <item x="1100"/>
        <item x="1102"/>
        <item x="1103"/>
        <item x="1104"/>
        <item x="1105"/>
        <item x="1106"/>
        <item x="1107"/>
        <item x="1108"/>
        <item x="1109"/>
        <item x="1111"/>
        <item x="1117"/>
        <item x="1121"/>
        <item x="1123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6"/>
        <item x="1147"/>
        <item x="1148"/>
        <item x="1150"/>
        <item x="1151"/>
        <item x="1152"/>
        <item x="1153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4"/>
        <item x="1195"/>
        <item x="1196"/>
        <item x="1197"/>
        <item x="1198"/>
        <item x="1199"/>
        <item x="1200"/>
        <item x="1202"/>
        <item x="1203"/>
        <item x="1205"/>
        <item x="1206"/>
        <item x="1207"/>
        <item x="1208"/>
        <item x="1209"/>
        <item x="1210"/>
        <item x="1215"/>
        <item x="1216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4"/>
        <item x="1235"/>
        <item x="1236"/>
        <item x="1237"/>
        <item x="1238"/>
        <item x="1239"/>
        <item x="1240"/>
        <item x="1243"/>
        <item x="1245"/>
        <item x="1246"/>
        <item x="1247"/>
        <item x="1248"/>
        <item x="1249"/>
        <item x="1250"/>
        <item x="1251"/>
        <item x="1254"/>
        <item x="1255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314"/>
        <item x="1315"/>
        <item x="1316"/>
        <item x="1317"/>
        <item x="1318"/>
        <item x="1319"/>
        <item x="1321"/>
        <item x="1322"/>
        <item x="1323"/>
        <item x="1324"/>
        <item x="1328"/>
        <item x="1329"/>
        <item x="1331"/>
        <item x="1332"/>
        <item x="1337"/>
        <item x="1338"/>
        <item x="1339"/>
        <item x="1340"/>
        <item x="1341"/>
        <item x="1343"/>
        <item x="1344"/>
        <item x="1345"/>
        <item x="1346"/>
        <item x="1347"/>
        <item x="1349"/>
        <item x="1350"/>
        <item x="1351"/>
        <item x="1352"/>
        <item x="1353"/>
        <item x="1354"/>
        <item x="1355"/>
        <item x="1356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3"/>
        <item x="1384"/>
        <item x="1386"/>
        <item x="1387"/>
        <item x="1388"/>
        <item x="1391"/>
        <item x="1392"/>
        <item x="1393"/>
        <item x="1394"/>
        <item x="1395"/>
        <item x="1396"/>
        <item x="1398"/>
        <item x="1399"/>
        <item x="1400"/>
        <item x="1401"/>
        <item x="1402"/>
        <item x="1403"/>
        <item x="1404"/>
        <item x="1405"/>
        <item x="1407"/>
        <item x="1410"/>
        <item x="1411"/>
        <item x="1412"/>
        <item x="1413"/>
        <item x="1415"/>
        <item x="1416"/>
        <item x="1417"/>
        <item x="1418"/>
        <item x="1421"/>
        <item x="1422"/>
        <item x="1423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3"/>
        <item x="1444"/>
        <item x="1450"/>
        <item x="1452"/>
        <item x="1453"/>
        <item x="1454"/>
        <item x="1455"/>
        <item x="1456"/>
        <item x="1459"/>
        <item x="1460"/>
        <item x="1462"/>
        <item x="1463"/>
        <item x="1464"/>
        <item x="1465"/>
        <item x="1466"/>
        <item x="1467"/>
        <item x="1468"/>
        <item x="1470"/>
        <item x="1471"/>
        <item x="1472"/>
        <item x="1473"/>
        <item x="1474"/>
        <item x="1475"/>
        <item x="1479"/>
        <item x="1480"/>
        <item x="1482"/>
        <item x="1484"/>
        <item x="1485"/>
        <item x="1486"/>
        <item x="1487"/>
        <item x="1488"/>
        <item x="1489"/>
        <item x="1490"/>
        <item x="1491"/>
        <item x="1492"/>
        <item x="1493"/>
        <item x="1495"/>
        <item x="1497"/>
        <item x="1498"/>
        <item x="1499"/>
        <item x="1500"/>
        <item x="1501"/>
        <item x="1502"/>
        <item x="1505"/>
        <item x="1506"/>
        <item x="1507"/>
        <item x="1508"/>
        <item x="1510"/>
        <item x="1511"/>
        <item x="1512"/>
        <item x="1514"/>
        <item x="1515"/>
        <item x="1516"/>
        <item x="1518"/>
        <item x="1519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5"/>
        <item x="1536"/>
        <item x="1537"/>
        <item x="1538"/>
        <item x="1539"/>
        <item x="1540"/>
        <item x="1541"/>
        <item x="1546"/>
        <item x="1547"/>
        <item x="1548"/>
        <item x="1549"/>
        <item x="1554"/>
        <item x="1555"/>
        <item x="1556"/>
        <item x="1557"/>
        <item x="1558"/>
        <item x="1560"/>
        <item x="1561"/>
        <item x="1562"/>
        <item x="1563"/>
        <item x="1564"/>
        <item x="1565"/>
        <item x="1568"/>
        <item x="1569"/>
        <item x="1570"/>
        <item x="1571"/>
        <item x="1572"/>
        <item x="1575"/>
        <item x="1576"/>
        <item x="1577"/>
        <item x="1579"/>
        <item x="1580"/>
        <item x="1581"/>
        <item x="1582"/>
        <item x="1583"/>
        <item x="1587"/>
        <item x="1588"/>
        <item x="1589"/>
        <item x="1590"/>
        <item x="1591"/>
        <item x="1592"/>
        <item x="1593"/>
        <item x="1594"/>
        <item x="1595"/>
        <item x="1596"/>
        <item x="1599"/>
        <item x="1600"/>
        <item x="1601"/>
        <item x="1602"/>
        <item x="1604"/>
        <item x="1607"/>
        <item x="1608"/>
        <item x="1611"/>
        <item x="1614"/>
        <item x="1615"/>
        <item x="1616"/>
        <item x="1617"/>
        <item x="1619"/>
        <item x="1620"/>
        <item x="1621"/>
        <item x="1622"/>
        <item x="1623"/>
        <item x="1626"/>
        <item x="1627"/>
        <item x="1629"/>
        <item x="1634"/>
        <item x="1636"/>
        <item x="1637"/>
        <item x="1638"/>
        <item x="1639"/>
        <item x="1642"/>
        <item x="1643"/>
        <item x="1644"/>
        <item x="1645"/>
        <item x="1646"/>
        <item x="1649"/>
        <item x="1651"/>
        <item x="1652"/>
        <item x="1653"/>
        <item x="1655"/>
        <item x="1656"/>
        <item x="1657"/>
        <item x="1658"/>
        <item x="1659"/>
        <item x="1660"/>
        <item x="1661"/>
        <item x="1663"/>
        <item x="1665"/>
        <item x="1667"/>
        <item x="1668"/>
        <item x="1669"/>
        <item x="1670"/>
        <item x="1671"/>
        <item x="1673"/>
        <item x="1674"/>
        <item x="1675"/>
        <item x="1676"/>
        <item x="1681"/>
        <item x="1682"/>
        <item x="1683"/>
        <item x="1684"/>
        <item x="1685"/>
        <item x="1686"/>
        <item x="1687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2"/>
        <item x="1733"/>
        <item x="1734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803"/>
        <item x="1804"/>
        <item x="1805"/>
        <item x="1806"/>
        <item x="1807"/>
        <item x="1808"/>
        <item x="1809"/>
        <item x="1810"/>
        <item x="1811"/>
        <item x="1812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9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6"/>
        <item x="1957"/>
        <item x="1958"/>
        <item x="1959"/>
        <item x="1960"/>
        <item x="1961"/>
        <item x="1962"/>
        <item x="1963"/>
        <item x="1964"/>
        <item x="1965"/>
        <item x="1968"/>
        <item x="1969"/>
        <item x="1972"/>
        <item x="1973"/>
        <item x="1974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8"/>
        <item x="2009"/>
        <item x="2010"/>
        <item x="2011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9"/>
        <item x="2040"/>
        <item x="2041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61"/>
        <item x="2062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4"/>
        <item x="2116"/>
        <item x="2117"/>
        <item x="2118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7"/>
        <item x="2138"/>
        <item x="2139"/>
        <item x="2140"/>
        <item x="2141"/>
        <item x="2142"/>
        <item x="2143"/>
        <item x="2145"/>
        <item x="2146"/>
        <item x="2147"/>
        <item x="2148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5"/>
        <item x="2177"/>
        <item x="2181"/>
        <item x="2185"/>
        <item x="2186"/>
        <item x="2187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30"/>
        <item x="2231"/>
        <item x="2233"/>
        <item x="2235"/>
        <item x="2236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4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6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6"/>
        <item x="2317"/>
        <item x="2319"/>
        <item x="2320"/>
        <item x="2321"/>
        <item x="2323"/>
        <item x="2324"/>
        <item x="2325"/>
        <item x="2326"/>
        <item x="2327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2"/>
        <item x="2343"/>
        <item x="2345"/>
        <item x="2346"/>
        <item x="2347"/>
        <item x="2349"/>
        <item x="2350"/>
        <item x="2351"/>
        <item x="2352"/>
        <item x="2353"/>
        <item x="2354"/>
        <item x="2355"/>
        <item x="2356"/>
        <item x="2357"/>
        <item x="2358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8"/>
        <item x="2379"/>
        <item x="2380"/>
        <item x="2381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7"/>
        <item x="2408"/>
        <item x="2409"/>
        <item x="2411"/>
        <item x="2412"/>
        <item x="2413"/>
        <item x="2414"/>
        <item x="2415"/>
        <item x="2416"/>
        <item x="2417"/>
        <item x="2418"/>
        <item x="2420"/>
        <item x="2421"/>
        <item x="2422"/>
        <item x="2423"/>
        <item x="2425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9"/>
        <item x="2462"/>
        <item x="2464"/>
        <item x="2465"/>
        <item x="2466"/>
        <item x="2467"/>
        <item x="2468"/>
        <item x="2470"/>
        <item x="2471"/>
        <item x="2472"/>
        <item x="2475"/>
        <item x="2476"/>
        <item x="2477"/>
        <item x="2480"/>
        <item x="2482"/>
        <item x="2483"/>
        <item x="2484"/>
        <item x="2485"/>
        <item x="2486"/>
        <item x="2487"/>
        <item x="2488"/>
        <item x="2489"/>
        <item x="2490"/>
        <item x="2491"/>
        <item x="2493"/>
        <item x="2494"/>
        <item x="2495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20"/>
        <item x="2521"/>
        <item x="2522"/>
        <item x="2523"/>
        <item x="2524"/>
        <item x="2525"/>
        <item x="2526"/>
        <item x="2527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2"/>
        <item x="2543"/>
        <item x="2544"/>
        <item x="2545"/>
        <item x="2546"/>
        <item x="2547"/>
        <item x="2549"/>
        <item x="2550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70"/>
        <item x="2571"/>
        <item x="2572"/>
        <item x="2573"/>
        <item x="2574"/>
        <item x="2575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4"/>
        <item x="2595"/>
        <item x="2596"/>
        <item x="2597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3"/>
        <item x="2614"/>
        <item x="2615"/>
        <item x="2616"/>
        <item x="2617"/>
        <item x="2619"/>
        <item x="2620"/>
        <item x="2621"/>
        <item x="2622"/>
        <item x="2623"/>
        <item x="2624"/>
        <item x="2626"/>
        <item x="2627"/>
        <item x="2628"/>
        <item x="2629"/>
        <item x="2630"/>
        <item x="2631"/>
        <item x="2632"/>
        <item x="2634"/>
        <item x="2635"/>
        <item x="2636"/>
        <item x="2639"/>
        <item x="2640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2"/>
        <item x="2693"/>
        <item x="2694"/>
        <item x="2695"/>
        <item x="2696"/>
        <item x="2697"/>
        <item x="2698"/>
        <item x="2700"/>
        <item x="2701"/>
        <item x="2702"/>
        <item x="2703"/>
        <item x="2704"/>
        <item x="2705"/>
        <item x="2706"/>
        <item x="2707"/>
        <item x="2708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4"/>
        <item x="2785"/>
        <item x="2786"/>
        <item x="2787"/>
        <item x="2788"/>
        <item x="2789"/>
        <item x="2792"/>
        <item x="2793"/>
        <item x="2794"/>
        <item x="2795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2"/>
        <item x="2963"/>
        <item x="2964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1"/>
        <item x="3032"/>
        <item x="3033"/>
        <item x="3034"/>
        <item x="3035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9"/>
        <item x="3214"/>
        <item x="3219"/>
        <item x="3224"/>
        <item x="3225"/>
        <item x="3227"/>
        <item x="3228"/>
        <item x="3229"/>
        <item x="3230"/>
        <item x="3232"/>
        <item x="3233"/>
        <item x="3238"/>
        <item x="3239"/>
        <item x="3240"/>
        <item x="3251"/>
        <item x="3252"/>
        <item x="3253"/>
        <item x="3254"/>
        <item x="3255"/>
        <item x="3257"/>
        <item x="3258"/>
        <item x="3259"/>
        <item x="3261"/>
        <item x="3262"/>
        <item x="3263"/>
        <item x="3265"/>
        <item x="3273"/>
        <item x="3275"/>
        <item x="3276"/>
        <item x="3283"/>
        <item x="3285"/>
        <item x="3286"/>
        <item x="3287"/>
        <item x="3288"/>
        <item x="3289"/>
        <item x="3292"/>
        <item x="3293"/>
        <item x="3294"/>
        <item x="3297"/>
        <item x="3298"/>
        <item x="3299"/>
        <item x="3300"/>
        <item x="3301"/>
        <item x="3302"/>
        <item x="3304"/>
        <item x="3306"/>
        <item x="3307"/>
        <item x="3308"/>
        <item x="3309"/>
        <item x="3310"/>
        <item x="3311"/>
        <item x="3315"/>
        <item x="3316"/>
        <item x="3317"/>
        <item x="3318"/>
        <item x="3319"/>
        <item x="3320"/>
        <item x="3321"/>
        <item x="3327"/>
        <item x="3328"/>
        <item x="3329"/>
        <item x="3333"/>
        <item x="3335"/>
        <item x="3336"/>
        <item x="3337"/>
        <item x="3345"/>
        <item x="3346"/>
        <item x="3355"/>
        <item x="3356"/>
        <item x="3357"/>
        <item x="3358"/>
        <item x="3359"/>
        <item x="3360"/>
        <item x="3362"/>
        <item x="3363"/>
        <item x="3364"/>
        <item x="3365"/>
        <item x="3366"/>
        <item x="3367"/>
        <item x="3368"/>
        <item x="3369"/>
        <item x="3371"/>
        <item x="3372"/>
        <item x="3373"/>
        <item x="3374"/>
        <item x="3375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5"/>
        <item x="3396"/>
        <item x="3397"/>
        <item x="3398"/>
        <item x="3399"/>
        <item x="3400"/>
        <item x="3404"/>
        <item x="3405"/>
        <item x="3410"/>
        <item x="3411"/>
        <item x="3413"/>
        <item x="3414"/>
        <item x="3415"/>
        <item x="3418"/>
        <item x="3423"/>
        <item x="3424"/>
        <item x="3425"/>
        <item x="3426"/>
        <item x="3427"/>
        <item x="3428"/>
        <item x="3431"/>
        <item x="3432"/>
        <item x="3433"/>
        <item x="3434"/>
        <item x="3435"/>
        <item x="3436"/>
        <item x="3437"/>
        <item x="3440"/>
        <item x="3443"/>
        <item x="3444"/>
        <item x="3445"/>
        <item x="3446"/>
        <item x="3448"/>
        <item x="3449"/>
        <item x="3450"/>
        <item x="3451"/>
        <item x="3452"/>
        <item x="3453"/>
        <item x="3454"/>
        <item x="3455"/>
        <item x="3456"/>
        <item x="3458"/>
        <item x="3459"/>
        <item x="3460"/>
        <item x="3461"/>
        <item x="3462"/>
        <item x="3463"/>
        <item x="3465"/>
        <item x="3467"/>
        <item x="3468"/>
        <item x="3469"/>
        <item x="3470"/>
        <item x="3471"/>
        <item x="3472"/>
        <item x="3473"/>
        <item x="3474"/>
        <item x="3475"/>
        <item x="3478"/>
        <item x="3479"/>
        <item x="3480"/>
        <item x="3481"/>
        <item x="3482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5"/>
        <item x="7"/>
        <item x="31"/>
        <item x="33"/>
        <item x="46"/>
        <item x="55"/>
        <item x="74"/>
        <item x="78"/>
        <item x="79"/>
        <item x="82"/>
        <item x="119"/>
        <item x="120"/>
        <item x="163"/>
        <item x="188"/>
        <item x="204"/>
        <item x="208"/>
        <item x="209"/>
        <item x="213"/>
        <item x="227"/>
        <item x="246"/>
        <item x="258"/>
        <item x="272"/>
        <item x="318"/>
        <item x="333"/>
        <item x="334"/>
        <item x="352"/>
        <item x="353"/>
        <item x="362"/>
        <item x="383"/>
        <item x="384"/>
        <item x="387"/>
        <item x="402"/>
        <item x="410"/>
        <item x="419"/>
        <item x="435"/>
        <item x="450"/>
        <item x="462"/>
        <item x="463"/>
        <item x="476"/>
        <item x="479"/>
        <item x="495"/>
        <item x="496"/>
        <item x="497"/>
        <item x="502"/>
        <item x="507"/>
        <item x="508"/>
        <item x="521"/>
        <item x="532"/>
        <item x="534"/>
        <item x="545"/>
        <item x="580"/>
        <item x="615"/>
        <item x="617"/>
        <item x="627"/>
        <item x="659"/>
        <item x="660"/>
        <item x="661"/>
        <item x="665"/>
        <item x="666"/>
        <item x="670"/>
        <item x="671"/>
        <item x="678"/>
        <item x="710"/>
        <item x="731"/>
        <item x="771"/>
        <item x="797"/>
        <item x="807"/>
        <item x="838"/>
        <item x="839"/>
        <item x="855"/>
        <item x="863"/>
        <item x="864"/>
        <item x="889"/>
        <item x="960"/>
        <item x="975"/>
        <item x="978"/>
        <item x="985"/>
        <item x="991"/>
        <item x="992"/>
        <item x="995"/>
        <item x="998"/>
        <item x="999"/>
        <item x="1000"/>
        <item x="1001"/>
        <item x="1002"/>
        <item x="1003"/>
        <item x="1004"/>
        <item x="1006"/>
        <item x="1007"/>
        <item x="1023"/>
        <item x="1024"/>
        <item x="1032"/>
        <item x="1037"/>
        <item x="1039"/>
        <item x="1049"/>
        <item x="1057"/>
        <item x="1064"/>
        <item x="1065"/>
        <item x="1066"/>
        <item x="1067"/>
        <item x="1068"/>
        <item x="1069"/>
        <item x="1070"/>
        <item x="1071"/>
        <item x="1085"/>
        <item x="1093"/>
        <item x="1097"/>
        <item x="1101"/>
        <item x="1110"/>
        <item x="1112"/>
        <item x="1113"/>
        <item x="1114"/>
        <item x="1115"/>
        <item x="1116"/>
        <item x="1118"/>
        <item x="1119"/>
        <item x="1120"/>
        <item x="1122"/>
        <item x="1124"/>
        <item x="1125"/>
        <item x="1126"/>
        <item x="1127"/>
        <item x="1128"/>
        <item x="1143"/>
        <item x="1144"/>
        <item x="1145"/>
        <item x="1149"/>
        <item x="1154"/>
        <item x="1155"/>
        <item x="1172"/>
        <item x="1173"/>
        <item x="1174"/>
        <item x="1175"/>
        <item x="1176"/>
        <item x="1193"/>
        <item x="1201"/>
        <item x="1204"/>
        <item x="1211"/>
        <item x="1212"/>
        <item x="1213"/>
        <item x="1214"/>
        <item x="1217"/>
        <item x="1233"/>
        <item x="1241"/>
        <item x="1242"/>
        <item x="1244"/>
        <item x="1252"/>
        <item x="1253"/>
        <item x="1256"/>
        <item x="1257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20"/>
        <item x="1325"/>
        <item x="1326"/>
        <item x="1327"/>
        <item x="1330"/>
        <item x="1333"/>
        <item x="1334"/>
        <item x="1335"/>
        <item x="1336"/>
        <item x="1342"/>
        <item x="1348"/>
        <item x="1357"/>
        <item x="1382"/>
        <item x="1385"/>
        <item x="1389"/>
        <item x="1390"/>
        <item x="1397"/>
        <item x="1406"/>
        <item x="1408"/>
        <item x="1409"/>
        <item x="1414"/>
        <item x="1419"/>
        <item x="1420"/>
        <item x="1424"/>
        <item x="1425"/>
        <item x="1441"/>
        <item x="1442"/>
        <item x="1445"/>
        <item x="1446"/>
        <item x="1447"/>
        <item x="1448"/>
        <item x="1449"/>
        <item x="1451"/>
        <item x="1457"/>
        <item x="1458"/>
        <item x="1461"/>
        <item x="1469"/>
        <item x="1476"/>
        <item x="1477"/>
        <item x="1478"/>
        <item x="1481"/>
        <item x="1483"/>
        <item x="1494"/>
        <item x="1496"/>
        <item x="1503"/>
        <item x="1504"/>
        <item x="1509"/>
        <item x="1513"/>
        <item x="1517"/>
        <item x="1520"/>
        <item x="1534"/>
        <item x="1542"/>
        <item x="1543"/>
        <item x="1544"/>
        <item x="1545"/>
        <item x="1550"/>
        <item x="1551"/>
        <item x="1552"/>
        <item x="1553"/>
        <item x="1559"/>
        <item x="1566"/>
        <item x="1567"/>
        <item x="1573"/>
        <item x="1574"/>
        <item x="1578"/>
        <item x="1584"/>
        <item x="1585"/>
        <item x="1586"/>
        <item x="1597"/>
        <item x="1598"/>
        <item x="1603"/>
        <item x="1605"/>
        <item x="1606"/>
        <item x="1609"/>
        <item x="1610"/>
        <item x="1612"/>
        <item x="1613"/>
        <item x="1618"/>
        <item x="1624"/>
        <item x="1625"/>
        <item x="1628"/>
        <item x="1630"/>
        <item x="1631"/>
        <item x="1632"/>
        <item x="1633"/>
        <item x="1635"/>
        <item x="1640"/>
        <item x="1641"/>
        <item x="1647"/>
        <item x="1648"/>
        <item x="1650"/>
        <item x="1654"/>
        <item x="1662"/>
        <item x="1664"/>
        <item x="1666"/>
        <item x="1672"/>
        <item x="1677"/>
        <item x="1678"/>
        <item x="1679"/>
        <item x="1680"/>
        <item x="1688"/>
        <item x="1703"/>
        <item x="1731"/>
        <item x="1735"/>
        <item x="1736"/>
        <item x="1737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13"/>
        <item x="1831"/>
        <item x="1903"/>
        <item x="1918"/>
        <item x="1920"/>
        <item x="1938"/>
        <item x="1955"/>
        <item x="1966"/>
        <item x="1967"/>
        <item x="1970"/>
        <item x="1971"/>
        <item x="1975"/>
        <item x="2007"/>
        <item x="2012"/>
        <item x="2032"/>
        <item x="2033"/>
        <item x="2034"/>
        <item x="2035"/>
        <item x="2036"/>
        <item x="2037"/>
        <item x="2038"/>
        <item x="2042"/>
        <item x="2059"/>
        <item x="2060"/>
        <item x="2063"/>
        <item x="2079"/>
        <item x="2113"/>
        <item x="2115"/>
        <item x="2119"/>
        <item x="2136"/>
        <item x="2144"/>
        <item x="2149"/>
        <item x="2150"/>
        <item x="2151"/>
        <item x="2152"/>
        <item x="2153"/>
        <item x="2174"/>
        <item x="2176"/>
        <item x="2178"/>
        <item x="2179"/>
        <item x="2180"/>
        <item x="2182"/>
        <item x="2183"/>
        <item x="2184"/>
        <item x="2188"/>
        <item x="2189"/>
        <item x="2207"/>
        <item x="2208"/>
        <item x="2229"/>
        <item x="2232"/>
        <item x="2234"/>
        <item x="2237"/>
        <item x="2253"/>
        <item x="2255"/>
        <item x="2275"/>
        <item x="2277"/>
        <item x="2298"/>
        <item x="2315"/>
        <item x="2318"/>
        <item x="2322"/>
        <item x="2328"/>
        <item x="2341"/>
        <item x="2344"/>
        <item x="2348"/>
        <item x="2359"/>
        <item x="2377"/>
        <item x="2382"/>
        <item x="2405"/>
        <item x="2406"/>
        <item x="2410"/>
        <item x="2419"/>
        <item x="2424"/>
        <item x="2426"/>
        <item x="2439"/>
        <item x="2458"/>
        <item x="2460"/>
        <item x="2461"/>
        <item x="2463"/>
        <item x="2469"/>
        <item x="2473"/>
        <item x="2474"/>
        <item x="2478"/>
        <item x="2479"/>
        <item x="2481"/>
        <item x="2492"/>
        <item x="2496"/>
        <item x="2518"/>
        <item x="2519"/>
        <item x="2528"/>
        <item x="2541"/>
        <item x="2548"/>
        <item x="2551"/>
        <item x="2569"/>
        <item x="2576"/>
        <item x="2593"/>
        <item x="2598"/>
        <item x="2611"/>
        <item x="2612"/>
        <item x="2618"/>
        <item x="2625"/>
        <item x="2633"/>
        <item x="2637"/>
        <item x="2638"/>
        <item x="2641"/>
        <item x="2662"/>
        <item x="2691"/>
        <item x="2699"/>
        <item x="2709"/>
        <item x="2753"/>
        <item x="2754"/>
        <item x="2755"/>
        <item x="2756"/>
        <item x="2757"/>
        <item x="2770"/>
        <item x="2771"/>
        <item x="2783"/>
        <item x="2790"/>
        <item x="2791"/>
        <item x="2796"/>
        <item x="2823"/>
        <item x="2824"/>
        <item x="2825"/>
        <item x="2888"/>
        <item x="2949"/>
        <item x="2961"/>
        <item x="2965"/>
        <item x="3011"/>
        <item x="3012"/>
        <item x="3030"/>
        <item x="3036"/>
        <item x="3108"/>
        <item x="3109"/>
        <item x="3110"/>
        <item x="3208"/>
        <item x="3210"/>
        <item x="3211"/>
        <item x="3212"/>
        <item x="3213"/>
        <item x="3215"/>
        <item x="3216"/>
        <item x="3217"/>
        <item x="3218"/>
        <item x="3220"/>
        <item x="3221"/>
        <item x="3222"/>
        <item x="3223"/>
        <item x="3226"/>
        <item x="3231"/>
        <item x="3234"/>
        <item x="3235"/>
        <item x="3236"/>
        <item x="3237"/>
        <item x="3241"/>
        <item x="3242"/>
        <item x="3243"/>
        <item x="3244"/>
        <item x="3245"/>
        <item x="3246"/>
        <item x="3247"/>
        <item x="3248"/>
        <item x="3249"/>
        <item x="3250"/>
        <item x="3256"/>
        <item x="3260"/>
        <item x="3264"/>
        <item x="3266"/>
        <item x="3267"/>
        <item x="3268"/>
        <item x="3269"/>
        <item x="3270"/>
        <item x="3271"/>
        <item x="3272"/>
        <item x="3274"/>
        <item x="3277"/>
        <item x="3278"/>
        <item x="3279"/>
        <item x="3280"/>
        <item x="3281"/>
        <item x="3282"/>
        <item x="3284"/>
        <item x="3290"/>
        <item x="3291"/>
        <item x="3295"/>
        <item x="3296"/>
        <item x="3303"/>
        <item x="3305"/>
        <item x="3312"/>
        <item x="3313"/>
        <item x="3314"/>
        <item x="3322"/>
        <item x="3323"/>
        <item x="3324"/>
        <item x="3325"/>
        <item x="3326"/>
        <item x="3330"/>
        <item x="3331"/>
        <item x="3332"/>
        <item x="3334"/>
        <item x="3338"/>
        <item x="3339"/>
        <item x="3340"/>
        <item x="3341"/>
        <item x="3342"/>
        <item x="3343"/>
        <item x="3344"/>
        <item x="3347"/>
        <item x="3348"/>
        <item x="3349"/>
        <item x="3350"/>
        <item x="3351"/>
        <item x="3352"/>
        <item x="3353"/>
        <item x="3354"/>
        <item x="3361"/>
        <item x="3370"/>
        <item x="3376"/>
        <item x="3377"/>
        <item x="3393"/>
        <item x="3394"/>
        <item x="3401"/>
        <item x="3402"/>
        <item x="3403"/>
        <item x="3406"/>
        <item x="3407"/>
        <item x="3408"/>
        <item x="3409"/>
        <item x="3412"/>
        <item x="3416"/>
        <item x="3417"/>
        <item x="3419"/>
        <item x="3420"/>
        <item x="3421"/>
        <item x="3422"/>
        <item x="3429"/>
        <item x="3430"/>
        <item x="3438"/>
        <item x="3439"/>
        <item x="3441"/>
        <item x="3442"/>
        <item x="3447"/>
        <item x="3457"/>
        <item x="3464"/>
        <item x="3466"/>
        <item x="3476"/>
        <item x="3477"/>
        <item x="348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Page" showAll="0">
      <items count="15">
        <item x="10"/>
        <item x="7"/>
        <item x="1"/>
        <item x="3"/>
        <item x="6"/>
        <item x="11"/>
        <item x="0"/>
        <item x="13"/>
        <item x="2"/>
        <item x="4"/>
        <item x="5"/>
        <item x="12"/>
        <item x="9"/>
        <item x="8"/>
        <item t="default"/>
      </items>
    </pivotField>
    <pivotField axis="axisPage" showAll="0">
      <items count="704">
        <item x="420"/>
        <item x="626"/>
        <item x="196"/>
        <item x="242"/>
        <item x="645"/>
        <item x="631"/>
        <item x="389"/>
        <item x="578"/>
        <item x="181"/>
        <item x="35"/>
        <item x="25"/>
        <item x="2"/>
        <item x="4"/>
        <item x="5"/>
        <item x="186"/>
        <item x="11"/>
        <item x="9"/>
        <item x="12"/>
        <item x="13"/>
        <item x="14"/>
        <item x="15"/>
        <item x="17"/>
        <item x="16"/>
        <item x="18"/>
        <item x="19"/>
        <item x="315"/>
        <item x="21"/>
        <item x="0"/>
        <item x="27"/>
        <item x="26"/>
        <item x="31"/>
        <item x="30"/>
        <item x="53"/>
        <item x="34"/>
        <item x="40"/>
        <item x="42"/>
        <item x="44"/>
        <item x="47"/>
        <item x="452"/>
        <item x="49"/>
        <item x="43"/>
        <item x="50"/>
        <item x="41"/>
        <item x="51"/>
        <item x="144"/>
        <item x="451"/>
        <item x="48"/>
        <item x="52"/>
        <item x="58"/>
        <item x="57"/>
        <item x="60"/>
        <item x="61"/>
        <item x="62"/>
        <item x="63"/>
        <item x="64"/>
        <item x="66"/>
        <item x="373"/>
        <item x="68"/>
        <item x="69"/>
        <item x="73"/>
        <item x="74"/>
        <item x="76"/>
        <item x="77"/>
        <item x="78"/>
        <item x="79"/>
        <item x="80"/>
        <item x="75"/>
        <item x="37"/>
        <item x="65"/>
        <item x="82"/>
        <item x="83"/>
        <item x="81"/>
        <item x="84"/>
        <item x="88"/>
        <item x="1"/>
        <item x="86"/>
        <item x="91"/>
        <item x="650"/>
        <item x="85"/>
        <item x="92"/>
        <item x="96"/>
        <item x="97"/>
        <item x="99"/>
        <item x="562"/>
        <item x="100"/>
        <item x="55"/>
        <item x="103"/>
        <item x="102"/>
        <item x="104"/>
        <item x="106"/>
        <item x="107"/>
        <item x="109"/>
        <item x="176"/>
        <item x="108"/>
        <item x="634"/>
        <item x="113"/>
        <item x="114"/>
        <item x="125"/>
        <item x="126"/>
        <item x="348"/>
        <item x="71"/>
        <item x="438"/>
        <item x="134"/>
        <item x="67"/>
        <item x="133"/>
        <item x="140"/>
        <item x="142"/>
        <item x="646"/>
        <item x="630"/>
        <item x="70"/>
        <item x="232"/>
        <item x="131"/>
        <item x="117"/>
        <item x="648"/>
        <item x="549"/>
        <item x="33"/>
        <item x="513"/>
        <item x="533"/>
        <item x="122"/>
        <item x="259"/>
        <item x="38"/>
        <item x="129"/>
        <item x="230"/>
        <item x="616"/>
        <item x="456"/>
        <item x="509"/>
        <item x="137"/>
        <item x="448"/>
        <item x="98"/>
        <item x="45"/>
        <item x="561"/>
        <item x="463"/>
        <item x="652"/>
        <item x="544"/>
        <item x="149"/>
        <item x="164"/>
        <item x="150"/>
        <item x="573"/>
        <item x="121"/>
        <item x="118"/>
        <item x="194"/>
        <item x="208"/>
        <item x="592"/>
        <item x="120"/>
        <item x="153"/>
        <item x="365"/>
        <item x="679"/>
        <item x="23"/>
        <item x="155"/>
        <item x="156"/>
        <item x="157"/>
        <item x="159"/>
        <item x="160"/>
        <item x="162"/>
        <item x="163"/>
        <item x="165"/>
        <item x="167"/>
        <item x="178"/>
        <item x="168"/>
        <item x="171"/>
        <item x="172"/>
        <item x="173"/>
        <item x="170"/>
        <item x="197"/>
        <item x="174"/>
        <item x="698"/>
        <item x="179"/>
        <item x="180"/>
        <item x="184"/>
        <item x="183"/>
        <item x="185"/>
        <item x="217"/>
        <item x="136"/>
        <item x="195"/>
        <item x="200"/>
        <item x="201"/>
        <item x="203"/>
        <item x="205"/>
        <item x="209"/>
        <item x="207"/>
        <item x="3"/>
        <item x="214"/>
        <item x="223"/>
        <item x="433"/>
        <item x="224"/>
        <item x="611"/>
        <item x="575"/>
        <item x="87"/>
        <item x="228"/>
        <item x="234"/>
        <item x="191"/>
        <item x="225"/>
        <item x="227"/>
        <item x="199"/>
        <item x="212"/>
        <item x="516"/>
        <item x="672"/>
        <item x="128"/>
        <item x="192"/>
        <item x="226"/>
        <item x="116"/>
        <item x="188"/>
        <item x="198"/>
        <item x="206"/>
        <item x="10"/>
        <item x="145"/>
        <item x="239"/>
        <item x="421"/>
        <item x="688"/>
        <item x="489"/>
        <item x="233"/>
        <item x="581"/>
        <item x="284"/>
        <item x="598"/>
        <item x="90"/>
        <item x="189"/>
        <item x="276"/>
        <item x="446"/>
        <item x="229"/>
        <item x="236"/>
        <item x="237"/>
        <item x="231"/>
        <item x="287"/>
        <item x="235"/>
        <item x="240"/>
        <item x="243"/>
        <item x="211"/>
        <item x="244"/>
        <item x="72"/>
        <item x="246"/>
        <item x="277"/>
        <item x="252"/>
        <item x="251"/>
        <item x="175"/>
        <item x="202"/>
        <item x="216"/>
        <item x="247"/>
        <item x="256"/>
        <item x="210"/>
        <item x="257"/>
        <item x="271"/>
        <item x="249"/>
        <item x="291"/>
        <item x="293"/>
        <item x="250"/>
        <item x="245"/>
        <item x="110"/>
        <item x="248"/>
        <item x="269"/>
        <item x="263"/>
        <item x="218"/>
        <item x="20"/>
        <item x="213"/>
        <item x="222"/>
        <item x="265"/>
        <item x="253"/>
        <item x="289"/>
        <item x="335"/>
        <item x="124"/>
        <item x="613"/>
        <item x="262"/>
        <item x="241"/>
        <item x="260"/>
        <item x="254"/>
        <item x="267"/>
        <item x="215"/>
        <item x="255"/>
        <item x="258"/>
        <item x="158"/>
        <item x="268"/>
        <item x="261"/>
        <item x="272"/>
        <item x="275"/>
        <item x="123"/>
        <item x="282"/>
        <item x="278"/>
        <item x="281"/>
        <item x="274"/>
        <item x="288"/>
        <item x="286"/>
        <item x="665"/>
        <item x="292"/>
        <item x="636"/>
        <item x="332"/>
        <item x="266"/>
        <item x="587"/>
        <item x="300"/>
        <item x="302"/>
        <item x="154"/>
        <item x="637"/>
        <item x="304"/>
        <item x="298"/>
        <item x="299"/>
        <item x="311"/>
        <item x="312"/>
        <item x="308"/>
        <item x="527"/>
        <item x="309"/>
        <item x="146"/>
        <item x="320"/>
        <item x="321"/>
        <item x="441"/>
        <item x="323"/>
        <item x="324"/>
        <item x="325"/>
        <item x="326"/>
        <item x="345"/>
        <item x="330"/>
        <item x="609"/>
        <item x="341"/>
        <item x="327"/>
        <item x="340"/>
        <item x="329"/>
        <item x="339"/>
        <item x="379"/>
        <item x="334"/>
        <item x="333"/>
        <item x="295"/>
        <item x="337"/>
        <item x="358"/>
        <item x="219"/>
        <item x="336"/>
        <item x="280"/>
        <item x="338"/>
        <item x="328"/>
        <item x="316"/>
        <item x="46"/>
        <item x="351"/>
        <item x="352"/>
        <item x="355"/>
        <item x="307"/>
        <item x="356"/>
        <item x="342"/>
        <item x="367"/>
        <item x="370"/>
        <item x="386"/>
        <item x="371"/>
        <item x="285"/>
        <item x="372"/>
        <item x="220"/>
        <item x="376"/>
        <item x="377"/>
        <item x="380"/>
        <item x="383"/>
        <item x="374"/>
        <item x="273"/>
        <item x="36"/>
        <item x="375"/>
        <item x="669"/>
        <item x="461"/>
        <item x="95"/>
        <item x="384"/>
        <item x="385"/>
        <item x="93"/>
        <item x="143"/>
        <item x="387"/>
        <item x="305"/>
        <item x="594"/>
        <item x="388"/>
        <item x="390"/>
        <item x="395"/>
        <item x="641"/>
        <item x="392"/>
        <item x="393"/>
        <item x="7"/>
        <item x="322"/>
        <item x="394"/>
        <item x="105"/>
        <item x="398"/>
        <item x="28"/>
        <item x="439"/>
        <item x="400"/>
        <item x="401"/>
        <item x="397"/>
        <item x="403"/>
        <item x="406"/>
        <item x="404"/>
        <item x="408"/>
        <item x="642"/>
        <item x="279"/>
        <item x="409"/>
        <item x="399"/>
        <item x="396"/>
        <item x="411"/>
        <item x="412"/>
        <item x="381"/>
        <item x="413"/>
        <item x="418"/>
        <item x="414"/>
        <item x="415"/>
        <item x="294"/>
        <item x="416"/>
        <item x="417"/>
        <item x="378"/>
        <item x="343"/>
        <item x="419"/>
        <item x="423"/>
        <item x="382"/>
        <item x="424"/>
        <item x="426"/>
        <item x="425"/>
        <item x="427"/>
        <item x="428"/>
        <item x="429"/>
        <item x="430"/>
        <item x="431"/>
        <item x="432"/>
        <item x="434"/>
        <item x="436"/>
        <item x="301"/>
        <item x="442"/>
        <item x="435"/>
        <item x="440"/>
        <item x="447"/>
        <item x="39"/>
        <item x="444"/>
        <item x="450"/>
        <item x="89"/>
        <item x="445"/>
        <item x="453"/>
        <item x="443"/>
        <item x="459"/>
        <item x="458"/>
        <item x="457"/>
        <item x="462"/>
        <item x="464"/>
        <item x="466"/>
        <item x="455"/>
        <item x="467"/>
        <item x="468"/>
        <item x="469"/>
        <item x="482"/>
        <item x="470"/>
        <item x="353"/>
        <item x="344"/>
        <item x="473"/>
        <item x="475"/>
        <item x="540"/>
        <item x="486"/>
        <item x="477"/>
        <item x="479"/>
        <item x="346"/>
        <item x="481"/>
        <item x="347"/>
        <item x="625"/>
        <item x="484"/>
        <item x="483"/>
        <item x="485"/>
        <item x="487"/>
        <item x="488"/>
        <item x="111"/>
        <item x="491"/>
        <item x="480"/>
        <item x="492"/>
        <item x="493"/>
        <item x="495"/>
        <item x="496"/>
        <item x="497"/>
        <item x="494"/>
        <item x="499"/>
        <item x="498"/>
        <item x="500"/>
        <item x="501"/>
        <item x="8"/>
        <item x="505"/>
        <item x="506"/>
        <item x="507"/>
        <item x="508"/>
        <item x="510"/>
        <item x="187"/>
        <item x="349"/>
        <item x="512"/>
        <item x="350"/>
        <item x="515"/>
        <item x="517"/>
        <item x="519"/>
        <item x="504"/>
        <item x="662"/>
        <item x="521"/>
        <item x="528"/>
        <item x="523"/>
        <item x="524"/>
        <item x="525"/>
        <item x="532"/>
        <item x="526"/>
        <item x="530"/>
        <item x="531"/>
        <item x="306"/>
        <item x="534"/>
        <item x="535"/>
        <item x="190"/>
        <item x="193"/>
        <item x="554"/>
        <item x="689"/>
        <item x="503"/>
        <item x="536"/>
        <item x="166"/>
        <item x="537"/>
        <item x="476"/>
        <item x="651"/>
        <item x="563"/>
        <item x="317"/>
        <item x="539"/>
        <item x="607"/>
        <item x="542"/>
        <item x="543"/>
        <item x="546"/>
        <item x="547"/>
        <item x="545"/>
        <item x="618"/>
        <item x="354"/>
        <item x="471"/>
        <item x="138"/>
        <item x="603"/>
        <item x="552"/>
        <item x="553"/>
        <item x="557"/>
        <item x="560"/>
        <item x="559"/>
        <item x="558"/>
        <item x="692"/>
        <item x="132"/>
        <item x="502"/>
        <item x="6"/>
        <item x="270"/>
        <item x="569"/>
        <item x="604"/>
        <item x="238"/>
        <item x="564"/>
        <item x="570"/>
        <item x="310"/>
        <item x="567"/>
        <item x="29"/>
        <item x="101"/>
        <item x="303"/>
        <item x="571"/>
        <item x="572"/>
        <item x="574"/>
        <item x="522"/>
        <item x="663"/>
        <item x="583"/>
        <item x="582"/>
        <item x="359"/>
        <item x="584"/>
        <item x="586"/>
        <item x="580"/>
        <item x="585"/>
        <item x="550"/>
        <item x="360"/>
        <item x="588"/>
        <item x="654"/>
        <item x="591"/>
        <item x="590"/>
        <item x="623"/>
        <item x="318"/>
        <item x="593"/>
        <item x="391"/>
        <item x="595"/>
        <item x="576"/>
        <item x="596"/>
        <item x="681"/>
        <item x="643"/>
        <item x="597"/>
        <item x="599"/>
        <item x="555"/>
        <item x="600"/>
        <item x="589"/>
        <item x="601"/>
        <item x="608"/>
        <item x="606"/>
        <item x="362"/>
        <item x="139"/>
        <item x="612"/>
        <item x="605"/>
        <item x="614"/>
        <item x="568"/>
        <item x="264"/>
        <item x="615"/>
        <item x="290"/>
        <item x="621"/>
        <item x="617"/>
        <item x="620"/>
        <item x="619"/>
        <item x="622"/>
        <item x="624"/>
        <item x="627"/>
        <item x="628"/>
        <item x="644"/>
        <item x="655"/>
        <item x="632"/>
        <item x="556"/>
        <item x="670"/>
        <item x="638"/>
        <item x="639"/>
        <item x="640"/>
        <item x="656"/>
        <item x="647"/>
        <item x="649"/>
        <item x="141"/>
        <item x="319"/>
        <item x="364"/>
        <item x="115"/>
        <item x="658"/>
        <item x="657"/>
        <item x="151"/>
        <item x="635"/>
        <item x="660"/>
        <item x="661"/>
        <item x="366"/>
        <item x="668"/>
        <item x="152"/>
        <item x="664"/>
        <item x="666"/>
        <item x="629"/>
        <item x="671"/>
        <item x="690"/>
        <item x="673"/>
        <item x="675"/>
        <item x="676"/>
        <item x="674"/>
        <item x="677"/>
        <item x="678"/>
        <item x="682"/>
        <item x="683"/>
        <item x="684"/>
        <item x="368"/>
        <item x="685"/>
        <item x="314"/>
        <item x="369"/>
        <item x="691"/>
        <item x="686"/>
        <item x="22"/>
        <item x="659"/>
        <item x="694"/>
        <item x="693"/>
        <item x="331"/>
        <item x="695"/>
        <item x="696"/>
        <item x="697"/>
        <item x="699"/>
        <item x="130"/>
        <item x="700"/>
        <item x="701"/>
        <item x="702"/>
        <item x="24"/>
        <item x="32"/>
        <item x="54"/>
        <item x="56"/>
        <item x="59"/>
        <item x="94"/>
        <item x="112"/>
        <item x="119"/>
        <item x="127"/>
        <item x="135"/>
        <item x="147"/>
        <item x="148"/>
        <item x="161"/>
        <item x="169"/>
        <item x="177"/>
        <item x="182"/>
        <item x="204"/>
        <item x="221"/>
        <item x="283"/>
        <item x="296"/>
        <item x="297"/>
        <item x="313"/>
        <item x="357"/>
        <item x="361"/>
        <item x="363"/>
        <item x="402"/>
        <item x="405"/>
        <item x="407"/>
        <item x="410"/>
        <item x="422"/>
        <item x="437"/>
        <item x="449"/>
        <item x="454"/>
        <item x="460"/>
        <item x="465"/>
        <item x="472"/>
        <item x="474"/>
        <item x="478"/>
        <item x="490"/>
        <item x="511"/>
        <item x="514"/>
        <item x="518"/>
        <item x="520"/>
        <item x="529"/>
        <item x="538"/>
        <item x="541"/>
        <item x="548"/>
        <item x="551"/>
        <item x="565"/>
        <item x="566"/>
        <item x="577"/>
        <item x="579"/>
        <item x="602"/>
        <item x="610"/>
        <item x="633"/>
        <item x="653"/>
        <item x="667"/>
        <item x="680"/>
        <item x="687"/>
        <item t="default"/>
      </items>
    </pivotField>
    <pivotField axis="axisRow" showAll="0">
      <items count="43">
        <item x="12"/>
        <item x="20"/>
        <item x="22"/>
        <item x="8"/>
        <item x="2"/>
        <item x="26"/>
        <item x="13"/>
        <item x="5"/>
        <item x="6"/>
        <item x="18"/>
        <item x="0"/>
        <item x="27"/>
        <item x="11"/>
        <item x="31"/>
        <item x="16"/>
        <item x="36"/>
        <item x="28"/>
        <item x="10"/>
        <item x="32"/>
        <item x="30"/>
        <item x="25"/>
        <item x="35"/>
        <item x="19"/>
        <item x="1"/>
        <item x="3"/>
        <item x="21"/>
        <item x="17"/>
        <item x="38"/>
        <item x="15"/>
        <item x="34"/>
        <item x="23"/>
        <item x="40"/>
        <item x="39"/>
        <item x="37"/>
        <item x="9"/>
        <item x="33"/>
        <item x="41"/>
        <item x="14"/>
        <item x="7"/>
        <item x="4"/>
        <item x="24"/>
        <item x="29"/>
        <item t="default"/>
      </items>
    </pivotField>
    <pivotField showAll="0"/>
  </pivotFields>
  <rowFields count="2">
    <field x="11"/>
    <field x="0"/>
  </rowFields>
  <rowItems count="15">
    <i>
      <x v="17"/>
    </i>
    <i r="1">
      <x v="2687"/>
    </i>
    <i>
      <x v="34"/>
    </i>
    <i r="1">
      <x v="241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1408"/>
    </i>
    <i r="1">
      <x v="2993"/>
    </i>
    <i t="grand">
      <x/>
    </i>
  </rowItems>
  <colItems count="1">
    <i/>
  </colItems>
  <pageFields count="2">
    <pageField fld="10" item="354" hier="-1"/>
    <pageField fld="9" item="6" hier="-1"/>
  </pageFields>
  <dataFields count="1">
    <dataField name="Sum of Power MW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6898F6-C05A-420A-A58A-D83A44743842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143" firstHeaderRow="1" firstDataRow="2" firstDataCol="1"/>
  <pivotFields count="13">
    <pivotField showAll="0"/>
    <pivotField showAll="0"/>
    <pivotField showAll="0"/>
    <pivotField dataField="1" showAll="0"/>
    <pivotField showAll="0"/>
    <pivotField axis="axisCol" showAll="0">
      <items count="32">
        <item x="8"/>
        <item x="3"/>
        <item x="10"/>
        <item h="1" x="5"/>
        <item h="1" x="6"/>
        <item x="0"/>
        <item h="1" x="23"/>
        <item h="1" x="25"/>
        <item h="1" x="16"/>
        <item h="1" x="28"/>
        <item x="24"/>
        <item h="1" x="26"/>
        <item x="1"/>
        <item h="1" x="17"/>
        <item h="1" x="30"/>
        <item h="1" x="15"/>
        <item x="18"/>
        <item h="1" x="20"/>
        <item h="1" x="29"/>
        <item x="9"/>
        <item x="27"/>
        <item h="1" x="2"/>
        <item h="1" x="7"/>
        <item x="11"/>
        <item x="14"/>
        <item h="1" x="12"/>
        <item h="1" x="13"/>
        <item x="19"/>
        <item h="1" x="22"/>
        <item h="1" x="4"/>
        <item h="1" x="21"/>
        <item t="default"/>
      </items>
    </pivotField>
    <pivotField showAll="0"/>
    <pivotField showAll="0"/>
    <pivotField showAll="0"/>
    <pivotField showAll="0"/>
    <pivotField axis="axisRow" showAll="0">
      <items count="704">
        <item x="420"/>
        <item x="626"/>
        <item x="196"/>
        <item x="242"/>
        <item x="645"/>
        <item x="631"/>
        <item x="389"/>
        <item x="578"/>
        <item x="181"/>
        <item x="25"/>
        <item x="2"/>
        <item x="4"/>
        <item x="5"/>
        <item x="186"/>
        <item x="11"/>
        <item x="9"/>
        <item x="12"/>
        <item x="13"/>
        <item x="14"/>
        <item x="15"/>
        <item x="17"/>
        <item x="16"/>
        <item x="18"/>
        <item x="19"/>
        <item x="315"/>
        <item x="21"/>
        <item x="0"/>
        <item x="27"/>
        <item x="26"/>
        <item x="31"/>
        <item x="30"/>
        <item x="53"/>
        <item x="40"/>
        <item x="44"/>
        <item x="47"/>
        <item x="452"/>
        <item x="49"/>
        <item x="50"/>
        <item x="41"/>
        <item x="51"/>
        <item x="144"/>
        <item x="451"/>
        <item x="48"/>
        <item x="52"/>
        <item x="57"/>
        <item x="60"/>
        <item x="61"/>
        <item x="62"/>
        <item x="66"/>
        <item x="373"/>
        <item x="68"/>
        <item x="69"/>
        <item x="73"/>
        <item x="76"/>
        <item x="77"/>
        <item x="78"/>
        <item x="75"/>
        <item x="37"/>
        <item x="65"/>
        <item x="82"/>
        <item x="83"/>
        <item x="81"/>
        <item x="84"/>
        <item x="88"/>
        <item x="1"/>
        <item x="91"/>
        <item x="85"/>
        <item x="92"/>
        <item x="562"/>
        <item x="100"/>
        <item x="55"/>
        <item x="103"/>
        <item x="102"/>
        <item x="104"/>
        <item x="106"/>
        <item x="107"/>
        <item x="109"/>
        <item x="176"/>
        <item x="108"/>
        <item x="634"/>
        <item x="113"/>
        <item x="114"/>
        <item x="125"/>
        <item x="126"/>
        <item x="348"/>
        <item x="71"/>
        <item x="438"/>
        <item x="134"/>
        <item x="67"/>
        <item x="133"/>
        <item x="140"/>
        <item x="142"/>
        <item x="646"/>
        <item x="630"/>
        <item x="70"/>
        <item x="232"/>
        <item x="131"/>
        <item x="117"/>
        <item x="648"/>
        <item x="549"/>
        <item x="33"/>
        <item x="513"/>
        <item x="533"/>
        <item x="122"/>
        <item x="259"/>
        <item x="38"/>
        <item x="129"/>
        <item x="230"/>
        <item x="616"/>
        <item x="456"/>
        <item x="509"/>
        <item x="137"/>
        <item x="448"/>
        <item x="98"/>
        <item x="45"/>
        <item x="561"/>
        <item x="463"/>
        <item x="652"/>
        <item x="544"/>
        <item x="149"/>
        <item x="164"/>
        <item x="150"/>
        <item x="573"/>
        <item x="121"/>
        <item x="118"/>
        <item x="194"/>
        <item x="208"/>
        <item x="592"/>
        <item x="120"/>
        <item x="153"/>
        <item x="365"/>
        <item x="23"/>
        <item x="155"/>
        <item x="156"/>
        <item x="157"/>
        <item x="159"/>
        <item x="160"/>
        <item x="162"/>
        <item x="163"/>
        <item x="165"/>
        <item x="167"/>
        <item x="178"/>
        <item x="168"/>
        <item x="171"/>
        <item x="172"/>
        <item x="170"/>
        <item x="197"/>
        <item x="174"/>
        <item x="179"/>
        <item x="180"/>
        <item x="184"/>
        <item x="183"/>
        <item x="185"/>
        <item x="217"/>
        <item x="136"/>
        <item x="195"/>
        <item x="200"/>
        <item x="201"/>
        <item x="203"/>
        <item x="205"/>
        <item x="209"/>
        <item x="207"/>
        <item x="3"/>
        <item x="214"/>
        <item x="223"/>
        <item x="433"/>
        <item x="224"/>
        <item x="611"/>
        <item x="575"/>
        <item x="87"/>
        <item x="228"/>
        <item x="234"/>
        <item x="191"/>
        <item x="225"/>
        <item x="227"/>
        <item x="199"/>
        <item x="212"/>
        <item x="516"/>
        <item x="128"/>
        <item x="192"/>
        <item x="226"/>
        <item x="116"/>
        <item x="188"/>
        <item x="198"/>
        <item x="206"/>
        <item x="10"/>
        <item x="145"/>
        <item x="239"/>
        <item x="421"/>
        <item x="489"/>
        <item x="233"/>
        <item x="581"/>
        <item x="284"/>
        <item x="598"/>
        <item x="90"/>
        <item x="189"/>
        <item x="276"/>
        <item x="446"/>
        <item x="229"/>
        <item x="236"/>
        <item x="237"/>
        <item x="231"/>
        <item x="287"/>
        <item x="235"/>
        <item x="240"/>
        <item x="243"/>
        <item x="211"/>
        <item x="244"/>
        <item x="72"/>
        <item x="246"/>
        <item x="277"/>
        <item x="252"/>
        <item x="251"/>
        <item x="175"/>
        <item x="202"/>
        <item x="216"/>
        <item x="256"/>
        <item x="210"/>
        <item x="257"/>
        <item x="271"/>
        <item x="291"/>
        <item x="293"/>
        <item x="250"/>
        <item x="245"/>
        <item x="110"/>
        <item x="248"/>
        <item x="269"/>
        <item x="263"/>
        <item x="20"/>
        <item x="213"/>
        <item x="222"/>
        <item x="265"/>
        <item x="253"/>
        <item x="289"/>
        <item x="335"/>
        <item x="124"/>
        <item x="613"/>
        <item x="260"/>
        <item x="267"/>
        <item x="215"/>
        <item x="158"/>
        <item x="268"/>
        <item x="261"/>
        <item x="272"/>
        <item x="275"/>
        <item x="123"/>
        <item x="282"/>
        <item x="278"/>
        <item x="281"/>
        <item x="274"/>
        <item x="288"/>
        <item x="636"/>
        <item x="332"/>
        <item x="266"/>
        <item x="587"/>
        <item x="300"/>
        <item x="302"/>
        <item x="154"/>
        <item x="637"/>
        <item x="304"/>
        <item x="298"/>
        <item x="299"/>
        <item x="311"/>
        <item x="312"/>
        <item x="308"/>
        <item x="527"/>
        <item x="146"/>
        <item x="320"/>
        <item x="321"/>
        <item x="441"/>
        <item x="323"/>
        <item x="324"/>
        <item x="325"/>
        <item x="326"/>
        <item x="345"/>
        <item x="330"/>
        <item x="609"/>
        <item x="341"/>
        <item x="327"/>
        <item x="340"/>
        <item x="329"/>
        <item x="339"/>
        <item x="379"/>
        <item x="333"/>
        <item x="295"/>
        <item x="337"/>
        <item x="358"/>
        <item x="219"/>
        <item x="336"/>
        <item x="280"/>
        <item x="338"/>
        <item x="328"/>
        <item x="316"/>
        <item x="46"/>
        <item x="351"/>
        <item x="352"/>
        <item x="355"/>
        <item x="307"/>
        <item x="342"/>
        <item x="367"/>
        <item x="371"/>
        <item x="285"/>
        <item x="372"/>
        <item x="220"/>
        <item x="376"/>
        <item x="377"/>
        <item x="380"/>
        <item x="383"/>
        <item x="374"/>
        <item x="273"/>
        <item x="36"/>
        <item x="375"/>
        <item x="461"/>
        <item x="95"/>
        <item x="93"/>
        <item x="143"/>
        <item x="387"/>
        <item x="305"/>
        <item x="594"/>
        <item x="388"/>
        <item x="390"/>
        <item x="395"/>
        <item x="641"/>
        <item x="7"/>
        <item x="322"/>
        <item x="394"/>
        <item x="105"/>
        <item x="28"/>
        <item x="439"/>
        <item x="400"/>
        <item x="401"/>
        <item x="397"/>
        <item x="406"/>
        <item x="404"/>
        <item x="408"/>
        <item x="642"/>
        <item x="279"/>
        <item x="409"/>
        <item x="399"/>
        <item x="396"/>
        <item x="411"/>
        <item x="412"/>
        <item x="381"/>
        <item x="413"/>
        <item x="418"/>
        <item x="414"/>
        <item x="415"/>
        <item x="294"/>
        <item x="378"/>
        <item x="343"/>
        <item x="423"/>
        <item x="382"/>
        <item x="424"/>
        <item x="426"/>
        <item x="427"/>
        <item x="428"/>
        <item x="430"/>
        <item x="431"/>
        <item x="432"/>
        <item x="434"/>
        <item x="436"/>
        <item x="301"/>
        <item x="442"/>
        <item x="435"/>
        <item x="440"/>
        <item x="39"/>
        <item x="444"/>
        <item x="89"/>
        <item x="445"/>
        <item x="453"/>
        <item x="443"/>
        <item x="459"/>
        <item x="462"/>
        <item x="464"/>
        <item x="466"/>
        <item x="455"/>
        <item x="467"/>
        <item x="468"/>
        <item x="469"/>
        <item x="482"/>
        <item x="353"/>
        <item x="344"/>
        <item x="473"/>
        <item x="475"/>
        <item x="540"/>
        <item x="486"/>
        <item x="477"/>
        <item x="479"/>
        <item x="346"/>
        <item x="481"/>
        <item x="347"/>
        <item x="625"/>
        <item x="484"/>
        <item x="483"/>
        <item x="485"/>
        <item x="488"/>
        <item x="111"/>
        <item x="491"/>
        <item x="480"/>
        <item x="492"/>
        <item x="493"/>
        <item x="495"/>
        <item x="496"/>
        <item x="497"/>
        <item x="494"/>
        <item x="499"/>
        <item x="498"/>
        <item x="500"/>
        <item x="501"/>
        <item x="8"/>
        <item x="505"/>
        <item x="506"/>
        <item x="507"/>
        <item x="508"/>
        <item x="510"/>
        <item x="187"/>
        <item x="512"/>
        <item x="350"/>
        <item x="515"/>
        <item x="517"/>
        <item x="519"/>
        <item x="504"/>
        <item x="662"/>
        <item x="521"/>
        <item x="528"/>
        <item x="523"/>
        <item x="524"/>
        <item x="525"/>
        <item x="532"/>
        <item x="526"/>
        <item x="530"/>
        <item x="531"/>
        <item x="306"/>
        <item x="534"/>
        <item x="535"/>
        <item x="190"/>
        <item x="193"/>
        <item x="554"/>
        <item x="503"/>
        <item x="536"/>
        <item x="166"/>
        <item x="476"/>
        <item x="651"/>
        <item x="563"/>
        <item x="317"/>
        <item x="539"/>
        <item x="607"/>
        <item x="543"/>
        <item x="546"/>
        <item x="618"/>
        <item x="354"/>
        <item x="471"/>
        <item x="138"/>
        <item x="603"/>
        <item x="552"/>
        <item x="553"/>
        <item x="557"/>
        <item x="560"/>
        <item x="559"/>
        <item x="558"/>
        <item x="132"/>
        <item x="502"/>
        <item x="6"/>
        <item x="270"/>
        <item x="569"/>
        <item x="604"/>
        <item x="238"/>
        <item x="564"/>
        <item x="310"/>
        <item x="29"/>
        <item x="101"/>
        <item x="303"/>
        <item x="571"/>
        <item x="572"/>
        <item x="574"/>
        <item x="522"/>
        <item x="663"/>
        <item x="359"/>
        <item x="584"/>
        <item x="585"/>
        <item x="550"/>
        <item x="360"/>
        <item x="588"/>
        <item x="654"/>
        <item x="591"/>
        <item x="623"/>
        <item x="318"/>
        <item x="593"/>
        <item x="391"/>
        <item x="595"/>
        <item x="576"/>
        <item x="596"/>
        <item x="643"/>
        <item x="597"/>
        <item x="599"/>
        <item x="555"/>
        <item x="600"/>
        <item x="589"/>
        <item x="601"/>
        <item x="608"/>
        <item x="362"/>
        <item x="139"/>
        <item x="605"/>
        <item x="614"/>
        <item x="568"/>
        <item x="264"/>
        <item x="615"/>
        <item x="290"/>
        <item x="621"/>
        <item x="617"/>
        <item x="620"/>
        <item x="619"/>
        <item x="622"/>
        <item x="624"/>
        <item x="627"/>
        <item x="628"/>
        <item x="644"/>
        <item x="655"/>
        <item x="632"/>
        <item x="556"/>
        <item x="638"/>
        <item x="640"/>
        <item x="656"/>
        <item x="649"/>
        <item x="141"/>
        <item x="319"/>
        <item x="364"/>
        <item x="658"/>
        <item x="657"/>
        <item x="151"/>
        <item x="635"/>
        <item x="660"/>
        <item x="661"/>
        <item x="366"/>
        <item x="152"/>
        <item x="629"/>
        <item x="314"/>
        <item x="369"/>
        <item x="22"/>
        <item x="659"/>
        <item x="331"/>
        <item x="130"/>
        <item x="42"/>
        <item x="86"/>
        <item x="241"/>
        <item x="247"/>
        <item x="255"/>
        <item x="286"/>
        <item x="309"/>
        <item x="567"/>
        <item x="664"/>
        <item x="665"/>
        <item x="666"/>
        <item x="669"/>
        <item x="670"/>
        <item x="671"/>
        <item x="672"/>
        <item x="673"/>
        <item x="674"/>
        <item x="676"/>
        <item x="43"/>
        <item x="34"/>
        <item x="63"/>
        <item x="64"/>
        <item x="74"/>
        <item x="99"/>
        <item x="173"/>
        <item x="249"/>
        <item x="254"/>
        <item x="258"/>
        <item x="292"/>
        <item x="349"/>
        <item x="370"/>
        <item x="384"/>
        <item x="385"/>
        <item x="386"/>
        <item x="392"/>
        <item x="393"/>
        <item x="417"/>
        <item x="425"/>
        <item x="450"/>
        <item x="457"/>
        <item x="458"/>
        <item x="470"/>
        <item x="487"/>
        <item x="537"/>
        <item x="545"/>
        <item x="547"/>
        <item x="580"/>
        <item x="586"/>
        <item x="590"/>
        <item x="606"/>
        <item x="612"/>
        <item x="639"/>
        <item x="650"/>
        <item x="80"/>
        <item x="334"/>
        <item x="356"/>
        <item x="398"/>
        <item x="403"/>
        <item x="35"/>
        <item x="58"/>
        <item x="416"/>
        <item x="419"/>
        <item x="429"/>
        <item x="447"/>
        <item x="582"/>
        <item x="675"/>
        <item x="542"/>
        <item x="115"/>
        <item x="79"/>
        <item x="96"/>
        <item x="97"/>
        <item x="218"/>
        <item x="570"/>
        <item x="583"/>
        <item x="647"/>
        <item x="668"/>
        <item x="135"/>
        <item x="161"/>
        <item x="296"/>
        <item x="357"/>
        <item x="402"/>
        <item x="465"/>
        <item x="520"/>
        <item x="538"/>
        <item x="577"/>
        <item x="579"/>
        <item x="610"/>
        <item x="677"/>
        <item x="678"/>
        <item x="679"/>
        <item x="681"/>
        <item x="682"/>
        <item x="683"/>
        <item x="684"/>
        <item x="685"/>
        <item x="368"/>
        <item x="204"/>
        <item x="422"/>
        <item x="565"/>
        <item x="32"/>
        <item x="94"/>
        <item x="112"/>
        <item x="127"/>
        <item x="148"/>
        <item x="221"/>
        <item x="410"/>
        <item x="437"/>
        <item x="472"/>
        <item x="474"/>
        <item x="490"/>
        <item x="511"/>
        <item x="541"/>
        <item x="686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54"/>
        <item x="177"/>
        <item x="529"/>
        <item x="633"/>
        <item x="24"/>
        <item x="169"/>
        <item x="313"/>
        <item x="363"/>
        <item x="405"/>
        <item x="407"/>
        <item x="449"/>
        <item x="460"/>
        <item x="514"/>
        <item x="548"/>
        <item x="653"/>
        <item x="680"/>
        <item x="283"/>
        <item x="454"/>
        <item x="478"/>
        <item x="59"/>
        <item x="119"/>
        <item x="262"/>
        <item x="518"/>
        <item x="551"/>
        <item x="566"/>
        <item x="667"/>
        <item x="56"/>
        <item x="147"/>
        <item x="182"/>
        <item x="297"/>
        <item x="361"/>
        <item x="602"/>
        <item x="687"/>
        <item t="default"/>
      </items>
    </pivotField>
    <pivotField showAll="0"/>
    <pivotField showAll="0"/>
  </pivotFields>
  <rowFields count="1">
    <field x="10"/>
  </rowFields>
  <rowItems count="139">
    <i>
      <x v="1"/>
    </i>
    <i>
      <x v="2"/>
    </i>
    <i>
      <x v="3"/>
    </i>
    <i>
      <x v="4"/>
    </i>
    <i>
      <x v="5"/>
    </i>
    <i>
      <x v="6"/>
    </i>
    <i>
      <x v="7"/>
    </i>
    <i>
      <x v="13"/>
    </i>
    <i>
      <x v="18"/>
    </i>
    <i>
      <x v="24"/>
    </i>
    <i>
      <x v="26"/>
    </i>
    <i>
      <x v="27"/>
    </i>
    <i>
      <x v="33"/>
    </i>
    <i>
      <x v="52"/>
    </i>
    <i>
      <x v="54"/>
    </i>
    <i>
      <x v="55"/>
    </i>
    <i>
      <x v="57"/>
    </i>
    <i>
      <x v="59"/>
    </i>
    <i>
      <x v="64"/>
    </i>
    <i>
      <x v="65"/>
    </i>
    <i>
      <x v="66"/>
    </i>
    <i>
      <x v="68"/>
    </i>
    <i>
      <x v="70"/>
    </i>
    <i>
      <x v="72"/>
    </i>
    <i>
      <x v="73"/>
    </i>
    <i>
      <x v="74"/>
    </i>
    <i>
      <x v="79"/>
    </i>
    <i>
      <x v="85"/>
    </i>
    <i>
      <x v="86"/>
    </i>
    <i>
      <x v="92"/>
    </i>
    <i>
      <x v="93"/>
    </i>
    <i>
      <x v="100"/>
    </i>
    <i>
      <x v="104"/>
    </i>
    <i>
      <x v="115"/>
    </i>
    <i>
      <x v="117"/>
    </i>
    <i>
      <x v="119"/>
    </i>
    <i>
      <x v="122"/>
    </i>
    <i>
      <x v="130"/>
    </i>
    <i>
      <x v="138"/>
    </i>
    <i>
      <x v="148"/>
    </i>
    <i>
      <x v="162"/>
    </i>
    <i>
      <x v="163"/>
    </i>
    <i>
      <x v="178"/>
    </i>
    <i>
      <x v="179"/>
    </i>
    <i>
      <x v="194"/>
    </i>
    <i>
      <x v="206"/>
    </i>
    <i>
      <x v="208"/>
    </i>
    <i>
      <x v="210"/>
    </i>
    <i>
      <x v="218"/>
    </i>
    <i>
      <x v="220"/>
    </i>
    <i>
      <x v="222"/>
    </i>
    <i>
      <x v="228"/>
    </i>
    <i>
      <x v="229"/>
    </i>
    <i>
      <x v="234"/>
    </i>
    <i>
      <x v="235"/>
    </i>
    <i>
      <x v="240"/>
    </i>
    <i>
      <x v="247"/>
    </i>
    <i>
      <x v="257"/>
    </i>
    <i>
      <x v="258"/>
    </i>
    <i>
      <x v="266"/>
    </i>
    <i>
      <x v="270"/>
    </i>
    <i>
      <x v="277"/>
    </i>
    <i>
      <x v="282"/>
    </i>
    <i>
      <x v="284"/>
    </i>
    <i>
      <x v="287"/>
    </i>
    <i>
      <x v="289"/>
    </i>
    <i>
      <x v="292"/>
    </i>
    <i>
      <x v="293"/>
    </i>
    <i>
      <x v="295"/>
    </i>
    <i>
      <x v="300"/>
    </i>
    <i>
      <x v="306"/>
    </i>
    <i>
      <x v="309"/>
    </i>
    <i>
      <x v="312"/>
    </i>
    <i>
      <x v="313"/>
    </i>
    <i>
      <x v="315"/>
    </i>
    <i>
      <x v="322"/>
    </i>
    <i>
      <x v="323"/>
    </i>
    <i>
      <x v="327"/>
    </i>
    <i>
      <x v="329"/>
    </i>
    <i>
      <x v="334"/>
    </i>
    <i>
      <x v="335"/>
    </i>
    <i>
      <x v="336"/>
    </i>
    <i>
      <x v="342"/>
    </i>
    <i>
      <x v="348"/>
    </i>
    <i>
      <x v="351"/>
    </i>
    <i>
      <x v="353"/>
    </i>
    <i>
      <x v="361"/>
    </i>
    <i>
      <x v="365"/>
    </i>
    <i>
      <x v="367"/>
    </i>
    <i>
      <x v="382"/>
    </i>
    <i>
      <x v="390"/>
    </i>
    <i>
      <x v="405"/>
    </i>
    <i>
      <x v="409"/>
    </i>
    <i>
      <x v="415"/>
    </i>
    <i>
      <x v="421"/>
    </i>
    <i>
      <x v="432"/>
    </i>
    <i>
      <x v="435"/>
    </i>
    <i>
      <x v="436"/>
    </i>
    <i>
      <x v="442"/>
    </i>
    <i>
      <x v="443"/>
    </i>
    <i>
      <x v="444"/>
    </i>
    <i>
      <x v="456"/>
    </i>
    <i>
      <x v="463"/>
    </i>
    <i>
      <x v="466"/>
    </i>
    <i>
      <x v="468"/>
    </i>
    <i>
      <x v="469"/>
    </i>
    <i>
      <x v="470"/>
    </i>
    <i>
      <x v="471"/>
    </i>
    <i>
      <x v="474"/>
    </i>
    <i>
      <x v="476"/>
    </i>
    <i>
      <x v="477"/>
    </i>
    <i>
      <x v="481"/>
    </i>
    <i>
      <x v="483"/>
    </i>
    <i>
      <x v="486"/>
    </i>
    <i>
      <x v="489"/>
    </i>
    <i>
      <x v="490"/>
    </i>
    <i>
      <x v="496"/>
    </i>
    <i>
      <x v="497"/>
    </i>
    <i>
      <x v="498"/>
    </i>
    <i>
      <x v="501"/>
    </i>
    <i>
      <x v="514"/>
    </i>
    <i>
      <x v="522"/>
    </i>
    <i>
      <x v="524"/>
    </i>
    <i>
      <x v="525"/>
    </i>
    <i>
      <x v="526"/>
    </i>
    <i>
      <x v="535"/>
    </i>
    <i>
      <x v="536"/>
    </i>
    <i>
      <x v="538"/>
    </i>
    <i>
      <x v="539"/>
    </i>
    <i>
      <x v="541"/>
    </i>
    <i>
      <x v="560"/>
    </i>
    <i>
      <x v="609"/>
    </i>
    <i>
      <x v="632"/>
    </i>
    <i>
      <x v="637"/>
    </i>
    <i>
      <x v="656"/>
    </i>
    <i>
      <x v="694"/>
    </i>
    <i>
      <x v="699"/>
    </i>
    <i>
      <x v="702"/>
    </i>
    <i t="grand">
      <x/>
    </i>
  </rowItems>
  <colFields count="1">
    <field x="5"/>
  </colFields>
  <colItems count="13">
    <i>
      <x/>
    </i>
    <i>
      <x v="1"/>
    </i>
    <i>
      <x v="2"/>
    </i>
    <i>
      <x v="5"/>
    </i>
    <i>
      <x v="10"/>
    </i>
    <i>
      <x v="12"/>
    </i>
    <i>
      <x v="16"/>
    </i>
    <i>
      <x v="19"/>
    </i>
    <i>
      <x v="20"/>
    </i>
    <i>
      <x v="23"/>
    </i>
    <i>
      <x v="24"/>
    </i>
    <i>
      <x v="27"/>
    </i>
    <i t="grand">
      <x/>
    </i>
  </colItems>
  <dataFields count="1">
    <dataField name="Sum of Power MW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39"/>
  <sheetViews>
    <sheetView showGridLines="0" zoomScale="54" zoomScaleNormal="54" workbookViewId="0">
      <selection activeCell="T13" sqref="T13"/>
    </sheetView>
  </sheetViews>
  <sheetFormatPr defaultRowHeight="15" x14ac:dyDescent="0.25"/>
  <cols>
    <col min="32" max="39" width="16.140625" customWidth="1"/>
  </cols>
  <sheetData>
    <row r="1" spans="1:50" ht="45" x14ac:dyDescent="0.25">
      <c r="A1" s="2" t="s">
        <v>8884</v>
      </c>
      <c r="B1" s="2" t="s">
        <v>8864</v>
      </c>
      <c r="C1" s="2" t="s">
        <v>8861</v>
      </c>
      <c r="D1" s="2" t="s">
        <v>8865</v>
      </c>
      <c r="E1" s="2" t="s">
        <v>8862</v>
      </c>
      <c r="F1" s="2" t="s">
        <v>1684</v>
      </c>
      <c r="G1" s="2" t="s">
        <v>8863</v>
      </c>
      <c r="H1" s="2" t="s">
        <v>8873</v>
      </c>
      <c r="I1" s="2" t="s">
        <v>8867</v>
      </c>
      <c r="J1" s="2" t="s">
        <v>8876</v>
      </c>
      <c r="K1" s="2" t="s">
        <v>8869</v>
      </c>
      <c r="L1" s="2" t="s">
        <v>8868</v>
      </c>
      <c r="M1" s="2" t="s">
        <v>8872</v>
      </c>
      <c r="N1" s="2" t="s">
        <v>8882</v>
      </c>
      <c r="O1" s="2" t="s">
        <v>8885</v>
      </c>
      <c r="P1" s="2" t="s">
        <v>8886</v>
      </c>
      <c r="Q1" s="2"/>
      <c r="R1" s="11" t="s">
        <v>8884</v>
      </c>
      <c r="S1" s="2" t="s">
        <v>8887</v>
      </c>
      <c r="T1" s="2" t="s">
        <v>8888</v>
      </c>
      <c r="U1" s="2" t="s">
        <v>8863</v>
      </c>
      <c r="V1" s="2" t="s">
        <v>8866</v>
      </c>
      <c r="W1" s="2" t="s">
        <v>8876</v>
      </c>
      <c r="X1" s="2" t="s">
        <v>8867</v>
      </c>
      <c r="Y1" s="2" t="s">
        <v>8869</v>
      </c>
      <c r="Z1" s="2" t="s">
        <v>8889</v>
      </c>
      <c r="AA1" s="2" t="s">
        <v>8514</v>
      </c>
      <c r="AB1" s="2"/>
      <c r="AD1" t="s">
        <v>8884</v>
      </c>
      <c r="AE1" t="s">
        <v>8889</v>
      </c>
      <c r="AF1" t="s">
        <v>8887</v>
      </c>
      <c r="AG1" t="s">
        <v>8888</v>
      </c>
      <c r="AH1" t="s">
        <v>8863</v>
      </c>
      <c r="AI1" t="s">
        <v>8866</v>
      </c>
      <c r="AJ1" t="s">
        <v>8876</v>
      </c>
      <c r="AK1" t="s">
        <v>8867</v>
      </c>
      <c r="AL1" t="s">
        <v>8869</v>
      </c>
      <c r="AM1" t="s">
        <v>8514</v>
      </c>
    </row>
    <row r="2" spans="1:50" x14ac:dyDescent="0.25">
      <c r="A2" t="s">
        <v>8421</v>
      </c>
      <c r="B2">
        <f>+VLOOKUP($A2,Aux!$A$5:$O$677,COLUMN()-COLUMN($A$1)+1,0)</f>
        <v>0</v>
      </c>
      <c r="C2">
        <f>+VLOOKUP($A2,Aux!$A$5:$O$677,COLUMN()-COLUMN($A$1)+1,0)</f>
        <v>161.89999999999998</v>
      </c>
      <c r="D2">
        <f>+VLOOKUP($A2,Aux!$A$5:$O$677,COLUMN()-COLUMN($A$1)+1,0)</f>
        <v>808.09999999999968</v>
      </c>
      <c r="E2">
        <f>+VLOOKUP($A2,Aux!$A$5:$O$677,COLUMN()-COLUMN($A$1)+1,0)</f>
        <v>9.4</v>
      </c>
      <c r="F2">
        <f>+VLOOKUP($A2,Aux!$A$5:$O$677,COLUMN()-COLUMN($A$1)+1,0)</f>
        <v>0</v>
      </c>
      <c r="G2">
        <f>+VLOOKUP($A2,Aux!$A$5:$O$677,COLUMN()-COLUMN($A$1)+1,0)</f>
        <v>364.2000000000001</v>
      </c>
      <c r="H2">
        <f>+VLOOKUP($A2,Aux!$A$5:$O$677,COLUMN()-COLUMN($A$1)+1,0)</f>
        <v>184</v>
      </c>
      <c r="I2">
        <f>+VLOOKUP($A2,Aux!$A$5:$O$677,COLUMN()-COLUMN($A$1)+1,0)</f>
        <v>1873.8</v>
      </c>
      <c r="J2">
        <f>+VLOOKUP($A2,Aux!$A$5:$O$677,COLUMN()-COLUMN($A$1)+1,0)</f>
        <v>1010.2999999999998</v>
      </c>
      <c r="K2">
        <f>+VLOOKUP($A2,Aux!$A$5:$O$677,COLUMN()-COLUMN($A$1)+1,0)</f>
        <v>2734.5000000000009</v>
      </c>
      <c r="L2">
        <f>+VLOOKUP($A2,Aux!$A$5:$O$677,COLUMN()-COLUMN($A$1)+1,0)</f>
        <v>0</v>
      </c>
      <c r="M2">
        <f>+VLOOKUP($A2,Aux!$A$5:$O$677,COLUMN()-COLUMN($A$1)+1,0)</f>
        <v>75.699999999999989</v>
      </c>
      <c r="N2">
        <f>+VLOOKUP($A2,Aux!$A$5:$O$677,COLUMN()-COLUMN($A$1)+1,0)</f>
        <v>7221.9000000000005</v>
      </c>
      <c r="O2" s="3"/>
      <c r="P2" s="4"/>
      <c r="R2" t="str">
        <f t="shared" ref="R2:R16" si="0">+A2</f>
        <v>AXPO</v>
      </c>
      <c r="S2" s="5">
        <f t="shared" ref="S2:S15" si="1">+M2+D2</f>
        <v>883.79999999999973</v>
      </c>
      <c r="T2" s="5">
        <f>+B2+C2</f>
        <v>161.89999999999998</v>
      </c>
      <c r="U2" s="5">
        <f>+G2</f>
        <v>364.2000000000001</v>
      </c>
      <c r="V2" s="5">
        <f>+L2</f>
        <v>0</v>
      </c>
      <c r="W2" s="5">
        <f>+J2</f>
        <v>1010.2999999999998</v>
      </c>
      <c r="X2" s="5">
        <f>+I2</f>
        <v>1873.8</v>
      </c>
      <c r="Y2" s="5">
        <f>+K2</f>
        <v>2734.5000000000009</v>
      </c>
      <c r="Z2" s="5">
        <f t="shared" ref="Z2:Z15" si="2">+SUM(E2,F2,H2)</f>
        <v>193.4</v>
      </c>
      <c r="AA2" s="5">
        <f t="shared" ref="AA2:AA15" si="3">+SUM(S2:Z2)</f>
        <v>7221.9000000000005</v>
      </c>
      <c r="AC2" s="6"/>
      <c r="AD2" t="str">
        <f>+AD25</f>
        <v>IGNIS</v>
      </c>
      <c r="AE2" s="10">
        <f>AE25/10^3</f>
        <v>1.6000000000000001E-3</v>
      </c>
      <c r="AF2" s="10">
        <f t="shared" ref="AF2:AM2" si="4">AF25/10^3</f>
        <v>0.19400000000000001</v>
      </c>
      <c r="AG2" s="10">
        <f t="shared" si="4"/>
        <v>0.30160000000000003</v>
      </c>
      <c r="AH2" s="10">
        <f t="shared" si="4"/>
        <v>0.21509999999999999</v>
      </c>
      <c r="AI2" s="10">
        <f t="shared" si="4"/>
        <v>0</v>
      </c>
      <c r="AJ2" s="10">
        <f t="shared" si="4"/>
        <v>9.98E-2</v>
      </c>
      <c r="AK2" s="10">
        <f t="shared" si="4"/>
        <v>4.3797000000000015</v>
      </c>
      <c r="AL2" s="10">
        <f t="shared" si="4"/>
        <v>2.5478000000000005</v>
      </c>
      <c r="AM2" s="10">
        <f t="shared" si="4"/>
        <v>7.739600000000002</v>
      </c>
      <c r="AO2" s="6"/>
      <c r="AP2" s="10"/>
      <c r="AQ2" s="10"/>
      <c r="AR2" s="10"/>
      <c r="AS2" s="10"/>
      <c r="AT2" s="10"/>
      <c r="AU2" s="10"/>
      <c r="AV2" s="10"/>
      <c r="AW2" s="10"/>
      <c r="AX2" s="10"/>
    </row>
    <row r="3" spans="1:50" x14ac:dyDescent="0.25">
      <c r="A3" t="s">
        <v>8508</v>
      </c>
      <c r="B3">
        <f>+VLOOKUP($A3,Aux!$A$5:$O$677,COLUMN()-COLUMN($A$1)+1,0)</f>
        <v>0</v>
      </c>
      <c r="C3">
        <f>+VLOOKUP($A3,Aux!$A$5:$O$677,COLUMN()-COLUMN($A$1)+1,0)</f>
        <v>0</v>
      </c>
      <c r="D3">
        <f>+VLOOKUP($A3,Aux!$A$5:$O$677,COLUMN()-COLUMN($A$1)+1,0)</f>
        <v>4.5999999999999996</v>
      </c>
      <c r="E3">
        <f>+VLOOKUP($A3,Aux!$A$5:$O$677,COLUMN()-COLUMN($A$1)+1,0)</f>
        <v>0</v>
      </c>
      <c r="F3">
        <f>+VLOOKUP($A3,Aux!$A$5:$O$677,COLUMN()-COLUMN($A$1)+1,0)</f>
        <v>0</v>
      </c>
      <c r="G3">
        <f>+VLOOKUP($A3,Aux!$A$5:$O$677,COLUMN()-COLUMN($A$1)+1,0)</f>
        <v>242.8</v>
      </c>
      <c r="H3">
        <f>+VLOOKUP($A3,Aux!$A$5:$O$677,COLUMN()-COLUMN($A$1)+1,0)</f>
        <v>0</v>
      </c>
      <c r="I3">
        <f>+VLOOKUP($A3,Aux!$A$5:$O$677,COLUMN()-COLUMN($A$1)+1,0)</f>
        <v>211.10000000000002</v>
      </c>
      <c r="J3">
        <f>+VLOOKUP($A3,Aux!$A$5:$O$677,COLUMN()-COLUMN($A$1)+1,0)</f>
        <v>0</v>
      </c>
      <c r="K3">
        <f>+VLOOKUP($A3,Aux!$A$5:$O$677,COLUMN()-COLUMN($A$1)+1,0)</f>
        <v>4344.300000000002</v>
      </c>
      <c r="L3">
        <f>+VLOOKUP($A3,Aux!$A$5:$O$677,COLUMN()-COLUMN($A$1)+1,0)</f>
        <v>0</v>
      </c>
      <c r="M3">
        <f>+VLOOKUP($A3,Aux!$A$5:$O$677,COLUMN()-COLUMN($A$1)+1,0)</f>
        <v>111.1</v>
      </c>
      <c r="N3">
        <f>+VLOOKUP($A3,Aux!$A$5:$O$677,COLUMN()-COLUMN($A$1)+1,0)</f>
        <v>4913.9000000000024</v>
      </c>
      <c r="O3" s="3"/>
      <c r="P3" s="4"/>
      <c r="R3" t="str">
        <f t="shared" si="0"/>
        <v>ACCIONA</v>
      </c>
      <c r="S3" s="5">
        <f t="shared" si="1"/>
        <v>115.69999999999999</v>
      </c>
      <c r="T3" s="5">
        <f t="shared" ref="T3:T15" si="5">+B3+C3</f>
        <v>0</v>
      </c>
      <c r="U3" s="5">
        <f t="shared" ref="U3:U15" si="6">+G3</f>
        <v>242.8</v>
      </c>
      <c r="V3" s="5">
        <f t="shared" ref="V3:V15" si="7">+L3</f>
        <v>0</v>
      </c>
      <c r="W3" s="5">
        <f t="shared" ref="W3:W15" si="8">+J3</f>
        <v>0</v>
      </c>
      <c r="X3" s="5">
        <f t="shared" ref="X3:X15" si="9">+I3</f>
        <v>211.10000000000002</v>
      </c>
      <c r="Y3" s="5">
        <f t="shared" ref="Y3:Y15" si="10">+K3</f>
        <v>4344.300000000002</v>
      </c>
      <c r="Z3" s="5">
        <f t="shared" si="2"/>
        <v>0</v>
      </c>
      <c r="AA3" s="5">
        <f t="shared" si="3"/>
        <v>4913.9000000000024</v>
      </c>
      <c r="AC3" s="6"/>
      <c r="AD3" t="str">
        <f t="shared" ref="AD3:AD16" si="11">+AD26</f>
        <v>AXPO</v>
      </c>
      <c r="AE3" s="10">
        <f t="shared" ref="AE3:AM3" si="12">AE26/10^3</f>
        <v>0.19340000000000002</v>
      </c>
      <c r="AF3" s="10">
        <f t="shared" si="12"/>
        <v>0.8837999999999997</v>
      </c>
      <c r="AG3" s="10">
        <f t="shared" si="12"/>
        <v>0.16189999999999999</v>
      </c>
      <c r="AH3" s="10">
        <f t="shared" si="12"/>
        <v>0.36430000000000007</v>
      </c>
      <c r="AI3" s="10">
        <f t="shared" si="12"/>
        <v>0</v>
      </c>
      <c r="AJ3" s="10">
        <f t="shared" si="12"/>
        <v>1.0102999999999998</v>
      </c>
      <c r="AK3" s="10">
        <f t="shared" si="12"/>
        <v>1.7943999999999996</v>
      </c>
      <c r="AL3" s="10">
        <f t="shared" si="12"/>
        <v>2.6975000000000011</v>
      </c>
      <c r="AM3" s="10">
        <f t="shared" si="12"/>
        <v>7.105599999999999</v>
      </c>
      <c r="AO3" s="6"/>
      <c r="AP3" s="10"/>
      <c r="AQ3" s="10"/>
      <c r="AR3" s="10"/>
      <c r="AS3" s="10"/>
      <c r="AT3" s="10"/>
      <c r="AU3" s="10"/>
      <c r="AV3" s="10"/>
      <c r="AW3" s="10"/>
      <c r="AX3" s="10"/>
    </row>
    <row r="4" spans="1:50" x14ac:dyDescent="0.25">
      <c r="A4" t="s">
        <v>8422</v>
      </c>
      <c r="B4">
        <f>+VLOOKUP($A4,Aux!$A$5:$O$677,COLUMN()-COLUMN($A$1)+1,0)</f>
        <v>0</v>
      </c>
      <c r="C4">
        <f>+VLOOKUP($A4,Aux!$A$5:$O$677,COLUMN()-COLUMN($A$1)+1,0)</f>
        <v>12.1</v>
      </c>
      <c r="D4">
        <f>+VLOOKUP($A4,Aux!$A$5:$O$677,COLUMN()-COLUMN($A$1)+1,0)</f>
        <v>310.7</v>
      </c>
      <c r="E4">
        <f>+VLOOKUP($A4,Aux!$A$5:$O$677,COLUMN()-COLUMN($A$1)+1,0)</f>
        <v>0</v>
      </c>
      <c r="F4">
        <f>+VLOOKUP($A4,Aux!$A$5:$O$677,COLUMN()-COLUMN($A$1)+1,0)</f>
        <v>7.9</v>
      </c>
      <c r="G4">
        <f>+VLOOKUP($A4,Aux!$A$5:$O$677,COLUMN()-COLUMN($A$1)+1,0)</f>
        <v>155.4</v>
      </c>
      <c r="H4">
        <f>+VLOOKUP($A4,Aux!$A$5:$O$677,COLUMN()-COLUMN($A$1)+1,0)</f>
        <v>41.7</v>
      </c>
      <c r="I4">
        <f>+VLOOKUP($A4,Aux!$A$5:$O$677,COLUMN()-COLUMN($A$1)+1,0)</f>
        <v>4576.6000000000022</v>
      </c>
      <c r="J4">
        <f>+VLOOKUP($A4,Aux!$A$5:$O$677,COLUMN()-COLUMN($A$1)+1,0)</f>
        <v>249.5</v>
      </c>
      <c r="K4">
        <f>+VLOOKUP($A4,Aux!$A$5:$O$677,COLUMN()-COLUMN($A$1)+1,0)</f>
        <v>1048.0999999999999</v>
      </c>
      <c r="L4">
        <f>+VLOOKUP($A4,Aux!$A$5:$O$677,COLUMN()-COLUMN($A$1)+1,0)</f>
        <v>0</v>
      </c>
      <c r="M4">
        <f>+VLOOKUP($A4,Aux!$A$5:$O$677,COLUMN()-COLUMN($A$1)+1,0)</f>
        <v>116.69999999999999</v>
      </c>
      <c r="N4">
        <f>+VLOOKUP($A4,Aux!$A$5:$O$677,COLUMN()-COLUMN($A$1)+1,0)</f>
        <v>6518.7000000000016</v>
      </c>
      <c r="O4" s="3"/>
      <c r="P4" s="4"/>
      <c r="R4" t="str">
        <f t="shared" si="0"/>
        <v>NEXUS</v>
      </c>
      <c r="S4" s="5">
        <f t="shared" si="1"/>
        <v>427.4</v>
      </c>
      <c r="T4" s="5">
        <f t="shared" si="5"/>
        <v>12.1</v>
      </c>
      <c r="U4" s="5">
        <f t="shared" si="6"/>
        <v>155.4</v>
      </c>
      <c r="V4" s="5">
        <f t="shared" si="7"/>
        <v>0</v>
      </c>
      <c r="W4" s="5">
        <f t="shared" si="8"/>
        <v>249.5</v>
      </c>
      <c r="X4" s="5">
        <f t="shared" si="9"/>
        <v>4576.6000000000022</v>
      </c>
      <c r="Y4" s="5">
        <f t="shared" si="10"/>
        <v>1048.0999999999999</v>
      </c>
      <c r="Z4" s="5">
        <f t="shared" si="2"/>
        <v>49.6</v>
      </c>
      <c r="AA4" s="5">
        <f t="shared" si="3"/>
        <v>6518.7000000000025</v>
      </c>
      <c r="AC4" s="6"/>
      <c r="AD4" t="str">
        <f t="shared" si="11"/>
        <v>NEXUS</v>
      </c>
      <c r="AE4" s="10">
        <f t="shared" ref="AE4:AM4" si="13">AE27/10^3</f>
        <v>4.9599999999999998E-2</v>
      </c>
      <c r="AF4" s="10">
        <f t="shared" si="13"/>
        <v>0.4274</v>
      </c>
      <c r="AG4" s="10">
        <f t="shared" si="13"/>
        <v>1.21E-2</v>
      </c>
      <c r="AH4" s="10">
        <f t="shared" si="13"/>
        <v>0.14240000000000003</v>
      </c>
      <c r="AI4" s="10">
        <f t="shared" si="13"/>
        <v>0</v>
      </c>
      <c r="AJ4" s="10">
        <f t="shared" si="13"/>
        <v>0.2495</v>
      </c>
      <c r="AK4" s="10">
        <f t="shared" si="13"/>
        <v>4.6002000000000018</v>
      </c>
      <c r="AL4" s="10">
        <f t="shared" si="13"/>
        <v>1.0480999999999998</v>
      </c>
      <c r="AM4" s="10">
        <f t="shared" si="13"/>
        <v>6.5293000000000028</v>
      </c>
      <c r="AO4" s="6"/>
      <c r="AP4" s="10"/>
      <c r="AQ4" s="10"/>
      <c r="AR4" s="10"/>
      <c r="AS4" s="10"/>
      <c r="AT4" s="10"/>
      <c r="AU4" s="10"/>
      <c r="AV4" s="10"/>
      <c r="AW4" s="10"/>
      <c r="AX4" s="10"/>
    </row>
    <row r="5" spans="1:50" x14ac:dyDescent="0.25">
      <c r="A5" t="s">
        <v>8443</v>
      </c>
      <c r="B5">
        <f>+VLOOKUP($A5,Aux!$A$5:$O$677,COLUMN()-COLUMN($A$1)+1,0)</f>
        <v>1624.8</v>
      </c>
      <c r="C5">
        <f>+VLOOKUP($A5,Aux!$A$5:$O$677,COLUMN()-COLUMN($A$1)+1,0)</f>
        <v>225.1</v>
      </c>
      <c r="D5">
        <f>+VLOOKUP($A5,Aux!$A$5:$O$677,COLUMN()-COLUMN($A$1)+1,0)</f>
        <v>494.70000000000005</v>
      </c>
      <c r="E5">
        <f>+VLOOKUP($A5,Aux!$A$5:$O$677,COLUMN()-COLUMN($A$1)+1,0)</f>
        <v>0</v>
      </c>
      <c r="F5">
        <f>+VLOOKUP($A5,Aux!$A$5:$O$677,COLUMN()-COLUMN($A$1)+1,0)</f>
        <v>0</v>
      </c>
      <c r="G5">
        <f>+VLOOKUP($A5,Aux!$A$5:$O$677,COLUMN()-COLUMN($A$1)+1,0)</f>
        <v>333.80000000000007</v>
      </c>
      <c r="H5">
        <f>+VLOOKUP($A5,Aux!$A$5:$O$677,COLUMN()-COLUMN($A$1)+1,0)</f>
        <v>12.2</v>
      </c>
      <c r="I5">
        <f>+VLOOKUP($A5,Aux!$A$5:$O$677,COLUMN()-COLUMN($A$1)+1,0)</f>
        <v>746.90000000000009</v>
      </c>
      <c r="J5">
        <f>+VLOOKUP($A5,Aux!$A$5:$O$677,COLUMN()-COLUMN($A$1)+1,0)</f>
        <v>0</v>
      </c>
      <c r="K5">
        <f>+VLOOKUP($A5,Aux!$A$5:$O$677,COLUMN()-COLUMN($A$1)+1,0)</f>
        <v>1433.8999999999999</v>
      </c>
      <c r="L5">
        <f>+VLOOKUP($A5,Aux!$A$5:$O$677,COLUMN()-COLUMN($A$1)+1,0)</f>
        <v>360.4</v>
      </c>
      <c r="M5">
        <f>+VLOOKUP($A5,Aux!$A$5:$O$677,COLUMN()-COLUMN($A$1)+1,0)</f>
        <v>0</v>
      </c>
      <c r="N5">
        <f>+VLOOKUP($A5,Aux!$A$5:$O$677,COLUMN()-COLUMN($A$1)+1,0)</f>
        <v>5231.7999999999993</v>
      </c>
      <c r="O5" s="3"/>
      <c r="P5" s="4"/>
      <c r="R5" t="str">
        <f t="shared" si="0"/>
        <v>REPSOL</v>
      </c>
      <c r="S5" s="5">
        <f>+M5+D5</f>
        <v>494.70000000000005</v>
      </c>
      <c r="T5" s="5">
        <f t="shared" si="5"/>
        <v>1849.8999999999999</v>
      </c>
      <c r="U5" s="5">
        <f t="shared" si="6"/>
        <v>333.80000000000007</v>
      </c>
      <c r="V5" s="5">
        <f t="shared" si="7"/>
        <v>360.4</v>
      </c>
      <c r="W5" s="5">
        <f t="shared" si="8"/>
        <v>0</v>
      </c>
      <c r="X5" s="5">
        <f t="shared" si="9"/>
        <v>746.90000000000009</v>
      </c>
      <c r="Y5" s="5">
        <f t="shared" si="10"/>
        <v>1433.8999999999999</v>
      </c>
      <c r="Z5" s="5">
        <f t="shared" si="2"/>
        <v>12.2</v>
      </c>
      <c r="AA5" s="5">
        <f t="shared" si="3"/>
        <v>5231.8</v>
      </c>
      <c r="AC5" s="6"/>
      <c r="AD5" t="str">
        <f t="shared" si="11"/>
        <v>REPSOL</v>
      </c>
      <c r="AE5" s="10">
        <f t="shared" ref="AE5:AM5" si="14">AE28/10^3</f>
        <v>1.2199999999999999E-2</v>
      </c>
      <c r="AF5" s="10">
        <f t="shared" si="14"/>
        <v>0.49470000000000003</v>
      </c>
      <c r="AG5" s="10">
        <f t="shared" si="14"/>
        <v>1.8498999999999999</v>
      </c>
      <c r="AH5" s="10">
        <f t="shared" si="14"/>
        <v>0.33380000000000004</v>
      </c>
      <c r="AI5" s="10">
        <f t="shared" si="14"/>
        <v>0.3604</v>
      </c>
      <c r="AJ5" s="10">
        <f t="shared" si="14"/>
        <v>0</v>
      </c>
      <c r="AK5" s="10">
        <f t="shared" si="14"/>
        <v>0.74690000000000012</v>
      </c>
      <c r="AL5" s="10">
        <f t="shared" si="14"/>
        <v>1.4339</v>
      </c>
      <c r="AM5" s="10">
        <f t="shared" si="14"/>
        <v>5.2317999999999998</v>
      </c>
      <c r="AO5" s="6"/>
      <c r="AP5" s="10"/>
      <c r="AQ5" s="10"/>
      <c r="AR5" s="10"/>
      <c r="AS5" s="10"/>
      <c r="AT5" s="10"/>
      <c r="AU5" s="10"/>
      <c r="AV5" s="10"/>
      <c r="AW5" s="10"/>
      <c r="AX5" s="10"/>
    </row>
    <row r="6" spans="1:50" x14ac:dyDescent="0.25">
      <c r="A6" t="s">
        <v>8524</v>
      </c>
      <c r="B6">
        <f>+VLOOKUP($A6,Aux!$A$5:$O$677,COLUMN()-COLUMN($A$1)+1,0)</f>
        <v>1989.7</v>
      </c>
      <c r="C6">
        <f>+VLOOKUP($A6,Aux!$A$5:$O$677,COLUMN()-COLUMN($A$1)+1,0)</f>
        <v>0</v>
      </c>
      <c r="D6">
        <f>+VLOOKUP($A6,Aux!$A$5:$O$677,COLUMN()-COLUMN($A$1)+1,0)</f>
        <v>34.299999999999997</v>
      </c>
      <c r="E6">
        <f>+VLOOKUP($A6,Aux!$A$5:$O$677,COLUMN()-COLUMN($A$1)+1,0)</f>
        <v>0</v>
      </c>
      <c r="F6">
        <f>+VLOOKUP($A6,Aux!$A$5:$O$677,COLUMN()-COLUMN($A$1)+1,0)</f>
        <v>0</v>
      </c>
      <c r="G6">
        <f>+VLOOKUP($A6,Aux!$A$5:$O$677,COLUMN()-COLUMN($A$1)+1,0)</f>
        <v>77.3</v>
      </c>
      <c r="H6">
        <f>+VLOOKUP($A6,Aux!$A$5:$O$677,COLUMN()-COLUMN($A$1)+1,0)</f>
        <v>0</v>
      </c>
      <c r="I6">
        <f>+VLOOKUP($A6,Aux!$A$5:$O$677,COLUMN()-COLUMN($A$1)+1,0)</f>
        <v>177</v>
      </c>
      <c r="J6">
        <f>+VLOOKUP($A6,Aux!$A$5:$O$677,COLUMN()-COLUMN($A$1)+1,0)</f>
        <v>0</v>
      </c>
      <c r="K6">
        <f>+VLOOKUP($A6,Aux!$A$5:$O$677,COLUMN()-COLUMN($A$1)+1,0)</f>
        <v>1407.8999999999999</v>
      </c>
      <c r="L6">
        <f>+VLOOKUP($A6,Aux!$A$5:$O$677,COLUMN()-COLUMN($A$1)+1,0)</f>
        <v>0</v>
      </c>
      <c r="M6">
        <f>+VLOOKUP($A6,Aux!$A$5:$O$677,COLUMN()-COLUMN($A$1)+1,0)</f>
        <v>0</v>
      </c>
      <c r="N6">
        <f>+VLOOKUP($A6,Aux!$A$5:$O$677,COLUMN()-COLUMN($A$1)+1,0)</f>
        <v>3686.2</v>
      </c>
      <c r="O6" s="3"/>
      <c r="P6" s="4"/>
      <c r="R6" t="str">
        <f t="shared" si="0"/>
        <v>ENGIE</v>
      </c>
      <c r="S6" s="5">
        <f t="shared" si="1"/>
        <v>34.299999999999997</v>
      </c>
      <c r="T6" s="5">
        <f t="shared" si="5"/>
        <v>1989.7</v>
      </c>
      <c r="U6" s="5">
        <f t="shared" si="6"/>
        <v>77.3</v>
      </c>
      <c r="V6" s="5">
        <f t="shared" si="7"/>
        <v>0</v>
      </c>
      <c r="W6" s="5">
        <f t="shared" si="8"/>
        <v>0</v>
      </c>
      <c r="X6" s="5">
        <f t="shared" si="9"/>
        <v>177</v>
      </c>
      <c r="Y6" s="5">
        <f t="shared" si="10"/>
        <v>1407.8999999999999</v>
      </c>
      <c r="Z6" s="5">
        <f t="shared" si="2"/>
        <v>0</v>
      </c>
      <c r="AA6" s="5">
        <f t="shared" si="3"/>
        <v>3686.2</v>
      </c>
      <c r="AC6" s="6"/>
      <c r="AD6" t="str">
        <f t="shared" si="11"/>
        <v>GNERA</v>
      </c>
      <c r="AE6" s="10">
        <f t="shared" ref="AE6:AM6" si="15">AE29/10^3</f>
        <v>2.5899999999999999E-2</v>
      </c>
      <c r="AF6" s="10">
        <f t="shared" si="15"/>
        <v>0.21639999999999998</v>
      </c>
      <c r="AG6" s="10">
        <f t="shared" si="15"/>
        <v>9.1999999999999998E-3</v>
      </c>
      <c r="AH6" s="10">
        <f t="shared" si="15"/>
        <v>0.24869999999999995</v>
      </c>
      <c r="AI6" s="10">
        <f t="shared" si="15"/>
        <v>0</v>
      </c>
      <c r="AJ6" s="10">
        <f t="shared" si="15"/>
        <v>0.3669</v>
      </c>
      <c r="AK6" s="10">
        <f t="shared" si="15"/>
        <v>3.4017999999999993</v>
      </c>
      <c r="AL6" s="10">
        <f t="shared" si="15"/>
        <v>0.67839999999999989</v>
      </c>
      <c r="AM6" s="10">
        <f t="shared" si="15"/>
        <v>4.9472999999999985</v>
      </c>
      <c r="AO6" s="6"/>
      <c r="AP6" s="10"/>
      <c r="AQ6" s="10"/>
      <c r="AR6" s="10"/>
      <c r="AS6" s="10"/>
      <c r="AT6" s="10"/>
      <c r="AU6" s="10"/>
      <c r="AV6" s="10"/>
      <c r="AW6" s="10"/>
      <c r="AX6" s="10"/>
    </row>
    <row r="7" spans="1:50" x14ac:dyDescent="0.25">
      <c r="A7" t="s">
        <v>516</v>
      </c>
      <c r="B7">
        <f>+VLOOKUP($A7,Aux!$A$5:$O$677,COLUMN()-COLUMN($A$1)+1,0)</f>
        <v>274.60000000000002</v>
      </c>
      <c r="C7">
        <f>+VLOOKUP($A7,Aux!$A$5:$O$677,COLUMN()-COLUMN($A$1)+1,0)</f>
        <v>27</v>
      </c>
      <c r="D7">
        <f>+VLOOKUP($A7,Aux!$A$5:$O$677,COLUMN()-COLUMN($A$1)+1,0)</f>
        <v>185.8</v>
      </c>
      <c r="E7">
        <f>+VLOOKUP($A7,Aux!$A$5:$O$677,COLUMN()-COLUMN($A$1)+1,0)</f>
        <v>0</v>
      </c>
      <c r="F7">
        <f>+VLOOKUP($A7,Aux!$A$5:$O$677,COLUMN()-COLUMN($A$1)+1,0)</f>
        <v>0</v>
      </c>
      <c r="G7">
        <f>+VLOOKUP($A7,Aux!$A$5:$O$677,COLUMN()-COLUMN($A$1)+1,0)</f>
        <v>215.1</v>
      </c>
      <c r="H7">
        <f>+VLOOKUP($A7,Aux!$A$5:$O$677,COLUMN()-COLUMN($A$1)+1,0)</f>
        <v>1.6</v>
      </c>
      <c r="I7">
        <f>+VLOOKUP($A7,Aux!$A$5:$O$677,COLUMN()-COLUMN($A$1)+1,0)</f>
        <v>4650.2000000000025</v>
      </c>
      <c r="J7">
        <f>+VLOOKUP($A7,Aux!$A$5:$O$677,COLUMN()-COLUMN($A$1)+1,0)</f>
        <v>99.8</v>
      </c>
      <c r="K7">
        <f>+VLOOKUP($A7,Aux!$A$5:$O$677,COLUMN()-COLUMN($A$1)+1,0)</f>
        <v>2547.8000000000006</v>
      </c>
      <c r="L7">
        <f>+VLOOKUP($A7,Aux!$A$5:$O$677,COLUMN()-COLUMN($A$1)+1,0)</f>
        <v>0</v>
      </c>
      <c r="M7">
        <f>+VLOOKUP($A7,Aux!$A$5:$O$677,COLUMN()-COLUMN($A$1)+1,0)</f>
        <v>8.1999999999999993</v>
      </c>
      <c r="N7">
        <f>+VLOOKUP($A7,Aux!$A$5:$O$677,COLUMN()-COLUMN($A$1)+1,0)</f>
        <v>8010.1000000000031</v>
      </c>
      <c r="O7" s="3"/>
      <c r="P7" s="4"/>
      <c r="R7" t="str">
        <f t="shared" si="0"/>
        <v>IGNIS</v>
      </c>
      <c r="S7" s="5">
        <f t="shared" si="1"/>
        <v>194</v>
      </c>
      <c r="T7" s="5">
        <f t="shared" si="5"/>
        <v>301.60000000000002</v>
      </c>
      <c r="U7" s="5">
        <f t="shared" si="6"/>
        <v>215.1</v>
      </c>
      <c r="V7" s="5">
        <f t="shared" si="7"/>
        <v>0</v>
      </c>
      <c r="W7" s="5">
        <f t="shared" si="8"/>
        <v>99.8</v>
      </c>
      <c r="X7" s="5">
        <f t="shared" si="9"/>
        <v>4650.2000000000025</v>
      </c>
      <c r="Y7" s="5">
        <f t="shared" si="10"/>
        <v>2547.8000000000006</v>
      </c>
      <c r="Z7" s="5">
        <f t="shared" si="2"/>
        <v>1.6</v>
      </c>
      <c r="AA7" s="5">
        <f t="shared" si="3"/>
        <v>8010.100000000004</v>
      </c>
      <c r="AC7" s="6"/>
      <c r="AD7" t="str">
        <f t="shared" si="11"/>
        <v>ACCIONA</v>
      </c>
      <c r="AE7" s="10">
        <f t="shared" ref="AE7:AM7" si="16">AE30/10^3</f>
        <v>0</v>
      </c>
      <c r="AF7" s="10">
        <f t="shared" si="16"/>
        <v>0.11569999999999998</v>
      </c>
      <c r="AG7" s="10">
        <f t="shared" si="16"/>
        <v>0</v>
      </c>
      <c r="AH7" s="10">
        <f t="shared" si="16"/>
        <v>0.24280000000000002</v>
      </c>
      <c r="AI7" s="10">
        <f t="shared" si="16"/>
        <v>0</v>
      </c>
      <c r="AJ7" s="10">
        <f t="shared" si="16"/>
        <v>0</v>
      </c>
      <c r="AK7" s="10">
        <f t="shared" si="16"/>
        <v>0.21110000000000001</v>
      </c>
      <c r="AL7" s="10">
        <f t="shared" si="16"/>
        <v>4.3443000000000023</v>
      </c>
      <c r="AM7" s="10">
        <f t="shared" si="16"/>
        <v>4.9139000000000026</v>
      </c>
      <c r="AO7" s="6"/>
      <c r="AP7" s="10"/>
      <c r="AQ7" s="10"/>
      <c r="AR7" s="10"/>
      <c r="AS7" s="10"/>
      <c r="AT7" s="10"/>
      <c r="AU7" s="10"/>
      <c r="AV7" s="10"/>
      <c r="AW7" s="10"/>
      <c r="AX7" s="10"/>
    </row>
    <row r="8" spans="1:50" x14ac:dyDescent="0.25">
      <c r="A8" t="s">
        <v>8418</v>
      </c>
      <c r="B8">
        <f>+VLOOKUP($A8,Aux!$A$5:$O$677,COLUMN()-COLUMN($A$1)+1,0)</f>
        <v>0</v>
      </c>
      <c r="C8">
        <f>+VLOOKUP($A8,Aux!$A$5:$O$677,COLUMN()-COLUMN($A$1)+1,0)</f>
        <v>9.1999999999999993</v>
      </c>
      <c r="D8">
        <f>+VLOOKUP($A8,Aux!$A$5:$O$677,COLUMN()-COLUMN($A$1)+1,0)</f>
        <v>189.7</v>
      </c>
      <c r="E8">
        <f>+VLOOKUP($A8,Aux!$A$5:$O$677,COLUMN()-COLUMN($A$1)+1,0)</f>
        <v>0</v>
      </c>
      <c r="F8">
        <f>+VLOOKUP($A8,Aux!$A$5:$O$677,COLUMN()-COLUMN($A$1)+1,0)</f>
        <v>0</v>
      </c>
      <c r="G8">
        <f>+VLOOKUP($A8,Aux!$A$5:$O$677,COLUMN()-COLUMN($A$1)+1,0)</f>
        <v>248.69999999999996</v>
      </c>
      <c r="H8">
        <f>+VLOOKUP($A8,Aux!$A$5:$O$677,COLUMN()-COLUMN($A$1)+1,0)</f>
        <v>25.9</v>
      </c>
      <c r="I8">
        <f>+VLOOKUP($A8,Aux!$A$5:$O$677,COLUMN()-COLUMN($A$1)+1,0)</f>
        <v>3450.2999999999997</v>
      </c>
      <c r="J8">
        <f>+VLOOKUP($A8,Aux!$A$5:$O$677,COLUMN()-COLUMN($A$1)+1,0)</f>
        <v>366.9</v>
      </c>
      <c r="K8">
        <f>+VLOOKUP($A8,Aux!$A$5:$O$677,COLUMN()-COLUMN($A$1)+1,0)</f>
        <v>703.39999999999986</v>
      </c>
      <c r="L8">
        <f>+VLOOKUP($A8,Aux!$A$5:$O$677,COLUMN()-COLUMN($A$1)+1,0)</f>
        <v>0</v>
      </c>
      <c r="M8">
        <f>+VLOOKUP($A8,Aux!$A$5:$O$677,COLUMN()-COLUMN($A$1)+1,0)</f>
        <v>26.7</v>
      </c>
      <c r="N8">
        <f>+VLOOKUP($A8,Aux!$A$5:$O$677,COLUMN()-COLUMN($A$1)+1,0)</f>
        <v>5020.7999999999993</v>
      </c>
      <c r="O8" s="3"/>
      <c r="P8" s="4"/>
      <c r="R8" t="str">
        <f t="shared" si="0"/>
        <v>GNERA</v>
      </c>
      <c r="S8" s="5">
        <f t="shared" si="1"/>
        <v>216.39999999999998</v>
      </c>
      <c r="T8" s="5">
        <f t="shared" si="5"/>
        <v>9.1999999999999993</v>
      </c>
      <c r="U8" s="5">
        <f t="shared" si="6"/>
        <v>248.69999999999996</v>
      </c>
      <c r="V8" s="5">
        <f t="shared" si="7"/>
        <v>0</v>
      </c>
      <c r="W8" s="5">
        <f t="shared" si="8"/>
        <v>366.9</v>
      </c>
      <c r="X8" s="5">
        <f t="shared" si="9"/>
        <v>3450.2999999999997</v>
      </c>
      <c r="Y8" s="5">
        <f t="shared" si="10"/>
        <v>703.39999999999986</v>
      </c>
      <c r="Z8" s="5">
        <f t="shared" si="2"/>
        <v>25.9</v>
      </c>
      <c r="AA8" s="5">
        <f t="shared" si="3"/>
        <v>5020.7999999999993</v>
      </c>
      <c r="AC8" s="6"/>
      <c r="AD8" t="str">
        <f t="shared" si="11"/>
        <v>ENGIE</v>
      </c>
      <c r="AE8" s="10">
        <f t="shared" ref="AE8:AM8" si="17">AE31/10^3</f>
        <v>0</v>
      </c>
      <c r="AF8" s="10">
        <f t="shared" si="17"/>
        <v>3.4299999999999997E-2</v>
      </c>
      <c r="AG8" s="10">
        <f t="shared" si="17"/>
        <v>1.9897</v>
      </c>
      <c r="AH8" s="10">
        <f t="shared" si="17"/>
        <v>7.7299999999999994E-2</v>
      </c>
      <c r="AI8" s="10">
        <f t="shared" si="17"/>
        <v>0</v>
      </c>
      <c r="AJ8" s="10">
        <f t="shared" si="17"/>
        <v>0</v>
      </c>
      <c r="AK8" s="10">
        <f t="shared" si="17"/>
        <v>0.17699999999999999</v>
      </c>
      <c r="AL8" s="10">
        <f t="shared" si="17"/>
        <v>1.4110999999999998</v>
      </c>
      <c r="AM8" s="10">
        <f t="shared" si="17"/>
        <v>3.6894</v>
      </c>
      <c r="AO8" s="6"/>
      <c r="AP8" s="10"/>
      <c r="AQ8" s="10"/>
      <c r="AR8" s="10"/>
      <c r="AS8" s="10"/>
      <c r="AT8" s="10"/>
      <c r="AU8" s="10"/>
      <c r="AV8" s="10"/>
      <c r="AW8" s="10"/>
      <c r="AX8" s="10"/>
    </row>
    <row r="9" spans="1:50" x14ac:dyDescent="0.25">
      <c r="A9" t="s">
        <v>8419</v>
      </c>
      <c r="B9">
        <f>+VLOOKUP($A9,Aux!$A$5:$O$677,COLUMN()-COLUMN($A$1)+1,0)</f>
        <v>0</v>
      </c>
      <c r="C9">
        <f>+VLOOKUP($A9,Aux!$A$5:$O$677,COLUMN()-COLUMN($A$1)+1,0)</f>
        <v>53.000000000000007</v>
      </c>
      <c r="D9">
        <f>+VLOOKUP($A9,Aux!$A$5:$O$677,COLUMN()-COLUMN($A$1)+1,0)</f>
        <v>194.8</v>
      </c>
      <c r="E9">
        <f>+VLOOKUP($A9,Aux!$A$5:$O$677,COLUMN()-COLUMN($A$1)+1,0)</f>
        <v>0</v>
      </c>
      <c r="F9">
        <f>+VLOOKUP($A9,Aux!$A$5:$O$677,COLUMN()-COLUMN($A$1)+1,0)</f>
        <v>0</v>
      </c>
      <c r="G9">
        <f>+VLOOKUP($A9,Aux!$A$5:$O$677,COLUMN()-COLUMN($A$1)+1,0)</f>
        <v>140.30000000000001</v>
      </c>
      <c r="H9">
        <f>+VLOOKUP($A9,Aux!$A$5:$O$677,COLUMN()-COLUMN($A$1)+1,0)</f>
        <v>26.099999999999998</v>
      </c>
      <c r="I9">
        <f>+VLOOKUP($A9,Aux!$A$5:$O$677,COLUMN()-COLUMN($A$1)+1,0)</f>
        <v>1175.6000000000004</v>
      </c>
      <c r="J9">
        <f>+VLOOKUP($A9,Aux!$A$5:$O$677,COLUMN()-COLUMN($A$1)+1,0)</f>
        <v>0</v>
      </c>
      <c r="K9">
        <f>+VLOOKUP($A9,Aux!$A$5:$O$677,COLUMN()-COLUMN($A$1)+1,0)</f>
        <v>693.19999999999993</v>
      </c>
      <c r="L9">
        <f>+VLOOKUP($A9,Aux!$A$5:$O$677,COLUMN()-COLUMN($A$1)+1,0)</f>
        <v>0</v>
      </c>
      <c r="M9">
        <f>+VLOOKUP($A9,Aux!$A$5:$O$677,COLUMN()-COLUMN($A$1)+1,0)</f>
        <v>25.5</v>
      </c>
      <c r="N9">
        <f>+VLOOKUP($A9,Aux!$A$5:$O$677,COLUMN()-COLUMN($A$1)+1,0)</f>
        <v>2308.5000000000005</v>
      </c>
      <c r="O9" s="3"/>
      <c r="P9" s="4"/>
      <c r="R9" t="str">
        <f t="shared" si="0"/>
        <v>ENERGYA</v>
      </c>
      <c r="S9" s="5">
        <f t="shared" si="1"/>
        <v>220.3</v>
      </c>
      <c r="T9" s="5">
        <f t="shared" si="5"/>
        <v>53.000000000000007</v>
      </c>
      <c r="U9" s="5">
        <f t="shared" si="6"/>
        <v>140.30000000000001</v>
      </c>
      <c r="V9" s="5">
        <f t="shared" si="7"/>
        <v>0</v>
      </c>
      <c r="W9" s="5">
        <f t="shared" si="8"/>
        <v>0</v>
      </c>
      <c r="X9" s="5">
        <f t="shared" si="9"/>
        <v>1175.6000000000004</v>
      </c>
      <c r="Y9" s="5">
        <f t="shared" si="10"/>
        <v>693.19999999999993</v>
      </c>
      <c r="Z9" s="5">
        <f t="shared" si="2"/>
        <v>26.099999999999998</v>
      </c>
      <c r="AA9" s="5">
        <f t="shared" si="3"/>
        <v>2308.5</v>
      </c>
      <c r="AC9" s="6"/>
      <c r="AD9" t="str">
        <f t="shared" si="11"/>
        <v>GESTERNOVA</v>
      </c>
      <c r="AE9" s="10">
        <f t="shared" ref="AE9:AM9" si="18">AE32/10^3</f>
        <v>1.8E-3</v>
      </c>
      <c r="AF9" s="10">
        <f t="shared" si="18"/>
        <v>2.2000000000000001E-3</v>
      </c>
      <c r="AG9" s="10">
        <f t="shared" si="18"/>
        <v>0</v>
      </c>
      <c r="AH9" s="10">
        <f t="shared" si="18"/>
        <v>4.6599999999999996E-2</v>
      </c>
      <c r="AI9" s="10">
        <f t="shared" si="18"/>
        <v>0</v>
      </c>
      <c r="AJ9" s="10">
        <f t="shared" si="18"/>
        <v>0.2702</v>
      </c>
      <c r="AK9" s="10">
        <f t="shared" si="18"/>
        <v>2.6078000000000006</v>
      </c>
      <c r="AL9" s="10">
        <f t="shared" si="18"/>
        <v>0.22449999999999998</v>
      </c>
      <c r="AM9" s="10">
        <f t="shared" si="18"/>
        <v>3.1531000000000007</v>
      </c>
      <c r="AO9" s="6"/>
      <c r="AP9" s="10"/>
      <c r="AQ9" s="10"/>
      <c r="AR9" s="10"/>
      <c r="AS9" s="10"/>
      <c r="AT9" s="10"/>
      <c r="AU9" s="10"/>
      <c r="AV9" s="10"/>
      <c r="AW9" s="10"/>
      <c r="AX9" s="10"/>
    </row>
    <row r="10" spans="1:50" x14ac:dyDescent="0.25">
      <c r="A10" t="s">
        <v>8512</v>
      </c>
      <c r="B10">
        <f>+VLOOKUP($A10,Aux!$A$5:$O$677,COLUMN()-COLUMN($A$1)+1,0)</f>
        <v>0</v>
      </c>
      <c r="C10">
        <f>+VLOOKUP($A10,Aux!$A$5:$O$677,COLUMN()-COLUMN($A$1)+1,0)</f>
        <v>39.5</v>
      </c>
      <c r="D10">
        <f>+VLOOKUP($A10,Aux!$A$5:$O$677,COLUMN()-COLUMN($A$1)+1,0)</f>
        <v>130.9</v>
      </c>
      <c r="E10">
        <f>+VLOOKUP($A10,Aux!$A$5:$O$677,COLUMN()-COLUMN($A$1)+1,0)</f>
        <v>0</v>
      </c>
      <c r="F10">
        <f>+VLOOKUP($A10,Aux!$A$5:$O$677,COLUMN()-COLUMN($A$1)+1,0)</f>
        <v>0</v>
      </c>
      <c r="G10">
        <f>+VLOOKUP($A10,Aux!$A$5:$O$677,COLUMN()-COLUMN($A$1)+1,0)</f>
        <v>63.7</v>
      </c>
      <c r="H10">
        <f>+VLOOKUP($A10,Aux!$A$5:$O$677,COLUMN()-COLUMN($A$1)+1,0)</f>
        <v>156.1</v>
      </c>
      <c r="I10">
        <f>+VLOOKUP($A10,Aux!$A$5:$O$677,COLUMN()-COLUMN($A$1)+1,0)</f>
        <v>792.40000000000009</v>
      </c>
      <c r="J10">
        <f>+VLOOKUP($A10,Aux!$A$5:$O$677,COLUMN()-COLUMN($A$1)+1,0)</f>
        <v>0</v>
      </c>
      <c r="K10">
        <f>+VLOOKUP($A10,Aux!$A$5:$O$677,COLUMN()-COLUMN($A$1)+1,0)</f>
        <v>1324.9</v>
      </c>
      <c r="L10">
        <f>+VLOOKUP($A10,Aux!$A$5:$O$677,COLUMN()-COLUMN($A$1)+1,0)</f>
        <v>0</v>
      </c>
      <c r="M10">
        <f>+VLOOKUP($A10,Aux!$A$5:$O$677,COLUMN()-COLUMN($A$1)+1,0)</f>
        <v>8.1999999999999993</v>
      </c>
      <c r="N10">
        <f>+VLOOKUP($A10,Aux!$A$5:$O$677,COLUMN()-COLUMN($A$1)+1,0)</f>
        <v>2515.6999999999998</v>
      </c>
      <c r="O10" s="3"/>
      <c r="P10" s="4"/>
      <c r="R10" t="str">
        <f t="shared" si="0"/>
        <v>W2M</v>
      </c>
      <c r="S10" s="5">
        <f t="shared" si="1"/>
        <v>139.1</v>
      </c>
      <c r="T10" s="5">
        <f t="shared" si="5"/>
        <v>39.5</v>
      </c>
      <c r="U10" s="5">
        <f t="shared" si="6"/>
        <v>63.7</v>
      </c>
      <c r="V10" s="5">
        <f t="shared" si="7"/>
        <v>0</v>
      </c>
      <c r="W10" s="5">
        <f t="shared" si="8"/>
        <v>0</v>
      </c>
      <c r="X10" s="5">
        <f t="shared" si="9"/>
        <v>792.40000000000009</v>
      </c>
      <c r="Y10" s="5">
        <f t="shared" si="10"/>
        <v>1324.9</v>
      </c>
      <c r="Z10" s="5">
        <f t="shared" si="2"/>
        <v>156.1</v>
      </c>
      <c r="AA10" s="5">
        <f t="shared" si="3"/>
        <v>2515.7000000000003</v>
      </c>
      <c r="AC10" s="6"/>
      <c r="AD10" t="str">
        <f t="shared" si="11"/>
        <v>ENERGYA</v>
      </c>
      <c r="AE10" s="10">
        <f t="shared" ref="AE10:AM10" si="19">AE33/10^3</f>
        <v>2.6099999999999998E-2</v>
      </c>
      <c r="AF10" s="10">
        <f t="shared" si="19"/>
        <v>0.2266</v>
      </c>
      <c r="AG10" s="10">
        <f t="shared" si="19"/>
        <v>5.3000000000000005E-2</v>
      </c>
      <c r="AH10" s="10">
        <f t="shared" si="19"/>
        <v>0.14030000000000001</v>
      </c>
      <c r="AI10" s="10">
        <f t="shared" si="19"/>
        <v>0</v>
      </c>
      <c r="AJ10" s="10">
        <f t="shared" si="19"/>
        <v>9.98E-2</v>
      </c>
      <c r="AK10" s="10">
        <f t="shared" si="19"/>
        <v>1.1410000000000005</v>
      </c>
      <c r="AL10" s="10">
        <f t="shared" si="19"/>
        <v>1.0655999999999999</v>
      </c>
      <c r="AM10" s="10">
        <f t="shared" si="19"/>
        <v>2.7524000000000002</v>
      </c>
      <c r="AO10" s="6"/>
      <c r="AP10" s="10"/>
      <c r="AQ10" s="10"/>
      <c r="AR10" s="10"/>
      <c r="AS10" s="10"/>
      <c r="AT10" s="10"/>
      <c r="AU10" s="10"/>
      <c r="AV10" s="10"/>
      <c r="AW10" s="10"/>
      <c r="AX10" s="10"/>
    </row>
    <row r="11" spans="1:50" x14ac:dyDescent="0.25">
      <c r="A11" t="s">
        <v>8883</v>
      </c>
      <c r="B11">
        <f>+VLOOKUP($A11,Aux!$A$5:$O$677,COLUMN()-COLUMN($A$1)+1,0)</f>
        <v>414</v>
      </c>
      <c r="C11">
        <f>+VLOOKUP($A11,Aux!$A$5:$O$677,COLUMN()-COLUMN($A$1)+1,0)</f>
        <v>0</v>
      </c>
      <c r="D11">
        <f>+VLOOKUP($A11,Aux!$A$5:$O$677,COLUMN()-COLUMN($A$1)+1,0)</f>
        <v>91.9</v>
      </c>
      <c r="E11">
        <f>+VLOOKUP($A11,Aux!$A$5:$O$677,COLUMN()-COLUMN($A$1)+1,0)</f>
        <v>0</v>
      </c>
      <c r="F11">
        <f>+VLOOKUP($A11,Aux!$A$5:$O$677,COLUMN()-COLUMN($A$1)+1,0)</f>
        <v>0</v>
      </c>
      <c r="G11">
        <f>+VLOOKUP($A11,Aux!$A$5:$O$677,COLUMN()-COLUMN($A$1)+1,0)</f>
        <v>0</v>
      </c>
      <c r="H11">
        <f>+VLOOKUP($A11,Aux!$A$5:$O$677,COLUMN()-COLUMN($A$1)+1,0)</f>
        <v>0</v>
      </c>
      <c r="I11">
        <f>+VLOOKUP($A11,Aux!$A$5:$O$677,COLUMN()-COLUMN($A$1)+1,0)</f>
        <v>1102.6999999999998</v>
      </c>
      <c r="J11">
        <f>+VLOOKUP($A11,Aux!$A$5:$O$677,COLUMN()-COLUMN($A$1)+1,0)</f>
        <v>0</v>
      </c>
      <c r="K11">
        <f>+VLOOKUP($A11,Aux!$A$5:$O$677,COLUMN()-COLUMN($A$1)+1,0)</f>
        <v>822.59999999999991</v>
      </c>
      <c r="L11">
        <f>+VLOOKUP($A11,Aux!$A$5:$O$677,COLUMN()-COLUMN($A$1)+1,0)</f>
        <v>0</v>
      </c>
      <c r="M11">
        <f>+VLOOKUP($A11,Aux!$A$5:$O$677,COLUMN()-COLUMN($A$1)+1,0)</f>
        <v>0</v>
      </c>
      <c r="N11">
        <f>+VLOOKUP($A11,Aux!$A$5:$O$677,COLUMN()-COLUMN($A$1)+1,0)</f>
        <v>2431.1999999999998</v>
      </c>
      <c r="O11" s="3"/>
      <c r="P11" s="4"/>
      <c r="R11" t="str">
        <f t="shared" si="0"/>
        <v>ALPIQ</v>
      </c>
      <c r="S11" s="5">
        <f t="shared" si="1"/>
        <v>91.9</v>
      </c>
      <c r="T11" s="5">
        <f t="shared" si="5"/>
        <v>414</v>
      </c>
      <c r="U11" s="5">
        <f t="shared" si="6"/>
        <v>0</v>
      </c>
      <c r="V11" s="5">
        <f t="shared" si="7"/>
        <v>0</v>
      </c>
      <c r="W11" s="5">
        <f t="shared" si="8"/>
        <v>0</v>
      </c>
      <c r="X11" s="5">
        <f t="shared" si="9"/>
        <v>1102.6999999999998</v>
      </c>
      <c r="Y11" s="5">
        <f t="shared" si="10"/>
        <v>822.59999999999991</v>
      </c>
      <c r="Z11" s="5">
        <f t="shared" si="2"/>
        <v>0</v>
      </c>
      <c r="AA11" s="5">
        <f t="shared" si="3"/>
        <v>2431.1999999999998</v>
      </c>
      <c r="AC11" s="6"/>
      <c r="AD11" t="str">
        <f t="shared" si="11"/>
        <v>W2M</v>
      </c>
      <c r="AE11" s="10">
        <f t="shared" ref="AE11:AM11" si="20">AE34/10^3</f>
        <v>0.15609999999999999</v>
      </c>
      <c r="AF11" s="10">
        <f t="shared" si="20"/>
        <v>0.1391</v>
      </c>
      <c r="AG11" s="10">
        <f t="shared" si="20"/>
        <v>3.95E-2</v>
      </c>
      <c r="AH11" s="10">
        <f t="shared" si="20"/>
        <v>6.3700000000000007E-2</v>
      </c>
      <c r="AI11" s="10">
        <f t="shared" si="20"/>
        <v>0</v>
      </c>
      <c r="AJ11" s="10">
        <f t="shared" si="20"/>
        <v>0</v>
      </c>
      <c r="AK11" s="10">
        <f t="shared" si="20"/>
        <v>0.7924000000000001</v>
      </c>
      <c r="AL11" s="10">
        <f t="shared" si="20"/>
        <v>1.2683000000000002</v>
      </c>
      <c r="AM11" s="10">
        <f t="shared" si="20"/>
        <v>2.4590999999999998</v>
      </c>
      <c r="AO11" s="6"/>
      <c r="AP11" s="10"/>
      <c r="AQ11" s="10"/>
      <c r="AR11" s="10"/>
      <c r="AS11" s="10"/>
      <c r="AT11" s="10"/>
      <c r="AU11" s="10"/>
      <c r="AV11" s="10"/>
      <c r="AW11" s="10"/>
      <c r="AX11" s="10"/>
    </row>
    <row r="12" spans="1:50" x14ac:dyDescent="0.25">
      <c r="A12" t="s">
        <v>8570</v>
      </c>
      <c r="B12">
        <f>+VLOOKUP($A12,Aux!$A$5:$O$677,COLUMN()-COLUMN($A$1)+1,0)</f>
        <v>0</v>
      </c>
      <c r="C12">
        <f>+VLOOKUP($A12,Aux!$A$5:$O$677,COLUMN()-COLUMN($A$1)+1,0)</f>
        <v>0</v>
      </c>
      <c r="D12">
        <f>+VLOOKUP($A12,Aux!$A$5:$O$677,COLUMN()-COLUMN($A$1)+1,0)</f>
        <v>0</v>
      </c>
      <c r="E12">
        <f>+VLOOKUP($A12,Aux!$A$5:$O$677,COLUMN()-COLUMN($A$1)+1,0)</f>
        <v>0</v>
      </c>
      <c r="F12">
        <f>+VLOOKUP($A12,Aux!$A$5:$O$677,COLUMN()-COLUMN($A$1)+1,0)</f>
        <v>0</v>
      </c>
      <c r="G12">
        <f>+VLOOKUP($A12,Aux!$A$5:$O$677,COLUMN()-COLUMN($A$1)+1,0)</f>
        <v>46.599999999999994</v>
      </c>
      <c r="H12">
        <f>+VLOOKUP($A12,Aux!$A$5:$O$677,COLUMN()-COLUMN($A$1)+1,0)</f>
        <v>1.8</v>
      </c>
      <c r="I12">
        <f>+VLOOKUP($A12,Aux!$A$5:$O$677,COLUMN()-COLUMN($A$1)+1,0)</f>
        <v>2612.2000000000003</v>
      </c>
      <c r="J12">
        <f>+VLOOKUP($A12,Aux!$A$5:$O$677,COLUMN()-COLUMN($A$1)+1,0)</f>
        <v>320.10000000000002</v>
      </c>
      <c r="K12">
        <f>+VLOOKUP($A12,Aux!$A$5:$O$677,COLUMN()-COLUMN($A$1)+1,0)</f>
        <v>332</v>
      </c>
      <c r="L12">
        <f>+VLOOKUP($A12,Aux!$A$5:$O$677,COLUMN()-COLUMN($A$1)+1,0)</f>
        <v>0</v>
      </c>
      <c r="M12">
        <f>+VLOOKUP($A12,Aux!$A$5:$O$677,COLUMN()-COLUMN($A$1)+1,0)</f>
        <v>2.2000000000000002</v>
      </c>
      <c r="N12">
        <f>+VLOOKUP($A12,Aux!$A$5:$O$677,COLUMN()-COLUMN($A$1)+1,0)</f>
        <v>3314.9</v>
      </c>
      <c r="O12" s="3"/>
      <c r="P12" s="4"/>
      <c r="R12" t="str">
        <f t="shared" si="0"/>
        <v>GESTERNOVA</v>
      </c>
      <c r="S12" s="5">
        <f t="shared" si="1"/>
        <v>2.2000000000000002</v>
      </c>
      <c r="T12" s="5">
        <f t="shared" si="5"/>
        <v>0</v>
      </c>
      <c r="U12" s="5">
        <f t="shared" si="6"/>
        <v>46.599999999999994</v>
      </c>
      <c r="V12" s="5">
        <f t="shared" si="7"/>
        <v>0</v>
      </c>
      <c r="W12" s="5">
        <f t="shared" si="8"/>
        <v>320.10000000000002</v>
      </c>
      <c r="X12" s="5">
        <f t="shared" si="9"/>
        <v>2612.2000000000003</v>
      </c>
      <c r="Y12" s="5">
        <f t="shared" si="10"/>
        <v>332</v>
      </c>
      <c r="Z12" s="5">
        <f t="shared" si="2"/>
        <v>1.8</v>
      </c>
      <c r="AA12" s="5">
        <f t="shared" si="3"/>
        <v>3314.9000000000005</v>
      </c>
      <c r="AC12" s="6"/>
      <c r="AD12" t="str">
        <f t="shared" si="11"/>
        <v>ALPIQ</v>
      </c>
      <c r="AE12" s="10">
        <f t="shared" ref="AE12:AM12" si="21">AE35/10^3</f>
        <v>0</v>
      </c>
      <c r="AF12" s="10">
        <f t="shared" si="21"/>
        <v>9.1900000000000009E-2</v>
      </c>
      <c r="AG12" s="10">
        <f t="shared" si="21"/>
        <v>0.41399999999999998</v>
      </c>
      <c r="AH12" s="10">
        <f t="shared" si="21"/>
        <v>0</v>
      </c>
      <c r="AI12" s="10">
        <f t="shared" si="21"/>
        <v>0</v>
      </c>
      <c r="AJ12" s="10">
        <f t="shared" si="21"/>
        <v>0</v>
      </c>
      <c r="AK12" s="10">
        <f t="shared" si="21"/>
        <v>1.0831</v>
      </c>
      <c r="AL12" s="10">
        <f t="shared" si="21"/>
        <v>0.8217000000000001</v>
      </c>
      <c r="AM12" s="10">
        <f t="shared" si="21"/>
        <v>2.4106999999999998</v>
      </c>
      <c r="AO12" s="6"/>
      <c r="AP12" s="10"/>
      <c r="AQ12" s="10"/>
      <c r="AR12" s="10"/>
      <c r="AS12" s="10"/>
      <c r="AT12" s="10"/>
      <c r="AU12" s="10"/>
      <c r="AV12" s="10"/>
      <c r="AW12" s="10"/>
      <c r="AX12" s="10"/>
    </row>
    <row r="13" spans="1:50" x14ac:dyDescent="0.25">
      <c r="A13" t="s">
        <v>8515</v>
      </c>
      <c r="B13">
        <f>+VLOOKUP($A13,Aux!$A$5:$O$677,COLUMN()-COLUMN($A$1)+1,0)</f>
        <v>0</v>
      </c>
      <c r="C13">
        <f>+VLOOKUP($A13,Aux!$A$5:$O$677,COLUMN()-COLUMN($A$1)+1,0)</f>
        <v>0</v>
      </c>
      <c r="D13">
        <f>+VLOOKUP($A13,Aux!$A$5:$O$677,COLUMN()-COLUMN($A$1)+1,0)</f>
        <v>22.8</v>
      </c>
      <c r="E13">
        <f>+VLOOKUP($A13,Aux!$A$5:$O$677,COLUMN()-COLUMN($A$1)+1,0)</f>
        <v>0</v>
      </c>
      <c r="F13">
        <f>+VLOOKUP($A13,Aux!$A$5:$O$677,COLUMN()-COLUMN($A$1)+1,0)</f>
        <v>0</v>
      </c>
      <c r="G13">
        <f>+VLOOKUP($A13,Aux!$A$5:$O$677,COLUMN()-COLUMN($A$1)+1,0)</f>
        <v>0</v>
      </c>
      <c r="H13">
        <f>+VLOOKUP($A13,Aux!$A$5:$O$677,COLUMN()-COLUMN($A$1)+1,0)</f>
        <v>0</v>
      </c>
      <c r="I13">
        <f>+VLOOKUP($A13,Aux!$A$5:$O$677,COLUMN()-COLUMN($A$1)+1,0)</f>
        <v>256.5</v>
      </c>
      <c r="J13">
        <f>+VLOOKUP($A13,Aux!$A$5:$O$677,COLUMN()-COLUMN($A$1)+1,0)</f>
        <v>0</v>
      </c>
      <c r="K13">
        <f>+VLOOKUP($A13,Aux!$A$5:$O$677,COLUMN()-COLUMN($A$1)+1,0)</f>
        <v>0</v>
      </c>
      <c r="L13">
        <f>+VLOOKUP($A13,Aux!$A$5:$O$677,COLUMN()-COLUMN($A$1)+1,0)</f>
        <v>0</v>
      </c>
      <c r="M13">
        <f>+VLOOKUP($A13,Aux!$A$5:$O$677,COLUMN()-COLUMN($A$1)+1,0)</f>
        <v>0</v>
      </c>
      <c r="N13">
        <f>+VLOOKUP($A13,Aux!$A$5:$O$677,COLUMN()-COLUMN($A$1)+1,0)</f>
        <v>279.3</v>
      </c>
      <c r="O13" s="3"/>
      <c r="P13" s="4"/>
      <c r="R13" t="str">
        <f t="shared" si="0"/>
        <v>HOLALUZ</v>
      </c>
      <c r="S13" s="5">
        <f t="shared" si="1"/>
        <v>22.8</v>
      </c>
      <c r="T13" s="5">
        <f t="shared" si="5"/>
        <v>0</v>
      </c>
      <c r="U13" s="5">
        <f t="shared" si="6"/>
        <v>0</v>
      </c>
      <c r="V13" s="5">
        <f t="shared" si="7"/>
        <v>0</v>
      </c>
      <c r="W13" s="5">
        <f t="shared" si="8"/>
        <v>0</v>
      </c>
      <c r="X13" s="5">
        <f t="shared" si="9"/>
        <v>256.5</v>
      </c>
      <c r="Y13" s="5">
        <f t="shared" si="10"/>
        <v>0</v>
      </c>
      <c r="Z13" s="5">
        <f t="shared" si="2"/>
        <v>0</v>
      </c>
      <c r="AA13" s="5">
        <f t="shared" si="3"/>
        <v>279.3</v>
      </c>
      <c r="AC13" s="6"/>
      <c r="AD13" t="str">
        <f t="shared" si="11"/>
        <v>GALP</v>
      </c>
      <c r="AE13" s="10">
        <f t="shared" ref="AE13:AM13" si="22">AE36/10^3</f>
        <v>0</v>
      </c>
      <c r="AF13" s="10">
        <f t="shared" si="22"/>
        <v>0</v>
      </c>
      <c r="AG13" s="10">
        <f t="shared" si="22"/>
        <v>0</v>
      </c>
      <c r="AH13" s="10">
        <f t="shared" si="22"/>
        <v>0</v>
      </c>
      <c r="AI13" s="10">
        <f t="shared" si="22"/>
        <v>0</v>
      </c>
      <c r="AJ13" s="10">
        <f t="shared" si="22"/>
        <v>0.14980000000000002</v>
      </c>
      <c r="AK13" s="10">
        <f t="shared" si="22"/>
        <v>1.4169000000000005</v>
      </c>
      <c r="AL13" s="10">
        <f t="shared" si="22"/>
        <v>0.1605</v>
      </c>
      <c r="AM13" s="10">
        <f t="shared" si="22"/>
        <v>1.7272000000000005</v>
      </c>
      <c r="AO13" s="6"/>
      <c r="AP13" s="10"/>
      <c r="AQ13" s="10"/>
      <c r="AR13" s="10"/>
      <c r="AS13" s="10"/>
      <c r="AT13" s="10"/>
      <c r="AU13" s="10"/>
      <c r="AV13" s="10"/>
      <c r="AW13" s="10"/>
      <c r="AX13" s="10"/>
    </row>
    <row r="14" spans="1:50" x14ac:dyDescent="0.25">
      <c r="A14" t="s">
        <v>6051</v>
      </c>
      <c r="B14">
        <f>+VLOOKUP($A14,Aux!$A$5:$O$677,COLUMN()-COLUMN($A$1)+1,0)</f>
        <v>1172.5</v>
      </c>
      <c r="C14">
        <f>+VLOOKUP($A14,Aux!$A$5:$O$677,COLUMN()-COLUMN($A$1)+1,0)</f>
        <v>95.4</v>
      </c>
      <c r="D14">
        <f>+VLOOKUP($A14,Aux!$A$5:$O$677,COLUMN()-COLUMN($A$1)+1,0)</f>
        <v>613.00000000000011</v>
      </c>
      <c r="E14">
        <f>+VLOOKUP($A14,Aux!$A$5:$O$677,COLUMN()-COLUMN($A$1)+1,0)</f>
        <v>0</v>
      </c>
      <c r="F14">
        <f>+VLOOKUP($A14,Aux!$A$5:$O$677,COLUMN()-COLUMN($A$1)+1,0)</f>
        <v>0</v>
      </c>
      <c r="G14">
        <f>+VLOOKUP($A14,Aux!$A$5:$O$677,COLUMN()-COLUMN($A$1)+1,0)</f>
        <v>61.1</v>
      </c>
      <c r="H14">
        <f>+VLOOKUP($A14,Aux!$A$5:$O$677,COLUMN()-COLUMN($A$1)+1,0)</f>
        <v>65</v>
      </c>
      <c r="I14">
        <f>+VLOOKUP($A14,Aux!$A$5:$O$677,COLUMN()-COLUMN($A$1)+1,0)</f>
        <v>8.1</v>
      </c>
      <c r="J14">
        <f>+VLOOKUP($A14,Aux!$A$5:$O$677,COLUMN()-COLUMN($A$1)+1,0)</f>
        <v>0</v>
      </c>
      <c r="K14">
        <f>+VLOOKUP($A14,Aux!$A$5:$O$677,COLUMN()-COLUMN($A$1)+1,0)</f>
        <v>31.400000000000002</v>
      </c>
      <c r="L14">
        <f>+VLOOKUP($A14,Aux!$A$5:$O$677,COLUMN()-COLUMN($A$1)+1,0)</f>
        <v>0</v>
      </c>
      <c r="M14">
        <f>+VLOOKUP($A14,Aux!$A$5:$O$677,COLUMN()-COLUMN($A$1)+1,0)</f>
        <v>8.8000000000000007</v>
      </c>
      <c r="N14">
        <f>+VLOOKUP($A14,Aux!$A$5:$O$677,COLUMN()-COLUMN($A$1)+1,0)</f>
        <v>2055.3000000000002</v>
      </c>
      <c r="O14" s="3"/>
      <c r="P14" s="4"/>
      <c r="R14" t="str">
        <f t="shared" si="0"/>
        <v>CEPSA</v>
      </c>
      <c r="S14" s="5">
        <f t="shared" si="1"/>
        <v>621.80000000000007</v>
      </c>
      <c r="T14" s="5">
        <f t="shared" si="5"/>
        <v>1267.9000000000001</v>
      </c>
      <c r="U14" s="5">
        <f t="shared" si="6"/>
        <v>61.1</v>
      </c>
      <c r="V14" s="5">
        <f t="shared" si="7"/>
        <v>0</v>
      </c>
      <c r="W14" s="5">
        <f t="shared" si="8"/>
        <v>0</v>
      </c>
      <c r="X14" s="5">
        <f t="shared" si="9"/>
        <v>8.1</v>
      </c>
      <c r="Y14" s="5">
        <f t="shared" si="10"/>
        <v>31.400000000000002</v>
      </c>
      <c r="Z14" s="5">
        <f t="shared" si="2"/>
        <v>65</v>
      </c>
      <c r="AA14" s="5">
        <f t="shared" si="3"/>
        <v>2055.3000000000002</v>
      </c>
      <c r="AC14" s="6"/>
      <c r="AD14" t="str">
        <f t="shared" si="11"/>
        <v>SHELL</v>
      </c>
      <c r="AE14" s="10">
        <f t="shared" ref="AE14:AM14" si="23">AE37/10^3</f>
        <v>1.7600000000000001E-2</v>
      </c>
      <c r="AF14" s="10">
        <f t="shared" si="23"/>
        <v>0</v>
      </c>
      <c r="AG14" s="10">
        <f t="shared" si="23"/>
        <v>0</v>
      </c>
      <c r="AH14" s="10">
        <f t="shared" si="23"/>
        <v>1.3900000000000001E-2</v>
      </c>
      <c r="AI14" s="10">
        <f t="shared" si="23"/>
        <v>0</v>
      </c>
      <c r="AJ14" s="10">
        <f t="shared" si="23"/>
        <v>0</v>
      </c>
      <c r="AK14" s="10">
        <f t="shared" si="23"/>
        <v>1.2165999999999999</v>
      </c>
      <c r="AL14" s="10">
        <f t="shared" si="23"/>
        <v>0.12539999999999998</v>
      </c>
      <c r="AM14" s="10">
        <f t="shared" si="23"/>
        <v>1.3734999999999999</v>
      </c>
      <c r="AO14" s="6"/>
      <c r="AP14" s="10"/>
      <c r="AQ14" s="10"/>
      <c r="AR14" s="10"/>
      <c r="AS14" s="10"/>
      <c r="AT14" s="10"/>
      <c r="AU14" s="10"/>
      <c r="AV14" s="10"/>
      <c r="AW14" s="10"/>
      <c r="AX14" s="10"/>
    </row>
    <row r="15" spans="1:50" x14ac:dyDescent="0.25">
      <c r="A15" t="s">
        <v>4016</v>
      </c>
      <c r="B15">
        <f>+VLOOKUP($A15,Aux!$A$5:$O$677,COLUMN()-COLUMN($A$1)+1,0)</f>
        <v>0</v>
      </c>
      <c r="C15">
        <f>+VLOOKUP($A15,Aux!$A$5:$O$677,COLUMN()-COLUMN($A$1)+1,0)</f>
        <v>0</v>
      </c>
      <c r="D15">
        <f>+VLOOKUP($A15,Aux!$A$5:$O$677,COLUMN()-COLUMN($A$1)+1,0)</f>
        <v>0</v>
      </c>
      <c r="E15">
        <f>+VLOOKUP($A15,Aux!$A$5:$O$677,COLUMN()-COLUMN($A$1)+1,0)</f>
        <v>0</v>
      </c>
      <c r="F15">
        <f>+VLOOKUP($A15,Aux!$A$5:$O$677,COLUMN()-COLUMN($A$1)+1,0)</f>
        <v>0</v>
      </c>
      <c r="G15">
        <f>+VLOOKUP($A15,Aux!$A$5:$O$677,COLUMN()-COLUMN($A$1)+1,0)</f>
        <v>13.9</v>
      </c>
      <c r="H15">
        <f>+VLOOKUP($A15,Aux!$A$5:$O$677,COLUMN()-COLUMN($A$1)+1,0)</f>
        <v>18.600000000000001</v>
      </c>
      <c r="I15">
        <f>+VLOOKUP($A15,Aux!$A$5:$O$677,COLUMN()-COLUMN($A$1)+1,0)</f>
        <v>1216.5999999999999</v>
      </c>
      <c r="J15">
        <f>+VLOOKUP($A15,Aux!$A$5:$O$677,COLUMN()-COLUMN($A$1)+1,0)</f>
        <v>0</v>
      </c>
      <c r="K15">
        <f>+VLOOKUP($A15,Aux!$A$5:$O$677,COLUMN()-COLUMN($A$1)+1,0)</f>
        <v>125.39999999999999</v>
      </c>
      <c r="L15">
        <f>+VLOOKUP($A15,Aux!$A$5:$O$677,COLUMN()-COLUMN($A$1)+1,0)</f>
        <v>0</v>
      </c>
      <c r="M15">
        <f>+VLOOKUP($A15,Aux!$A$5:$O$677,COLUMN()-COLUMN($A$1)+1,0)</f>
        <v>0</v>
      </c>
      <c r="N15">
        <f>+VLOOKUP($A15,Aux!$A$5:$O$677,COLUMN()-COLUMN($A$1)+1,0)</f>
        <v>1374.5</v>
      </c>
      <c r="O15" s="3"/>
      <c r="P15" s="4"/>
      <c r="R15" t="str">
        <f t="shared" si="0"/>
        <v>SHELL</v>
      </c>
      <c r="S15" s="5">
        <f t="shared" si="1"/>
        <v>0</v>
      </c>
      <c r="T15" s="5">
        <f t="shared" si="5"/>
        <v>0</v>
      </c>
      <c r="U15" s="5">
        <f t="shared" si="6"/>
        <v>13.9</v>
      </c>
      <c r="V15" s="5">
        <f t="shared" si="7"/>
        <v>0</v>
      </c>
      <c r="W15" s="5">
        <f t="shared" si="8"/>
        <v>0</v>
      </c>
      <c r="X15" s="5">
        <f t="shared" si="9"/>
        <v>1216.5999999999999</v>
      </c>
      <c r="Y15" s="5">
        <f t="shared" si="10"/>
        <v>125.39999999999999</v>
      </c>
      <c r="Z15" s="5">
        <f t="shared" si="2"/>
        <v>18.600000000000001</v>
      </c>
      <c r="AA15" s="5">
        <f t="shared" si="3"/>
        <v>1374.5</v>
      </c>
      <c r="AC15" s="6"/>
      <c r="AD15" t="str">
        <f t="shared" si="11"/>
        <v>CEPSA</v>
      </c>
      <c r="AE15" s="10">
        <f t="shared" ref="AE15:AM15" si="24">AE38/10^3</f>
        <v>2.8299999999999999E-2</v>
      </c>
      <c r="AF15" s="10">
        <f t="shared" si="24"/>
        <v>0.42290000000000005</v>
      </c>
      <c r="AG15" s="10">
        <f t="shared" si="24"/>
        <v>9.5400000000000013E-2</v>
      </c>
      <c r="AH15" s="10">
        <f t="shared" si="24"/>
        <v>6.1100000000000002E-2</v>
      </c>
      <c r="AI15" s="10">
        <f t="shared" si="24"/>
        <v>0</v>
      </c>
      <c r="AJ15" s="10">
        <f t="shared" si="24"/>
        <v>0</v>
      </c>
      <c r="AK15" s="10">
        <f t="shared" si="24"/>
        <v>8.199999999999999E-3</v>
      </c>
      <c r="AL15" s="10">
        <f t="shared" si="24"/>
        <v>2.5999999999999999E-3</v>
      </c>
      <c r="AM15" s="10">
        <f t="shared" si="24"/>
        <v>0.61850000000000016</v>
      </c>
      <c r="AO15" s="6"/>
      <c r="AP15" s="10"/>
      <c r="AQ15" s="10"/>
      <c r="AR15" s="10"/>
      <c r="AS15" s="10"/>
      <c r="AT15" s="10"/>
      <c r="AU15" s="10"/>
      <c r="AV15" s="10"/>
      <c r="AW15" s="10"/>
      <c r="AX15" s="10"/>
    </row>
    <row r="16" spans="1:50" x14ac:dyDescent="0.25">
      <c r="A16" t="s">
        <v>4059</v>
      </c>
      <c r="B16">
        <f>+VLOOKUP($A16,Aux!$A$5:$O$677,COLUMN()-COLUMN($A$1)+1,0)</f>
        <v>0</v>
      </c>
      <c r="C16">
        <f>+VLOOKUP($A16,Aux!$A$5:$O$677,COLUMN()-COLUMN($A$1)+1,0)</f>
        <v>0</v>
      </c>
      <c r="D16">
        <f>+VLOOKUP($A16,Aux!$A$5:$O$677,COLUMN()-COLUMN($A$1)+1,0)</f>
        <v>0</v>
      </c>
      <c r="E16">
        <f>+VLOOKUP($A16,Aux!$A$5:$O$677,COLUMN()-COLUMN($A$1)+1,0)</f>
        <v>0</v>
      </c>
      <c r="F16">
        <f>+VLOOKUP($A16,Aux!$A$5:$O$677,COLUMN()-COLUMN($A$1)+1,0)</f>
        <v>0</v>
      </c>
      <c r="G16">
        <f>+VLOOKUP($A16,Aux!$A$5:$O$677,COLUMN()-COLUMN($A$1)+1,0)</f>
        <v>0</v>
      </c>
      <c r="H16">
        <f>+VLOOKUP($A16,Aux!$A$5:$O$677,COLUMN()-COLUMN($A$1)+1,0)</f>
        <v>0</v>
      </c>
      <c r="I16">
        <f>+VLOOKUP($A16,Aux!$A$5:$O$677,COLUMN()-COLUMN($A$1)+1,0)</f>
        <v>1416.9000000000005</v>
      </c>
      <c r="J16">
        <f>+VLOOKUP($A16,Aux!$A$5:$O$677,COLUMN()-COLUMN($A$1)+1,0)</f>
        <v>199.70000000000002</v>
      </c>
      <c r="K16">
        <f>+VLOOKUP($A16,Aux!$A$5:$O$677,COLUMN()-COLUMN($A$1)+1,0)</f>
        <v>410.4</v>
      </c>
      <c r="L16">
        <f>+VLOOKUP($A16,Aux!$A$5:$O$677,COLUMN()-COLUMN($A$1)+1,0)</f>
        <v>0</v>
      </c>
      <c r="M16">
        <f>+VLOOKUP($A16,Aux!$A$5:$O$677,COLUMN()-COLUMN($A$1)+1,0)</f>
        <v>0</v>
      </c>
      <c r="N16">
        <f>+VLOOKUP($A16,Aux!$A$5:$O$677,COLUMN()-COLUMN($A$1)+1,0)</f>
        <v>2027.0000000000005</v>
      </c>
      <c r="O16" s="3"/>
      <c r="P16" s="4"/>
      <c r="R16" t="str">
        <f t="shared" si="0"/>
        <v>GALP</v>
      </c>
      <c r="S16" s="5">
        <f t="shared" ref="S16" si="25">+M16+D16</f>
        <v>0</v>
      </c>
      <c r="T16" s="5">
        <f t="shared" ref="T16" si="26">+B16+C16</f>
        <v>0</v>
      </c>
      <c r="U16" s="5">
        <f t="shared" ref="U16" si="27">+G16</f>
        <v>0</v>
      </c>
      <c r="V16" s="5">
        <f t="shared" ref="V16" si="28">+L16</f>
        <v>0</v>
      </c>
      <c r="W16" s="5">
        <f t="shared" ref="W16" si="29">+J16</f>
        <v>199.70000000000002</v>
      </c>
      <c r="X16" s="5">
        <f t="shared" ref="X16" si="30">+I16</f>
        <v>1416.9000000000005</v>
      </c>
      <c r="Y16" s="5">
        <f t="shared" ref="Y16" si="31">+K16</f>
        <v>410.4</v>
      </c>
      <c r="Z16" s="5">
        <f t="shared" ref="Z16" si="32">+SUM(E16,F16,H16)</f>
        <v>0</v>
      </c>
      <c r="AA16" s="5">
        <f t="shared" ref="AA16" si="33">+SUM(S16:Z16)</f>
        <v>2027.0000000000005</v>
      </c>
      <c r="AC16" s="6"/>
      <c r="AD16" t="str">
        <f t="shared" si="11"/>
        <v>HOLALUZ</v>
      </c>
      <c r="AE16" s="10">
        <f t="shared" ref="AE16:AM16" si="34">AE39/10^3</f>
        <v>0</v>
      </c>
      <c r="AF16" s="10">
        <f t="shared" si="34"/>
        <v>2.2800000000000001E-2</v>
      </c>
      <c r="AG16" s="10">
        <f t="shared" si="34"/>
        <v>0</v>
      </c>
      <c r="AH16" s="10">
        <f t="shared" si="34"/>
        <v>0</v>
      </c>
      <c r="AI16" s="10">
        <f t="shared" si="34"/>
        <v>0</v>
      </c>
      <c r="AJ16" s="10">
        <f t="shared" si="34"/>
        <v>0</v>
      </c>
      <c r="AK16" s="10">
        <f t="shared" si="34"/>
        <v>0.25690000000000002</v>
      </c>
      <c r="AL16" s="10">
        <f t="shared" si="34"/>
        <v>0</v>
      </c>
      <c r="AM16" s="10">
        <f t="shared" si="34"/>
        <v>0.27970000000000006</v>
      </c>
      <c r="AO16" s="6"/>
      <c r="AP16" s="10"/>
      <c r="AQ16" s="10"/>
      <c r="AR16" s="10"/>
      <c r="AS16" s="10"/>
      <c r="AT16" s="10"/>
      <c r="AU16" s="10"/>
      <c r="AV16" s="10"/>
      <c r="AW16" s="10"/>
      <c r="AX16" s="10"/>
    </row>
    <row r="17" spans="1:39" x14ac:dyDescent="0.25">
      <c r="O17" s="3"/>
      <c r="P17" s="7"/>
      <c r="S17" s="5"/>
      <c r="T17" s="5"/>
      <c r="U17" s="5"/>
      <c r="V17" s="5"/>
      <c r="W17" s="5"/>
      <c r="X17" s="5"/>
      <c r="Y17" s="5"/>
      <c r="Z17" s="5"/>
      <c r="AA17" s="5"/>
    </row>
    <row r="18" spans="1:39" x14ac:dyDescent="0.25">
      <c r="A18" t="s">
        <v>8429</v>
      </c>
      <c r="B18">
        <f>+VLOOKUP($A18,Aux!$A$5:$O$677,COLUMN()-COLUMN($A$1)+1,0)</f>
        <v>5183.3999999999996</v>
      </c>
      <c r="C18">
        <f>+VLOOKUP($A18,Aux!$A$5:$O$677,COLUMN()-COLUMN($A$1)+1,0)</f>
        <v>37.1</v>
      </c>
      <c r="D18">
        <f>+VLOOKUP($A18,Aux!$A$5:$O$677,COLUMN()-COLUMN($A$1)+1,0)</f>
        <v>299.5</v>
      </c>
      <c r="E18">
        <f>+VLOOKUP($A18,Aux!$A$5:$O$677,COLUMN()-COLUMN($A$1)+1,0)</f>
        <v>0</v>
      </c>
      <c r="F18">
        <f>+VLOOKUP($A18,Aux!$A$5:$O$677,COLUMN()-COLUMN($A$1)+1,0)</f>
        <v>0</v>
      </c>
      <c r="G18">
        <f>+VLOOKUP($A18,Aux!$A$5:$O$677,COLUMN()-COLUMN($A$1)+1,0)</f>
        <v>8346.7000000000007</v>
      </c>
      <c r="H18">
        <f>+VLOOKUP($A18,Aux!$A$5:$O$677,COLUMN()-COLUMN($A$1)+1,0)</f>
        <v>20.3</v>
      </c>
      <c r="I18">
        <f>+VLOOKUP($A18,Aux!$A$5:$O$677,COLUMN()-COLUMN($A$1)+1,0)</f>
        <v>4125.5</v>
      </c>
      <c r="J18">
        <f>+VLOOKUP($A18,Aux!$A$5:$O$677,COLUMN()-COLUMN($A$1)+1,0)</f>
        <v>0</v>
      </c>
      <c r="K18">
        <f>+VLOOKUP($A18,Aux!$A$5:$O$677,COLUMN()-COLUMN($A$1)+1,0)</f>
        <v>6544.4</v>
      </c>
      <c r="L18">
        <f>+VLOOKUP($A18,Aux!$A$5:$O$677,COLUMN()-COLUMN($A$1)+1,0)</f>
        <v>1511.7</v>
      </c>
      <c r="M18">
        <f>+VLOOKUP($A18,Aux!$A$5:$O$677,COLUMN()-COLUMN($A$1)+1,0)</f>
        <v>0</v>
      </c>
      <c r="N18">
        <f>+VLOOKUP($A18,Aux!$A$5:$O$677,COLUMN()-COLUMN($A$1)+1,0)</f>
        <v>26068.600000000002</v>
      </c>
      <c r="O18" s="3"/>
      <c r="P18" s="4"/>
      <c r="R18" t="str">
        <f>+A18</f>
        <v>IBERDROLA</v>
      </c>
      <c r="S18" s="5">
        <f>+M18+D18</f>
        <v>299.5</v>
      </c>
      <c r="T18" s="5">
        <f>+B18+C18</f>
        <v>5220.5</v>
      </c>
      <c r="U18" s="5">
        <f>+G18</f>
        <v>8346.7000000000007</v>
      </c>
      <c r="V18" s="5">
        <f>+L18</f>
        <v>1511.7</v>
      </c>
      <c r="W18" s="5">
        <f t="shared" ref="W18:W21" si="35">+J18</f>
        <v>0</v>
      </c>
      <c r="X18" s="5">
        <f>+I18</f>
        <v>4125.5</v>
      </c>
      <c r="Y18" s="5">
        <f>+K18</f>
        <v>6544.4</v>
      </c>
      <c r="Z18" s="5">
        <f>+SUM(E18,F18,H18)</f>
        <v>20.3</v>
      </c>
      <c r="AA18" s="5">
        <f>+SUM(S18:Z18)</f>
        <v>26068.600000000002</v>
      </c>
    </row>
    <row r="19" spans="1:39" x14ac:dyDescent="0.25">
      <c r="A19" t="s">
        <v>8423</v>
      </c>
      <c r="B19">
        <f>+VLOOKUP($A19,Aux!$A$5:$O$677,COLUMN()-COLUMN($A$1)+1,0)</f>
        <v>2919.2000000000003</v>
      </c>
      <c r="C19">
        <f>+VLOOKUP($A19,Aux!$A$5:$O$677,COLUMN()-COLUMN($A$1)+1,0)</f>
        <v>14.5</v>
      </c>
      <c r="D19">
        <f>+VLOOKUP($A19,Aux!$A$5:$O$677,COLUMN()-COLUMN($A$1)+1,0)</f>
        <v>282.89999999999998</v>
      </c>
      <c r="E19">
        <f>+VLOOKUP($A19,Aux!$A$5:$O$677,COLUMN()-COLUMN($A$1)+1,0)</f>
        <v>11.5</v>
      </c>
      <c r="F19">
        <f>+VLOOKUP($A19,Aux!$A$5:$O$677,COLUMN()-COLUMN($A$1)+1,0)</f>
        <v>0</v>
      </c>
      <c r="G19">
        <f>+VLOOKUP($A19,Aux!$A$5:$O$677,COLUMN()-COLUMN($A$1)+1,0)</f>
        <v>4014.8</v>
      </c>
      <c r="H19">
        <f>+VLOOKUP($A19,Aux!$A$5:$O$677,COLUMN()-COLUMN($A$1)+1,0)</f>
        <v>0.4</v>
      </c>
      <c r="I19">
        <f>+VLOOKUP($A19,Aux!$A$5:$O$677,COLUMN()-COLUMN($A$1)+1,0)</f>
        <v>2427.1</v>
      </c>
      <c r="J19">
        <f>+VLOOKUP($A19,Aux!$A$5:$O$677,COLUMN()-COLUMN($A$1)+1,0)</f>
        <v>0</v>
      </c>
      <c r="K19">
        <f>+VLOOKUP($A19,Aux!$A$5:$O$677,COLUMN()-COLUMN($A$1)+1,0)</f>
        <v>2842.7</v>
      </c>
      <c r="L19">
        <f>+VLOOKUP($A19,Aux!$A$5:$O$677,COLUMN()-COLUMN($A$1)+1,0)</f>
        <v>1330.3999999999999</v>
      </c>
      <c r="M19">
        <f>+VLOOKUP($A19,Aux!$A$5:$O$677,COLUMN()-COLUMN($A$1)+1,0)</f>
        <v>7.6000000000000005</v>
      </c>
      <c r="N19">
        <f>+VLOOKUP($A19,Aux!$A$5:$O$677,COLUMN()-COLUMN($A$1)+1,0)</f>
        <v>13851.099999999999</v>
      </c>
      <c r="O19" s="3"/>
      <c r="P19" s="4"/>
      <c r="R19" t="str">
        <f>+A19</f>
        <v>ENDESA</v>
      </c>
      <c r="S19" s="5">
        <f>+M19+D19</f>
        <v>290.5</v>
      </c>
      <c r="T19" s="5">
        <f>+B19+C19</f>
        <v>2933.7000000000003</v>
      </c>
      <c r="U19" s="5">
        <f>+G19</f>
        <v>4014.8</v>
      </c>
      <c r="V19" s="5">
        <f>+L19</f>
        <v>1330.3999999999999</v>
      </c>
      <c r="W19" s="5">
        <f t="shared" si="35"/>
        <v>0</v>
      </c>
      <c r="X19" s="5">
        <f>+I19</f>
        <v>2427.1</v>
      </c>
      <c r="Y19" s="5">
        <f>+K19</f>
        <v>2842.7</v>
      </c>
      <c r="Z19" s="5">
        <f>+SUM(E19,F19,H19)</f>
        <v>11.9</v>
      </c>
      <c r="AA19" s="5">
        <f>+SUM(S19:Z19)</f>
        <v>13851.1</v>
      </c>
    </row>
    <row r="20" spans="1:39" x14ac:dyDescent="0.25">
      <c r="A20" t="s">
        <v>8430</v>
      </c>
      <c r="B20">
        <f>+VLOOKUP($A20,Aux!$A$5:$O$677,COLUMN()-COLUMN($A$1)+1,0)</f>
        <v>7295.4000000000005</v>
      </c>
      <c r="C20">
        <f>+VLOOKUP($A20,Aux!$A$5:$O$677,COLUMN()-COLUMN($A$1)+1,0)</f>
        <v>0</v>
      </c>
      <c r="D20">
        <f>+VLOOKUP($A20,Aux!$A$5:$O$677,COLUMN()-COLUMN($A$1)+1,0)</f>
        <v>182.2</v>
      </c>
      <c r="E20">
        <f>+VLOOKUP($A20,Aux!$A$5:$O$677,COLUMN()-COLUMN($A$1)+1,0)</f>
        <v>0</v>
      </c>
      <c r="F20">
        <f>+VLOOKUP($A20,Aux!$A$5:$O$677,COLUMN()-COLUMN($A$1)+1,0)</f>
        <v>0</v>
      </c>
      <c r="G20">
        <f>+VLOOKUP($A20,Aux!$A$5:$O$677,COLUMN()-COLUMN($A$1)+1,0)</f>
        <v>1832.2000000000003</v>
      </c>
      <c r="H20">
        <f>+VLOOKUP($A20,Aux!$A$5:$O$677,COLUMN()-COLUMN($A$1)+1,0)</f>
        <v>0</v>
      </c>
      <c r="I20">
        <f>+VLOOKUP($A20,Aux!$A$5:$O$677,COLUMN()-COLUMN($A$1)+1,0)</f>
        <v>989.6</v>
      </c>
      <c r="J20">
        <f>+VLOOKUP($A20,Aux!$A$5:$O$677,COLUMN()-COLUMN($A$1)+1,0)</f>
        <v>0</v>
      </c>
      <c r="K20">
        <f>+VLOOKUP($A20,Aux!$A$5:$O$677,COLUMN()-COLUMN($A$1)+1,0)</f>
        <v>2098</v>
      </c>
      <c r="L20">
        <f>+VLOOKUP($A20,Aux!$A$5:$O$677,COLUMN()-COLUMN($A$1)+1,0)</f>
        <v>215</v>
      </c>
      <c r="M20">
        <f>+VLOOKUP($A20,Aux!$A$5:$O$677,COLUMN()-COLUMN($A$1)+1,0)</f>
        <v>0</v>
      </c>
      <c r="N20">
        <f>+VLOOKUP($A20,Aux!$A$5:$O$677,COLUMN()-COLUMN($A$1)+1,0)</f>
        <v>12612.400000000001</v>
      </c>
      <c r="O20" s="3"/>
      <c r="P20" s="4"/>
      <c r="R20" t="str">
        <f>+A20</f>
        <v>NATURGY</v>
      </c>
      <c r="S20" s="5">
        <f>+M20+D20</f>
        <v>182.2</v>
      </c>
      <c r="T20" s="5">
        <f>+B20+C20</f>
        <v>7295.4000000000005</v>
      </c>
      <c r="U20" s="5">
        <f>+G20</f>
        <v>1832.2000000000003</v>
      </c>
      <c r="V20" s="5">
        <f>+L20</f>
        <v>215</v>
      </c>
      <c r="W20" s="5">
        <f t="shared" si="35"/>
        <v>0</v>
      </c>
      <c r="X20" s="5">
        <f>+I20</f>
        <v>989.6</v>
      </c>
      <c r="Y20" s="5">
        <f>+K20</f>
        <v>2098</v>
      </c>
      <c r="Z20" s="5">
        <f>+SUM(E20,F20,H20)</f>
        <v>0</v>
      </c>
      <c r="AA20" s="5">
        <f>+SUM(S20:Z20)</f>
        <v>12612.400000000001</v>
      </c>
      <c r="AF20">
        <v>1000</v>
      </c>
    </row>
    <row r="21" spans="1:39" x14ac:dyDescent="0.25">
      <c r="A21" t="s">
        <v>8417</v>
      </c>
      <c r="B21">
        <f>+VLOOKUP($A21,Aux!$A$5:$O$677,COLUMN()-COLUMN($A$1)+1,0)</f>
        <v>854.1</v>
      </c>
      <c r="C21">
        <f>+VLOOKUP($A21,Aux!$A$5:$O$677,COLUMN()-COLUMN($A$1)+1,0)</f>
        <v>1257.9000000000001</v>
      </c>
      <c r="D21">
        <f>+VLOOKUP($A21,Aux!$A$5:$O$677,COLUMN()-COLUMN($A$1)+1,0)</f>
        <v>10</v>
      </c>
      <c r="E21">
        <f>+VLOOKUP($A21,Aux!$A$5:$O$677,COLUMN()-COLUMN($A$1)+1,0)</f>
        <v>0</v>
      </c>
      <c r="F21">
        <f>+VLOOKUP($A21,Aux!$A$5:$O$677,COLUMN()-COLUMN($A$1)+1,0)</f>
        <v>0</v>
      </c>
      <c r="G21">
        <f>+VLOOKUP($A21,Aux!$A$5:$O$677,COLUMN()-COLUMN($A$1)+1,0)</f>
        <v>450.59999999999997</v>
      </c>
      <c r="H21">
        <f>+VLOOKUP($A21,Aux!$A$5:$O$677,COLUMN()-COLUMN($A$1)+1,0)</f>
        <v>0</v>
      </c>
      <c r="I21">
        <f>+VLOOKUP($A21,Aux!$A$5:$O$677,COLUMN()-COLUMN($A$1)+1,0)</f>
        <v>204.4</v>
      </c>
      <c r="J21">
        <f>+VLOOKUP($A21,Aux!$A$5:$O$677,COLUMN()-COLUMN($A$1)+1,0)</f>
        <v>0</v>
      </c>
      <c r="K21">
        <f>+VLOOKUP($A21,Aux!$A$5:$O$677,COLUMN()-COLUMN($A$1)+1,0)</f>
        <v>1865.1</v>
      </c>
      <c r="L21">
        <f>+VLOOKUP($A21,Aux!$A$5:$O$677,COLUMN()-COLUMN($A$1)+1,0)</f>
        <v>0</v>
      </c>
      <c r="M21">
        <f>+VLOOKUP($A21,Aux!$A$5:$O$677,COLUMN()-COLUMN($A$1)+1,0)</f>
        <v>0</v>
      </c>
      <c r="N21">
        <f>+VLOOKUP($A21,Aux!$A$5:$O$677,COLUMN()-COLUMN($A$1)+1,0)</f>
        <v>4642.1000000000004</v>
      </c>
      <c r="O21" s="3"/>
      <c r="P21" s="4"/>
      <c r="R21" t="str">
        <f>+A21</f>
        <v>EDP</v>
      </c>
      <c r="S21" s="5">
        <f>+M21+D21</f>
        <v>10</v>
      </c>
      <c r="T21" s="5">
        <f>+B21+C21</f>
        <v>2112</v>
      </c>
      <c r="U21" s="5">
        <f>+G21</f>
        <v>450.59999999999997</v>
      </c>
      <c r="V21" s="5">
        <f>+L21</f>
        <v>0</v>
      </c>
      <c r="W21" s="5">
        <f t="shared" si="35"/>
        <v>0</v>
      </c>
      <c r="X21" s="5">
        <f>+I21</f>
        <v>204.4</v>
      </c>
      <c r="Y21" s="5">
        <f>+K21</f>
        <v>1865.1</v>
      </c>
      <c r="Z21" s="5">
        <f>+SUM(E21,F21,H21)</f>
        <v>0</v>
      </c>
      <c r="AA21" s="5">
        <f>+SUM(S21:Z21)</f>
        <v>4642.1000000000004</v>
      </c>
    </row>
    <row r="24" spans="1:39" x14ac:dyDescent="0.25">
      <c r="AD24" s="15" t="s">
        <v>8884</v>
      </c>
      <c r="AE24" s="15" t="s">
        <v>8889</v>
      </c>
      <c r="AF24" s="15" t="s">
        <v>8887</v>
      </c>
      <c r="AG24" s="15" t="s">
        <v>8888</v>
      </c>
      <c r="AH24" s="15" t="s">
        <v>8863</v>
      </c>
      <c r="AI24" s="15" t="s">
        <v>8866</v>
      </c>
      <c r="AJ24" s="15" t="s">
        <v>8876</v>
      </c>
      <c r="AK24" s="15" t="s">
        <v>8867</v>
      </c>
      <c r="AL24" s="15" t="s">
        <v>8869</v>
      </c>
      <c r="AM24" s="15" t="s">
        <v>8514</v>
      </c>
    </row>
    <row r="25" spans="1:39" x14ac:dyDescent="0.25">
      <c r="AD25" s="15" t="s">
        <v>516</v>
      </c>
      <c r="AE25" s="15">
        <v>1.6</v>
      </c>
      <c r="AF25" s="15">
        <v>194</v>
      </c>
      <c r="AG25" s="15">
        <v>301.60000000000002</v>
      </c>
      <c r="AH25" s="15">
        <v>215.1</v>
      </c>
      <c r="AI25" s="15">
        <v>0</v>
      </c>
      <c r="AJ25" s="15">
        <v>99.8</v>
      </c>
      <c r="AK25" s="15">
        <v>4379.7000000000016</v>
      </c>
      <c r="AL25" s="15">
        <v>2547.8000000000006</v>
      </c>
      <c r="AM25" s="15">
        <v>7739.6000000000022</v>
      </c>
    </row>
    <row r="26" spans="1:39" x14ac:dyDescent="0.25">
      <c r="AD26" s="15" t="s">
        <v>8421</v>
      </c>
      <c r="AE26" s="15">
        <v>193.4</v>
      </c>
      <c r="AF26" s="15">
        <v>883.79999999999973</v>
      </c>
      <c r="AG26" s="15">
        <v>161.89999999999998</v>
      </c>
      <c r="AH26" s="15">
        <v>364.30000000000007</v>
      </c>
      <c r="AI26" s="15">
        <v>0</v>
      </c>
      <c r="AJ26" s="15">
        <v>1010.2999999999998</v>
      </c>
      <c r="AK26" s="15">
        <v>1794.3999999999996</v>
      </c>
      <c r="AL26" s="15">
        <v>2697.5000000000009</v>
      </c>
      <c r="AM26" s="15">
        <v>7105.5999999999995</v>
      </c>
    </row>
    <row r="27" spans="1:39" x14ac:dyDescent="0.25">
      <c r="AD27" s="15" t="s">
        <v>8422</v>
      </c>
      <c r="AE27" s="15">
        <v>49.6</v>
      </c>
      <c r="AF27" s="15">
        <v>427.4</v>
      </c>
      <c r="AG27" s="15">
        <v>12.1</v>
      </c>
      <c r="AH27" s="15">
        <v>142.40000000000003</v>
      </c>
      <c r="AI27" s="15">
        <v>0</v>
      </c>
      <c r="AJ27" s="15">
        <v>249.5</v>
      </c>
      <c r="AK27" s="15">
        <v>4600.2000000000016</v>
      </c>
      <c r="AL27" s="15">
        <v>1048.0999999999999</v>
      </c>
      <c r="AM27" s="15">
        <v>6529.3000000000029</v>
      </c>
    </row>
    <row r="28" spans="1:39" x14ac:dyDescent="0.25">
      <c r="AD28" s="15" t="s">
        <v>8443</v>
      </c>
      <c r="AE28" s="15">
        <v>12.2</v>
      </c>
      <c r="AF28" s="15">
        <v>494.70000000000005</v>
      </c>
      <c r="AG28" s="15">
        <v>1849.8999999999999</v>
      </c>
      <c r="AH28" s="15">
        <v>333.80000000000007</v>
      </c>
      <c r="AI28" s="15">
        <v>360.4</v>
      </c>
      <c r="AJ28" s="15">
        <v>0</v>
      </c>
      <c r="AK28" s="15">
        <v>746.90000000000009</v>
      </c>
      <c r="AL28" s="15">
        <v>1433.8999999999999</v>
      </c>
      <c r="AM28" s="15">
        <v>5231.8</v>
      </c>
    </row>
    <row r="29" spans="1:39" x14ac:dyDescent="0.25">
      <c r="AD29" s="15" t="s">
        <v>8418</v>
      </c>
      <c r="AE29" s="15">
        <v>25.9</v>
      </c>
      <c r="AF29" s="15">
        <v>216.39999999999998</v>
      </c>
      <c r="AG29" s="15">
        <v>9.1999999999999993</v>
      </c>
      <c r="AH29" s="15">
        <v>248.69999999999996</v>
      </c>
      <c r="AI29" s="15">
        <v>0</v>
      </c>
      <c r="AJ29" s="15">
        <v>366.9</v>
      </c>
      <c r="AK29" s="15">
        <v>3401.7999999999993</v>
      </c>
      <c r="AL29" s="15">
        <v>678.39999999999986</v>
      </c>
      <c r="AM29" s="15">
        <v>4947.2999999999984</v>
      </c>
    </row>
    <row r="30" spans="1:39" x14ac:dyDescent="0.25">
      <c r="AD30" s="15" t="s">
        <v>8508</v>
      </c>
      <c r="AE30" s="15">
        <v>0</v>
      </c>
      <c r="AF30" s="15">
        <v>115.69999999999999</v>
      </c>
      <c r="AG30" s="15">
        <v>0</v>
      </c>
      <c r="AH30" s="15">
        <v>242.8</v>
      </c>
      <c r="AI30" s="15">
        <v>0</v>
      </c>
      <c r="AJ30" s="15">
        <v>0</v>
      </c>
      <c r="AK30" s="15">
        <v>211.10000000000002</v>
      </c>
      <c r="AL30" s="15">
        <v>4344.300000000002</v>
      </c>
      <c r="AM30" s="15">
        <v>4913.9000000000024</v>
      </c>
    </row>
    <row r="31" spans="1:39" x14ac:dyDescent="0.25">
      <c r="AD31" s="15" t="s">
        <v>8524</v>
      </c>
      <c r="AE31" s="15">
        <v>0</v>
      </c>
      <c r="AF31" s="15">
        <v>34.299999999999997</v>
      </c>
      <c r="AG31" s="15">
        <v>1989.7</v>
      </c>
      <c r="AH31" s="15">
        <v>77.3</v>
      </c>
      <c r="AI31" s="15">
        <v>0</v>
      </c>
      <c r="AJ31" s="15">
        <v>0</v>
      </c>
      <c r="AK31" s="15">
        <v>177</v>
      </c>
      <c r="AL31" s="15">
        <v>1411.1</v>
      </c>
      <c r="AM31" s="15">
        <v>3689.4</v>
      </c>
    </row>
    <row r="32" spans="1:39" x14ac:dyDescent="0.25">
      <c r="AD32" s="15" t="s">
        <v>8570</v>
      </c>
      <c r="AE32" s="15">
        <v>1.8</v>
      </c>
      <c r="AF32" s="15">
        <v>2.2000000000000002</v>
      </c>
      <c r="AG32" s="15">
        <v>0</v>
      </c>
      <c r="AH32" s="15">
        <v>46.599999999999994</v>
      </c>
      <c r="AI32" s="15">
        <v>0</v>
      </c>
      <c r="AJ32" s="15">
        <v>270.2</v>
      </c>
      <c r="AK32" s="15">
        <v>2607.8000000000006</v>
      </c>
      <c r="AL32" s="15">
        <v>224.49999999999997</v>
      </c>
      <c r="AM32" s="15">
        <v>3153.1000000000008</v>
      </c>
    </row>
    <row r="33" spans="30:39" x14ac:dyDescent="0.25">
      <c r="AD33" s="15" t="s">
        <v>8419</v>
      </c>
      <c r="AE33" s="15">
        <v>26.099999999999998</v>
      </c>
      <c r="AF33" s="15">
        <v>226.6</v>
      </c>
      <c r="AG33" s="15">
        <v>53.000000000000007</v>
      </c>
      <c r="AH33" s="15">
        <v>140.30000000000001</v>
      </c>
      <c r="AI33" s="15">
        <v>0</v>
      </c>
      <c r="AJ33" s="15">
        <v>99.8</v>
      </c>
      <c r="AK33" s="15">
        <v>1141.0000000000005</v>
      </c>
      <c r="AL33" s="15">
        <v>1065.5999999999999</v>
      </c>
      <c r="AM33" s="15">
        <v>2752.4</v>
      </c>
    </row>
    <row r="34" spans="30:39" x14ac:dyDescent="0.25">
      <c r="AD34" s="15" t="s">
        <v>8512</v>
      </c>
      <c r="AE34" s="15">
        <v>156.1</v>
      </c>
      <c r="AF34" s="15">
        <v>139.1</v>
      </c>
      <c r="AG34" s="15">
        <v>39.5</v>
      </c>
      <c r="AH34" s="15">
        <v>63.7</v>
      </c>
      <c r="AI34" s="15">
        <v>0</v>
      </c>
      <c r="AJ34" s="15">
        <v>0</v>
      </c>
      <c r="AK34" s="15">
        <v>792.40000000000009</v>
      </c>
      <c r="AL34" s="15">
        <v>1268.3000000000002</v>
      </c>
      <c r="AM34" s="15">
        <v>2459.1</v>
      </c>
    </row>
    <row r="35" spans="30:39" x14ac:dyDescent="0.25">
      <c r="AD35" s="15" t="s">
        <v>8883</v>
      </c>
      <c r="AE35" s="15">
        <v>0</v>
      </c>
      <c r="AF35" s="15">
        <v>91.9</v>
      </c>
      <c r="AG35" s="15">
        <v>414</v>
      </c>
      <c r="AH35" s="15">
        <v>0</v>
      </c>
      <c r="AI35" s="15">
        <v>0</v>
      </c>
      <c r="AJ35" s="15">
        <v>0</v>
      </c>
      <c r="AK35" s="15">
        <v>1083.0999999999999</v>
      </c>
      <c r="AL35" s="15">
        <v>821.7</v>
      </c>
      <c r="AM35" s="15">
        <v>2410.6999999999998</v>
      </c>
    </row>
    <row r="36" spans="30:39" x14ac:dyDescent="0.25">
      <c r="AD36" s="15" t="s">
        <v>4059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149.80000000000001</v>
      </c>
      <c r="AK36" s="15">
        <v>1416.9000000000005</v>
      </c>
      <c r="AL36" s="15">
        <v>160.5</v>
      </c>
      <c r="AM36" s="15">
        <v>1727.2000000000005</v>
      </c>
    </row>
    <row r="37" spans="30:39" x14ac:dyDescent="0.25">
      <c r="AD37" s="15" t="s">
        <v>4016</v>
      </c>
      <c r="AE37" s="15">
        <v>17.600000000000001</v>
      </c>
      <c r="AF37" s="15">
        <v>0</v>
      </c>
      <c r="AG37" s="15">
        <v>0</v>
      </c>
      <c r="AH37" s="15">
        <v>13.9</v>
      </c>
      <c r="AI37" s="15">
        <v>0</v>
      </c>
      <c r="AJ37" s="15">
        <v>0</v>
      </c>
      <c r="AK37" s="15">
        <v>1216.5999999999999</v>
      </c>
      <c r="AL37" s="15">
        <v>125.39999999999999</v>
      </c>
      <c r="AM37" s="15">
        <v>1373.5</v>
      </c>
    </row>
    <row r="38" spans="30:39" x14ac:dyDescent="0.25">
      <c r="AD38" s="15" t="s">
        <v>6051</v>
      </c>
      <c r="AE38" s="15">
        <v>28.299999999999997</v>
      </c>
      <c r="AF38" s="15">
        <v>422.90000000000003</v>
      </c>
      <c r="AG38" s="15">
        <v>95.4</v>
      </c>
      <c r="AH38" s="15">
        <v>61.1</v>
      </c>
      <c r="AI38" s="15">
        <v>0</v>
      </c>
      <c r="AJ38" s="15">
        <v>0</v>
      </c>
      <c r="AK38" s="15">
        <v>8.1999999999999993</v>
      </c>
      <c r="AL38" s="15">
        <v>2.6</v>
      </c>
      <c r="AM38" s="15">
        <v>618.50000000000011</v>
      </c>
    </row>
    <row r="39" spans="30:39" x14ac:dyDescent="0.25">
      <c r="AD39" s="15" t="s">
        <v>8515</v>
      </c>
      <c r="AE39" s="15">
        <v>0</v>
      </c>
      <c r="AF39" s="15">
        <v>22.8</v>
      </c>
      <c r="AG39" s="15">
        <v>0</v>
      </c>
      <c r="AH39" s="15">
        <v>0</v>
      </c>
      <c r="AI39" s="15">
        <v>0</v>
      </c>
      <c r="AJ39" s="15">
        <v>0</v>
      </c>
      <c r="AK39" s="15">
        <v>256.90000000000003</v>
      </c>
      <c r="AL39" s="15">
        <v>0</v>
      </c>
      <c r="AM39" s="15">
        <v>279.70000000000005</v>
      </c>
    </row>
  </sheetData>
  <autoFilter ref="AD24:AM39" xr:uid="{00000000-0001-0000-0100-000000000000}">
    <sortState xmlns:xlrd2="http://schemas.microsoft.com/office/spreadsheetml/2017/richdata2" ref="AD25:AM39">
      <sortCondition descending="1" ref="AM24:AM39"/>
    </sortState>
  </autoFilter>
  <pageMargins left="0.7" right="0.7" top="0.75" bottom="0.75" header="0.3" footer="0.3"/>
  <headerFooter>
    <oddFooter>&amp;C_x000D_&amp;1#&amp;"Calibri"&amp;10&amp;K000000 Nur für den internen Gebrauch - Internal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80A7A-4090-46DE-8C03-192D58C4C44E}">
  <dimension ref="A2:B24"/>
  <sheetViews>
    <sheetView workbookViewId="0">
      <selection activeCell="B12" sqref="B12"/>
    </sheetView>
  </sheetViews>
  <sheetFormatPr defaultRowHeight="15" x14ac:dyDescent="0.25"/>
  <cols>
    <col min="1" max="1" width="26.140625" bestFit="1" customWidth="1"/>
    <col min="2" max="2" width="17.85546875" bestFit="1" customWidth="1"/>
  </cols>
  <sheetData>
    <row r="2" spans="1:2" x14ac:dyDescent="0.25">
      <c r="A2" s="8" t="s">
        <v>0</v>
      </c>
      <c r="B2" t="s">
        <v>8515</v>
      </c>
    </row>
    <row r="3" spans="1:2" x14ac:dyDescent="0.25">
      <c r="A3" s="8" t="s">
        <v>1</v>
      </c>
      <c r="B3" t="s">
        <v>8890</v>
      </c>
    </row>
    <row r="5" spans="1:2" x14ac:dyDescent="0.25">
      <c r="A5" s="8" t="s">
        <v>8881</v>
      </c>
      <c r="B5" t="s">
        <v>8879</v>
      </c>
    </row>
    <row r="6" spans="1:2" x14ac:dyDescent="0.25">
      <c r="A6" s="1" t="s">
        <v>8901</v>
      </c>
      <c r="B6" s="9">
        <v>22.8</v>
      </c>
    </row>
    <row r="7" spans="1:2" x14ac:dyDescent="0.25">
      <c r="A7" s="12" t="s">
        <v>7682</v>
      </c>
      <c r="B7" s="9">
        <v>22.8</v>
      </c>
    </row>
    <row r="8" spans="1:2" x14ac:dyDescent="0.25">
      <c r="A8" s="1" t="s">
        <v>158</v>
      </c>
      <c r="B8" s="9">
        <v>256.50000000000006</v>
      </c>
    </row>
    <row r="9" spans="1:2" x14ac:dyDescent="0.25">
      <c r="A9" s="12" t="s">
        <v>833</v>
      </c>
      <c r="B9" s="9">
        <v>4.3</v>
      </c>
    </row>
    <row r="10" spans="1:2" x14ac:dyDescent="0.25">
      <c r="A10" s="12" t="s">
        <v>839</v>
      </c>
      <c r="B10" s="9">
        <v>40.700000000000003</v>
      </c>
    </row>
    <row r="11" spans="1:2" x14ac:dyDescent="0.25">
      <c r="A11" s="12" t="s">
        <v>841</v>
      </c>
      <c r="B11" s="9">
        <v>40.700000000000003</v>
      </c>
    </row>
    <row r="12" spans="1:2" x14ac:dyDescent="0.25">
      <c r="A12" s="12" t="s">
        <v>843</v>
      </c>
      <c r="B12" s="9">
        <v>40.200000000000003</v>
      </c>
    </row>
    <row r="13" spans="1:2" x14ac:dyDescent="0.25">
      <c r="A13" s="12" t="s">
        <v>845</v>
      </c>
      <c r="B13" s="9">
        <v>10</v>
      </c>
    </row>
    <row r="14" spans="1:2" x14ac:dyDescent="0.25">
      <c r="A14" s="12" t="s">
        <v>847</v>
      </c>
      <c r="B14" s="9">
        <v>16.8</v>
      </c>
    </row>
    <row r="15" spans="1:2" x14ac:dyDescent="0.25">
      <c r="A15" s="12" t="s">
        <v>849</v>
      </c>
      <c r="B15" s="9">
        <v>16.8</v>
      </c>
    </row>
    <row r="16" spans="1:2" x14ac:dyDescent="0.25">
      <c r="A16" s="12" t="s">
        <v>851</v>
      </c>
      <c r="B16" s="9">
        <v>22.4</v>
      </c>
    </row>
    <row r="17" spans="1:2" x14ac:dyDescent="0.25">
      <c r="A17" s="12" t="s">
        <v>9624</v>
      </c>
      <c r="B17" s="9">
        <v>39</v>
      </c>
    </row>
    <row r="18" spans="1:2" x14ac:dyDescent="0.25">
      <c r="A18" s="12" t="s">
        <v>3908</v>
      </c>
      <c r="B18" s="9">
        <v>8.5</v>
      </c>
    </row>
    <row r="19" spans="1:2" x14ac:dyDescent="0.25">
      <c r="A19" s="12" t="s">
        <v>11172</v>
      </c>
      <c r="B19" s="9">
        <v>17.100000000000001</v>
      </c>
    </row>
    <row r="20" spans="1:2" x14ac:dyDescent="0.25">
      <c r="A20" s="1" t="s">
        <v>8882</v>
      </c>
      <c r="B20" s="9">
        <v>279.30000000000007</v>
      </c>
    </row>
    <row r="23" spans="1:2" x14ac:dyDescent="0.25">
      <c r="B23">
        <f>40.7*3</f>
        <v>122.10000000000001</v>
      </c>
    </row>
    <row r="24" spans="1:2" x14ac:dyDescent="0.25">
      <c r="B24">
        <f>+GETPIVOTDATA("Power MW",$A$5)-B23</f>
        <v>157.20000000000005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M3522"/>
  <sheetViews>
    <sheetView tabSelected="1" topLeftCell="A2" zoomScale="77" workbookViewId="0">
      <selection activeCell="D2360" sqref="D2360"/>
    </sheetView>
  </sheetViews>
  <sheetFormatPr defaultRowHeight="15" x14ac:dyDescent="0.25"/>
  <cols>
    <col min="1" max="1" width="10.5703125" bestFit="1" customWidth="1"/>
    <col min="2" max="2" width="13.85546875" bestFit="1" customWidth="1"/>
    <col min="3" max="3" width="34.85546875" bestFit="1" customWidth="1"/>
    <col min="4" max="4" width="16.5703125" bestFit="1" customWidth="1"/>
    <col min="5" max="5" width="18.42578125" bestFit="1" customWidth="1"/>
    <col min="6" max="6" width="18.42578125" customWidth="1"/>
    <col min="7" max="7" width="6.85546875" bestFit="1" customWidth="1"/>
    <col min="8" max="8" width="15.140625" bestFit="1" customWidth="1"/>
    <col min="9" max="9" width="14.85546875" bestFit="1" customWidth="1"/>
    <col min="10" max="10" width="25.85546875" bestFit="1" customWidth="1"/>
    <col min="11" max="11" width="25.85546875" customWidth="1"/>
    <col min="12" max="12" width="29.85546875" bestFit="1" customWidth="1"/>
  </cols>
  <sheetData>
    <row r="2" spans="1:13" x14ac:dyDescent="0.25">
      <c r="A2" t="s">
        <v>8407</v>
      </c>
      <c r="B2" t="s">
        <v>8408</v>
      </c>
      <c r="C2" t="s">
        <v>8409</v>
      </c>
      <c r="D2" t="s">
        <v>8410</v>
      </c>
      <c r="E2" t="s">
        <v>8411</v>
      </c>
      <c r="F2" t="s">
        <v>8412</v>
      </c>
      <c r="G2" t="s">
        <v>8413</v>
      </c>
      <c r="H2" t="s">
        <v>8414</v>
      </c>
      <c r="I2" t="s">
        <v>8415</v>
      </c>
      <c r="J2" t="s">
        <v>1</v>
      </c>
      <c r="K2" t="s">
        <v>0</v>
      </c>
      <c r="L2" t="s">
        <v>8416</v>
      </c>
      <c r="M2" t="s">
        <v>10681</v>
      </c>
    </row>
    <row r="3" spans="1:13" ht="26.25" x14ac:dyDescent="0.25">
      <c r="A3" s="13" t="s">
        <v>5</v>
      </c>
      <c r="B3" s="13" t="s">
        <v>5</v>
      </c>
      <c r="C3" s="13" t="s">
        <v>5</v>
      </c>
      <c r="D3" s="13">
        <v>3.8</v>
      </c>
      <c r="E3" s="13" t="s">
        <v>6</v>
      </c>
      <c r="F3" s="13" t="s">
        <v>8862</v>
      </c>
      <c r="G3" s="13" t="s">
        <v>2</v>
      </c>
      <c r="H3" s="13" t="s">
        <v>3</v>
      </c>
      <c r="I3" s="13" t="s">
        <v>4</v>
      </c>
      <c r="J3" s="13" t="s">
        <v>8890</v>
      </c>
      <c r="K3" s="13" t="s">
        <v>8424</v>
      </c>
      <c r="L3" s="13" t="s">
        <v>8892</v>
      </c>
      <c r="M3" t="s">
        <v>3</v>
      </c>
    </row>
    <row r="4" spans="1:13" ht="26.25" x14ac:dyDescent="0.25">
      <c r="A4" s="13" t="s">
        <v>7</v>
      </c>
      <c r="B4" s="13" t="s">
        <v>7</v>
      </c>
      <c r="C4" s="13" t="s">
        <v>8</v>
      </c>
      <c r="D4" s="13">
        <v>0.3</v>
      </c>
      <c r="E4" s="13" t="s">
        <v>9</v>
      </c>
      <c r="F4" s="13" t="s">
        <v>8863</v>
      </c>
      <c r="G4" s="13" t="s">
        <v>2</v>
      </c>
      <c r="H4" s="13" t="s">
        <v>3</v>
      </c>
      <c r="I4" s="13" t="s">
        <v>10</v>
      </c>
      <c r="J4" s="13" t="s">
        <v>8890</v>
      </c>
      <c r="K4" s="13" t="s">
        <v>8425</v>
      </c>
      <c r="L4" s="13" t="s">
        <v>8893</v>
      </c>
      <c r="M4" t="s">
        <v>3</v>
      </c>
    </row>
    <row r="5" spans="1:13" ht="26.25" x14ac:dyDescent="0.25">
      <c r="A5" s="13" t="s">
        <v>11</v>
      </c>
      <c r="B5" s="13" t="s">
        <v>11</v>
      </c>
      <c r="C5" s="13" t="s">
        <v>12</v>
      </c>
      <c r="D5" s="13">
        <v>0.4</v>
      </c>
      <c r="E5" s="13" t="s">
        <v>13</v>
      </c>
      <c r="F5" s="13" t="s">
        <v>8863</v>
      </c>
      <c r="G5" s="13" t="s">
        <v>2</v>
      </c>
      <c r="H5" s="13" t="s">
        <v>3</v>
      </c>
      <c r="I5" s="13" t="s">
        <v>10</v>
      </c>
      <c r="J5" s="13" t="s">
        <v>8890</v>
      </c>
      <c r="K5" s="13" t="s">
        <v>8425</v>
      </c>
      <c r="L5" s="13" t="s">
        <v>8893</v>
      </c>
      <c r="M5" t="s">
        <v>3</v>
      </c>
    </row>
    <row r="6" spans="1:13" ht="26.25" x14ac:dyDescent="0.25">
      <c r="A6" s="13" t="s">
        <v>14</v>
      </c>
      <c r="B6" s="13" t="s">
        <v>15</v>
      </c>
      <c r="C6" s="13" t="s">
        <v>16</v>
      </c>
      <c r="D6" s="13">
        <v>1</v>
      </c>
      <c r="E6" s="13" t="s">
        <v>17</v>
      </c>
      <c r="F6" s="13" t="s">
        <v>8860</v>
      </c>
      <c r="G6" s="13" t="s">
        <v>19</v>
      </c>
      <c r="H6" s="13" t="s">
        <v>3</v>
      </c>
      <c r="I6" s="13" t="s">
        <v>20</v>
      </c>
      <c r="J6" s="13" t="s">
        <v>21</v>
      </c>
      <c r="K6" s="13" t="s">
        <v>8426</v>
      </c>
      <c r="L6" s="13" t="s">
        <v>18</v>
      </c>
      <c r="M6" t="s">
        <v>3</v>
      </c>
    </row>
    <row r="7" spans="1:13" x14ac:dyDescent="0.25">
      <c r="A7" s="13" t="s">
        <v>22</v>
      </c>
      <c r="B7" s="13" t="s">
        <v>8894</v>
      </c>
      <c r="C7" s="13" t="s">
        <v>8895</v>
      </c>
      <c r="D7" s="13">
        <v>341.7</v>
      </c>
      <c r="E7" s="13" t="s">
        <v>23</v>
      </c>
      <c r="F7" s="13" t="s">
        <v>8861</v>
      </c>
      <c r="G7" s="13" t="s">
        <v>2</v>
      </c>
      <c r="H7" s="13" t="s">
        <v>3</v>
      </c>
      <c r="I7" s="13" t="s">
        <v>25</v>
      </c>
      <c r="J7" s="13" t="s">
        <v>8890</v>
      </c>
      <c r="K7" s="13" t="s">
        <v>8417</v>
      </c>
      <c r="L7" s="13" t="s">
        <v>24</v>
      </c>
      <c r="M7" t="s">
        <v>3</v>
      </c>
    </row>
    <row r="8" spans="1:13" x14ac:dyDescent="0.25">
      <c r="A8" s="13" t="s">
        <v>11147</v>
      </c>
      <c r="B8" s="13" t="s">
        <v>11147</v>
      </c>
      <c r="C8" s="13" t="s">
        <v>11148</v>
      </c>
      <c r="D8" s="13">
        <v>561.79999999999995</v>
      </c>
      <c r="E8" s="13" t="s">
        <v>11149</v>
      </c>
      <c r="F8" s="13" t="s">
        <v>11150</v>
      </c>
      <c r="G8" s="13" t="s">
        <v>2</v>
      </c>
      <c r="H8" s="13" t="s">
        <v>3</v>
      </c>
      <c r="I8" s="13" t="s">
        <v>25</v>
      </c>
      <c r="J8" s="13" t="s">
        <v>8890</v>
      </c>
      <c r="K8" s="13" t="s">
        <v>8417</v>
      </c>
      <c r="L8" s="13" t="s">
        <v>11151</v>
      </c>
      <c r="M8" t="s">
        <v>3</v>
      </c>
    </row>
    <row r="9" spans="1:13" ht="26.25" x14ac:dyDescent="0.25">
      <c r="A9" s="13" t="s">
        <v>26</v>
      </c>
      <c r="B9" s="13" t="s">
        <v>27</v>
      </c>
      <c r="C9" s="13" t="s">
        <v>28</v>
      </c>
      <c r="D9" s="13">
        <v>0.1</v>
      </c>
      <c r="E9" s="13" t="s">
        <v>29</v>
      </c>
      <c r="F9" s="13" t="s">
        <v>8860</v>
      </c>
      <c r="G9" s="13" t="s">
        <v>19</v>
      </c>
      <c r="H9" s="13" t="s">
        <v>3</v>
      </c>
      <c r="I9" s="13" t="s">
        <v>30</v>
      </c>
      <c r="J9" s="13" t="s">
        <v>21</v>
      </c>
      <c r="K9" s="13" t="s">
        <v>8427</v>
      </c>
      <c r="L9" s="13" t="s">
        <v>18</v>
      </c>
      <c r="M9" t="s">
        <v>3</v>
      </c>
    </row>
    <row r="10" spans="1:13" ht="26.25" x14ac:dyDescent="0.25">
      <c r="A10" s="13" t="s">
        <v>11152</v>
      </c>
      <c r="B10" s="13" t="s">
        <v>11152</v>
      </c>
      <c r="C10" s="13" t="s">
        <v>11153</v>
      </c>
      <c r="D10" s="13">
        <v>30</v>
      </c>
      <c r="E10" s="13" t="s">
        <v>11154</v>
      </c>
      <c r="F10" s="13" t="s">
        <v>275</v>
      </c>
      <c r="G10" s="13" t="s">
        <v>19</v>
      </c>
      <c r="H10" s="13" t="s">
        <v>3</v>
      </c>
      <c r="I10" s="13" t="s">
        <v>25</v>
      </c>
      <c r="J10" s="13" t="s">
        <v>276</v>
      </c>
      <c r="K10" s="13" t="s">
        <v>8417</v>
      </c>
      <c r="L10" s="13" t="s">
        <v>275</v>
      </c>
      <c r="M10" t="s">
        <v>3</v>
      </c>
    </row>
    <row r="11" spans="1:13" ht="26.25" x14ac:dyDescent="0.25">
      <c r="A11" s="13" t="s">
        <v>31</v>
      </c>
      <c r="B11" s="13" t="s">
        <v>32</v>
      </c>
      <c r="C11" s="13" t="s">
        <v>33</v>
      </c>
      <c r="D11" s="13">
        <v>0.8</v>
      </c>
      <c r="E11" s="13" t="s">
        <v>34</v>
      </c>
      <c r="F11" s="13" t="s">
        <v>35</v>
      </c>
      <c r="G11" s="13" t="s">
        <v>19</v>
      </c>
      <c r="H11" s="13" t="s">
        <v>3</v>
      </c>
      <c r="I11" s="13" t="s">
        <v>36</v>
      </c>
      <c r="J11" s="13" t="s">
        <v>37</v>
      </c>
      <c r="K11" s="13" t="s">
        <v>8428</v>
      </c>
      <c r="L11" s="13" t="s">
        <v>35</v>
      </c>
      <c r="M11" t="s">
        <v>3</v>
      </c>
    </row>
    <row r="12" spans="1:13" ht="26.25" x14ac:dyDescent="0.25">
      <c r="A12" s="13" t="s">
        <v>38</v>
      </c>
      <c r="B12" s="13" t="s">
        <v>39</v>
      </c>
      <c r="C12" s="13" t="s">
        <v>8896</v>
      </c>
      <c r="D12" s="14">
        <v>9999</v>
      </c>
      <c r="E12" s="13" t="s">
        <v>40</v>
      </c>
      <c r="F12" s="13" t="s">
        <v>41</v>
      </c>
      <c r="G12" s="13" t="s">
        <v>19</v>
      </c>
      <c r="H12" s="13" t="s">
        <v>3</v>
      </c>
      <c r="I12" s="13" t="s">
        <v>42</v>
      </c>
      <c r="J12" s="13" t="s">
        <v>41</v>
      </c>
      <c r="K12" s="13" t="s">
        <v>42</v>
      </c>
      <c r="L12" s="13" t="s">
        <v>41</v>
      </c>
      <c r="M12" t="s">
        <v>3</v>
      </c>
    </row>
    <row r="13" spans="1:13" ht="26.25" x14ac:dyDescent="0.25">
      <c r="A13" s="13" t="s">
        <v>43</v>
      </c>
      <c r="B13" s="13" t="s">
        <v>44</v>
      </c>
      <c r="C13" s="13" t="s">
        <v>8897</v>
      </c>
      <c r="D13" s="14">
        <v>9999</v>
      </c>
      <c r="E13" s="13" t="s">
        <v>45</v>
      </c>
      <c r="F13" s="13" t="s">
        <v>41</v>
      </c>
      <c r="G13" s="13" t="s">
        <v>2</v>
      </c>
      <c r="H13" s="13" t="s">
        <v>3</v>
      </c>
      <c r="I13" s="13" t="s">
        <v>42</v>
      </c>
      <c r="J13" s="13" t="s">
        <v>41</v>
      </c>
      <c r="K13" s="13" t="s">
        <v>42</v>
      </c>
      <c r="L13" s="13" t="s">
        <v>41</v>
      </c>
      <c r="M13" t="s">
        <v>3</v>
      </c>
    </row>
    <row r="14" spans="1:13" ht="26.25" x14ac:dyDescent="0.25">
      <c r="A14" s="13" t="s">
        <v>46</v>
      </c>
      <c r="B14" s="13" t="s">
        <v>47</v>
      </c>
      <c r="C14" s="13" t="s">
        <v>8898</v>
      </c>
      <c r="D14" s="14">
        <v>9999</v>
      </c>
      <c r="E14" s="13" t="s">
        <v>48</v>
      </c>
      <c r="F14" s="13" t="s">
        <v>41</v>
      </c>
      <c r="G14" s="13" t="s">
        <v>19</v>
      </c>
      <c r="H14" s="13" t="s">
        <v>3</v>
      </c>
      <c r="I14" s="13" t="s">
        <v>42</v>
      </c>
      <c r="J14" s="13" t="s">
        <v>41</v>
      </c>
      <c r="K14" s="13" t="s">
        <v>42</v>
      </c>
      <c r="L14" s="13" t="s">
        <v>41</v>
      </c>
      <c r="M14" t="s">
        <v>3</v>
      </c>
    </row>
    <row r="15" spans="1:13" ht="26.25" x14ac:dyDescent="0.25">
      <c r="A15" s="13" t="s">
        <v>49</v>
      </c>
      <c r="B15" s="13" t="s">
        <v>50</v>
      </c>
      <c r="C15" s="13" t="s">
        <v>8899</v>
      </c>
      <c r="D15" s="14">
        <v>9999</v>
      </c>
      <c r="E15" s="13" t="s">
        <v>51</v>
      </c>
      <c r="F15" s="13" t="s">
        <v>41</v>
      </c>
      <c r="G15" s="13" t="s">
        <v>2</v>
      </c>
      <c r="H15" s="13" t="s">
        <v>3</v>
      </c>
      <c r="I15" s="13" t="s">
        <v>42</v>
      </c>
      <c r="J15" s="13" t="s">
        <v>41</v>
      </c>
      <c r="K15" s="13" t="s">
        <v>42</v>
      </c>
      <c r="L15" s="13" t="s">
        <v>41</v>
      </c>
      <c r="M15" t="s">
        <v>3</v>
      </c>
    </row>
    <row r="16" spans="1:13" x14ac:dyDescent="0.25">
      <c r="A16" s="13" t="s">
        <v>52</v>
      </c>
      <c r="B16" s="13" t="s">
        <v>53</v>
      </c>
      <c r="C16" s="13" t="s">
        <v>54</v>
      </c>
      <c r="D16" s="13">
        <v>386</v>
      </c>
      <c r="E16" s="13" t="s">
        <v>55</v>
      </c>
      <c r="F16" s="13" t="s">
        <v>8864</v>
      </c>
      <c r="G16" s="13" t="s">
        <v>2</v>
      </c>
      <c r="H16" s="13" t="s">
        <v>1224</v>
      </c>
      <c r="I16" s="13" t="s">
        <v>57</v>
      </c>
      <c r="J16" s="13" t="s">
        <v>8890</v>
      </c>
      <c r="K16" s="13" t="s">
        <v>8429</v>
      </c>
      <c r="L16" s="13" t="s">
        <v>56</v>
      </c>
      <c r="M16" t="s">
        <v>10682</v>
      </c>
    </row>
    <row r="17" spans="1:13" x14ac:dyDescent="0.25">
      <c r="A17" s="13" t="s">
        <v>58</v>
      </c>
      <c r="B17" s="13" t="s">
        <v>59</v>
      </c>
      <c r="C17" s="13" t="s">
        <v>60</v>
      </c>
      <c r="D17" s="13">
        <v>372.6</v>
      </c>
      <c r="E17" s="13" t="s">
        <v>61</v>
      </c>
      <c r="F17" s="13" t="s">
        <v>8864</v>
      </c>
      <c r="G17" s="13" t="s">
        <v>2</v>
      </c>
      <c r="H17" s="13" t="s">
        <v>8900</v>
      </c>
      <c r="I17" s="13" t="s">
        <v>62</v>
      </c>
      <c r="J17" s="13" t="s">
        <v>8890</v>
      </c>
      <c r="K17" s="13" t="s">
        <v>8430</v>
      </c>
      <c r="L17" s="13" t="s">
        <v>56</v>
      </c>
      <c r="M17" t="s">
        <v>10683</v>
      </c>
    </row>
    <row r="18" spans="1:13" ht="26.25" x14ac:dyDescent="0.25">
      <c r="A18" s="13" t="s">
        <v>63</v>
      </c>
      <c r="B18" s="13" t="s">
        <v>64</v>
      </c>
      <c r="C18" s="13" t="s">
        <v>64</v>
      </c>
      <c r="D18" s="13">
        <v>0.9</v>
      </c>
      <c r="E18" s="13" t="s">
        <v>65</v>
      </c>
      <c r="F18" s="13" t="s">
        <v>35</v>
      </c>
      <c r="G18" s="13" t="s">
        <v>19</v>
      </c>
      <c r="H18" s="13" t="s">
        <v>3</v>
      </c>
      <c r="I18" s="13" t="s">
        <v>66</v>
      </c>
      <c r="J18" s="13" t="s">
        <v>37</v>
      </c>
      <c r="K18" s="13" t="s">
        <v>64</v>
      </c>
      <c r="L18" s="13" t="s">
        <v>35</v>
      </c>
      <c r="M18" t="s">
        <v>3</v>
      </c>
    </row>
    <row r="19" spans="1:13" ht="26.25" x14ac:dyDescent="0.25">
      <c r="A19" s="13" t="s">
        <v>67</v>
      </c>
      <c r="B19" s="13" t="s">
        <v>68</v>
      </c>
      <c r="C19" s="13" t="s">
        <v>69</v>
      </c>
      <c r="D19" s="13">
        <v>1.4</v>
      </c>
      <c r="E19" s="13" t="s">
        <v>70</v>
      </c>
      <c r="F19" s="13" t="s">
        <v>8860</v>
      </c>
      <c r="G19" s="13" t="s">
        <v>19</v>
      </c>
      <c r="H19" s="13" t="s">
        <v>3</v>
      </c>
      <c r="I19" s="13" t="s">
        <v>71</v>
      </c>
      <c r="J19" s="13" t="s">
        <v>21</v>
      </c>
      <c r="K19" s="13" t="s">
        <v>69</v>
      </c>
      <c r="L19" s="13" t="s">
        <v>18</v>
      </c>
      <c r="M19" t="s">
        <v>3</v>
      </c>
    </row>
    <row r="20" spans="1:13" ht="26.25" x14ac:dyDescent="0.25">
      <c r="A20" s="13" t="s">
        <v>72</v>
      </c>
      <c r="B20" s="13" t="s">
        <v>72</v>
      </c>
      <c r="C20" s="13" t="s">
        <v>73</v>
      </c>
      <c r="D20" s="13">
        <v>0</v>
      </c>
      <c r="E20" s="13" t="s">
        <v>74</v>
      </c>
      <c r="F20" s="13" t="s">
        <v>8860</v>
      </c>
      <c r="G20" s="13" t="s">
        <v>19</v>
      </c>
      <c r="H20" s="13" t="s">
        <v>3</v>
      </c>
      <c r="I20" s="13" t="s">
        <v>75</v>
      </c>
      <c r="J20" s="13" t="s">
        <v>21</v>
      </c>
      <c r="K20" s="13" t="s">
        <v>8431</v>
      </c>
      <c r="L20" s="13" t="s">
        <v>18</v>
      </c>
      <c r="M20" t="s">
        <v>3</v>
      </c>
    </row>
    <row r="21" spans="1:13" ht="26.25" x14ac:dyDescent="0.25">
      <c r="A21" s="13" t="s">
        <v>76</v>
      </c>
      <c r="B21" s="13" t="s">
        <v>77</v>
      </c>
      <c r="C21" s="13" t="s">
        <v>78</v>
      </c>
      <c r="D21" s="13">
        <v>0.1</v>
      </c>
      <c r="E21" s="13" t="s">
        <v>79</v>
      </c>
      <c r="F21" s="13" t="s">
        <v>8860</v>
      </c>
      <c r="G21" s="13" t="s">
        <v>19</v>
      </c>
      <c r="H21" s="13" t="s">
        <v>3</v>
      </c>
      <c r="I21" s="13" t="s">
        <v>77</v>
      </c>
      <c r="J21" s="13" t="s">
        <v>21</v>
      </c>
      <c r="K21" s="13" t="s">
        <v>78</v>
      </c>
      <c r="L21" s="13" t="s">
        <v>18</v>
      </c>
      <c r="M21" t="s">
        <v>3</v>
      </c>
    </row>
    <row r="22" spans="1:13" ht="26.25" x14ac:dyDescent="0.25">
      <c r="A22" s="13" t="s">
        <v>80</v>
      </c>
      <c r="B22" s="13" t="s">
        <v>81</v>
      </c>
      <c r="C22" s="13" t="s">
        <v>82</v>
      </c>
      <c r="D22" s="13">
        <v>100</v>
      </c>
      <c r="E22" s="13" t="s">
        <v>83</v>
      </c>
      <c r="F22" s="13" t="s">
        <v>8860</v>
      </c>
      <c r="G22" s="13" t="s">
        <v>19</v>
      </c>
      <c r="H22" s="13" t="s">
        <v>3</v>
      </c>
      <c r="I22" s="13" t="s">
        <v>84</v>
      </c>
      <c r="J22" s="13" t="s">
        <v>21</v>
      </c>
      <c r="K22" s="13" t="s">
        <v>8432</v>
      </c>
      <c r="L22" s="13" t="s">
        <v>18</v>
      </c>
      <c r="M22" t="s">
        <v>3</v>
      </c>
    </row>
    <row r="23" spans="1:13" ht="26.25" x14ac:dyDescent="0.25">
      <c r="A23" s="13" t="s">
        <v>85</v>
      </c>
      <c r="B23" s="13" t="s">
        <v>86</v>
      </c>
      <c r="C23" s="13" t="s">
        <v>87</v>
      </c>
      <c r="D23" s="13">
        <v>0.5</v>
      </c>
      <c r="E23" s="13" t="s">
        <v>88</v>
      </c>
      <c r="F23" s="13" t="s">
        <v>8860</v>
      </c>
      <c r="G23" s="13" t="s">
        <v>19</v>
      </c>
      <c r="H23" s="13" t="s">
        <v>3</v>
      </c>
      <c r="I23" s="13" t="s">
        <v>89</v>
      </c>
      <c r="J23" s="13" t="s">
        <v>21</v>
      </c>
      <c r="K23" s="13" t="s">
        <v>87</v>
      </c>
      <c r="L23" s="13" t="s">
        <v>18</v>
      </c>
      <c r="M23" t="s">
        <v>3</v>
      </c>
    </row>
    <row r="24" spans="1:13" x14ac:dyDescent="0.25">
      <c r="A24" s="13" t="s">
        <v>10018</v>
      </c>
      <c r="B24" s="13" t="s">
        <v>10018</v>
      </c>
      <c r="C24" s="13" t="s">
        <v>10019</v>
      </c>
      <c r="D24" s="13">
        <v>0.2</v>
      </c>
      <c r="E24" s="13" t="s">
        <v>10020</v>
      </c>
      <c r="F24" s="13" t="s">
        <v>8867</v>
      </c>
      <c r="G24" s="13" t="s">
        <v>2</v>
      </c>
      <c r="H24" s="13" t="s">
        <v>3</v>
      </c>
      <c r="I24" s="13" t="s">
        <v>89</v>
      </c>
      <c r="J24" s="13" t="s">
        <v>8890</v>
      </c>
      <c r="K24" s="13" t="s">
        <v>87</v>
      </c>
      <c r="L24" s="13" t="s">
        <v>158</v>
      </c>
      <c r="M24" t="s">
        <v>3</v>
      </c>
    </row>
    <row r="25" spans="1:13" ht="26.25" x14ac:dyDescent="0.25">
      <c r="A25" s="13" t="s">
        <v>90</v>
      </c>
      <c r="B25" s="13" t="s">
        <v>91</v>
      </c>
      <c r="C25" s="13" t="s">
        <v>92</v>
      </c>
      <c r="D25" s="13">
        <v>4</v>
      </c>
      <c r="E25" s="13" t="s">
        <v>93</v>
      </c>
      <c r="F25" s="13" t="s">
        <v>8860</v>
      </c>
      <c r="G25" s="13" t="s">
        <v>19</v>
      </c>
      <c r="H25" s="13" t="s">
        <v>3</v>
      </c>
      <c r="I25" s="13" t="s">
        <v>94</v>
      </c>
      <c r="J25" s="13" t="s">
        <v>21</v>
      </c>
      <c r="K25" s="13" t="s">
        <v>92</v>
      </c>
      <c r="L25" s="13" t="s">
        <v>18</v>
      </c>
      <c r="M25" t="s">
        <v>3</v>
      </c>
    </row>
    <row r="26" spans="1:13" ht="26.25" x14ac:dyDescent="0.25">
      <c r="A26" s="13" t="s">
        <v>95</v>
      </c>
      <c r="B26" s="13" t="s">
        <v>95</v>
      </c>
      <c r="C26" s="13" t="s">
        <v>95</v>
      </c>
      <c r="D26" s="13">
        <v>16</v>
      </c>
      <c r="E26" s="13" t="s">
        <v>96</v>
      </c>
      <c r="F26" s="13" t="s">
        <v>8860</v>
      </c>
      <c r="G26" s="13" t="s">
        <v>19</v>
      </c>
      <c r="H26" s="13" t="s">
        <v>3</v>
      </c>
      <c r="I26" s="13" t="s">
        <v>97</v>
      </c>
      <c r="J26" s="13" t="s">
        <v>21</v>
      </c>
      <c r="K26" s="13" t="s">
        <v>8433</v>
      </c>
      <c r="L26" s="13" t="s">
        <v>18</v>
      </c>
      <c r="M26" t="s">
        <v>3</v>
      </c>
    </row>
    <row r="27" spans="1:13" ht="26.25" x14ac:dyDescent="0.25">
      <c r="A27" s="13" t="s">
        <v>98</v>
      </c>
      <c r="B27" s="13" t="s">
        <v>99</v>
      </c>
      <c r="C27" s="13" t="s">
        <v>100</v>
      </c>
      <c r="D27" s="13">
        <v>1</v>
      </c>
      <c r="E27" s="13" t="s">
        <v>101</v>
      </c>
      <c r="F27" s="13" t="s">
        <v>8860</v>
      </c>
      <c r="G27" s="13" t="s">
        <v>19</v>
      </c>
      <c r="H27" s="13" t="s">
        <v>3</v>
      </c>
      <c r="I27" s="13" t="s">
        <v>102</v>
      </c>
      <c r="J27" s="13" t="s">
        <v>21</v>
      </c>
      <c r="K27" s="13" t="s">
        <v>8434</v>
      </c>
      <c r="L27" s="13" t="s">
        <v>18</v>
      </c>
      <c r="M27" t="s">
        <v>3</v>
      </c>
    </row>
    <row r="28" spans="1:13" ht="26.25" x14ac:dyDescent="0.25">
      <c r="A28" s="13" t="s">
        <v>103</v>
      </c>
      <c r="B28" s="13" t="s">
        <v>104</v>
      </c>
      <c r="C28" s="13" t="s">
        <v>105</v>
      </c>
      <c r="D28" s="13">
        <v>0</v>
      </c>
      <c r="E28" s="13" t="s">
        <v>106</v>
      </c>
      <c r="F28" s="13" t="s">
        <v>8860</v>
      </c>
      <c r="G28" s="13" t="s">
        <v>19</v>
      </c>
      <c r="H28" s="13" t="s">
        <v>3</v>
      </c>
      <c r="I28" s="13" t="s">
        <v>107</v>
      </c>
      <c r="J28" s="13" t="s">
        <v>21</v>
      </c>
      <c r="K28" s="13" t="s">
        <v>8435</v>
      </c>
      <c r="L28" s="13" t="s">
        <v>18</v>
      </c>
      <c r="M28" t="s">
        <v>3</v>
      </c>
    </row>
    <row r="29" spans="1:13" ht="26.25" x14ac:dyDescent="0.25">
      <c r="A29" s="13" t="s">
        <v>108</v>
      </c>
      <c r="B29" s="13" t="s">
        <v>108</v>
      </c>
      <c r="C29" s="13" t="s">
        <v>109</v>
      </c>
      <c r="D29" s="13">
        <v>0.1</v>
      </c>
      <c r="E29" s="13" t="s">
        <v>110</v>
      </c>
      <c r="F29" s="13" t="s">
        <v>8860</v>
      </c>
      <c r="G29" s="13" t="s">
        <v>19</v>
      </c>
      <c r="H29" s="13" t="s">
        <v>3</v>
      </c>
      <c r="I29" s="13" t="s">
        <v>111</v>
      </c>
      <c r="J29" s="13" t="s">
        <v>21</v>
      </c>
      <c r="K29" s="13" t="s">
        <v>8436</v>
      </c>
      <c r="L29" s="13" t="s">
        <v>18</v>
      </c>
      <c r="M29" t="s">
        <v>3</v>
      </c>
    </row>
    <row r="30" spans="1:13" x14ac:dyDescent="0.25">
      <c r="A30" s="13" t="s">
        <v>112</v>
      </c>
      <c r="B30" s="13" t="s">
        <v>112</v>
      </c>
      <c r="C30" s="13" t="s">
        <v>113</v>
      </c>
      <c r="D30" s="13">
        <v>11.9</v>
      </c>
      <c r="E30" s="13" t="s">
        <v>114</v>
      </c>
      <c r="F30" s="13" t="s">
        <v>8865</v>
      </c>
      <c r="G30" s="13" t="s">
        <v>2</v>
      </c>
      <c r="H30" s="13" t="s">
        <v>3</v>
      </c>
      <c r="I30" s="13" t="s">
        <v>115</v>
      </c>
      <c r="J30" s="13" t="s">
        <v>8890</v>
      </c>
      <c r="K30" s="13" t="s">
        <v>928</v>
      </c>
      <c r="L30" s="13" t="s">
        <v>8901</v>
      </c>
      <c r="M30" t="s">
        <v>3</v>
      </c>
    </row>
    <row r="31" spans="1:13" x14ac:dyDescent="0.25">
      <c r="A31" s="13" t="s">
        <v>116</v>
      </c>
      <c r="B31" s="13" t="s">
        <v>116</v>
      </c>
      <c r="C31" s="13" t="s">
        <v>117</v>
      </c>
      <c r="D31" s="13">
        <v>3.5</v>
      </c>
      <c r="E31" s="13" t="s">
        <v>118</v>
      </c>
      <c r="F31" s="13" t="s">
        <v>8865</v>
      </c>
      <c r="G31" s="13" t="s">
        <v>2</v>
      </c>
      <c r="H31" s="13" t="s">
        <v>3</v>
      </c>
      <c r="I31" s="13" t="s">
        <v>115</v>
      </c>
      <c r="J31" s="13" t="s">
        <v>8890</v>
      </c>
      <c r="K31" s="13" t="s">
        <v>928</v>
      </c>
      <c r="L31" s="13" t="s">
        <v>8901</v>
      </c>
      <c r="M31" t="s">
        <v>3</v>
      </c>
    </row>
    <row r="32" spans="1:13" x14ac:dyDescent="0.25">
      <c r="A32" s="13" t="s">
        <v>120</v>
      </c>
      <c r="B32" s="13" t="s">
        <v>120</v>
      </c>
      <c r="C32" s="13" t="s">
        <v>121</v>
      </c>
      <c r="D32" s="13">
        <v>5.3</v>
      </c>
      <c r="E32" s="13" t="s">
        <v>122</v>
      </c>
      <c r="F32" s="13" t="s">
        <v>8865</v>
      </c>
      <c r="G32" s="13" t="s">
        <v>2</v>
      </c>
      <c r="H32" s="13" t="s">
        <v>3</v>
      </c>
      <c r="I32" s="13" t="s">
        <v>115</v>
      </c>
      <c r="J32" s="13" t="s">
        <v>8890</v>
      </c>
      <c r="K32" s="13" t="s">
        <v>928</v>
      </c>
      <c r="L32" s="13" t="s">
        <v>8901</v>
      </c>
      <c r="M32" t="s">
        <v>3</v>
      </c>
    </row>
    <row r="33" spans="1:13" ht="26.25" x14ac:dyDescent="0.25">
      <c r="A33" s="13" t="s">
        <v>123</v>
      </c>
      <c r="B33" s="13" t="s">
        <v>124</v>
      </c>
      <c r="C33" s="13" t="s">
        <v>125</v>
      </c>
      <c r="D33" s="13">
        <v>0.1</v>
      </c>
      <c r="E33" s="13" t="s">
        <v>126</v>
      </c>
      <c r="F33" s="13" t="s">
        <v>8860</v>
      </c>
      <c r="G33" s="13" t="s">
        <v>19</v>
      </c>
      <c r="H33" s="13" t="s">
        <v>3</v>
      </c>
      <c r="I33" s="13" t="s">
        <v>127</v>
      </c>
      <c r="J33" s="13" t="s">
        <v>21</v>
      </c>
      <c r="K33" s="13" t="s">
        <v>8437</v>
      </c>
      <c r="L33" s="13" t="s">
        <v>18</v>
      </c>
      <c r="M33" t="s">
        <v>3</v>
      </c>
    </row>
    <row r="34" spans="1:13" x14ac:dyDescent="0.25">
      <c r="A34" s="13" t="s">
        <v>11735</v>
      </c>
      <c r="B34" s="13" t="s">
        <v>11736</v>
      </c>
      <c r="C34" s="13" t="s">
        <v>5196</v>
      </c>
      <c r="D34" s="13">
        <v>4</v>
      </c>
      <c r="E34" s="13" t="s">
        <v>11737</v>
      </c>
      <c r="F34" s="13" t="s">
        <v>8869</v>
      </c>
      <c r="G34" s="13" t="s">
        <v>2</v>
      </c>
      <c r="H34" s="13" t="s">
        <v>3</v>
      </c>
      <c r="I34" s="13" t="s">
        <v>809</v>
      </c>
      <c r="J34" s="13" t="s">
        <v>8890</v>
      </c>
      <c r="K34" s="13" t="s">
        <v>8512</v>
      </c>
      <c r="L34" s="13" t="s">
        <v>8918</v>
      </c>
      <c r="M34" t="s">
        <v>3</v>
      </c>
    </row>
    <row r="35" spans="1:13" ht="26.25" x14ac:dyDescent="0.25">
      <c r="A35" s="13" t="s">
        <v>128</v>
      </c>
      <c r="B35" s="13" t="s">
        <v>129</v>
      </c>
      <c r="C35" s="13" t="s">
        <v>130</v>
      </c>
      <c r="D35" s="13">
        <v>2.5</v>
      </c>
      <c r="E35" s="13" t="s">
        <v>131</v>
      </c>
      <c r="F35" s="13" t="s">
        <v>8860</v>
      </c>
      <c r="G35" s="13" t="s">
        <v>19</v>
      </c>
      <c r="H35" s="13" t="s">
        <v>3</v>
      </c>
      <c r="I35" s="13" t="s">
        <v>132</v>
      </c>
      <c r="J35" s="13" t="s">
        <v>21</v>
      </c>
      <c r="K35" s="13" t="s">
        <v>8438</v>
      </c>
      <c r="L35" s="13" t="s">
        <v>18</v>
      </c>
      <c r="M35" t="s">
        <v>3</v>
      </c>
    </row>
    <row r="36" spans="1:13" ht="26.25" x14ac:dyDescent="0.25">
      <c r="A36" s="13" t="s">
        <v>11155</v>
      </c>
      <c r="B36" s="13" t="s">
        <v>11156</v>
      </c>
      <c r="C36" s="13" t="s">
        <v>11157</v>
      </c>
      <c r="D36" s="13">
        <v>1</v>
      </c>
      <c r="E36" s="13" t="s">
        <v>11158</v>
      </c>
      <c r="F36" s="13" t="s">
        <v>8860</v>
      </c>
      <c r="G36" s="13" t="s">
        <v>19</v>
      </c>
      <c r="H36" s="13" t="s">
        <v>3</v>
      </c>
      <c r="I36" s="13" t="s">
        <v>11156</v>
      </c>
      <c r="J36" s="13" t="s">
        <v>21</v>
      </c>
      <c r="K36" s="13" t="s">
        <v>11159</v>
      </c>
      <c r="L36" s="13" t="s">
        <v>18</v>
      </c>
      <c r="M36" t="s">
        <v>3</v>
      </c>
    </row>
    <row r="37" spans="1:13" ht="26.25" x14ac:dyDescent="0.25">
      <c r="A37" s="13" t="s">
        <v>133</v>
      </c>
      <c r="B37" s="13" t="s">
        <v>133</v>
      </c>
      <c r="C37" s="13" t="s">
        <v>134</v>
      </c>
      <c r="D37" s="13">
        <v>6.8</v>
      </c>
      <c r="E37" s="13" t="s">
        <v>135</v>
      </c>
      <c r="F37" s="13" t="s">
        <v>8902</v>
      </c>
      <c r="G37" s="13" t="s">
        <v>19</v>
      </c>
      <c r="H37" s="13" t="s">
        <v>1224</v>
      </c>
      <c r="I37" s="13" t="s">
        <v>137</v>
      </c>
      <c r="J37" s="13" t="s">
        <v>138</v>
      </c>
      <c r="K37" s="13" t="s">
        <v>8429</v>
      </c>
      <c r="L37" s="13" t="s">
        <v>136</v>
      </c>
      <c r="M37" t="s">
        <v>10682</v>
      </c>
    </row>
    <row r="38" spans="1:13" x14ac:dyDescent="0.25">
      <c r="A38" s="13" t="s">
        <v>139</v>
      </c>
      <c r="B38" s="13" t="s">
        <v>139</v>
      </c>
      <c r="C38" s="13" t="s">
        <v>140</v>
      </c>
      <c r="D38" s="13">
        <v>6</v>
      </c>
      <c r="E38" s="13" t="s">
        <v>141</v>
      </c>
      <c r="F38" s="13" t="s">
        <v>8902</v>
      </c>
      <c r="G38" s="13" t="s">
        <v>2</v>
      </c>
      <c r="H38" s="13" t="s">
        <v>1224</v>
      </c>
      <c r="I38" s="13" t="s">
        <v>137</v>
      </c>
      <c r="J38" s="13" t="s">
        <v>138</v>
      </c>
      <c r="K38" s="13" t="s">
        <v>8429</v>
      </c>
      <c r="L38" s="13" t="s">
        <v>136</v>
      </c>
      <c r="M38" t="s">
        <v>10682</v>
      </c>
    </row>
    <row r="39" spans="1:13" ht="26.25" x14ac:dyDescent="0.25">
      <c r="A39" s="13" t="s">
        <v>8903</v>
      </c>
      <c r="B39" s="13" t="s">
        <v>8903</v>
      </c>
      <c r="C39" s="13" t="s">
        <v>8904</v>
      </c>
      <c r="D39" s="13">
        <v>5.5</v>
      </c>
      <c r="E39" s="13" t="s">
        <v>8905</v>
      </c>
      <c r="F39" s="13" t="s">
        <v>8902</v>
      </c>
      <c r="G39" s="13" t="s">
        <v>19</v>
      </c>
      <c r="H39" s="13" t="s">
        <v>3</v>
      </c>
      <c r="I39" s="13" t="s">
        <v>137</v>
      </c>
      <c r="J39" s="13" t="s">
        <v>138</v>
      </c>
      <c r="K39" s="13" t="s">
        <v>8429</v>
      </c>
      <c r="L39" s="13" t="s">
        <v>136</v>
      </c>
      <c r="M39" t="s">
        <v>3</v>
      </c>
    </row>
    <row r="40" spans="1:13" ht="26.25" x14ac:dyDescent="0.25">
      <c r="A40" s="13" t="s">
        <v>142</v>
      </c>
      <c r="B40" s="13" t="s">
        <v>142</v>
      </c>
      <c r="C40" s="13" t="s">
        <v>142</v>
      </c>
      <c r="D40" s="13">
        <v>5</v>
      </c>
      <c r="E40" s="13" t="s">
        <v>143</v>
      </c>
      <c r="F40" s="13" t="s">
        <v>8902</v>
      </c>
      <c r="G40" s="13" t="s">
        <v>19</v>
      </c>
      <c r="H40" s="13" t="s">
        <v>3</v>
      </c>
      <c r="I40" s="13" t="s">
        <v>137</v>
      </c>
      <c r="J40" s="13" t="s">
        <v>138</v>
      </c>
      <c r="K40" s="13" t="s">
        <v>8429</v>
      </c>
      <c r="L40" s="13" t="s">
        <v>136</v>
      </c>
      <c r="M40" t="s">
        <v>3</v>
      </c>
    </row>
    <row r="41" spans="1:13" ht="26.25" x14ac:dyDescent="0.25">
      <c r="A41" s="13" t="s">
        <v>145</v>
      </c>
      <c r="B41" s="13" t="s">
        <v>145</v>
      </c>
      <c r="C41" s="13" t="s">
        <v>8906</v>
      </c>
      <c r="D41" s="13">
        <v>9</v>
      </c>
      <c r="E41" s="13" t="s">
        <v>146</v>
      </c>
      <c r="F41" s="13" t="s">
        <v>8860</v>
      </c>
      <c r="G41" s="13" t="s">
        <v>19</v>
      </c>
      <c r="H41" s="13" t="s">
        <v>3</v>
      </c>
      <c r="I41" s="13" t="s">
        <v>147</v>
      </c>
      <c r="J41" s="13" t="s">
        <v>21</v>
      </c>
      <c r="K41" s="13" t="s">
        <v>8439</v>
      </c>
      <c r="L41" s="13" t="s">
        <v>18</v>
      </c>
      <c r="M41" t="s">
        <v>3</v>
      </c>
    </row>
    <row r="42" spans="1:13" ht="26.25" x14ac:dyDescent="0.25">
      <c r="A42" s="13" t="s">
        <v>148</v>
      </c>
      <c r="B42" s="13" t="s">
        <v>149</v>
      </c>
      <c r="C42" s="13" t="s">
        <v>150</v>
      </c>
      <c r="D42" s="13">
        <v>0.5</v>
      </c>
      <c r="E42" s="13" t="s">
        <v>151</v>
      </c>
      <c r="F42" s="13" t="s">
        <v>35</v>
      </c>
      <c r="G42" s="13" t="s">
        <v>19</v>
      </c>
      <c r="H42" s="13" t="s">
        <v>3</v>
      </c>
      <c r="I42" s="13" t="s">
        <v>152</v>
      </c>
      <c r="J42" s="13" t="s">
        <v>37</v>
      </c>
      <c r="K42" s="13" t="s">
        <v>8440</v>
      </c>
      <c r="L42" s="13" t="s">
        <v>35</v>
      </c>
      <c r="M42" t="s">
        <v>3</v>
      </c>
    </row>
    <row r="43" spans="1:13" ht="26.25" x14ac:dyDescent="0.25">
      <c r="A43" s="13" t="s">
        <v>153</v>
      </c>
      <c r="B43" s="13" t="s">
        <v>154</v>
      </c>
      <c r="C43" s="13" t="s">
        <v>155</v>
      </c>
      <c r="D43" s="13">
        <v>0</v>
      </c>
      <c r="E43" s="13" t="s">
        <v>156</v>
      </c>
      <c r="F43" s="13" t="s">
        <v>8860</v>
      </c>
      <c r="G43" s="13" t="s">
        <v>19</v>
      </c>
      <c r="H43" s="13" t="s">
        <v>3</v>
      </c>
      <c r="I43" s="13" t="s">
        <v>157</v>
      </c>
      <c r="J43" s="13" t="s">
        <v>21</v>
      </c>
      <c r="K43" s="13" t="s">
        <v>8441</v>
      </c>
      <c r="L43" s="13" t="s">
        <v>18</v>
      </c>
      <c r="M43" t="s">
        <v>3</v>
      </c>
    </row>
    <row r="44" spans="1:13" x14ac:dyDescent="0.25">
      <c r="A44" s="13" t="s">
        <v>9698</v>
      </c>
      <c r="B44" s="13" t="s">
        <v>9699</v>
      </c>
      <c r="C44" s="13" t="s">
        <v>9700</v>
      </c>
      <c r="D44" s="13">
        <v>41.3</v>
      </c>
      <c r="E44" s="13" t="s">
        <v>9701</v>
      </c>
      <c r="F44" s="13" t="s">
        <v>8867</v>
      </c>
      <c r="G44" s="13" t="s">
        <v>2</v>
      </c>
      <c r="H44" s="13" t="s">
        <v>8958</v>
      </c>
      <c r="I44" s="13" t="s">
        <v>516</v>
      </c>
      <c r="J44" s="13" t="s">
        <v>8890</v>
      </c>
      <c r="K44" s="13" t="s">
        <v>516</v>
      </c>
      <c r="L44" s="13" t="s">
        <v>158</v>
      </c>
      <c r="M44" t="s">
        <v>8958</v>
      </c>
    </row>
    <row r="45" spans="1:13" ht="26.25" x14ac:dyDescent="0.25">
      <c r="A45" s="13" t="s">
        <v>160</v>
      </c>
      <c r="B45" s="13" t="s">
        <v>161</v>
      </c>
      <c r="C45" s="13" t="s">
        <v>162</v>
      </c>
      <c r="D45" s="13">
        <v>360</v>
      </c>
      <c r="E45" s="13" t="s">
        <v>163</v>
      </c>
      <c r="F45" s="13" t="s">
        <v>8907</v>
      </c>
      <c r="G45" s="13" t="s">
        <v>19</v>
      </c>
      <c r="H45" s="13" t="s">
        <v>8443</v>
      </c>
      <c r="I45" s="13" t="s">
        <v>164</v>
      </c>
      <c r="J45" s="13" t="s">
        <v>144</v>
      </c>
      <c r="K45" s="13" t="s">
        <v>8443</v>
      </c>
      <c r="L45" s="13" t="s">
        <v>144</v>
      </c>
      <c r="M45" t="s">
        <v>10687</v>
      </c>
    </row>
    <row r="46" spans="1:13" x14ac:dyDescent="0.25">
      <c r="A46" s="13" t="s">
        <v>165</v>
      </c>
      <c r="B46" s="13" t="s">
        <v>166</v>
      </c>
      <c r="C46" s="13" t="s">
        <v>167</v>
      </c>
      <c r="D46" s="13">
        <v>360.4</v>
      </c>
      <c r="E46" s="13" t="s">
        <v>168</v>
      </c>
      <c r="F46" s="13" t="s">
        <v>8868</v>
      </c>
      <c r="G46" s="13" t="s">
        <v>2</v>
      </c>
      <c r="H46" s="13" t="s">
        <v>8443</v>
      </c>
      <c r="I46" s="13" t="s">
        <v>164</v>
      </c>
      <c r="J46" s="13" t="s">
        <v>8890</v>
      </c>
      <c r="K46" s="13" t="s">
        <v>8443</v>
      </c>
      <c r="L46" s="13" t="s">
        <v>8908</v>
      </c>
      <c r="M46" t="s">
        <v>10687</v>
      </c>
    </row>
    <row r="47" spans="1:13" ht="26.25" x14ac:dyDescent="0.25">
      <c r="A47" s="13" t="s">
        <v>169</v>
      </c>
      <c r="B47" s="13" t="s">
        <v>169</v>
      </c>
      <c r="C47" s="13" t="s">
        <v>169</v>
      </c>
      <c r="D47" s="13">
        <v>0.1</v>
      </c>
      <c r="E47" s="13" t="s">
        <v>170</v>
      </c>
      <c r="F47" s="13" t="s">
        <v>8860</v>
      </c>
      <c r="G47" s="13" t="s">
        <v>19</v>
      </c>
      <c r="H47" s="13" t="s">
        <v>3</v>
      </c>
      <c r="I47" s="13" t="s">
        <v>171</v>
      </c>
      <c r="J47" s="13" t="s">
        <v>21</v>
      </c>
      <c r="K47" s="13" t="s">
        <v>8444</v>
      </c>
      <c r="L47" s="13" t="s">
        <v>18</v>
      </c>
      <c r="M47" t="s">
        <v>3</v>
      </c>
    </row>
    <row r="48" spans="1:13" ht="26.25" x14ac:dyDescent="0.25">
      <c r="A48" s="13" t="s">
        <v>172</v>
      </c>
      <c r="B48" s="13" t="s">
        <v>173</v>
      </c>
      <c r="C48" s="13" t="s">
        <v>174</v>
      </c>
      <c r="D48" s="13">
        <v>10</v>
      </c>
      <c r="E48" s="13" t="s">
        <v>175</v>
      </c>
      <c r="F48" s="13" t="s">
        <v>8860</v>
      </c>
      <c r="G48" s="13" t="s">
        <v>19</v>
      </c>
      <c r="H48" s="13" t="s">
        <v>3</v>
      </c>
      <c r="I48" s="13" t="s">
        <v>176</v>
      </c>
      <c r="J48" s="13" t="s">
        <v>21</v>
      </c>
      <c r="K48" s="13" t="s">
        <v>8445</v>
      </c>
      <c r="L48" s="13" t="s">
        <v>18</v>
      </c>
      <c r="M48" t="s">
        <v>3</v>
      </c>
    </row>
    <row r="49" spans="1:13" ht="26.25" x14ac:dyDescent="0.25">
      <c r="A49" s="13" t="s">
        <v>10815</v>
      </c>
      <c r="B49" s="13" t="s">
        <v>10815</v>
      </c>
      <c r="C49" s="13" t="s">
        <v>205</v>
      </c>
      <c r="D49" s="13">
        <v>1</v>
      </c>
      <c r="E49" s="13" t="s">
        <v>10816</v>
      </c>
      <c r="F49" s="13" t="s">
        <v>8860</v>
      </c>
      <c r="G49" s="13" t="s">
        <v>19</v>
      </c>
      <c r="H49" s="13" t="s">
        <v>3</v>
      </c>
      <c r="I49" s="13" t="s">
        <v>10817</v>
      </c>
      <c r="J49" s="13" t="s">
        <v>21</v>
      </c>
      <c r="K49" s="13" t="s">
        <v>10818</v>
      </c>
      <c r="L49" s="13" t="s">
        <v>18</v>
      </c>
      <c r="M49" t="s">
        <v>3</v>
      </c>
    </row>
    <row r="50" spans="1:13" ht="26.25" x14ac:dyDescent="0.25">
      <c r="A50" s="13" t="s">
        <v>177</v>
      </c>
      <c r="B50" s="13" t="s">
        <v>178</v>
      </c>
      <c r="C50" s="13" t="s">
        <v>179</v>
      </c>
      <c r="D50" s="13">
        <v>1</v>
      </c>
      <c r="E50" s="13" t="s">
        <v>180</v>
      </c>
      <c r="F50" s="13" t="s">
        <v>8860</v>
      </c>
      <c r="G50" s="13" t="s">
        <v>19</v>
      </c>
      <c r="H50" s="13" t="s">
        <v>3</v>
      </c>
      <c r="I50" s="13" t="s">
        <v>178</v>
      </c>
      <c r="J50" s="13" t="s">
        <v>21</v>
      </c>
      <c r="K50" s="13" t="s">
        <v>8446</v>
      </c>
      <c r="L50" s="13" t="s">
        <v>18</v>
      </c>
      <c r="M50" t="s">
        <v>3</v>
      </c>
    </row>
    <row r="51" spans="1:13" x14ac:dyDescent="0.25">
      <c r="A51" s="13" t="s">
        <v>181</v>
      </c>
      <c r="B51" s="13" t="s">
        <v>181</v>
      </c>
      <c r="C51" s="13" t="s">
        <v>181</v>
      </c>
      <c r="D51" s="13">
        <v>2.7</v>
      </c>
      <c r="E51" s="13" t="s">
        <v>182</v>
      </c>
      <c r="F51" s="13" t="s">
        <v>8867</v>
      </c>
      <c r="G51" s="13" t="s">
        <v>2</v>
      </c>
      <c r="H51" s="13" t="s">
        <v>3</v>
      </c>
      <c r="I51" s="13" t="s">
        <v>178</v>
      </c>
      <c r="J51" s="13" t="s">
        <v>8890</v>
      </c>
      <c r="K51" s="13" t="s">
        <v>8446</v>
      </c>
      <c r="L51" s="13" t="s">
        <v>158</v>
      </c>
      <c r="M51" t="s">
        <v>3</v>
      </c>
    </row>
    <row r="52" spans="1:13" x14ac:dyDescent="0.25">
      <c r="A52" s="13" t="s">
        <v>183</v>
      </c>
      <c r="B52" s="13" t="s">
        <v>183</v>
      </c>
      <c r="C52" s="13" t="s">
        <v>183</v>
      </c>
      <c r="D52" s="13">
        <v>9</v>
      </c>
      <c r="E52" s="13" t="s">
        <v>184</v>
      </c>
      <c r="F52" s="13" t="s">
        <v>8867</v>
      </c>
      <c r="G52" s="13" t="s">
        <v>2</v>
      </c>
      <c r="H52" s="13" t="s">
        <v>3</v>
      </c>
      <c r="I52" s="13" t="s">
        <v>178</v>
      </c>
      <c r="J52" s="13" t="s">
        <v>8890</v>
      </c>
      <c r="K52" s="13" t="s">
        <v>8446</v>
      </c>
      <c r="L52" s="13" t="s">
        <v>158</v>
      </c>
      <c r="M52" t="s">
        <v>3</v>
      </c>
    </row>
    <row r="53" spans="1:13" ht="26.25" x14ac:dyDescent="0.25">
      <c r="A53" s="13" t="s">
        <v>8909</v>
      </c>
      <c r="B53" s="13" t="s">
        <v>8910</v>
      </c>
      <c r="C53" s="13" t="s">
        <v>8911</v>
      </c>
      <c r="D53" s="13">
        <v>0.1</v>
      </c>
      <c r="E53" s="13" t="s">
        <v>8912</v>
      </c>
      <c r="F53" s="13" t="s">
        <v>8860</v>
      </c>
      <c r="G53" s="13" t="s">
        <v>19</v>
      </c>
      <c r="H53" s="13" t="s">
        <v>3</v>
      </c>
      <c r="I53" s="13" t="s">
        <v>8913</v>
      </c>
      <c r="J53" s="13" t="s">
        <v>21</v>
      </c>
      <c r="K53" s="13" t="s">
        <v>8914</v>
      </c>
      <c r="L53" s="13" t="s">
        <v>18</v>
      </c>
      <c r="M53" t="s">
        <v>3</v>
      </c>
    </row>
    <row r="54" spans="1:13" ht="26.25" x14ac:dyDescent="0.25">
      <c r="A54" s="13" t="s">
        <v>9702</v>
      </c>
      <c r="B54" s="13" t="s">
        <v>9702</v>
      </c>
      <c r="C54" s="13" t="s">
        <v>9703</v>
      </c>
      <c r="D54" s="13">
        <v>0</v>
      </c>
      <c r="E54" s="13" t="s">
        <v>9704</v>
      </c>
      <c r="F54" s="13" t="s">
        <v>8860</v>
      </c>
      <c r="G54" s="13" t="s">
        <v>19</v>
      </c>
      <c r="H54" s="13" t="s">
        <v>3</v>
      </c>
      <c r="I54" s="13" t="s">
        <v>9705</v>
      </c>
      <c r="J54" s="13" t="s">
        <v>21</v>
      </c>
      <c r="K54" s="13" t="s">
        <v>9706</v>
      </c>
      <c r="L54" s="13" t="s">
        <v>18</v>
      </c>
      <c r="M54" t="s">
        <v>3</v>
      </c>
    </row>
    <row r="55" spans="1:13" ht="26.25" x14ac:dyDescent="0.25">
      <c r="A55" s="13" t="s">
        <v>185</v>
      </c>
      <c r="B55" s="13" t="s">
        <v>186</v>
      </c>
      <c r="C55" s="13" t="s">
        <v>187</v>
      </c>
      <c r="D55" s="13">
        <v>0.1</v>
      </c>
      <c r="E55" s="13" t="s">
        <v>188</v>
      </c>
      <c r="F55" s="13" t="s">
        <v>8860</v>
      </c>
      <c r="G55" s="13" t="s">
        <v>19</v>
      </c>
      <c r="H55" s="13" t="s">
        <v>3</v>
      </c>
      <c r="I55" s="13" t="s">
        <v>189</v>
      </c>
      <c r="J55" s="13" t="s">
        <v>21</v>
      </c>
      <c r="K55" s="13" t="s">
        <v>8447</v>
      </c>
      <c r="L55" s="13" t="s">
        <v>18</v>
      </c>
      <c r="M55" t="s">
        <v>3</v>
      </c>
    </row>
    <row r="56" spans="1:13" x14ac:dyDescent="0.25">
      <c r="A56" s="13" t="s">
        <v>8915</v>
      </c>
      <c r="B56" s="13" t="s">
        <v>8915</v>
      </c>
      <c r="C56" s="13" t="s">
        <v>8916</v>
      </c>
      <c r="D56" s="13">
        <v>45</v>
      </c>
      <c r="E56" s="13" t="s">
        <v>8917</v>
      </c>
      <c r="F56" s="13" t="s">
        <v>8867</v>
      </c>
      <c r="G56" s="13" t="s">
        <v>2</v>
      </c>
      <c r="H56" s="13" t="s">
        <v>3</v>
      </c>
      <c r="I56" s="13" t="s">
        <v>435</v>
      </c>
      <c r="J56" s="13" t="s">
        <v>8890</v>
      </c>
      <c r="K56" s="13" t="s">
        <v>8469</v>
      </c>
      <c r="L56" s="13" t="s">
        <v>158</v>
      </c>
      <c r="M56" t="s">
        <v>3</v>
      </c>
    </row>
    <row r="57" spans="1:13" ht="26.25" x14ac:dyDescent="0.25">
      <c r="A57" s="13" t="s">
        <v>190</v>
      </c>
      <c r="B57" s="13" t="s">
        <v>191</v>
      </c>
      <c r="C57" s="13" t="s">
        <v>192</v>
      </c>
      <c r="D57" s="13">
        <v>520</v>
      </c>
      <c r="E57" s="13" t="s">
        <v>193</v>
      </c>
      <c r="F57" s="13" t="s">
        <v>8860</v>
      </c>
      <c r="G57" s="13" t="s">
        <v>19</v>
      </c>
      <c r="H57" s="13" t="s">
        <v>3</v>
      </c>
      <c r="I57" s="13" t="s">
        <v>194</v>
      </c>
      <c r="J57" s="13" t="s">
        <v>21</v>
      </c>
      <c r="K57" s="13" t="s">
        <v>8448</v>
      </c>
      <c r="L57" s="13" t="s">
        <v>18</v>
      </c>
      <c r="M57" t="s">
        <v>3</v>
      </c>
    </row>
    <row r="58" spans="1:13" ht="26.25" x14ac:dyDescent="0.25">
      <c r="A58" s="13" t="s">
        <v>11160</v>
      </c>
      <c r="B58" s="13" t="s">
        <v>11161</v>
      </c>
      <c r="C58" s="13" t="s">
        <v>11162</v>
      </c>
      <c r="D58" s="13">
        <v>1.5</v>
      </c>
      <c r="E58" s="13" t="s">
        <v>11163</v>
      </c>
      <c r="F58" s="13" t="s">
        <v>8867</v>
      </c>
      <c r="G58" s="13" t="s">
        <v>2</v>
      </c>
      <c r="H58" s="13" t="s">
        <v>3</v>
      </c>
      <c r="I58" s="13" t="s">
        <v>5420</v>
      </c>
      <c r="J58" s="13" t="s">
        <v>8890</v>
      </c>
      <c r="K58" s="13" t="s">
        <v>8708</v>
      </c>
      <c r="L58" s="13" t="s">
        <v>158</v>
      </c>
      <c r="M58" t="s">
        <v>3</v>
      </c>
    </row>
    <row r="59" spans="1:13" ht="26.25" x14ac:dyDescent="0.25">
      <c r="A59" s="13" t="s">
        <v>195</v>
      </c>
      <c r="B59" s="13" t="s">
        <v>196</v>
      </c>
      <c r="C59" s="13" t="s">
        <v>197</v>
      </c>
      <c r="D59" s="13">
        <v>2</v>
      </c>
      <c r="E59" s="13" t="s">
        <v>198</v>
      </c>
      <c r="F59" s="13" t="s">
        <v>8860</v>
      </c>
      <c r="G59" s="13" t="s">
        <v>19</v>
      </c>
      <c r="H59" s="13" t="s">
        <v>3</v>
      </c>
      <c r="I59" s="13" t="s">
        <v>199</v>
      </c>
      <c r="J59" s="13" t="s">
        <v>21</v>
      </c>
      <c r="K59" s="13" t="s">
        <v>197</v>
      </c>
      <c r="L59" s="13" t="s">
        <v>18</v>
      </c>
      <c r="M59" t="s">
        <v>3</v>
      </c>
    </row>
    <row r="60" spans="1:13" ht="26.25" x14ac:dyDescent="0.25">
      <c r="A60" s="13" t="s">
        <v>200</v>
      </c>
      <c r="B60" s="13" t="s">
        <v>200</v>
      </c>
      <c r="C60" s="13" t="s">
        <v>201</v>
      </c>
      <c r="D60" s="13">
        <v>1</v>
      </c>
      <c r="E60" s="13" t="s">
        <v>202</v>
      </c>
      <c r="F60" s="13" t="s">
        <v>8860</v>
      </c>
      <c r="G60" s="13" t="s">
        <v>19</v>
      </c>
      <c r="H60" s="13" t="s">
        <v>3</v>
      </c>
      <c r="I60" s="13" t="s">
        <v>203</v>
      </c>
      <c r="J60" s="13" t="s">
        <v>21</v>
      </c>
      <c r="K60" s="13" t="s">
        <v>8449</v>
      </c>
      <c r="L60" s="13" t="s">
        <v>18</v>
      </c>
      <c r="M60" t="s">
        <v>3</v>
      </c>
    </row>
    <row r="61" spans="1:13" ht="26.25" x14ac:dyDescent="0.25">
      <c r="A61" s="13" t="s">
        <v>204</v>
      </c>
      <c r="B61" s="13" t="s">
        <v>204</v>
      </c>
      <c r="C61" s="13" t="s">
        <v>205</v>
      </c>
      <c r="D61" s="13">
        <v>1</v>
      </c>
      <c r="E61" s="13" t="s">
        <v>206</v>
      </c>
      <c r="F61" s="13" t="s">
        <v>8860</v>
      </c>
      <c r="G61" s="13" t="s">
        <v>19</v>
      </c>
      <c r="H61" s="13" t="s">
        <v>3</v>
      </c>
      <c r="I61" s="13" t="s">
        <v>207</v>
      </c>
      <c r="J61" s="13" t="s">
        <v>21</v>
      </c>
      <c r="K61" s="13" t="s">
        <v>8450</v>
      </c>
      <c r="L61" s="13" t="s">
        <v>18</v>
      </c>
      <c r="M61" t="s">
        <v>3</v>
      </c>
    </row>
    <row r="62" spans="1:13" x14ac:dyDescent="0.25">
      <c r="A62" s="13" t="s">
        <v>208</v>
      </c>
      <c r="B62" s="13" t="s">
        <v>208</v>
      </c>
      <c r="C62" s="13" t="s">
        <v>209</v>
      </c>
      <c r="D62" s="13">
        <v>47.2</v>
      </c>
      <c r="E62" s="13" t="s">
        <v>210</v>
      </c>
      <c r="F62" s="13" t="s">
        <v>8869</v>
      </c>
      <c r="G62" s="13" t="s">
        <v>2</v>
      </c>
      <c r="H62" s="13" t="s">
        <v>3</v>
      </c>
      <c r="I62" s="13" t="s">
        <v>119</v>
      </c>
      <c r="J62" s="13" t="s">
        <v>8890</v>
      </c>
      <c r="K62" s="13" t="s">
        <v>8883</v>
      </c>
      <c r="L62" s="13" t="s">
        <v>8918</v>
      </c>
      <c r="M62" t="s">
        <v>3</v>
      </c>
    </row>
    <row r="63" spans="1:13" ht="26.25" x14ac:dyDescent="0.25">
      <c r="A63" s="13" t="s">
        <v>211</v>
      </c>
      <c r="B63" s="13" t="s">
        <v>212</v>
      </c>
      <c r="C63" s="13" t="s">
        <v>213</v>
      </c>
      <c r="D63" s="13">
        <v>70</v>
      </c>
      <c r="E63" s="13" t="s">
        <v>214</v>
      </c>
      <c r="F63" s="13" t="s">
        <v>8860</v>
      </c>
      <c r="G63" s="13" t="s">
        <v>19</v>
      </c>
      <c r="H63" s="13" t="s">
        <v>3</v>
      </c>
      <c r="I63" s="13" t="s">
        <v>215</v>
      </c>
      <c r="J63" s="13" t="s">
        <v>21</v>
      </c>
      <c r="K63" s="13" t="s">
        <v>8451</v>
      </c>
      <c r="L63" s="13" t="s">
        <v>18</v>
      </c>
      <c r="M63" t="s">
        <v>3</v>
      </c>
    </row>
    <row r="64" spans="1:13" ht="26.25" x14ac:dyDescent="0.25">
      <c r="A64" s="13" t="s">
        <v>216</v>
      </c>
      <c r="B64" s="13" t="s">
        <v>216</v>
      </c>
      <c r="C64" s="13" t="s">
        <v>217</v>
      </c>
      <c r="D64" s="13">
        <v>1.8</v>
      </c>
      <c r="E64" s="13" t="s">
        <v>218</v>
      </c>
      <c r="F64" s="13" t="s">
        <v>8867</v>
      </c>
      <c r="G64" s="13" t="s">
        <v>2</v>
      </c>
      <c r="H64" s="13" t="s">
        <v>3</v>
      </c>
      <c r="I64" s="13" t="s">
        <v>215</v>
      </c>
      <c r="J64" s="13" t="s">
        <v>8890</v>
      </c>
      <c r="K64" s="13" t="s">
        <v>8451</v>
      </c>
      <c r="L64" s="13" t="s">
        <v>158</v>
      </c>
      <c r="M64" t="s">
        <v>3</v>
      </c>
    </row>
    <row r="65" spans="1:13" x14ac:dyDescent="0.25">
      <c r="A65" s="13" t="s">
        <v>219</v>
      </c>
      <c r="B65" s="13" t="s">
        <v>219</v>
      </c>
      <c r="C65" s="13" t="s">
        <v>220</v>
      </c>
      <c r="D65" s="13">
        <v>820.5</v>
      </c>
      <c r="E65" s="13" t="s">
        <v>221</v>
      </c>
      <c r="F65" s="13" t="s">
        <v>8864</v>
      </c>
      <c r="G65" s="13" t="s">
        <v>2</v>
      </c>
      <c r="H65" s="13" t="s">
        <v>8443</v>
      </c>
      <c r="I65" s="13" t="s">
        <v>164</v>
      </c>
      <c r="J65" s="13" t="s">
        <v>8890</v>
      </c>
      <c r="K65" s="13" t="s">
        <v>8443</v>
      </c>
      <c r="L65" s="13" t="s">
        <v>56</v>
      </c>
      <c r="M65" t="s">
        <v>10687</v>
      </c>
    </row>
    <row r="66" spans="1:13" ht="26.25" x14ac:dyDescent="0.25">
      <c r="A66" s="13" t="s">
        <v>222</v>
      </c>
      <c r="B66" s="13" t="s">
        <v>222</v>
      </c>
      <c r="C66" s="13" t="s">
        <v>222</v>
      </c>
      <c r="D66" s="13">
        <v>10.5</v>
      </c>
      <c r="E66" s="13" t="s">
        <v>223</v>
      </c>
      <c r="F66" s="13" t="s">
        <v>8860</v>
      </c>
      <c r="G66" s="13" t="s">
        <v>19</v>
      </c>
      <c r="H66" s="13" t="s">
        <v>3</v>
      </c>
      <c r="I66" s="13" t="s">
        <v>224</v>
      </c>
      <c r="J66" s="13" t="s">
        <v>21</v>
      </c>
      <c r="K66" s="13" t="s">
        <v>8452</v>
      </c>
      <c r="L66" s="13" t="s">
        <v>18</v>
      </c>
      <c r="M66" t="s">
        <v>3</v>
      </c>
    </row>
    <row r="67" spans="1:13" x14ac:dyDescent="0.25">
      <c r="A67" s="13" t="s">
        <v>225</v>
      </c>
      <c r="B67" s="13" t="s">
        <v>225</v>
      </c>
      <c r="C67" s="13" t="s">
        <v>226</v>
      </c>
      <c r="D67" s="13">
        <v>5.8</v>
      </c>
      <c r="E67" s="13" t="s">
        <v>227</v>
      </c>
      <c r="F67" s="13" t="s">
        <v>8867</v>
      </c>
      <c r="G67" s="13" t="s">
        <v>2</v>
      </c>
      <c r="H67" s="13" t="s">
        <v>3</v>
      </c>
      <c r="I67" s="13" t="s">
        <v>228</v>
      </c>
      <c r="J67" s="13" t="s">
        <v>8890</v>
      </c>
      <c r="K67" s="13" t="s">
        <v>8418</v>
      </c>
      <c r="L67" s="13" t="s">
        <v>158</v>
      </c>
      <c r="M67" t="s">
        <v>3</v>
      </c>
    </row>
    <row r="68" spans="1:13" ht="26.25" x14ac:dyDescent="0.25">
      <c r="A68" s="13" t="s">
        <v>229</v>
      </c>
      <c r="B68" s="13" t="s">
        <v>229</v>
      </c>
      <c r="C68" s="13" t="s">
        <v>230</v>
      </c>
      <c r="D68" s="13">
        <v>1</v>
      </c>
      <c r="E68" s="13" t="s">
        <v>231</v>
      </c>
      <c r="F68" s="13" t="s">
        <v>8860</v>
      </c>
      <c r="G68" s="13" t="s">
        <v>19</v>
      </c>
      <c r="H68" s="13" t="s">
        <v>3</v>
      </c>
      <c r="I68" s="13" t="s">
        <v>232</v>
      </c>
      <c r="J68" s="13" t="s">
        <v>21</v>
      </c>
      <c r="K68" s="13" t="s">
        <v>8453</v>
      </c>
      <c r="L68" s="13" t="s">
        <v>18</v>
      </c>
      <c r="M68" t="s">
        <v>3</v>
      </c>
    </row>
    <row r="69" spans="1:13" ht="26.25" x14ac:dyDescent="0.25">
      <c r="A69" s="13" t="s">
        <v>233</v>
      </c>
      <c r="B69" s="13" t="s">
        <v>234</v>
      </c>
      <c r="C69" s="13" t="s">
        <v>235</v>
      </c>
      <c r="D69" s="13">
        <v>29.2</v>
      </c>
      <c r="E69" s="13" t="s">
        <v>236</v>
      </c>
      <c r="F69" s="13" t="s">
        <v>35</v>
      </c>
      <c r="G69" s="13" t="s">
        <v>19</v>
      </c>
      <c r="H69" s="13" t="s">
        <v>3</v>
      </c>
      <c r="I69" s="13" t="s">
        <v>237</v>
      </c>
      <c r="J69" s="13" t="s">
        <v>37</v>
      </c>
      <c r="K69" s="13" t="s">
        <v>235</v>
      </c>
      <c r="L69" s="13" t="s">
        <v>35</v>
      </c>
      <c r="M69" t="s">
        <v>3</v>
      </c>
    </row>
    <row r="70" spans="1:13" ht="26.25" x14ac:dyDescent="0.25">
      <c r="A70" s="13" t="s">
        <v>238</v>
      </c>
      <c r="B70" s="13" t="s">
        <v>238</v>
      </c>
      <c r="C70" s="13" t="s">
        <v>239</v>
      </c>
      <c r="D70" s="13">
        <v>10</v>
      </c>
      <c r="E70" s="13" t="s">
        <v>240</v>
      </c>
      <c r="F70" s="13" t="s">
        <v>8860</v>
      </c>
      <c r="G70" s="13" t="s">
        <v>19</v>
      </c>
      <c r="H70" s="13" t="s">
        <v>3</v>
      </c>
      <c r="I70" s="13" t="s">
        <v>241</v>
      </c>
      <c r="J70" s="13" t="s">
        <v>21</v>
      </c>
      <c r="K70" s="13" t="s">
        <v>8454</v>
      </c>
      <c r="L70" s="13" t="s">
        <v>18</v>
      </c>
      <c r="M70" t="s">
        <v>3</v>
      </c>
    </row>
    <row r="71" spans="1:13" ht="26.25" x14ac:dyDescent="0.25">
      <c r="A71" s="13" t="s">
        <v>242</v>
      </c>
      <c r="B71" s="13" t="s">
        <v>242</v>
      </c>
      <c r="C71" s="13" t="s">
        <v>242</v>
      </c>
      <c r="D71" s="13">
        <v>0.1</v>
      </c>
      <c r="E71" s="13" t="s">
        <v>243</v>
      </c>
      <c r="F71" s="13" t="s">
        <v>8860</v>
      </c>
      <c r="G71" s="13" t="s">
        <v>19</v>
      </c>
      <c r="H71" s="13" t="s">
        <v>3</v>
      </c>
      <c r="I71" s="13" t="s">
        <v>244</v>
      </c>
      <c r="J71" s="13" t="s">
        <v>21</v>
      </c>
      <c r="K71" s="13" t="s">
        <v>8455</v>
      </c>
      <c r="L71" s="13" t="s">
        <v>18</v>
      </c>
      <c r="M71" t="s">
        <v>3</v>
      </c>
    </row>
    <row r="72" spans="1:13" ht="26.25" x14ac:dyDescent="0.25">
      <c r="A72" s="13" t="s">
        <v>245</v>
      </c>
      <c r="B72" s="13" t="s">
        <v>245</v>
      </c>
      <c r="C72" s="13" t="s">
        <v>246</v>
      </c>
      <c r="D72" s="13">
        <v>0.1</v>
      </c>
      <c r="E72" s="13" t="s">
        <v>247</v>
      </c>
      <c r="F72" s="13" t="s">
        <v>8860</v>
      </c>
      <c r="G72" s="13" t="s">
        <v>19</v>
      </c>
      <c r="H72" s="13" t="s">
        <v>3</v>
      </c>
      <c r="I72" s="13" t="s">
        <v>248</v>
      </c>
      <c r="J72" s="13" t="s">
        <v>21</v>
      </c>
      <c r="K72" s="13" t="s">
        <v>246</v>
      </c>
      <c r="L72" s="13" t="s">
        <v>18</v>
      </c>
      <c r="M72" t="s">
        <v>3</v>
      </c>
    </row>
    <row r="73" spans="1:13" ht="26.25" x14ac:dyDescent="0.25">
      <c r="A73" s="13" t="s">
        <v>249</v>
      </c>
      <c r="B73" s="13" t="s">
        <v>250</v>
      </c>
      <c r="C73" s="13" t="s">
        <v>251</v>
      </c>
      <c r="D73" s="13">
        <v>1</v>
      </c>
      <c r="E73" s="13" t="s">
        <v>252</v>
      </c>
      <c r="F73" s="13" t="s">
        <v>8860</v>
      </c>
      <c r="G73" s="13" t="s">
        <v>19</v>
      </c>
      <c r="H73" s="13" t="s">
        <v>3</v>
      </c>
      <c r="I73" s="13" t="s">
        <v>253</v>
      </c>
      <c r="J73" s="13" t="s">
        <v>21</v>
      </c>
      <c r="K73" s="13" t="s">
        <v>8456</v>
      </c>
      <c r="L73" s="13" t="s">
        <v>18</v>
      </c>
      <c r="M73" t="s">
        <v>3</v>
      </c>
    </row>
    <row r="74" spans="1:13" ht="26.25" x14ac:dyDescent="0.25">
      <c r="A74" s="13" t="s">
        <v>254</v>
      </c>
      <c r="B74" s="13" t="s">
        <v>255</v>
      </c>
      <c r="C74" s="13" t="s">
        <v>255</v>
      </c>
      <c r="D74" s="13">
        <v>0.1</v>
      </c>
      <c r="E74" s="13" t="s">
        <v>256</v>
      </c>
      <c r="F74" s="13" t="s">
        <v>8860</v>
      </c>
      <c r="G74" s="13" t="s">
        <v>19</v>
      </c>
      <c r="H74" s="13" t="s">
        <v>3</v>
      </c>
      <c r="I74" s="13" t="s">
        <v>257</v>
      </c>
      <c r="J74" s="13" t="s">
        <v>21</v>
      </c>
      <c r="K74" s="13" t="s">
        <v>255</v>
      </c>
      <c r="L74" s="13" t="s">
        <v>18</v>
      </c>
      <c r="M74" t="s">
        <v>3</v>
      </c>
    </row>
    <row r="75" spans="1:13" x14ac:dyDescent="0.25">
      <c r="A75" s="13" t="s">
        <v>258</v>
      </c>
      <c r="B75" s="13" t="s">
        <v>259</v>
      </c>
      <c r="C75" s="13" t="s">
        <v>260</v>
      </c>
      <c r="D75" s="14">
        <v>1011.3</v>
      </c>
      <c r="E75" s="13" t="s">
        <v>261</v>
      </c>
      <c r="F75" s="13" t="s">
        <v>262</v>
      </c>
      <c r="G75" s="13" t="s">
        <v>2</v>
      </c>
      <c r="H75" s="13" t="s">
        <v>3</v>
      </c>
      <c r="I75" s="13" t="s">
        <v>263</v>
      </c>
      <c r="J75" s="13" t="s">
        <v>8890</v>
      </c>
      <c r="K75" s="13" t="s">
        <v>8429</v>
      </c>
      <c r="L75" s="13" t="s">
        <v>262</v>
      </c>
      <c r="M75" t="s">
        <v>3</v>
      </c>
    </row>
    <row r="76" spans="1:13" x14ac:dyDescent="0.25">
      <c r="A76" s="13" t="s">
        <v>264</v>
      </c>
      <c r="B76" s="13" t="s">
        <v>265</v>
      </c>
      <c r="C76" s="13" t="s">
        <v>266</v>
      </c>
      <c r="D76" s="14">
        <v>1005.8</v>
      </c>
      <c r="E76" s="13" t="s">
        <v>267</v>
      </c>
      <c r="F76" s="13" t="s">
        <v>262</v>
      </c>
      <c r="G76" s="13" t="s">
        <v>2</v>
      </c>
      <c r="H76" s="13" t="s">
        <v>3</v>
      </c>
      <c r="I76" s="13" t="s">
        <v>263</v>
      </c>
      <c r="J76" s="13" t="s">
        <v>8890</v>
      </c>
      <c r="K76" s="13" t="s">
        <v>8429</v>
      </c>
      <c r="L76" s="13" t="s">
        <v>262</v>
      </c>
      <c r="M76" t="s">
        <v>3</v>
      </c>
    </row>
    <row r="77" spans="1:13" ht="51.75" x14ac:dyDescent="0.25">
      <c r="A77" s="13" t="s">
        <v>11015</v>
      </c>
      <c r="B77" s="13" t="s">
        <v>11016</v>
      </c>
      <c r="C77" s="13" t="s">
        <v>11017</v>
      </c>
      <c r="D77" s="13">
        <v>5</v>
      </c>
      <c r="E77" s="13" t="s">
        <v>11018</v>
      </c>
      <c r="F77" s="13" t="s">
        <v>8860</v>
      </c>
      <c r="G77" s="13" t="s">
        <v>19</v>
      </c>
      <c r="H77" s="13" t="s">
        <v>3</v>
      </c>
      <c r="I77" s="13" t="s">
        <v>11019</v>
      </c>
      <c r="J77" s="13" t="s">
        <v>21</v>
      </c>
      <c r="K77" s="13" t="s">
        <v>11020</v>
      </c>
      <c r="L77" s="13" t="s">
        <v>18</v>
      </c>
      <c r="M77" t="s">
        <v>3</v>
      </c>
    </row>
    <row r="78" spans="1:13" x14ac:dyDescent="0.25">
      <c r="A78" s="13" t="s">
        <v>268</v>
      </c>
      <c r="B78" s="13" t="s">
        <v>268</v>
      </c>
      <c r="C78" s="13" t="s">
        <v>269</v>
      </c>
      <c r="D78" s="13">
        <v>786.4</v>
      </c>
      <c r="E78" s="13" t="s">
        <v>270</v>
      </c>
      <c r="F78" s="13" t="s">
        <v>8864</v>
      </c>
      <c r="G78" s="13" t="s">
        <v>2</v>
      </c>
      <c r="H78" s="13" t="s">
        <v>8919</v>
      </c>
      <c r="I78" s="13" t="s">
        <v>271</v>
      </c>
      <c r="J78" s="13" t="s">
        <v>8890</v>
      </c>
      <c r="K78" s="13" t="s">
        <v>8457</v>
      </c>
      <c r="L78" s="13" t="s">
        <v>56</v>
      </c>
      <c r="M78" t="s">
        <v>10684</v>
      </c>
    </row>
    <row r="79" spans="1:13" ht="26.25" x14ac:dyDescent="0.25">
      <c r="A79" s="13" t="s">
        <v>272</v>
      </c>
      <c r="B79" s="13" t="s">
        <v>272</v>
      </c>
      <c r="C79" s="13" t="s">
        <v>273</v>
      </c>
      <c r="D79" s="13">
        <v>8.9</v>
      </c>
      <c r="E79" s="13" t="s">
        <v>274</v>
      </c>
      <c r="F79" s="13" t="s">
        <v>275</v>
      </c>
      <c r="G79" s="13" t="s">
        <v>19</v>
      </c>
      <c r="H79" s="13" t="s">
        <v>3</v>
      </c>
      <c r="I79" s="13" t="s">
        <v>271</v>
      </c>
      <c r="J79" s="13" t="s">
        <v>276</v>
      </c>
      <c r="K79" s="13" t="s">
        <v>8457</v>
      </c>
      <c r="L79" s="13" t="s">
        <v>275</v>
      </c>
      <c r="M79" t="s">
        <v>3</v>
      </c>
    </row>
    <row r="80" spans="1:13" ht="26.25" x14ac:dyDescent="0.25">
      <c r="A80" s="13" t="s">
        <v>277</v>
      </c>
      <c r="B80" s="13" t="s">
        <v>277</v>
      </c>
      <c r="C80" s="13" t="s">
        <v>278</v>
      </c>
      <c r="D80" s="13">
        <v>0.1</v>
      </c>
      <c r="E80" s="13" t="s">
        <v>279</v>
      </c>
      <c r="F80" s="13" t="s">
        <v>8860</v>
      </c>
      <c r="G80" s="13" t="s">
        <v>19</v>
      </c>
      <c r="H80" s="13" t="s">
        <v>3</v>
      </c>
      <c r="I80" s="13" t="s">
        <v>4</v>
      </c>
      <c r="J80" s="13" t="s">
        <v>21</v>
      </c>
      <c r="K80" s="13" t="s">
        <v>8424</v>
      </c>
      <c r="L80" s="13" t="s">
        <v>18</v>
      </c>
      <c r="M80" t="s">
        <v>3</v>
      </c>
    </row>
    <row r="81" spans="1:13" ht="26.25" x14ac:dyDescent="0.25">
      <c r="A81" s="13" t="s">
        <v>11940</v>
      </c>
      <c r="B81" s="13" t="s">
        <v>11941</v>
      </c>
      <c r="C81" s="13" t="s">
        <v>11942</v>
      </c>
      <c r="D81" s="13">
        <v>1</v>
      </c>
      <c r="E81" s="13" t="s">
        <v>11943</v>
      </c>
      <c r="F81" s="13" t="s">
        <v>8860</v>
      </c>
      <c r="G81" s="13" t="s">
        <v>19</v>
      </c>
      <c r="H81" s="13" t="s">
        <v>3</v>
      </c>
      <c r="I81" s="13" t="s">
        <v>11944</v>
      </c>
      <c r="J81" s="13" t="s">
        <v>21</v>
      </c>
      <c r="K81" s="13" t="s">
        <v>11945</v>
      </c>
      <c r="L81" s="13" t="s">
        <v>18</v>
      </c>
      <c r="M81" t="s">
        <v>3</v>
      </c>
    </row>
    <row r="82" spans="1:13" x14ac:dyDescent="0.25">
      <c r="A82" s="13" t="s">
        <v>11738</v>
      </c>
      <c r="B82" s="13" t="s">
        <v>11739</v>
      </c>
      <c r="C82" s="13" t="s">
        <v>11740</v>
      </c>
      <c r="D82" s="13">
        <v>32</v>
      </c>
      <c r="E82" s="13" t="s">
        <v>11741</v>
      </c>
      <c r="F82" s="13" t="s">
        <v>8869</v>
      </c>
      <c r="G82" s="13" t="s">
        <v>2</v>
      </c>
      <c r="H82" s="13" t="s">
        <v>3</v>
      </c>
      <c r="I82" s="13" t="s">
        <v>809</v>
      </c>
      <c r="J82" s="13" t="s">
        <v>8890</v>
      </c>
      <c r="K82" s="13" t="s">
        <v>8512</v>
      </c>
      <c r="L82" s="13" t="s">
        <v>8918</v>
      </c>
      <c r="M82" t="s">
        <v>3</v>
      </c>
    </row>
    <row r="83" spans="1:13" ht="26.25" x14ac:dyDescent="0.25">
      <c r="A83" s="13" t="s">
        <v>280</v>
      </c>
      <c r="B83" s="13" t="s">
        <v>281</v>
      </c>
      <c r="C83" s="13" t="s">
        <v>282</v>
      </c>
      <c r="D83" s="13">
        <v>1</v>
      </c>
      <c r="E83" s="13" t="s">
        <v>283</v>
      </c>
      <c r="F83" s="13" t="s">
        <v>8860</v>
      </c>
      <c r="G83" s="13" t="s">
        <v>19</v>
      </c>
      <c r="H83" s="13" t="s">
        <v>3</v>
      </c>
      <c r="I83" s="13" t="s">
        <v>281</v>
      </c>
      <c r="J83" s="13" t="s">
        <v>21</v>
      </c>
      <c r="K83" s="13" t="s">
        <v>8458</v>
      </c>
      <c r="L83" s="13" t="s">
        <v>18</v>
      </c>
      <c r="M83" t="s">
        <v>3</v>
      </c>
    </row>
    <row r="84" spans="1:13" ht="39" x14ac:dyDescent="0.25">
      <c r="A84" s="13" t="s">
        <v>9840</v>
      </c>
      <c r="B84" s="13" t="s">
        <v>9841</v>
      </c>
      <c r="C84" s="13" t="s">
        <v>9842</v>
      </c>
      <c r="D84" s="13">
        <v>1</v>
      </c>
      <c r="E84" s="13" t="s">
        <v>9843</v>
      </c>
      <c r="F84" s="13" t="s">
        <v>8860</v>
      </c>
      <c r="G84" s="13" t="s">
        <v>19</v>
      </c>
      <c r="H84" s="13" t="s">
        <v>3</v>
      </c>
      <c r="I84" s="13" t="s">
        <v>9844</v>
      </c>
      <c r="J84" s="13" t="s">
        <v>21</v>
      </c>
      <c r="K84" s="13" t="s">
        <v>9845</v>
      </c>
      <c r="L84" s="13" t="s">
        <v>18</v>
      </c>
      <c r="M84" t="s">
        <v>3</v>
      </c>
    </row>
    <row r="85" spans="1:13" ht="26.25" x14ac:dyDescent="0.25">
      <c r="A85" s="13" t="s">
        <v>11742</v>
      </c>
      <c r="B85" s="13" t="s">
        <v>11743</v>
      </c>
      <c r="C85" s="13" t="s">
        <v>11744</v>
      </c>
      <c r="D85" s="13">
        <v>1</v>
      </c>
      <c r="E85" s="13" t="s">
        <v>11745</v>
      </c>
      <c r="F85" s="13" t="s">
        <v>8860</v>
      </c>
      <c r="G85" s="13" t="s">
        <v>19</v>
      </c>
      <c r="H85" s="13" t="s">
        <v>3</v>
      </c>
      <c r="I85" s="13" t="s">
        <v>11746</v>
      </c>
      <c r="J85" s="13" t="s">
        <v>21</v>
      </c>
      <c r="K85" s="13" t="s">
        <v>11747</v>
      </c>
      <c r="L85" s="13" t="s">
        <v>18</v>
      </c>
      <c r="M85" t="s">
        <v>3</v>
      </c>
    </row>
    <row r="86" spans="1:13" ht="26.25" x14ac:dyDescent="0.25">
      <c r="A86" s="13" t="s">
        <v>284</v>
      </c>
      <c r="B86" s="13" t="s">
        <v>284</v>
      </c>
      <c r="C86" s="13" t="s">
        <v>284</v>
      </c>
      <c r="D86" s="13">
        <v>0.1</v>
      </c>
      <c r="E86" s="13" t="s">
        <v>285</v>
      </c>
      <c r="F86" s="13" t="s">
        <v>8860</v>
      </c>
      <c r="G86" s="13" t="s">
        <v>19</v>
      </c>
      <c r="H86" s="13" t="s">
        <v>3</v>
      </c>
      <c r="I86" s="13" t="s">
        <v>286</v>
      </c>
      <c r="J86" s="13" t="s">
        <v>21</v>
      </c>
      <c r="K86" s="13" t="s">
        <v>286</v>
      </c>
      <c r="L86" s="13" t="s">
        <v>18</v>
      </c>
      <c r="M86" t="s">
        <v>3</v>
      </c>
    </row>
    <row r="87" spans="1:13" ht="26.25" x14ac:dyDescent="0.25">
      <c r="A87" s="13" t="s">
        <v>287</v>
      </c>
      <c r="B87" s="13" t="s">
        <v>288</v>
      </c>
      <c r="C87" s="13" t="s">
        <v>289</v>
      </c>
      <c r="D87" s="13">
        <v>0.1</v>
      </c>
      <c r="E87" s="13" t="s">
        <v>290</v>
      </c>
      <c r="F87" s="13" t="s">
        <v>8860</v>
      </c>
      <c r="G87" s="13" t="s">
        <v>19</v>
      </c>
      <c r="H87" s="13" t="s">
        <v>3</v>
      </c>
      <c r="I87" s="13" t="s">
        <v>288</v>
      </c>
      <c r="J87" s="13" t="s">
        <v>21</v>
      </c>
      <c r="K87" s="13" t="s">
        <v>289</v>
      </c>
      <c r="L87" s="13" t="s">
        <v>18</v>
      </c>
      <c r="M87" t="s">
        <v>3</v>
      </c>
    </row>
    <row r="88" spans="1:13" ht="26.25" x14ac:dyDescent="0.25">
      <c r="A88" s="13" t="s">
        <v>291</v>
      </c>
      <c r="B88" s="13" t="s">
        <v>292</v>
      </c>
      <c r="C88" s="13" t="s">
        <v>293</v>
      </c>
      <c r="D88" s="14">
        <v>0.1</v>
      </c>
      <c r="E88" s="13" t="s">
        <v>294</v>
      </c>
      <c r="F88" s="13" t="s">
        <v>8860</v>
      </c>
      <c r="G88" s="13" t="s">
        <v>19</v>
      </c>
      <c r="H88" s="13" t="s">
        <v>3</v>
      </c>
      <c r="I88" s="13" t="s">
        <v>295</v>
      </c>
      <c r="J88" s="13" t="s">
        <v>21</v>
      </c>
      <c r="K88" s="13" t="s">
        <v>8459</v>
      </c>
      <c r="L88" s="13" t="s">
        <v>18</v>
      </c>
      <c r="M88" t="s">
        <v>3</v>
      </c>
    </row>
    <row r="89" spans="1:13" ht="26.25" x14ac:dyDescent="0.25">
      <c r="A89" s="13" t="s">
        <v>296</v>
      </c>
      <c r="B89" s="13" t="s">
        <v>297</v>
      </c>
      <c r="C89" s="13" t="s">
        <v>298</v>
      </c>
      <c r="D89" s="14">
        <v>9999</v>
      </c>
      <c r="E89" s="13" t="s">
        <v>299</v>
      </c>
      <c r="F89" s="13" t="s">
        <v>41</v>
      </c>
      <c r="G89" s="13" t="s">
        <v>19</v>
      </c>
      <c r="H89" s="13" t="s">
        <v>3</v>
      </c>
      <c r="I89" s="13" t="s">
        <v>42</v>
      </c>
      <c r="J89" s="13" t="s">
        <v>41</v>
      </c>
      <c r="K89" s="13" t="s">
        <v>42</v>
      </c>
      <c r="L89" s="13" t="s">
        <v>41</v>
      </c>
      <c r="M89" t="s">
        <v>3</v>
      </c>
    </row>
    <row r="90" spans="1:13" ht="26.25" x14ac:dyDescent="0.25">
      <c r="A90" s="13" t="s">
        <v>300</v>
      </c>
      <c r="B90" s="13" t="s">
        <v>301</v>
      </c>
      <c r="C90" s="13" t="s">
        <v>302</v>
      </c>
      <c r="D90" s="14">
        <v>9999</v>
      </c>
      <c r="E90" s="13" t="s">
        <v>303</v>
      </c>
      <c r="F90" s="13" t="s">
        <v>41</v>
      </c>
      <c r="G90" s="13" t="s">
        <v>2</v>
      </c>
      <c r="H90" s="13" t="s">
        <v>3</v>
      </c>
      <c r="I90" s="13" t="s">
        <v>42</v>
      </c>
      <c r="J90" s="13" t="s">
        <v>41</v>
      </c>
      <c r="K90" s="13" t="s">
        <v>42</v>
      </c>
      <c r="L90" s="13" t="s">
        <v>41</v>
      </c>
      <c r="M90" t="s">
        <v>3</v>
      </c>
    </row>
    <row r="91" spans="1:13" ht="26.25" x14ac:dyDescent="0.25">
      <c r="A91" s="13" t="s">
        <v>304</v>
      </c>
      <c r="B91" s="13" t="s">
        <v>305</v>
      </c>
      <c r="C91" s="13" t="s">
        <v>306</v>
      </c>
      <c r="D91" s="14">
        <v>9999</v>
      </c>
      <c r="E91" s="13" t="s">
        <v>307</v>
      </c>
      <c r="F91" s="13" t="s">
        <v>41</v>
      </c>
      <c r="G91" s="13" t="s">
        <v>19</v>
      </c>
      <c r="H91" s="13" t="s">
        <v>3</v>
      </c>
      <c r="I91" s="13" t="s">
        <v>42</v>
      </c>
      <c r="J91" s="13" t="s">
        <v>41</v>
      </c>
      <c r="K91" s="13" t="s">
        <v>42</v>
      </c>
      <c r="L91" s="13" t="s">
        <v>41</v>
      </c>
      <c r="M91" t="s">
        <v>3</v>
      </c>
    </row>
    <row r="92" spans="1:13" ht="26.25" x14ac:dyDescent="0.25">
      <c r="A92" s="13" t="s">
        <v>308</v>
      </c>
      <c r="B92" s="13" t="s">
        <v>309</v>
      </c>
      <c r="C92" s="13" t="s">
        <v>310</v>
      </c>
      <c r="D92" s="13">
        <v>9999</v>
      </c>
      <c r="E92" s="13" t="s">
        <v>311</v>
      </c>
      <c r="F92" s="13" t="s">
        <v>41</v>
      </c>
      <c r="G92" s="13" t="s">
        <v>2</v>
      </c>
      <c r="H92" s="13" t="s">
        <v>3</v>
      </c>
      <c r="I92" s="13" t="s">
        <v>42</v>
      </c>
      <c r="J92" s="13" t="s">
        <v>41</v>
      </c>
      <c r="K92" s="13" t="s">
        <v>42</v>
      </c>
      <c r="L92" s="13" t="s">
        <v>41</v>
      </c>
      <c r="M92" t="s">
        <v>3</v>
      </c>
    </row>
    <row r="93" spans="1:13" ht="26.25" x14ac:dyDescent="0.25">
      <c r="A93" s="13" t="s">
        <v>312</v>
      </c>
      <c r="B93" s="13" t="s">
        <v>313</v>
      </c>
      <c r="C93" s="13" t="s">
        <v>314</v>
      </c>
      <c r="D93" s="14">
        <v>10</v>
      </c>
      <c r="E93" s="13" t="s">
        <v>315</v>
      </c>
      <c r="F93" s="13" t="s">
        <v>8860</v>
      </c>
      <c r="G93" s="13" t="s">
        <v>19</v>
      </c>
      <c r="H93" s="13" t="s">
        <v>3</v>
      </c>
      <c r="I93" s="13" t="s">
        <v>313</v>
      </c>
      <c r="J93" s="13" t="s">
        <v>21</v>
      </c>
      <c r="K93" s="13" t="s">
        <v>314</v>
      </c>
      <c r="L93" s="13" t="s">
        <v>18</v>
      </c>
      <c r="M93" t="s">
        <v>3</v>
      </c>
    </row>
    <row r="94" spans="1:13" ht="26.25" x14ac:dyDescent="0.25">
      <c r="A94" s="13" t="s">
        <v>316</v>
      </c>
      <c r="B94" s="13" t="s">
        <v>317</v>
      </c>
      <c r="C94" s="13" t="s">
        <v>318</v>
      </c>
      <c r="D94" s="14">
        <v>9999</v>
      </c>
      <c r="E94" s="13" t="s">
        <v>319</v>
      </c>
      <c r="F94" s="13" t="s">
        <v>41</v>
      </c>
      <c r="G94" s="13" t="s">
        <v>19</v>
      </c>
      <c r="H94" s="13" t="s">
        <v>3</v>
      </c>
      <c r="I94" s="13" t="s">
        <v>42</v>
      </c>
      <c r="J94" s="13" t="s">
        <v>41</v>
      </c>
      <c r="K94" s="13" t="s">
        <v>42</v>
      </c>
      <c r="L94" s="13" t="s">
        <v>41</v>
      </c>
      <c r="M94" t="s">
        <v>3</v>
      </c>
    </row>
    <row r="95" spans="1:13" ht="26.25" x14ac:dyDescent="0.25">
      <c r="A95" s="13" t="s">
        <v>320</v>
      </c>
      <c r="B95" s="13" t="s">
        <v>321</v>
      </c>
      <c r="C95" s="13" t="s">
        <v>322</v>
      </c>
      <c r="D95" s="14">
        <v>9999</v>
      </c>
      <c r="E95" s="13" t="s">
        <v>323</v>
      </c>
      <c r="F95" s="13" t="s">
        <v>41</v>
      </c>
      <c r="G95" s="13" t="s">
        <v>2</v>
      </c>
      <c r="H95" s="13" t="s">
        <v>3</v>
      </c>
      <c r="I95" s="13" t="s">
        <v>42</v>
      </c>
      <c r="J95" s="13" t="s">
        <v>41</v>
      </c>
      <c r="K95" s="13" t="s">
        <v>42</v>
      </c>
      <c r="L95" s="13" t="s">
        <v>41</v>
      </c>
      <c r="M95" t="s">
        <v>3</v>
      </c>
    </row>
    <row r="96" spans="1:13" ht="26.25" x14ac:dyDescent="0.25">
      <c r="A96" s="13" t="s">
        <v>324</v>
      </c>
      <c r="B96" s="13" t="s">
        <v>325</v>
      </c>
      <c r="C96" s="13" t="s">
        <v>326</v>
      </c>
      <c r="D96" s="14">
        <v>9999</v>
      </c>
      <c r="E96" s="13" t="s">
        <v>327</v>
      </c>
      <c r="F96" s="13" t="s">
        <v>41</v>
      </c>
      <c r="G96" s="13" t="s">
        <v>19</v>
      </c>
      <c r="H96" s="13" t="s">
        <v>3</v>
      </c>
      <c r="I96" s="13" t="s">
        <v>42</v>
      </c>
      <c r="J96" s="13" t="s">
        <v>41</v>
      </c>
      <c r="K96" s="13" t="s">
        <v>42</v>
      </c>
      <c r="L96" s="13" t="s">
        <v>41</v>
      </c>
      <c r="M96" t="s">
        <v>3</v>
      </c>
    </row>
    <row r="97" spans="1:13" ht="26.25" x14ac:dyDescent="0.25">
      <c r="A97" s="13" t="s">
        <v>328</v>
      </c>
      <c r="B97" s="13" t="s">
        <v>329</v>
      </c>
      <c r="C97" s="13" t="s">
        <v>330</v>
      </c>
      <c r="D97" s="13">
        <v>9999</v>
      </c>
      <c r="E97" s="13" t="s">
        <v>331</v>
      </c>
      <c r="F97" s="13" t="s">
        <v>41</v>
      </c>
      <c r="G97" s="13" t="s">
        <v>2</v>
      </c>
      <c r="H97" s="13" t="s">
        <v>3</v>
      </c>
      <c r="I97" s="13" t="s">
        <v>42</v>
      </c>
      <c r="J97" s="13" t="s">
        <v>41</v>
      </c>
      <c r="K97" s="13" t="s">
        <v>42</v>
      </c>
      <c r="L97" s="13" t="s">
        <v>41</v>
      </c>
      <c r="M97" t="s">
        <v>3</v>
      </c>
    </row>
    <row r="98" spans="1:13" ht="26.25" x14ac:dyDescent="0.25">
      <c r="A98" s="13" t="s">
        <v>332</v>
      </c>
      <c r="B98" s="13" t="s">
        <v>333</v>
      </c>
      <c r="C98" s="13" t="s">
        <v>334</v>
      </c>
      <c r="D98" s="13">
        <v>1</v>
      </c>
      <c r="E98" s="13" t="s">
        <v>335</v>
      </c>
      <c r="F98" s="13" t="s">
        <v>35</v>
      </c>
      <c r="G98" s="13" t="s">
        <v>19</v>
      </c>
      <c r="H98" s="13" t="s">
        <v>3</v>
      </c>
      <c r="I98" s="13" t="s">
        <v>336</v>
      </c>
      <c r="J98" s="13" t="s">
        <v>37</v>
      </c>
      <c r="K98" s="13" t="s">
        <v>8920</v>
      </c>
      <c r="L98" s="13" t="s">
        <v>35</v>
      </c>
      <c r="M98" t="s">
        <v>3</v>
      </c>
    </row>
    <row r="99" spans="1:13" ht="26.25" x14ac:dyDescent="0.25">
      <c r="A99" s="13" t="s">
        <v>337</v>
      </c>
      <c r="B99" s="13" t="s">
        <v>338</v>
      </c>
      <c r="C99" s="13" t="s">
        <v>339</v>
      </c>
      <c r="D99" s="13">
        <v>0.1</v>
      </c>
      <c r="E99" s="13" t="s">
        <v>340</v>
      </c>
      <c r="F99" s="13" t="s">
        <v>8860</v>
      </c>
      <c r="G99" s="13" t="s">
        <v>19</v>
      </c>
      <c r="H99" s="13" t="s">
        <v>3</v>
      </c>
      <c r="I99" s="13" t="s">
        <v>338</v>
      </c>
      <c r="J99" s="13" t="s">
        <v>21</v>
      </c>
      <c r="K99" s="13" t="s">
        <v>8460</v>
      </c>
      <c r="L99" s="13" t="s">
        <v>18</v>
      </c>
      <c r="M99" t="s">
        <v>3</v>
      </c>
    </row>
    <row r="100" spans="1:13" ht="26.25" x14ac:dyDescent="0.25">
      <c r="A100" s="13" t="s">
        <v>341</v>
      </c>
      <c r="B100" s="13" t="s">
        <v>342</v>
      </c>
      <c r="C100" s="13" t="s">
        <v>343</v>
      </c>
      <c r="D100" s="13">
        <v>0.1</v>
      </c>
      <c r="E100" s="13" t="s">
        <v>344</v>
      </c>
      <c r="F100" s="13" t="s">
        <v>8860</v>
      </c>
      <c r="G100" s="13" t="s">
        <v>19</v>
      </c>
      <c r="H100" s="13" t="s">
        <v>3</v>
      </c>
      <c r="I100" s="13" t="s">
        <v>345</v>
      </c>
      <c r="J100" s="13" t="s">
        <v>21</v>
      </c>
      <c r="K100" s="13" t="s">
        <v>8461</v>
      </c>
      <c r="L100" s="13" t="s">
        <v>18</v>
      </c>
      <c r="M100" t="s">
        <v>3</v>
      </c>
    </row>
    <row r="101" spans="1:13" ht="26.25" x14ac:dyDescent="0.25">
      <c r="A101" s="13" t="s">
        <v>346</v>
      </c>
      <c r="B101" s="13" t="s">
        <v>347</v>
      </c>
      <c r="C101" s="13" t="s">
        <v>348</v>
      </c>
      <c r="D101" s="13">
        <v>0.1</v>
      </c>
      <c r="E101" s="13" t="s">
        <v>349</v>
      </c>
      <c r="F101" s="13" t="s">
        <v>8860</v>
      </c>
      <c r="G101" s="13" t="s">
        <v>19</v>
      </c>
      <c r="H101" s="13" t="s">
        <v>3</v>
      </c>
      <c r="I101" s="13" t="s">
        <v>350</v>
      </c>
      <c r="J101" s="13" t="s">
        <v>21</v>
      </c>
      <c r="K101" s="13" t="s">
        <v>350</v>
      </c>
      <c r="L101" s="13" t="s">
        <v>18</v>
      </c>
      <c r="M101" t="s">
        <v>3</v>
      </c>
    </row>
    <row r="102" spans="1:13" ht="26.25" x14ac:dyDescent="0.25">
      <c r="A102" s="13" t="s">
        <v>351</v>
      </c>
      <c r="B102" s="13" t="s">
        <v>352</v>
      </c>
      <c r="C102" s="13" t="s">
        <v>352</v>
      </c>
      <c r="D102" s="13">
        <v>0.4</v>
      </c>
      <c r="E102" s="13" t="s">
        <v>353</v>
      </c>
      <c r="F102" s="13" t="s">
        <v>35</v>
      </c>
      <c r="G102" s="13" t="s">
        <v>19</v>
      </c>
      <c r="H102" s="13" t="s">
        <v>3</v>
      </c>
      <c r="I102" s="13" t="s">
        <v>354</v>
      </c>
      <c r="J102" s="13" t="s">
        <v>37</v>
      </c>
      <c r="K102" s="13" t="s">
        <v>352</v>
      </c>
      <c r="L102" s="13" t="s">
        <v>35</v>
      </c>
      <c r="M102" t="s">
        <v>3</v>
      </c>
    </row>
    <row r="103" spans="1:13" ht="26.25" x14ac:dyDescent="0.25">
      <c r="A103" s="13" t="s">
        <v>355</v>
      </c>
      <c r="B103" s="13" t="s">
        <v>355</v>
      </c>
      <c r="C103" s="13" t="s">
        <v>356</v>
      </c>
      <c r="D103" s="13">
        <v>0.3</v>
      </c>
      <c r="E103" s="13" t="s">
        <v>357</v>
      </c>
      <c r="F103" s="13" t="s">
        <v>8863</v>
      </c>
      <c r="G103" s="13" t="s">
        <v>2</v>
      </c>
      <c r="H103" s="13" t="s">
        <v>3</v>
      </c>
      <c r="I103" s="13" t="s">
        <v>10</v>
      </c>
      <c r="J103" s="13" t="s">
        <v>8890</v>
      </c>
      <c r="K103" s="13" t="s">
        <v>8425</v>
      </c>
      <c r="L103" s="13" t="s">
        <v>8893</v>
      </c>
      <c r="M103" t="s">
        <v>3</v>
      </c>
    </row>
    <row r="104" spans="1:13" x14ac:dyDescent="0.25">
      <c r="A104" s="13" t="s">
        <v>358</v>
      </c>
      <c r="B104" s="13" t="s">
        <v>358</v>
      </c>
      <c r="C104" s="13" t="s">
        <v>358</v>
      </c>
      <c r="D104" s="13">
        <v>389.2</v>
      </c>
      <c r="E104" s="13" t="s">
        <v>359</v>
      </c>
      <c r="F104" s="13" t="s">
        <v>8864</v>
      </c>
      <c r="G104" s="13" t="s">
        <v>2</v>
      </c>
      <c r="H104" s="13" t="s">
        <v>1224</v>
      </c>
      <c r="I104" s="13" t="s">
        <v>57</v>
      </c>
      <c r="J104" s="13" t="s">
        <v>8890</v>
      </c>
      <c r="K104" s="13" t="s">
        <v>8429</v>
      </c>
      <c r="L104" s="13" t="s">
        <v>56</v>
      </c>
      <c r="M104" t="s">
        <v>10682</v>
      </c>
    </row>
    <row r="105" spans="1:13" x14ac:dyDescent="0.25">
      <c r="A105" s="13" t="s">
        <v>360</v>
      </c>
      <c r="B105" s="13" t="s">
        <v>360</v>
      </c>
      <c r="C105" s="13" t="s">
        <v>360</v>
      </c>
      <c r="D105" s="13">
        <v>373.2</v>
      </c>
      <c r="E105" s="13" t="s">
        <v>361</v>
      </c>
      <c r="F105" s="13" t="s">
        <v>8864</v>
      </c>
      <c r="G105" s="13" t="s">
        <v>2</v>
      </c>
      <c r="H105" s="13" t="s">
        <v>1224</v>
      </c>
      <c r="I105" s="13" t="s">
        <v>57</v>
      </c>
      <c r="J105" s="13" t="s">
        <v>8890</v>
      </c>
      <c r="K105" s="13" t="s">
        <v>8429</v>
      </c>
      <c r="L105" s="13" t="s">
        <v>56</v>
      </c>
      <c r="M105" t="s">
        <v>10682</v>
      </c>
    </row>
    <row r="106" spans="1:13" x14ac:dyDescent="0.25">
      <c r="A106" s="13" t="s">
        <v>362</v>
      </c>
      <c r="B106" s="13" t="s">
        <v>362</v>
      </c>
      <c r="C106" s="13" t="s">
        <v>362</v>
      </c>
      <c r="D106" s="13">
        <v>822.8</v>
      </c>
      <c r="E106" s="13" t="s">
        <v>363</v>
      </c>
      <c r="F106" s="13" t="s">
        <v>8864</v>
      </c>
      <c r="G106" s="13" t="s">
        <v>2</v>
      </c>
      <c r="H106" s="13" t="s">
        <v>1224</v>
      </c>
      <c r="I106" s="13" t="s">
        <v>57</v>
      </c>
      <c r="J106" s="13" t="s">
        <v>8890</v>
      </c>
      <c r="K106" s="13" t="s">
        <v>8429</v>
      </c>
      <c r="L106" s="13" t="s">
        <v>56</v>
      </c>
      <c r="M106" t="s">
        <v>10682</v>
      </c>
    </row>
    <row r="107" spans="1:13" ht="26.25" x14ac:dyDescent="0.25">
      <c r="A107" s="13" t="s">
        <v>364</v>
      </c>
      <c r="B107" s="13" t="s">
        <v>8921</v>
      </c>
      <c r="C107" s="13" t="s">
        <v>365</v>
      </c>
      <c r="D107" s="13">
        <v>0.6</v>
      </c>
      <c r="E107" s="13" t="s">
        <v>366</v>
      </c>
      <c r="F107" s="13" t="s">
        <v>35</v>
      </c>
      <c r="G107" s="13" t="s">
        <v>19</v>
      </c>
      <c r="H107" s="13" t="s">
        <v>3</v>
      </c>
      <c r="I107" s="13" t="s">
        <v>367</v>
      </c>
      <c r="J107" s="13" t="s">
        <v>37</v>
      </c>
      <c r="K107" s="13" t="s">
        <v>8462</v>
      </c>
      <c r="L107" s="13" t="s">
        <v>35</v>
      </c>
      <c r="M107" t="s">
        <v>3</v>
      </c>
    </row>
    <row r="108" spans="1:13" ht="26.25" x14ac:dyDescent="0.25">
      <c r="A108" s="13" t="s">
        <v>368</v>
      </c>
      <c r="B108" s="13" t="s">
        <v>369</v>
      </c>
      <c r="C108" s="13" t="s">
        <v>370</v>
      </c>
      <c r="D108" s="13">
        <v>0.1</v>
      </c>
      <c r="E108" s="13" t="s">
        <v>371</v>
      </c>
      <c r="F108" s="13" t="s">
        <v>8860</v>
      </c>
      <c r="G108" s="13" t="s">
        <v>19</v>
      </c>
      <c r="H108" s="13" t="s">
        <v>3</v>
      </c>
      <c r="I108" s="13" t="s">
        <v>372</v>
      </c>
      <c r="J108" s="13" t="s">
        <v>21</v>
      </c>
      <c r="K108" s="13" t="s">
        <v>8463</v>
      </c>
      <c r="L108" s="13" t="s">
        <v>18</v>
      </c>
      <c r="M108" t="s">
        <v>3</v>
      </c>
    </row>
    <row r="109" spans="1:13" x14ac:dyDescent="0.25">
      <c r="A109" s="13" t="s">
        <v>373</v>
      </c>
      <c r="B109" s="13" t="s">
        <v>374</v>
      </c>
      <c r="C109" s="13" t="s">
        <v>375</v>
      </c>
      <c r="D109" s="13">
        <v>394.6</v>
      </c>
      <c r="E109" s="13" t="s">
        <v>376</v>
      </c>
      <c r="F109" s="13" t="s">
        <v>8864</v>
      </c>
      <c r="G109" s="13" t="s">
        <v>2</v>
      </c>
      <c r="H109" s="13" t="s">
        <v>8922</v>
      </c>
      <c r="I109" s="13" t="s">
        <v>377</v>
      </c>
      <c r="J109" s="13" t="s">
        <v>8890</v>
      </c>
      <c r="K109" s="13" t="s">
        <v>6051</v>
      </c>
      <c r="L109" s="13" t="s">
        <v>56</v>
      </c>
      <c r="M109" t="s">
        <v>8922</v>
      </c>
    </row>
    <row r="110" spans="1:13" ht="26.25" x14ac:dyDescent="0.25">
      <c r="A110" s="13" t="s">
        <v>378</v>
      </c>
      <c r="B110" s="13" t="s">
        <v>378</v>
      </c>
      <c r="C110" s="13" t="s">
        <v>378</v>
      </c>
      <c r="D110" s="13">
        <v>1</v>
      </c>
      <c r="E110" s="13" t="s">
        <v>379</v>
      </c>
      <c r="F110" s="13" t="s">
        <v>275</v>
      </c>
      <c r="G110" s="13" t="s">
        <v>19</v>
      </c>
      <c r="H110" s="13" t="s">
        <v>3</v>
      </c>
      <c r="I110" s="13" t="s">
        <v>377</v>
      </c>
      <c r="J110" s="13" t="s">
        <v>276</v>
      </c>
      <c r="K110" s="13" t="s">
        <v>6051</v>
      </c>
      <c r="L110" s="13" t="s">
        <v>275</v>
      </c>
      <c r="M110" t="s">
        <v>3</v>
      </c>
    </row>
    <row r="111" spans="1:13" x14ac:dyDescent="0.25">
      <c r="A111" s="13" t="s">
        <v>380</v>
      </c>
      <c r="B111" s="13" t="s">
        <v>381</v>
      </c>
      <c r="C111" s="13" t="s">
        <v>382</v>
      </c>
      <c r="D111" s="13">
        <v>390</v>
      </c>
      <c r="E111" s="13" t="s">
        <v>383</v>
      </c>
      <c r="F111" s="13" t="s">
        <v>8864</v>
      </c>
      <c r="G111" s="13" t="s">
        <v>2</v>
      </c>
      <c r="H111" s="13" t="s">
        <v>8922</v>
      </c>
      <c r="I111" s="13" t="s">
        <v>377</v>
      </c>
      <c r="J111" s="13" t="s">
        <v>8890</v>
      </c>
      <c r="K111" s="13" t="s">
        <v>6051</v>
      </c>
      <c r="L111" s="13" t="s">
        <v>56</v>
      </c>
      <c r="M111" t="s">
        <v>8922</v>
      </c>
    </row>
    <row r="112" spans="1:13" ht="26.25" x14ac:dyDescent="0.25">
      <c r="A112" s="13" t="s">
        <v>384</v>
      </c>
      <c r="B112" s="13" t="s">
        <v>384</v>
      </c>
      <c r="C112" s="13" t="s">
        <v>384</v>
      </c>
      <c r="D112" s="13">
        <v>1</v>
      </c>
      <c r="E112" s="13" t="s">
        <v>385</v>
      </c>
      <c r="F112" s="13" t="s">
        <v>275</v>
      </c>
      <c r="G112" s="13" t="s">
        <v>19</v>
      </c>
      <c r="H112" s="13" t="s">
        <v>3</v>
      </c>
      <c r="I112" s="13" t="s">
        <v>377</v>
      </c>
      <c r="J112" s="13" t="s">
        <v>276</v>
      </c>
      <c r="K112" s="13" t="s">
        <v>6051</v>
      </c>
      <c r="L112" s="13" t="s">
        <v>275</v>
      </c>
      <c r="M112" t="s">
        <v>3</v>
      </c>
    </row>
    <row r="113" spans="1:13" x14ac:dyDescent="0.25">
      <c r="A113" s="13" t="s">
        <v>386</v>
      </c>
      <c r="B113" s="13" t="s">
        <v>387</v>
      </c>
      <c r="C113" s="13" t="s">
        <v>388</v>
      </c>
      <c r="D113" s="13">
        <v>995.8</v>
      </c>
      <c r="E113" s="13" t="s">
        <v>389</v>
      </c>
      <c r="F113" s="13" t="s">
        <v>262</v>
      </c>
      <c r="G113" s="13" t="s">
        <v>2</v>
      </c>
      <c r="H113" s="13" t="s">
        <v>3</v>
      </c>
      <c r="I113" s="13" t="s">
        <v>390</v>
      </c>
      <c r="J113" s="13" t="s">
        <v>8890</v>
      </c>
      <c r="K113" s="13" t="s">
        <v>8423</v>
      </c>
      <c r="L113" s="13" t="s">
        <v>262</v>
      </c>
      <c r="M113" t="s">
        <v>3</v>
      </c>
    </row>
    <row r="114" spans="1:13" x14ac:dyDescent="0.25">
      <c r="A114" s="13" t="s">
        <v>391</v>
      </c>
      <c r="B114" s="13" t="s">
        <v>392</v>
      </c>
      <c r="C114" s="13" t="s">
        <v>393</v>
      </c>
      <c r="D114" s="13">
        <v>991.7</v>
      </c>
      <c r="E114" s="13" t="s">
        <v>394</v>
      </c>
      <c r="F114" s="13" t="s">
        <v>262</v>
      </c>
      <c r="G114" s="13" t="s">
        <v>2</v>
      </c>
      <c r="H114" s="13" t="s">
        <v>3</v>
      </c>
      <c r="I114" s="13" t="s">
        <v>390</v>
      </c>
      <c r="J114" s="13" t="s">
        <v>8890</v>
      </c>
      <c r="K114" s="13" t="s">
        <v>8423</v>
      </c>
      <c r="L114" s="13" t="s">
        <v>262</v>
      </c>
      <c r="M114" t="s">
        <v>3</v>
      </c>
    </row>
    <row r="115" spans="1:13" x14ac:dyDescent="0.25">
      <c r="A115" s="13" t="s">
        <v>8924</v>
      </c>
      <c r="B115" s="13" t="s">
        <v>8924</v>
      </c>
      <c r="C115" s="13" t="s">
        <v>8925</v>
      </c>
      <c r="D115" s="13">
        <v>3.3</v>
      </c>
      <c r="E115" s="13" t="s">
        <v>8926</v>
      </c>
      <c r="F115" s="13" t="s">
        <v>8863</v>
      </c>
      <c r="G115" s="13" t="s">
        <v>2</v>
      </c>
      <c r="H115" s="13" t="s">
        <v>3</v>
      </c>
      <c r="I115" s="13" t="s">
        <v>399</v>
      </c>
      <c r="J115" s="13" t="s">
        <v>8890</v>
      </c>
      <c r="K115" s="13" t="s">
        <v>8464</v>
      </c>
      <c r="L115" s="13" t="s">
        <v>8893</v>
      </c>
      <c r="M115" t="s">
        <v>3</v>
      </c>
    </row>
    <row r="116" spans="1:13" x14ac:dyDescent="0.25">
      <c r="A116" s="13" t="s">
        <v>8927</v>
      </c>
      <c r="B116" s="13" t="s">
        <v>8928</v>
      </c>
      <c r="C116" s="13" t="s">
        <v>8929</v>
      </c>
      <c r="D116" s="13">
        <v>9.6999999999999993</v>
      </c>
      <c r="E116" s="13" t="s">
        <v>8930</v>
      </c>
      <c r="F116" s="13" t="s">
        <v>8863</v>
      </c>
      <c r="G116" s="13" t="s">
        <v>2</v>
      </c>
      <c r="H116" s="13" t="s">
        <v>3</v>
      </c>
      <c r="I116" s="13" t="s">
        <v>399</v>
      </c>
      <c r="J116" s="13" t="s">
        <v>8890</v>
      </c>
      <c r="K116" s="13" t="s">
        <v>8464</v>
      </c>
      <c r="L116" s="13" t="s">
        <v>8893</v>
      </c>
      <c r="M116" t="s">
        <v>3</v>
      </c>
    </row>
    <row r="117" spans="1:13" ht="26.25" x14ac:dyDescent="0.25">
      <c r="A117" s="13" t="s">
        <v>8931</v>
      </c>
      <c r="B117" s="13" t="s">
        <v>8932</v>
      </c>
      <c r="C117" s="13" t="s">
        <v>8933</v>
      </c>
      <c r="D117" s="13">
        <v>1.5</v>
      </c>
      <c r="E117" s="13" t="s">
        <v>8934</v>
      </c>
      <c r="F117" s="13" t="s">
        <v>8863</v>
      </c>
      <c r="G117" s="13" t="s">
        <v>2</v>
      </c>
      <c r="H117" s="13" t="s">
        <v>3</v>
      </c>
      <c r="I117" s="13" t="s">
        <v>399</v>
      </c>
      <c r="J117" s="13" t="s">
        <v>8890</v>
      </c>
      <c r="K117" s="13" t="s">
        <v>8464</v>
      </c>
      <c r="L117" s="13" t="s">
        <v>8893</v>
      </c>
      <c r="M117" t="s">
        <v>3</v>
      </c>
    </row>
    <row r="118" spans="1:13" x14ac:dyDescent="0.25">
      <c r="A118" s="13" t="s">
        <v>8935</v>
      </c>
      <c r="B118" s="13" t="s">
        <v>8935</v>
      </c>
      <c r="C118" s="13" t="s">
        <v>8936</v>
      </c>
      <c r="D118" s="13">
        <v>14.9</v>
      </c>
      <c r="E118" s="13" t="s">
        <v>8937</v>
      </c>
      <c r="F118" s="13" t="s">
        <v>8863</v>
      </c>
      <c r="G118" s="13" t="s">
        <v>2</v>
      </c>
      <c r="H118" s="13" t="s">
        <v>3</v>
      </c>
      <c r="I118" s="13" t="s">
        <v>399</v>
      </c>
      <c r="J118" s="13" t="s">
        <v>8890</v>
      </c>
      <c r="K118" s="13" t="s">
        <v>8464</v>
      </c>
      <c r="L118" s="13" t="s">
        <v>8893</v>
      </c>
      <c r="M118" t="s">
        <v>3</v>
      </c>
    </row>
    <row r="119" spans="1:13" ht="26.25" x14ac:dyDescent="0.25">
      <c r="A119" s="13" t="s">
        <v>395</v>
      </c>
      <c r="B119" s="13" t="s">
        <v>396</v>
      </c>
      <c r="C119" s="13" t="s">
        <v>397</v>
      </c>
      <c r="D119" s="13">
        <v>5</v>
      </c>
      <c r="E119" s="13" t="s">
        <v>398</v>
      </c>
      <c r="F119" s="13" t="s">
        <v>8860</v>
      </c>
      <c r="G119" s="13" t="s">
        <v>19</v>
      </c>
      <c r="H119" s="13" t="s">
        <v>3</v>
      </c>
      <c r="I119" s="13" t="s">
        <v>399</v>
      </c>
      <c r="J119" s="13" t="s">
        <v>21</v>
      </c>
      <c r="K119" s="13" t="s">
        <v>8464</v>
      </c>
      <c r="L119" s="13" t="s">
        <v>18</v>
      </c>
      <c r="M119" t="s">
        <v>3</v>
      </c>
    </row>
    <row r="120" spans="1:13" x14ac:dyDescent="0.25">
      <c r="A120" s="13" t="s">
        <v>9707</v>
      </c>
      <c r="B120" s="13" t="s">
        <v>9707</v>
      </c>
      <c r="C120" s="13" t="s">
        <v>9708</v>
      </c>
      <c r="D120" s="13">
        <v>9.8000000000000007</v>
      </c>
      <c r="E120" s="13" t="s">
        <v>9709</v>
      </c>
      <c r="F120" s="13" t="s">
        <v>8863</v>
      </c>
      <c r="G120" s="13" t="s">
        <v>2</v>
      </c>
      <c r="H120" s="13" t="s">
        <v>3</v>
      </c>
      <c r="I120" s="13" t="s">
        <v>399</v>
      </c>
      <c r="J120" s="13" t="s">
        <v>8890</v>
      </c>
      <c r="K120" s="13" t="s">
        <v>8464</v>
      </c>
      <c r="L120" s="13" t="s">
        <v>8893</v>
      </c>
      <c r="M120" t="s">
        <v>3</v>
      </c>
    </row>
    <row r="121" spans="1:13" x14ac:dyDescent="0.25">
      <c r="A121" s="13" t="s">
        <v>8938</v>
      </c>
      <c r="B121" s="13" t="s">
        <v>8938</v>
      </c>
      <c r="C121" s="13" t="s">
        <v>8939</v>
      </c>
      <c r="D121" s="13">
        <v>4.5</v>
      </c>
      <c r="E121" s="13" t="s">
        <v>8940</v>
      </c>
      <c r="F121" s="13" t="s">
        <v>8863</v>
      </c>
      <c r="G121" s="13" t="s">
        <v>2</v>
      </c>
      <c r="H121" s="13" t="s">
        <v>3</v>
      </c>
      <c r="I121" s="13" t="s">
        <v>399</v>
      </c>
      <c r="J121" s="13" t="s">
        <v>8890</v>
      </c>
      <c r="K121" s="13" t="s">
        <v>8464</v>
      </c>
      <c r="L121" s="13" t="s">
        <v>8893</v>
      </c>
      <c r="M121" t="s">
        <v>3</v>
      </c>
    </row>
    <row r="122" spans="1:13" ht="26.25" x14ac:dyDescent="0.25">
      <c r="A122" s="13" t="s">
        <v>10444</v>
      </c>
      <c r="B122" s="13" t="s">
        <v>10444</v>
      </c>
      <c r="C122" s="13" t="s">
        <v>10445</v>
      </c>
      <c r="D122" s="13">
        <v>0.3</v>
      </c>
      <c r="E122" s="13" t="s">
        <v>10446</v>
      </c>
      <c r="F122" s="13" t="s">
        <v>8902</v>
      </c>
      <c r="G122" s="13" t="s">
        <v>19</v>
      </c>
      <c r="H122" s="13" t="s">
        <v>3</v>
      </c>
      <c r="I122" s="13" t="s">
        <v>1366</v>
      </c>
      <c r="J122" s="13" t="s">
        <v>138</v>
      </c>
      <c r="K122" s="13" t="s">
        <v>8417</v>
      </c>
      <c r="L122" s="13" t="s">
        <v>136</v>
      </c>
      <c r="M122" t="s">
        <v>3</v>
      </c>
    </row>
    <row r="123" spans="1:13" x14ac:dyDescent="0.25">
      <c r="A123" s="13" t="s">
        <v>10447</v>
      </c>
      <c r="B123" s="13" t="s">
        <v>10447</v>
      </c>
      <c r="C123" s="13" t="s">
        <v>10448</v>
      </c>
      <c r="D123" s="13">
        <v>0.2</v>
      </c>
      <c r="E123" s="13" t="s">
        <v>10449</v>
      </c>
      <c r="F123" s="13" t="s">
        <v>8902</v>
      </c>
      <c r="G123" s="13" t="s">
        <v>2</v>
      </c>
      <c r="H123" s="13" t="s">
        <v>3</v>
      </c>
      <c r="I123" s="13" t="s">
        <v>1366</v>
      </c>
      <c r="J123" s="13" t="s">
        <v>138</v>
      </c>
      <c r="K123" s="13" t="s">
        <v>8417</v>
      </c>
      <c r="L123" s="13" t="s">
        <v>136</v>
      </c>
      <c r="M123" t="s">
        <v>3</v>
      </c>
    </row>
    <row r="124" spans="1:13" ht="26.25" x14ac:dyDescent="0.25">
      <c r="A124" s="13" t="s">
        <v>400</v>
      </c>
      <c r="B124" s="13" t="s">
        <v>400</v>
      </c>
      <c r="C124" s="13" t="s">
        <v>401</v>
      </c>
      <c r="D124" s="13">
        <v>0</v>
      </c>
      <c r="E124" s="13" t="s">
        <v>402</v>
      </c>
      <c r="F124" s="13" t="s">
        <v>8860</v>
      </c>
      <c r="G124" s="13" t="s">
        <v>19</v>
      </c>
      <c r="H124" s="13" t="s">
        <v>3</v>
      </c>
      <c r="I124" s="13" t="s">
        <v>403</v>
      </c>
      <c r="J124" s="13" t="s">
        <v>21</v>
      </c>
      <c r="K124" s="13" t="s">
        <v>8941</v>
      </c>
      <c r="L124" s="13" t="s">
        <v>18</v>
      </c>
      <c r="M124" t="s">
        <v>3</v>
      </c>
    </row>
    <row r="125" spans="1:13" ht="26.25" x14ac:dyDescent="0.25">
      <c r="A125" s="13" t="s">
        <v>404</v>
      </c>
      <c r="B125" s="13" t="s">
        <v>404</v>
      </c>
      <c r="C125" s="13" t="s">
        <v>405</v>
      </c>
      <c r="D125" s="13">
        <v>1.3</v>
      </c>
      <c r="E125" s="13" t="s">
        <v>406</v>
      </c>
      <c r="F125" s="13" t="s">
        <v>35</v>
      </c>
      <c r="G125" s="13" t="s">
        <v>19</v>
      </c>
      <c r="H125" s="13" t="s">
        <v>3</v>
      </c>
      <c r="I125" s="13" t="s">
        <v>407</v>
      </c>
      <c r="J125" s="13" t="s">
        <v>37</v>
      </c>
      <c r="K125" s="13" t="s">
        <v>8465</v>
      </c>
      <c r="L125" s="13" t="s">
        <v>35</v>
      </c>
      <c r="M125" t="s">
        <v>3</v>
      </c>
    </row>
    <row r="126" spans="1:13" ht="26.25" x14ac:dyDescent="0.25">
      <c r="A126" s="13" t="s">
        <v>408</v>
      </c>
      <c r="B126" s="13" t="s">
        <v>408</v>
      </c>
      <c r="C126" s="13" t="s">
        <v>408</v>
      </c>
      <c r="D126" s="13">
        <v>2</v>
      </c>
      <c r="E126" s="13" t="s">
        <v>409</v>
      </c>
      <c r="F126" s="13" t="s">
        <v>8870</v>
      </c>
      <c r="G126" s="13" t="s">
        <v>19</v>
      </c>
      <c r="H126" s="13" t="s">
        <v>3</v>
      </c>
      <c r="I126" s="13" t="s">
        <v>407</v>
      </c>
      <c r="J126" s="13" t="s">
        <v>410</v>
      </c>
      <c r="K126" s="13" t="s">
        <v>8465</v>
      </c>
      <c r="L126" s="13" t="s">
        <v>8942</v>
      </c>
      <c r="M126" t="s">
        <v>3</v>
      </c>
    </row>
    <row r="127" spans="1:13" ht="26.25" x14ac:dyDescent="0.25">
      <c r="A127" s="13" t="s">
        <v>411</v>
      </c>
      <c r="B127" s="13" t="s">
        <v>412</v>
      </c>
      <c r="C127" s="13" t="s">
        <v>413</v>
      </c>
      <c r="D127" s="13">
        <v>1</v>
      </c>
      <c r="E127" s="13" t="s">
        <v>414</v>
      </c>
      <c r="F127" s="13" t="s">
        <v>8860</v>
      </c>
      <c r="G127" s="13" t="s">
        <v>19</v>
      </c>
      <c r="H127" s="13" t="s">
        <v>3</v>
      </c>
      <c r="I127" s="13" t="s">
        <v>412</v>
      </c>
      <c r="J127" s="13" t="s">
        <v>21</v>
      </c>
      <c r="K127" s="13" t="s">
        <v>8466</v>
      </c>
      <c r="L127" s="13" t="s">
        <v>18</v>
      </c>
      <c r="M127" t="s">
        <v>3</v>
      </c>
    </row>
    <row r="128" spans="1:13" x14ac:dyDescent="0.25">
      <c r="A128" s="13" t="s">
        <v>415</v>
      </c>
      <c r="B128" s="13" t="s">
        <v>415</v>
      </c>
      <c r="C128" s="13" t="s">
        <v>416</v>
      </c>
      <c r="D128" s="13">
        <v>2</v>
      </c>
      <c r="E128" s="13" t="s">
        <v>417</v>
      </c>
      <c r="F128" s="13" t="s">
        <v>8871</v>
      </c>
      <c r="G128" s="13" t="s">
        <v>2</v>
      </c>
      <c r="H128" s="13" t="s">
        <v>3</v>
      </c>
      <c r="I128" s="13" t="s">
        <v>407</v>
      </c>
      <c r="J128" s="13" t="s">
        <v>410</v>
      </c>
      <c r="K128" s="13" t="s">
        <v>8465</v>
      </c>
      <c r="L128" s="13" t="s">
        <v>8943</v>
      </c>
      <c r="M128" t="s">
        <v>3</v>
      </c>
    </row>
    <row r="129" spans="1:13" ht="26.25" x14ac:dyDescent="0.25">
      <c r="A129" s="13" t="s">
        <v>418</v>
      </c>
      <c r="B129" s="13" t="s">
        <v>174</v>
      </c>
      <c r="C129" s="13" t="s">
        <v>419</v>
      </c>
      <c r="D129" s="13">
        <v>1</v>
      </c>
      <c r="E129" s="13" t="s">
        <v>420</v>
      </c>
      <c r="F129" s="13" t="s">
        <v>8860</v>
      </c>
      <c r="G129" s="13" t="s">
        <v>19</v>
      </c>
      <c r="H129" s="13" t="s">
        <v>3</v>
      </c>
      <c r="I129" s="13" t="s">
        <v>421</v>
      </c>
      <c r="J129" s="13" t="s">
        <v>21</v>
      </c>
      <c r="K129" s="13" t="s">
        <v>8467</v>
      </c>
      <c r="L129" s="13" t="s">
        <v>18</v>
      </c>
      <c r="M129" t="s">
        <v>3</v>
      </c>
    </row>
    <row r="130" spans="1:13" ht="26.25" x14ac:dyDescent="0.25">
      <c r="A130" s="13" t="s">
        <v>422</v>
      </c>
      <c r="B130" s="13" t="s">
        <v>423</v>
      </c>
      <c r="C130" s="13" t="s">
        <v>424</v>
      </c>
      <c r="D130" s="13">
        <v>4.5</v>
      </c>
      <c r="E130" s="13" t="s">
        <v>425</v>
      </c>
      <c r="F130" s="13" t="s">
        <v>8860</v>
      </c>
      <c r="G130" s="13" t="s">
        <v>19</v>
      </c>
      <c r="H130" s="13" t="s">
        <v>3</v>
      </c>
      <c r="I130" s="13" t="s">
        <v>426</v>
      </c>
      <c r="J130" s="13" t="s">
        <v>21</v>
      </c>
      <c r="K130" s="13" t="s">
        <v>8468</v>
      </c>
      <c r="L130" s="13" t="s">
        <v>18</v>
      </c>
      <c r="M130" t="s">
        <v>3</v>
      </c>
    </row>
    <row r="131" spans="1:13" ht="26.25" x14ac:dyDescent="0.25">
      <c r="A131" s="13" t="s">
        <v>427</v>
      </c>
      <c r="B131" s="13" t="s">
        <v>427</v>
      </c>
      <c r="C131" s="13" t="s">
        <v>427</v>
      </c>
      <c r="D131" s="13">
        <v>9.6999999999999993</v>
      </c>
      <c r="E131" s="13" t="s">
        <v>428</v>
      </c>
      <c r="F131" s="13" t="s">
        <v>8865</v>
      </c>
      <c r="G131" s="13" t="s">
        <v>2</v>
      </c>
      <c r="H131" s="13" t="s">
        <v>3</v>
      </c>
      <c r="I131" s="13" t="s">
        <v>429</v>
      </c>
      <c r="J131" s="13" t="s">
        <v>8890</v>
      </c>
      <c r="K131" s="13" t="s">
        <v>6051</v>
      </c>
      <c r="L131" s="13" t="s">
        <v>8901</v>
      </c>
      <c r="M131" t="s">
        <v>3</v>
      </c>
    </row>
    <row r="132" spans="1:13" ht="26.25" x14ac:dyDescent="0.25">
      <c r="A132" s="13" t="s">
        <v>430</v>
      </c>
      <c r="B132" s="13" t="s">
        <v>430</v>
      </c>
      <c r="C132" s="13" t="s">
        <v>430</v>
      </c>
      <c r="D132" s="13">
        <v>8.3000000000000007</v>
      </c>
      <c r="E132" s="13" t="s">
        <v>431</v>
      </c>
      <c r="F132" s="13" t="s">
        <v>8865</v>
      </c>
      <c r="G132" s="13" t="s">
        <v>2</v>
      </c>
      <c r="H132" s="13" t="s">
        <v>3</v>
      </c>
      <c r="I132" s="13" t="s">
        <v>429</v>
      </c>
      <c r="J132" s="13" t="s">
        <v>8890</v>
      </c>
      <c r="K132" s="13" t="s">
        <v>6051</v>
      </c>
      <c r="L132" s="13" t="s">
        <v>8901</v>
      </c>
      <c r="M132" t="s">
        <v>3</v>
      </c>
    </row>
    <row r="133" spans="1:13" ht="26.25" x14ac:dyDescent="0.25">
      <c r="A133" s="13" t="s">
        <v>10094</v>
      </c>
      <c r="B133" s="13" t="s">
        <v>10094</v>
      </c>
      <c r="C133" s="13" t="s">
        <v>10095</v>
      </c>
      <c r="D133" s="13">
        <v>0.1</v>
      </c>
      <c r="E133" s="13" t="s">
        <v>10096</v>
      </c>
      <c r="F133" s="13" t="s">
        <v>8860</v>
      </c>
      <c r="G133" s="13" t="s">
        <v>19</v>
      </c>
      <c r="H133" s="13" t="s">
        <v>3</v>
      </c>
      <c r="I133" s="13" t="s">
        <v>10097</v>
      </c>
      <c r="J133" s="13" t="s">
        <v>21</v>
      </c>
      <c r="K133" s="13" t="s">
        <v>10098</v>
      </c>
      <c r="L133" s="13" t="s">
        <v>18</v>
      </c>
      <c r="M133" t="s">
        <v>3</v>
      </c>
    </row>
    <row r="134" spans="1:13" ht="26.25" x14ac:dyDescent="0.25">
      <c r="A134" s="13" t="s">
        <v>9618</v>
      </c>
      <c r="B134" s="13" t="s">
        <v>9619</v>
      </c>
      <c r="C134" s="13" t="s">
        <v>9620</v>
      </c>
      <c r="D134" s="13">
        <v>1</v>
      </c>
      <c r="E134" s="13" t="s">
        <v>9621</v>
      </c>
      <c r="F134" s="13" t="s">
        <v>8860</v>
      </c>
      <c r="G134" s="13" t="s">
        <v>19</v>
      </c>
      <c r="H134" s="13" t="s">
        <v>3</v>
      </c>
      <c r="I134" s="13" t="s">
        <v>9622</v>
      </c>
      <c r="J134" s="13" t="s">
        <v>21</v>
      </c>
      <c r="K134" s="13" t="s">
        <v>9623</v>
      </c>
      <c r="L134" s="13" t="s">
        <v>18</v>
      </c>
      <c r="M134" t="s">
        <v>3</v>
      </c>
    </row>
    <row r="135" spans="1:13" ht="26.25" x14ac:dyDescent="0.25">
      <c r="A135" s="13" t="s">
        <v>432</v>
      </c>
      <c r="B135" s="13" t="s">
        <v>432</v>
      </c>
      <c r="C135" s="13" t="s">
        <v>433</v>
      </c>
      <c r="D135" s="13">
        <v>0.1</v>
      </c>
      <c r="E135" s="13" t="s">
        <v>434</v>
      </c>
      <c r="F135" s="13" t="s">
        <v>8860</v>
      </c>
      <c r="G135" s="13" t="s">
        <v>19</v>
      </c>
      <c r="H135" s="13" t="s">
        <v>3</v>
      </c>
      <c r="I135" s="13" t="s">
        <v>435</v>
      </c>
      <c r="J135" s="13" t="s">
        <v>21</v>
      </c>
      <c r="K135" s="13" t="s">
        <v>8469</v>
      </c>
      <c r="L135" s="13" t="s">
        <v>18</v>
      </c>
      <c r="M135" t="s">
        <v>3</v>
      </c>
    </row>
    <row r="136" spans="1:13" x14ac:dyDescent="0.25">
      <c r="A136" s="13" t="s">
        <v>436</v>
      </c>
      <c r="B136" s="13" t="s">
        <v>436</v>
      </c>
      <c r="C136" s="13" t="s">
        <v>437</v>
      </c>
      <c r="D136" s="13">
        <v>1</v>
      </c>
      <c r="E136" s="13" t="s">
        <v>438</v>
      </c>
      <c r="F136" s="13" t="s">
        <v>8865</v>
      </c>
      <c r="G136" s="13" t="s">
        <v>2</v>
      </c>
      <c r="H136" s="13" t="s">
        <v>3</v>
      </c>
      <c r="I136" s="13" t="s">
        <v>228</v>
      </c>
      <c r="J136" s="13" t="s">
        <v>8890</v>
      </c>
      <c r="K136" s="13" t="s">
        <v>8418</v>
      </c>
      <c r="L136" s="13" t="s">
        <v>8901</v>
      </c>
      <c r="M136" t="s">
        <v>3</v>
      </c>
    </row>
    <row r="137" spans="1:13" ht="26.25" x14ac:dyDescent="0.25">
      <c r="A137" s="13" t="s">
        <v>439</v>
      </c>
      <c r="B137" s="13" t="s">
        <v>440</v>
      </c>
      <c r="C137" s="13" t="s">
        <v>441</v>
      </c>
      <c r="D137" s="13">
        <v>36.299999999999997</v>
      </c>
      <c r="E137" s="13" t="s">
        <v>442</v>
      </c>
      <c r="F137" s="13" t="s">
        <v>35</v>
      </c>
      <c r="G137" s="13" t="s">
        <v>19</v>
      </c>
      <c r="H137" s="13" t="s">
        <v>3</v>
      </c>
      <c r="I137" s="13" t="s">
        <v>443</v>
      </c>
      <c r="J137" s="13" t="s">
        <v>37</v>
      </c>
      <c r="K137" s="13" t="s">
        <v>8470</v>
      </c>
      <c r="L137" s="13" t="s">
        <v>35</v>
      </c>
      <c r="M137" t="s">
        <v>3</v>
      </c>
    </row>
    <row r="138" spans="1:13" ht="26.25" x14ac:dyDescent="0.25">
      <c r="A138" s="13" t="s">
        <v>444</v>
      </c>
      <c r="B138" s="13" t="s">
        <v>444</v>
      </c>
      <c r="C138" s="13" t="s">
        <v>445</v>
      </c>
      <c r="D138" s="13">
        <v>5</v>
      </c>
      <c r="E138" s="13" t="s">
        <v>446</v>
      </c>
      <c r="F138" s="13" t="s">
        <v>8860</v>
      </c>
      <c r="G138" s="13" t="s">
        <v>19</v>
      </c>
      <c r="H138" s="13" t="s">
        <v>3</v>
      </c>
      <c r="I138" s="13" t="s">
        <v>447</v>
      </c>
      <c r="J138" s="13" t="s">
        <v>21</v>
      </c>
      <c r="K138" s="13" t="s">
        <v>8421</v>
      </c>
      <c r="L138" s="13" t="s">
        <v>18</v>
      </c>
      <c r="M138" t="s">
        <v>3</v>
      </c>
    </row>
    <row r="139" spans="1:13" ht="26.25" x14ac:dyDescent="0.25">
      <c r="A139" s="13" t="s">
        <v>448</v>
      </c>
      <c r="B139" s="13" t="s">
        <v>449</v>
      </c>
      <c r="C139" s="13" t="s">
        <v>450</v>
      </c>
      <c r="D139" s="13">
        <v>0.1</v>
      </c>
      <c r="E139" s="13" t="s">
        <v>451</v>
      </c>
      <c r="F139" s="13" t="s">
        <v>8860</v>
      </c>
      <c r="G139" s="13" t="s">
        <v>19</v>
      </c>
      <c r="H139" s="13" t="s">
        <v>3</v>
      </c>
      <c r="I139" s="13" t="s">
        <v>449</v>
      </c>
      <c r="J139" s="13" t="s">
        <v>21</v>
      </c>
      <c r="K139" s="13" t="s">
        <v>450</v>
      </c>
      <c r="L139" s="13" t="s">
        <v>18</v>
      </c>
      <c r="M139" t="s">
        <v>3</v>
      </c>
    </row>
    <row r="140" spans="1:13" x14ac:dyDescent="0.25">
      <c r="A140" s="13" t="s">
        <v>452</v>
      </c>
      <c r="B140" s="13" t="s">
        <v>452</v>
      </c>
      <c r="C140" s="13" t="s">
        <v>453</v>
      </c>
      <c r="D140" s="13">
        <v>1.4</v>
      </c>
      <c r="E140" s="13" t="s">
        <v>454</v>
      </c>
      <c r="F140" s="13" t="s">
        <v>8861</v>
      </c>
      <c r="G140" s="13" t="s">
        <v>2</v>
      </c>
      <c r="H140" s="13" t="s">
        <v>3</v>
      </c>
      <c r="I140" s="13" t="s">
        <v>228</v>
      </c>
      <c r="J140" s="13" t="s">
        <v>8890</v>
      </c>
      <c r="K140" s="13" t="s">
        <v>8418</v>
      </c>
      <c r="L140" s="13" t="s">
        <v>8891</v>
      </c>
      <c r="M140" t="s">
        <v>3</v>
      </c>
    </row>
    <row r="141" spans="1:13" x14ac:dyDescent="0.25">
      <c r="A141" s="13" t="s">
        <v>455</v>
      </c>
      <c r="B141" s="13" t="s">
        <v>455</v>
      </c>
      <c r="C141" s="13" t="s">
        <v>456</v>
      </c>
      <c r="D141" s="14">
        <v>17.7</v>
      </c>
      <c r="E141" s="13" t="s">
        <v>456</v>
      </c>
      <c r="F141" s="13" t="s">
        <v>8865</v>
      </c>
      <c r="G141" s="13" t="s">
        <v>2</v>
      </c>
      <c r="H141" s="13" t="s">
        <v>3</v>
      </c>
      <c r="I141" s="13" t="s">
        <v>447</v>
      </c>
      <c r="J141" s="13" t="s">
        <v>8890</v>
      </c>
      <c r="K141" s="13" t="s">
        <v>8421</v>
      </c>
      <c r="L141" s="13" t="s">
        <v>8901</v>
      </c>
      <c r="M141" t="s">
        <v>3</v>
      </c>
    </row>
    <row r="142" spans="1:13" ht="26.25" x14ac:dyDescent="0.25">
      <c r="A142" s="13" t="s">
        <v>457</v>
      </c>
      <c r="B142" s="13" t="s">
        <v>458</v>
      </c>
      <c r="C142" s="13" t="s">
        <v>459</v>
      </c>
      <c r="D142" s="13">
        <v>1200</v>
      </c>
      <c r="E142" s="13" t="s">
        <v>460</v>
      </c>
      <c r="F142" s="13" t="s">
        <v>35</v>
      </c>
      <c r="G142" s="13" t="s">
        <v>19</v>
      </c>
      <c r="H142" s="13" t="s">
        <v>3</v>
      </c>
      <c r="I142" s="13" t="s">
        <v>461</v>
      </c>
      <c r="J142" s="13" t="s">
        <v>37</v>
      </c>
      <c r="K142" s="13" t="s">
        <v>458</v>
      </c>
      <c r="L142" s="13" t="s">
        <v>35</v>
      </c>
      <c r="M142" t="s">
        <v>3</v>
      </c>
    </row>
    <row r="143" spans="1:13" x14ac:dyDescent="0.25">
      <c r="A143" s="13" t="s">
        <v>462</v>
      </c>
      <c r="B143" s="13" t="s">
        <v>462</v>
      </c>
      <c r="C143" s="13" t="s">
        <v>463</v>
      </c>
      <c r="D143" s="13">
        <v>785.3</v>
      </c>
      <c r="E143" s="13" t="s">
        <v>464</v>
      </c>
      <c r="F143" s="13" t="s">
        <v>8864</v>
      </c>
      <c r="G143" s="13" t="s">
        <v>2</v>
      </c>
      <c r="H143" s="13" t="s">
        <v>8944</v>
      </c>
      <c r="I143" s="13" t="s">
        <v>465</v>
      </c>
      <c r="J143" s="13" t="s">
        <v>8890</v>
      </c>
      <c r="K143" s="13" t="s">
        <v>8471</v>
      </c>
      <c r="L143" s="13" t="s">
        <v>56</v>
      </c>
      <c r="M143" t="s">
        <v>8944</v>
      </c>
    </row>
    <row r="144" spans="1:13" ht="26.25" x14ac:dyDescent="0.25">
      <c r="A144" s="13" t="s">
        <v>466</v>
      </c>
      <c r="B144" s="13" t="s">
        <v>466</v>
      </c>
      <c r="C144" s="13" t="s">
        <v>8945</v>
      </c>
      <c r="D144" s="13">
        <v>12</v>
      </c>
      <c r="E144" s="13" t="s">
        <v>467</v>
      </c>
      <c r="F144" s="13" t="s">
        <v>275</v>
      </c>
      <c r="G144" s="13" t="s">
        <v>19</v>
      </c>
      <c r="H144" s="13" t="s">
        <v>3</v>
      </c>
      <c r="I144" s="13" t="s">
        <v>465</v>
      </c>
      <c r="J144" s="13" t="s">
        <v>276</v>
      </c>
      <c r="K144" s="13" t="s">
        <v>8471</v>
      </c>
      <c r="L144" s="13" t="s">
        <v>275</v>
      </c>
      <c r="M144" t="s">
        <v>3</v>
      </c>
    </row>
    <row r="145" spans="1:13" ht="26.25" x14ac:dyDescent="0.25">
      <c r="A145" s="13" t="s">
        <v>468</v>
      </c>
      <c r="B145" s="13" t="s">
        <v>469</v>
      </c>
      <c r="C145" s="13" t="s">
        <v>470</v>
      </c>
      <c r="D145" s="13">
        <v>0.6</v>
      </c>
      <c r="E145" s="13" t="s">
        <v>471</v>
      </c>
      <c r="F145" s="13" t="s">
        <v>35</v>
      </c>
      <c r="G145" s="13" t="s">
        <v>19</v>
      </c>
      <c r="H145" s="13" t="s">
        <v>3</v>
      </c>
      <c r="I145" s="13" t="s">
        <v>472</v>
      </c>
      <c r="J145" s="13" t="s">
        <v>37</v>
      </c>
      <c r="K145" s="13" t="s">
        <v>8472</v>
      </c>
      <c r="L145" s="13" t="s">
        <v>35</v>
      </c>
      <c r="M145" t="s">
        <v>3</v>
      </c>
    </row>
    <row r="146" spans="1:13" ht="26.25" x14ac:dyDescent="0.25">
      <c r="A146" s="13" t="s">
        <v>473</v>
      </c>
      <c r="B146" s="13" t="s">
        <v>473</v>
      </c>
      <c r="C146" s="13" t="s">
        <v>473</v>
      </c>
      <c r="D146" s="14">
        <v>10</v>
      </c>
      <c r="E146" s="13" t="s">
        <v>474</v>
      </c>
      <c r="F146" s="13" t="s">
        <v>8860</v>
      </c>
      <c r="G146" s="13" t="s">
        <v>19</v>
      </c>
      <c r="H146" s="13" t="s">
        <v>3</v>
      </c>
      <c r="I146" s="13" t="s">
        <v>475</v>
      </c>
      <c r="J146" s="13" t="s">
        <v>21</v>
      </c>
      <c r="K146" s="13" t="s">
        <v>8473</v>
      </c>
      <c r="L146" s="13" t="s">
        <v>18</v>
      </c>
      <c r="M146" t="s">
        <v>3</v>
      </c>
    </row>
    <row r="147" spans="1:13" ht="26.25" x14ac:dyDescent="0.25">
      <c r="A147" s="13" t="s">
        <v>476</v>
      </c>
      <c r="B147" s="13" t="s">
        <v>477</v>
      </c>
      <c r="C147" s="13" t="s">
        <v>478</v>
      </c>
      <c r="D147" s="14">
        <v>9999</v>
      </c>
      <c r="E147" s="13" t="s">
        <v>479</v>
      </c>
      <c r="F147" s="13" t="s">
        <v>41</v>
      </c>
      <c r="G147" s="13" t="s">
        <v>19</v>
      </c>
      <c r="H147" s="13" t="s">
        <v>3</v>
      </c>
      <c r="I147" s="13" t="s">
        <v>42</v>
      </c>
      <c r="J147" s="13" t="s">
        <v>41</v>
      </c>
      <c r="K147" s="13" t="s">
        <v>42</v>
      </c>
      <c r="L147" s="13" t="s">
        <v>41</v>
      </c>
      <c r="M147" t="s">
        <v>3</v>
      </c>
    </row>
    <row r="148" spans="1:13" ht="26.25" x14ac:dyDescent="0.25">
      <c r="A148" s="13" t="s">
        <v>480</v>
      </c>
      <c r="B148" s="13" t="s">
        <v>481</v>
      </c>
      <c r="C148" s="13" t="s">
        <v>482</v>
      </c>
      <c r="D148" s="13">
        <v>9999</v>
      </c>
      <c r="E148" s="13" t="s">
        <v>483</v>
      </c>
      <c r="F148" s="13" t="s">
        <v>41</v>
      </c>
      <c r="G148" s="13" t="s">
        <v>2</v>
      </c>
      <c r="H148" s="13" t="s">
        <v>3</v>
      </c>
      <c r="I148" s="13" t="s">
        <v>42</v>
      </c>
      <c r="J148" s="13" t="s">
        <v>41</v>
      </c>
      <c r="K148" s="13" t="s">
        <v>42</v>
      </c>
      <c r="L148" s="13" t="s">
        <v>41</v>
      </c>
      <c r="M148" t="s">
        <v>3</v>
      </c>
    </row>
    <row r="149" spans="1:13" ht="26.25" x14ac:dyDescent="0.25">
      <c r="A149" s="13" t="s">
        <v>484</v>
      </c>
      <c r="B149" s="13" t="s">
        <v>484</v>
      </c>
      <c r="C149" s="13" t="s">
        <v>484</v>
      </c>
      <c r="D149" s="14">
        <v>0.3</v>
      </c>
      <c r="E149" s="13" t="s">
        <v>485</v>
      </c>
      <c r="F149" s="13" t="s">
        <v>35</v>
      </c>
      <c r="G149" s="13" t="s">
        <v>19</v>
      </c>
      <c r="H149" s="13" t="s">
        <v>3</v>
      </c>
      <c r="I149" s="13" t="s">
        <v>486</v>
      </c>
      <c r="J149" s="13" t="s">
        <v>37</v>
      </c>
      <c r="K149" s="13" t="s">
        <v>8474</v>
      </c>
      <c r="L149" s="13" t="s">
        <v>35</v>
      </c>
      <c r="M149" t="s">
        <v>3</v>
      </c>
    </row>
    <row r="150" spans="1:13" ht="26.25" x14ac:dyDescent="0.25">
      <c r="A150" s="13" t="s">
        <v>487</v>
      </c>
      <c r="B150" s="13" t="s">
        <v>488</v>
      </c>
      <c r="C150" s="13" t="s">
        <v>489</v>
      </c>
      <c r="D150" s="14">
        <v>9999</v>
      </c>
      <c r="E150" s="13" t="s">
        <v>490</v>
      </c>
      <c r="F150" s="13" t="s">
        <v>41</v>
      </c>
      <c r="G150" s="13" t="s">
        <v>19</v>
      </c>
      <c r="H150" s="13" t="s">
        <v>3</v>
      </c>
      <c r="I150" s="13" t="s">
        <v>42</v>
      </c>
      <c r="J150" s="13" t="s">
        <v>41</v>
      </c>
      <c r="K150" s="13" t="s">
        <v>42</v>
      </c>
      <c r="L150" s="13" t="s">
        <v>41</v>
      </c>
      <c r="M150" t="s">
        <v>3</v>
      </c>
    </row>
    <row r="151" spans="1:13" ht="26.25" x14ac:dyDescent="0.25">
      <c r="A151" s="13" t="s">
        <v>491</v>
      </c>
      <c r="B151" s="13" t="s">
        <v>492</v>
      </c>
      <c r="C151" s="13" t="s">
        <v>493</v>
      </c>
      <c r="D151" s="13">
        <v>9999</v>
      </c>
      <c r="E151" s="13" t="s">
        <v>494</v>
      </c>
      <c r="F151" s="13" t="s">
        <v>41</v>
      </c>
      <c r="G151" s="13" t="s">
        <v>2</v>
      </c>
      <c r="H151" s="13" t="s">
        <v>3</v>
      </c>
      <c r="I151" s="13" t="s">
        <v>42</v>
      </c>
      <c r="J151" s="13" t="s">
        <v>41</v>
      </c>
      <c r="K151" s="13" t="s">
        <v>42</v>
      </c>
      <c r="L151" s="13" t="s">
        <v>41</v>
      </c>
      <c r="M151" t="s">
        <v>3</v>
      </c>
    </row>
    <row r="152" spans="1:13" ht="26.25" x14ac:dyDescent="0.25">
      <c r="A152" s="13" t="s">
        <v>495</v>
      </c>
      <c r="B152" s="13" t="s">
        <v>8946</v>
      </c>
      <c r="C152" s="13" t="s">
        <v>8946</v>
      </c>
      <c r="D152" s="13">
        <v>1.1000000000000001</v>
      </c>
      <c r="E152" s="13" t="s">
        <v>496</v>
      </c>
      <c r="F152" s="13" t="s">
        <v>8867</v>
      </c>
      <c r="G152" s="13" t="s">
        <v>2</v>
      </c>
      <c r="H152" s="13" t="s">
        <v>3</v>
      </c>
      <c r="I152" s="13" t="s">
        <v>497</v>
      </c>
      <c r="J152" s="13" t="s">
        <v>8890</v>
      </c>
      <c r="K152" s="13" t="s">
        <v>8475</v>
      </c>
      <c r="L152" s="13" t="s">
        <v>158</v>
      </c>
      <c r="M152" t="s">
        <v>3</v>
      </c>
    </row>
    <row r="153" spans="1:13" x14ac:dyDescent="0.25">
      <c r="A153" s="13" t="s">
        <v>10099</v>
      </c>
      <c r="B153" s="13" t="s">
        <v>10100</v>
      </c>
      <c r="C153" s="13" t="s">
        <v>10101</v>
      </c>
      <c r="D153" s="13">
        <v>2.9</v>
      </c>
      <c r="E153" s="13" t="s">
        <v>10102</v>
      </c>
      <c r="F153" s="13" t="s">
        <v>8867</v>
      </c>
      <c r="G153" s="13" t="s">
        <v>2</v>
      </c>
      <c r="H153" s="13" t="s">
        <v>3</v>
      </c>
      <c r="I153" s="13" t="s">
        <v>517</v>
      </c>
      <c r="J153" s="13" t="s">
        <v>8890</v>
      </c>
      <c r="K153" s="13" t="s">
        <v>8477</v>
      </c>
      <c r="L153" s="13" t="s">
        <v>158</v>
      </c>
      <c r="M153" t="s">
        <v>3</v>
      </c>
    </row>
    <row r="154" spans="1:13" ht="26.25" x14ac:dyDescent="0.25">
      <c r="A154" s="13" t="s">
        <v>8947</v>
      </c>
      <c r="B154" s="13" t="s">
        <v>8948</v>
      </c>
      <c r="C154" s="13" t="s">
        <v>8949</v>
      </c>
      <c r="D154" s="13">
        <v>36.700000000000003</v>
      </c>
      <c r="E154" s="13" t="s">
        <v>8950</v>
      </c>
      <c r="F154" s="13" t="s">
        <v>8867</v>
      </c>
      <c r="G154" s="13" t="s">
        <v>2</v>
      </c>
      <c r="H154" s="13" t="s">
        <v>3</v>
      </c>
      <c r="I154" s="13" t="s">
        <v>516</v>
      </c>
      <c r="J154" s="13" t="s">
        <v>8890</v>
      </c>
      <c r="K154" s="13" t="s">
        <v>516</v>
      </c>
      <c r="L154" s="13" t="s">
        <v>158</v>
      </c>
      <c r="M154" t="s">
        <v>3</v>
      </c>
    </row>
    <row r="155" spans="1:13" x14ac:dyDescent="0.25">
      <c r="A155" s="13" t="s">
        <v>8951</v>
      </c>
      <c r="B155" s="13" t="s">
        <v>8952</v>
      </c>
      <c r="C155" s="13" t="s">
        <v>8953</v>
      </c>
      <c r="D155" s="13">
        <v>4.3</v>
      </c>
      <c r="E155" s="13" t="s">
        <v>8954</v>
      </c>
      <c r="F155" s="13" t="s">
        <v>8867</v>
      </c>
      <c r="G155" s="13" t="s">
        <v>2</v>
      </c>
      <c r="H155" s="13" t="s">
        <v>3</v>
      </c>
      <c r="I155" s="13" t="s">
        <v>516</v>
      </c>
      <c r="J155" s="13" t="s">
        <v>8890</v>
      </c>
      <c r="K155" s="13" t="s">
        <v>516</v>
      </c>
      <c r="L155" s="13" t="s">
        <v>158</v>
      </c>
      <c r="M155" t="s">
        <v>3</v>
      </c>
    </row>
    <row r="156" spans="1:13" x14ac:dyDescent="0.25">
      <c r="A156" s="13" t="s">
        <v>498</v>
      </c>
      <c r="B156" s="13" t="s">
        <v>498</v>
      </c>
      <c r="C156" s="13" t="s">
        <v>498</v>
      </c>
      <c r="D156" s="13">
        <v>0.9</v>
      </c>
      <c r="E156" s="13" t="s">
        <v>499</v>
      </c>
      <c r="F156" s="13" t="s">
        <v>8865</v>
      </c>
      <c r="G156" s="13" t="s">
        <v>2</v>
      </c>
      <c r="H156" s="13" t="s">
        <v>3</v>
      </c>
      <c r="I156" s="13" t="s">
        <v>497</v>
      </c>
      <c r="J156" s="13" t="s">
        <v>8890</v>
      </c>
      <c r="K156" s="13" t="s">
        <v>8475</v>
      </c>
      <c r="L156" s="13" t="s">
        <v>8901</v>
      </c>
      <c r="M156" t="s">
        <v>3</v>
      </c>
    </row>
    <row r="157" spans="1:13" ht="26.25" x14ac:dyDescent="0.25">
      <c r="A157" s="13" t="s">
        <v>500</v>
      </c>
      <c r="B157" s="13" t="s">
        <v>502</v>
      </c>
      <c r="C157" s="13" t="s">
        <v>8955</v>
      </c>
      <c r="D157" s="13">
        <v>35</v>
      </c>
      <c r="E157" s="13" t="s">
        <v>501</v>
      </c>
      <c r="F157" s="13" t="s">
        <v>8860</v>
      </c>
      <c r="G157" s="13" t="s">
        <v>19</v>
      </c>
      <c r="H157" s="13" t="s">
        <v>3</v>
      </c>
      <c r="I157" s="13" t="s">
        <v>502</v>
      </c>
      <c r="J157" s="13" t="s">
        <v>21</v>
      </c>
      <c r="K157" s="13" t="s">
        <v>8476</v>
      </c>
      <c r="L157" s="13" t="s">
        <v>18</v>
      </c>
      <c r="M157" t="s">
        <v>3</v>
      </c>
    </row>
    <row r="158" spans="1:13" ht="26.25" x14ac:dyDescent="0.25">
      <c r="A158" s="13" t="s">
        <v>503</v>
      </c>
      <c r="B158" s="13" t="s">
        <v>504</v>
      </c>
      <c r="C158" s="13" t="s">
        <v>505</v>
      </c>
      <c r="D158" s="13">
        <v>1.4</v>
      </c>
      <c r="E158" s="13" t="s">
        <v>506</v>
      </c>
      <c r="F158" s="13" t="s">
        <v>8863</v>
      </c>
      <c r="G158" s="13" t="s">
        <v>2</v>
      </c>
      <c r="H158" s="13" t="s">
        <v>3</v>
      </c>
      <c r="I158" s="13" t="s">
        <v>502</v>
      </c>
      <c r="J158" s="13" t="s">
        <v>8890</v>
      </c>
      <c r="K158" s="13" t="s">
        <v>8476</v>
      </c>
      <c r="L158" s="13" t="s">
        <v>8956</v>
      </c>
      <c r="M158" t="s">
        <v>3</v>
      </c>
    </row>
    <row r="159" spans="1:13" ht="26.25" x14ac:dyDescent="0.25">
      <c r="A159" s="13" t="s">
        <v>507</v>
      </c>
      <c r="B159" s="13" t="s">
        <v>507</v>
      </c>
      <c r="C159" s="13" t="s">
        <v>8957</v>
      </c>
      <c r="D159" s="13">
        <v>0.5</v>
      </c>
      <c r="E159" s="13" t="s">
        <v>508</v>
      </c>
      <c r="F159" s="13" t="s">
        <v>8863</v>
      </c>
      <c r="G159" s="13" t="s">
        <v>2</v>
      </c>
      <c r="H159" s="13" t="s">
        <v>3</v>
      </c>
      <c r="I159" s="13" t="s">
        <v>502</v>
      </c>
      <c r="J159" s="13" t="s">
        <v>8890</v>
      </c>
      <c r="K159" s="13" t="s">
        <v>8476</v>
      </c>
      <c r="L159" s="13" t="s">
        <v>8956</v>
      </c>
      <c r="M159" t="s">
        <v>3</v>
      </c>
    </row>
    <row r="160" spans="1:13" ht="26.25" x14ac:dyDescent="0.25">
      <c r="A160" s="13" t="s">
        <v>509</v>
      </c>
      <c r="B160" s="13" t="s">
        <v>509</v>
      </c>
      <c r="C160" s="13" t="s">
        <v>510</v>
      </c>
      <c r="D160" s="13">
        <v>1</v>
      </c>
      <c r="E160" s="13" t="s">
        <v>511</v>
      </c>
      <c r="F160" s="13" t="s">
        <v>8867</v>
      </c>
      <c r="G160" s="13" t="s">
        <v>2</v>
      </c>
      <c r="H160" s="13" t="s">
        <v>3</v>
      </c>
      <c r="I160" s="13" t="s">
        <v>502</v>
      </c>
      <c r="J160" s="13" t="s">
        <v>8890</v>
      </c>
      <c r="K160" s="13" t="s">
        <v>8476</v>
      </c>
      <c r="L160" s="13" t="s">
        <v>158</v>
      </c>
      <c r="M160" t="s">
        <v>3</v>
      </c>
    </row>
    <row r="161" spans="1:13" x14ac:dyDescent="0.25">
      <c r="A161" s="13" t="s">
        <v>512</v>
      </c>
      <c r="B161" s="13" t="s">
        <v>513</v>
      </c>
      <c r="C161" s="13" t="s">
        <v>514</v>
      </c>
      <c r="D161" s="13">
        <v>41.2</v>
      </c>
      <c r="E161" s="13" t="s">
        <v>515</v>
      </c>
      <c r="F161" s="13" t="s">
        <v>8867</v>
      </c>
      <c r="G161" s="13" t="s">
        <v>2</v>
      </c>
      <c r="H161" s="13" t="s">
        <v>8958</v>
      </c>
      <c r="I161" s="13" t="s">
        <v>516</v>
      </c>
      <c r="J161" s="13" t="s">
        <v>8890</v>
      </c>
      <c r="K161" s="13" t="s">
        <v>516</v>
      </c>
      <c r="L161" s="13" t="s">
        <v>158</v>
      </c>
      <c r="M161" t="s">
        <v>8958</v>
      </c>
    </row>
    <row r="162" spans="1:13" ht="26.25" x14ac:dyDescent="0.25">
      <c r="A162" s="13" t="s">
        <v>518</v>
      </c>
      <c r="B162" s="13" t="s">
        <v>519</v>
      </c>
      <c r="C162" s="13" t="s">
        <v>519</v>
      </c>
      <c r="D162" s="13">
        <v>0.1</v>
      </c>
      <c r="E162" s="13" t="s">
        <v>520</v>
      </c>
      <c r="F162" s="13" t="s">
        <v>8860</v>
      </c>
      <c r="G162" s="13" t="s">
        <v>19</v>
      </c>
      <c r="H162" s="13" t="s">
        <v>3</v>
      </c>
      <c r="I162" s="13" t="s">
        <v>521</v>
      </c>
      <c r="J162" s="13" t="s">
        <v>21</v>
      </c>
      <c r="K162" s="13" t="s">
        <v>8478</v>
      </c>
      <c r="L162" s="13" t="s">
        <v>18</v>
      </c>
      <c r="M162" t="s">
        <v>3</v>
      </c>
    </row>
    <row r="163" spans="1:13" ht="26.25" x14ac:dyDescent="0.25">
      <c r="A163" s="13" t="s">
        <v>522</v>
      </c>
      <c r="B163" s="13" t="s">
        <v>523</v>
      </c>
      <c r="C163" s="13" t="s">
        <v>524</v>
      </c>
      <c r="D163" s="13">
        <v>0.6</v>
      </c>
      <c r="E163" s="13" t="s">
        <v>525</v>
      </c>
      <c r="F163" s="13" t="s">
        <v>35</v>
      </c>
      <c r="G163" s="13" t="s">
        <v>19</v>
      </c>
      <c r="H163" s="13" t="s">
        <v>3</v>
      </c>
      <c r="I163" s="13" t="s">
        <v>526</v>
      </c>
      <c r="J163" s="13" t="s">
        <v>37</v>
      </c>
      <c r="K163" s="13" t="s">
        <v>8479</v>
      </c>
      <c r="L163" s="13" t="s">
        <v>35</v>
      </c>
      <c r="M163" t="s">
        <v>3</v>
      </c>
    </row>
    <row r="164" spans="1:13" ht="26.25" x14ac:dyDescent="0.25">
      <c r="A164" s="13" t="s">
        <v>527</v>
      </c>
      <c r="B164" s="13" t="s">
        <v>527</v>
      </c>
      <c r="C164" s="13" t="s">
        <v>528</v>
      </c>
      <c r="D164" s="13">
        <v>4.3</v>
      </c>
      <c r="E164" s="13" t="s">
        <v>529</v>
      </c>
      <c r="F164" s="13" t="s">
        <v>8863</v>
      </c>
      <c r="G164" s="13" t="s">
        <v>2</v>
      </c>
      <c r="H164" s="13" t="s">
        <v>3</v>
      </c>
      <c r="I164" s="13" t="s">
        <v>10</v>
      </c>
      <c r="J164" s="13" t="s">
        <v>8890</v>
      </c>
      <c r="K164" s="13" t="s">
        <v>8425</v>
      </c>
      <c r="L164" s="13" t="s">
        <v>8893</v>
      </c>
      <c r="M164" t="s">
        <v>3</v>
      </c>
    </row>
    <row r="165" spans="1:13" ht="26.25" x14ac:dyDescent="0.25">
      <c r="A165" s="13" t="s">
        <v>530</v>
      </c>
      <c r="B165" s="13" t="s">
        <v>530</v>
      </c>
      <c r="C165" s="13" t="s">
        <v>531</v>
      </c>
      <c r="D165" s="13">
        <v>9.5</v>
      </c>
      <c r="E165" s="13" t="s">
        <v>532</v>
      </c>
      <c r="F165" s="13" t="s">
        <v>8863</v>
      </c>
      <c r="G165" s="13" t="s">
        <v>2</v>
      </c>
      <c r="H165" s="13" t="s">
        <v>3</v>
      </c>
      <c r="I165" s="13" t="s">
        <v>10</v>
      </c>
      <c r="J165" s="13" t="s">
        <v>8890</v>
      </c>
      <c r="K165" s="13" t="s">
        <v>8425</v>
      </c>
      <c r="L165" s="13" t="s">
        <v>8893</v>
      </c>
      <c r="M165" t="s">
        <v>3</v>
      </c>
    </row>
    <row r="166" spans="1:13" ht="26.25" x14ac:dyDescent="0.25">
      <c r="A166" s="13" t="s">
        <v>10819</v>
      </c>
      <c r="B166" s="13" t="s">
        <v>10820</v>
      </c>
      <c r="C166" s="13" t="s">
        <v>10821</v>
      </c>
      <c r="D166" s="13">
        <v>1</v>
      </c>
      <c r="E166" s="13" t="s">
        <v>10822</v>
      </c>
      <c r="F166" s="13" t="s">
        <v>8860</v>
      </c>
      <c r="G166" s="13" t="s">
        <v>19</v>
      </c>
      <c r="H166" s="13" t="s">
        <v>3</v>
      </c>
      <c r="I166" s="13" t="s">
        <v>10823</v>
      </c>
      <c r="J166" s="13" t="s">
        <v>21</v>
      </c>
      <c r="K166" s="13" t="s">
        <v>10824</v>
      </c>
      <c r="L166" s="13" t="s">
        <v>18</v>
      </c>
      <c r="M166" t="s">
        <v>3</v>
      </c>
    </row>
    <row r="167" spans="1:13" x14ac:dyDescent="0.25">
      <c r="A167" s="13" t="s">
        <v>533</v>
      </c>
      <c r="B167" s="13" t="s">
        <v>533</v>
      </c>
      <c r="C167" s="13" t="s">
        <v>534</v>
      </c>
      <c r="D167" s="13">
        <v>0.1</v>
      </c>
      <c r="E167" s="13" t="s">
        <v>535</v>
      </c>
      <c r="F167" s="13" t="s">
        <v>8863</v>
      </c>
      <c r="G167" s="13" t="s">
        <v>2</v>
      </c>
      <c r="H167" s="13" t="s">
        <v>3</v>
      </c>
      <c r="I167" s="13" t="s">
        <v>536</v>
      </c>
      <c r="J167" s="13" t="s">
        <v>8890</v>
      </c>
      <c r="K167" s="13" t="s">
        <v>8480</v>
      </c>
      <c r="L167" s="13" t="s">
        <v>8893</v>
      </c>
      <c r="M167" t="s">
        <v>3</v>
      </c>
    </row>
    <row r="168" spans="1:13" x14ac:dyDescent="0.25">
      <c r="A168" s="13" t="s">
        <v>537</v>
      </c>
      <c r="B168" s="13" t="s">
        <v>537</v>
      </c>
      <c r="C168" s="13" t="s">
        <v>538</v>
      </c>
      <c r="D168" s="13">
        <v>0.3</v>
      </c>
      <c r="E168" s="13" t="s">
        <v>539</v>
      </c>
      <c r="F168" s="13" t="s">
        <v>8863</v>
      </c>
      <c r="G168" s="13" t="s">
        <v>2</v>
      </c>
      <c r="H168" s="13" t="s">
        <v>3</v>
      </c>
      <c r="I168" s="13" t="s">
        <v>536</v>
      </c>
      <c r="J168" s="13" t="s">
        <v>8890</v>
      </c>
      <c r="K168" s="13" t="s">
        <v>8480</v>
      </c>
      <c r="L168" s="13" t="s">
        <v>8893</v>
      </c>
      <c r="M168" t="s">
        <v>3</v>
      </c>
    </row>
    <row r="169" spans="1:13" x14ac:dyDescent="0.25">
      <c r="A169" s="13" t="s">
        <v>540</v>
      </c>
      <c r="B169" s="13" t="s">
        <v>541</v>
      </c>
      <c r="C169" s="13" t="s">
        <v>542</v>
      </c>
      <c r="D169" s="13">
        <v>411.9</v>
      </c>
      <c r="E169" s="13" t="s">
        <v>543</v>
      </c>
      <c r="F169" s="13" t="s">
        <v>8864</v>
      </c>
      <c r="G169" s="13" t="s">
        <v>2</v>
      </c>
      <c r="H169" s="13" t="s">
        <v>8923</v>
      </c>
      <c r="I169" s="13" t="s">
        <v>390</v>
      </c>
      <c r="J169" s="13" t="s">
        <v>8890</v>
      </c>
      <c r="K169" s="13" t="s">
        <v>8423</v>
      </c>
      <c r="L169" s="13" t="s">
        <v>56</v>
      </c>
      <c r="M169" t="s">
        <v>8923</v>
      </c>
    </row>
    <row r="170" spans="1:13" ht="26.25" x14ac:dyDescent="0.25">
      <c r="A170" s="13" t="s">
        <v>544</v>
      </c>
      <c r="B170" s="13" t="s">
        <v>545</v>
      </c>
      <c r="C170" s="13" t="s">
        <v>546</v>
      </c>
      <c r="D170" s="13">
        <v>399.7</v>
      </c>
      <c r="E170" s="13" t="s">
        <v>547</v>
      </c>
      <c r="F170" s="13" t="s">
        <v>8864</v>
      </c>
      <c r="G170" s="13" t="s">
        <v>2</v>
      </c>
      <c r="H170" s="13" t="s">
        <v>8900</v>
      </c>
      <c r="I170" s="13" t="s">
        <v>62</v>
      </c>
      <c r="J170" s="13" t="s">
        <v>8890</v>
      </c>
      <c r="K170" s="13" t="s">
        <v>8430</v>
      </c>
      <c r="L170" s="13" t="s">
        <v>56</v>
      </c>
      <c r="M170" t="s">
        <v>10683</v>
      </c>
    </row>
    <row r="171" spans="1:13" x14ac:dyDescent="0.25">
      <c r="A171" s="13" t="s">
        <v>548</v>
      </c>
      <c r="B171" s="13" t="s">
        <v>549</v>
      </c>
      <c r="C171" s="13" t="s">
        <v>550</v>
      </c>
      <c r="D171" s="13">
        <v>859</v>
      </c>
      <c r="E171" s="13" t="s">
        <v>551</v>
      </c>
      <c r="F171" s="13" t="s">
        <v>8864</v>
      </c>
      <c r="G171" s="13" t="s">
        <v>2</v>
      </c>
      <c r="H171" s="13" t="s">
        <v>8923</v>
      </c>
      <c r="I171" s="13" t="s">
        <v>390</v>
      </c>
      <c r="J171" s="13" t="s">
        <v>8890</v>
      </c>
      <c r="K171" s="13" t="s">
        <v>8423</v>
      </c>
      <c r="L171" s="13" t="s">
        <v>56</v>
      </c>
      <c r="M171" t="s">
        <v>8923</v>
      </c>
    </row>
    <row r="172" spans="1:13" ht="26.25" x14ac:dyDescent="0.25">
      <c r="A172" s="13" t="s">
        <v>10103</v>
      </c>
      <c r="B172" s="13" t="s">
        <v>10103</v>
      </c>
      <c r="C172" s="13" t="s">
        <v>205</v>
      </c>
      <c r="D172" s="13">
        <v>0.1</v>
      </c>
      <c r="E172" s="13" t="s">
        <v>10104</v>
      </c>
      <c r="F172" s="13" t="s">
        <v>8860</v>
      </c>
      <c r="G172" s="13" t="s">
        <v>19</v>
      </c>
      <c r="H172" s="13" t="s">
        <v>3</v>
      </c>
      <c r="I172" s="13" t="s">
        <v>10105</v>
      </c>
      <c r="J172" s="13" t="s">
        <v>21</v>
      </c>
      <c r="K172" s="13" t="s">
        <v>10106</v>
      </c>
      <c r="L172" s="13" t="s">
        <v>18</v>
      </c>
      <c r="M172" t="s">
        <v>3</v>
      </c>
    </row>
    <row r="173" spans="1:13" ht="26.25" x14ac:dyDescent="0.25">
      <c r="A173" s="13" t="s">
        <v>10107</v>
      </c>
      <c r="B173" s="13" t="s">
        <v>10107</v>
      </c>
      <c r="C173" s="13" t="s">
        <v>10108</v>
      </c>
      <c r="D173" s="13">
        <v>0</v>
      </c>
      <c r="E173" s="13" t="s">
        <v>10109</v>
      </c>
      <c r="F173" s="13" t="s">
        <v>8860</v>
      </c>
      <c r="G173" s="13" t="s">
        <v>19</v>
      </c>
      <c r="H173" s="13" t="s">
        <v>3</v>
      </c>
      <c r="I173" s="13" t="s">
        <v>10110</v>
      </c>
      <c r="J173" s="13" t="s">
        <v>21</v>
      </c>
      <c r="K173" s="13" t="s">
        <v>10111</v>
      </c>
      <c r="L173" s="13" t="s">
        <v>18</v>
      </c>
      <c r="M173" t="s">
        <v>3</v>
      </c>
    </row>
    <row r="174" spans="1:13" ht="26.25" x14ac:dyDescent="0.25">
      <c r="A174" s="13" t="s">
        <v>552</v>
      </c>
      <c r="B174" s="13" t="s">
        <v>552</v>
      </c>
      <c r="C174" s="13" t="s">
        <v>553</v>
      </c>
      <c r="D174" s="13">
        <v>0.1</v>
      </c>
      <c r="E174" s="13" t="s">
        <v>554</v>
      </c>
      <c r="F174" s="13" t="s">
        <v>8860</v>
      </c>
      <c r="G174" s="13" t="s">
        <v>19</v>
      </c>
      <c r="H174" s="13" t="s">
        <v>3</v>
      </c>
      <c r="I174" s="13" t="s">
        <v>555</v>
      </c>
      <c r="J174" s="13" t="s">
        <v>21</v>
      </c>
      <c r="K174" s="13" t="s">
        <v>8481</v>
      </c>
      <c r="L174" s="13" t="s">
        <v>18</v>
      </c>
      <c r="M174" t="s">
        <v>3</v>
      </c>
    </row>
    <row r="175" spans="1:13" ht="26.25" x14ac:dyDescent="0.25">
      <c r="A175" s="13" t="s">
        <v>8959</v>
      </c>
      <c r="B175" s="13" t="s">
        <v>8960</v>
      </c>
      <c r="C175" s="13" t="s">
        <v>8961</v>
      </c>
      <c r="D175" s="13">
        <v>1</v>
      </c>
      <c r="E175" s="13" t="s">
        <v>8962</v>
      </c>
      <c r="F175" s="13" t="s">
        <v>35</v>
      </c>
      <c r="G175" s="13" t="s">
        <v>19</v>
      </c>
      <c r="H175" s="13" t="s">
        <v>3</v>
      </c>
      <c r="I175" s="13" t="s">
        <v>8963</v>
      </c>
      <c r="J175" s="13" t="s">
        <v>37</v>
      </c>
      <c r="K175" s="13" t="s">
        <v>8961</v>
      </c>
      <c r="L175" s="13" t="s">
        <v>35</v>
      </c>
      <c r="M175" t="s">
        <v>3</v>
      </c>
    </row>
    <row r="176" spans="1:13" ht="26.25" x14ac:dyDescent="0.25">
      <c r="A176" s="13" t="s">
        <v>557</v>
      </c>
      <c r="B176" s="13" t="s">
        <v>558</v>
      </c>
      <c r="C176" s="13" t="s">
        <v>559</v>
      </c>
      <c r="D176" s="13">
        <v>1</v>
      </c>
      <c r="E176" s="13" t="s">
        <v>560</v>
      </c>
      <c r="F176" s="13" t="s">
        <v>8860</v>
      </c>
      <c r="G176" s="13" t="s">
        <v>19</v>
      </c>
      <c r="H176" s="13" t="s">
        <v>3</v>
      </c>
      <c r="I176" s="13" t="s">
        <v>561</v>
      </c>
      <c r="J176" s="13" t="s">
        <v>21</v>
      </c>
      <c r="K176" s="13" t="s">
        <v>8482</v>
      </c>
      <c r="L176" s="13" t="s">
        <v>18</v>
      </c>
      <c r="M176" t="s">
        <v>3</v>
      </c>
    </row>
    <row r="177" spans="1:13" x14ac:dyDescent="0.25">
      <c r="A177" s="13" t="s">
        <v>562</v>
      </c>
      <c r="B177" s="13" t="s">
        <v>562</v>
      </c>
      <c r="C177" s="13" t="s">
        <v>562</v>
      </c>
      <c r="D177" s="13">
        <v>0.6</v>
      </c>
      <c r="E177" s="13" t="s">
        <v>563</v>
      </c>
      <c r="F177" s="13" t="s">
        <v>8873</v>
      </c>
      <c r="G177" s="13" t="s">
        <v>2</v>
      </c>
      <c r="H177" s="13" t="s">
        <v>3</v>
      </c>
      <c r="I177" s="13" t="s">
        <v>564</v>
      </c>
      <c r="J177" s="13" t="s">
        <v>8890</v>
      </c>
      <c r="K177" s="13" t="s">
        <v>8483</v>
      </c>
      <c r="L177" s="13" t="s">
        <v>8964</v>
      </c>
      <c r="M177" t="s">
        <v>3</v>
      </c>
    </row>
    <row r="178" spans="1:13" x14ac:dyDescent="0.25">
      <c r="A178" s="13" t="s">
        <v>565</v>
      </c>
      <c r="B178" s="13" t="s">
        <v>566</v>
      </c>
      <c r="C178" s="13" t="s">
        <v>567</v>
      </c>
      <c r="D178" s="13">
        <v>1.6</v>
      </c>
      <c r="E178" s="13" t="s">
        <v>568</v>
      </c>
      <c r="F178" s="13" t="s">
        <v>8873</v>
      </c>
      <c r="G178" s="13" t="s">
        <v>2</v>
      </c>
      <c r="H178" s="13" t="s">
        <v>3</v>
      </c>
      <c r="I178" s="13" t="s">
        <v>516</v>
      </c>
      <c r="J178" s="13" t="s">
        <v>8890</v>
      </c>
      <c r="K178" s="13" t="s">
        <v>516</v>
      </c>
      <c r="L178" s="13" t="s">
        <v>8964</v>
      </c>
      <c r="M178" t="s">
        <v>3</v>
      </c>
    </row>
    <row r="179" spans="1:13" x14ac:dyDescent="0.25">
      <c r="A179" s="13" t="s">
        <v>569</v>
      </c>
      <c r="B179" s="13" t="s">
        <v>569</v>
      </c>
      <c r="C179" s="13" t="s">
        <v>569</v>
      </c>
      <c r="D179" s="13">
        <v>6</v>
      </c>
      <c r="E179" s="13" t="s">
        <v>570</v>
      </c>
      <c r="F179" s="13" t="s">
        <v>8867</v>
      </c>
      <c r="G179" s="13" t="s">
        <v>2</v>
      </c>
      <c r="H179" s="13" t="s">
        <v>3</v>
      </c>
      <c r="I179" s="13" t="s">
        <v>228</v>
      </c>
      <c r="J179" s="13" t="s">
        <v>8890</v>
      </c>
      <c r="K179" s="13" t="s">
        <v>8418</v>
      </c>
      <c r="L179" s="13" t="s">
        <v>158</v>
      </c>
      <c r="M179" t="s">
        <v>3</v>
      </c>
    </row>
    <row r="180" spans="1:13" ht="26.25" x14ac:dyDescent="0.25">
      <c r="A180" s="13" t="s">
        <v>571</v>
      </c>
      <c r="B180" s="13" t="s">
        <v>571</v>
      </c>
      <c r="C180" s="13" t="s">
        <v>571</v>
      </c>
      <c r="D180" s="13">
        <v>0.1</v>
      </c>
      <c r="E180" s="13" t="s">
        <v>572</v>
      </c>
      <c r="F180" s="13" t="s">
        <v>8860</v>
      </c>
      <c r="G180" s="13" t="s">
        <v>19</v>
      </c>
      <c r="H180" s="13" t="s">
        <v>3</v>
      </c>
      <c r="I180" s="13" t="s">
        <v>573</v>
      </c>
      <c r="J180" s="13" t="s">
        <v>21</v>
      </c>
      <c r="K180" s="13" t="s">
        <v>8484</v>
      </c>
      <c r="L180" s="13" t="s">
        <v>18</v>
      </c>
      <c r="M180" t="s">
        <v>3</v>
      </c>
    </row>
    <row r="181" spans="1:13" x14ac:dyDescent="0.25">
      <c r="A181" s="13" t="s">
        <v>574</v>
      </c>
      <c r="B181" s="13" t="s">
        <v>575</v>
      </c>
      <c r="C181" s="13" t="s">
        <v>575</v>
      </c>
      <c r="D181" s="13">
        <v>1.8</v>
      </c>
      <c r="E181" s="13" t="s">
        <v>576</v>
      </c>
      <c r="F181" s="13" t="s">
        <v>8867</v>
      </c>
      <c r="G181" s="13" t="s">
        <v>2</v>
      </c>
      <c r="H181" s="13" t="s">
        <v>3</v>
      </c>
      <c r="I181" s="13" t="s">
        <v>573</v>
      </c>
      <c r="J181" s="13" t="s">
        <v>8890</v>
      </c>
      <c r="K181" s="13" t="s">
        <v>8484</v>
      </c>
      <c r="L181" s="13" t="s">
        <v>158</v>
      </c>
      <c r="M181" t="s">
        <v>3</v>
      </c>
    </row>
    <row r="182" spans="1:13" ht="26.25" x14ac:dyDescent="0.25">
      <c r="A182" s="13" t="s">
        <v>577</v>
      </c>
      <c r="B182" s="13" t="s">
        <v>578</v>
      </c>
      <c r="C182" s="13" t="s">
        <v>579</v>
      </c>
      <c r="D182" s="13">
        <v>0.1</v>
      </c>
      <c r="E182" s="13" t="s">
        <v>580</v>
      </c>
      <c r="F182" s="13" t="s">
        <v>8860</v>
      </c>
      <c r="G182" s="13" t="s">
        <v>19</v>
      </c>
      <c r="H182" s="13" t="s">
        <v>3</v>
      </c>
      <c r="I182" s="13" t="s">
        <v>581</v>
      </c>
      <c r="J182" s="13" t="s">
        <v>21</v>
      </c>
      <c r="K182" s="13" t="s">
        <v>8485</v>
      </c>
      <c r="L182" s="13" t="s">
        <v>18</v>
      </c>
      <c r="M182" t="s">
        <v>3</v>
      </c>
    </row>
    <row r="183" spans="1:13" ht="26.25" x14ac:dyDescent="0.25">
      <c r="A183" s="13" t="s">
        <v>582</v>
      </c>
      <c r="B183" s="13" t="s">
        <v>582</v>
      </c>
      <c r="C183" s="13" t="s">
        <v>583</v>
      </c>
      <c r="D183" s="13">
        <v>0.4</v>
      </c>
      <c r="E183" s="13" t="s">
        <v>584</v>
      </c>
      <c r="F183" s="13" t="s">
        <v>8863</v>
      </c>
      <c r="G183" s="13" t="s">
        <v>2</v>
      </c>
      <c r="H183" s="13" t="s">
        <v>3</v>
      </c>
      <c r="I183" s="13" t="s">
        <v>10</v>
      </c>
      <c r="J183" s="13" t="s">
        <v>8890</v>
      </c>
      <c r="K183" s="13" t="s">
        <v>8425</v>
      </c>
      <c r="L183" s="13" t="s">
        <v>8893</v>
      </c>
      <c r="M183" t="s">
        <v>3</v>
      </c>
    </row>
    <row r="184" spans="1:13" ht="26.25" x14ac:dyDescent="0.25">
      <c r="A184" s="13" t="s">
        <v>585</v>
      </c>
      <c r="B184" s="13" t="s">
        <v>586</v>
      </c>
      <c r="C184" s="13" t="s">
        <v>587</v>
      </c>
      <c r="D184" s="13">
        <v>0.1</v>
      </c>
      <c r="E184" s="13" t="s">
        <v>588</v>
      </c>
      <c r="F184" s="13" t="s">
        <v>8860</v>
      </c>
      <c r="G184" s="13" t="s">
        <v>19</v>
      </c>
      <c r="H184" s="13" t="s">
        <v>3</v>
      </c>
      <c r="I184" s="13" t="s">
        <v>589</v>
      </c>
      <c r="J184" s="13" t="s">
        <v>21</v>
      </c>
      <c r="K184" s="13" t="s">
        <v>8486</v>
      </c>
      <c r="L184" s="13" t="s">
        <v>18</v>
      </c>
      <c r="M184" t="s">
        <v>3</v>
      </c>
    </row>
    <row r="185" spans="1:13" ht="26.25" x14ac:dyDescent="0.25">
      <c r="A185" s="13" t="s">
        <v>590</v>
      </c>
      <c r="B185" s="13" t="s">
        <v>591</v>
      </c>
      <c r="C185" s="13" t="s">
        <v>592</v>
      </c>
      <c r="D185" s="13">
        <v>1</v>
      </c>
      <c r="E185" s="13" t="s">
        <v>593</v>
      </c>
      <c r="F185" s="13" t="s">
        <v>8860</v>
      </c>
      <c r="G185" s="13" t="s">
        <v>19</v>
      </c>
      <c r="H185" s="13" t="s">
        <v>3</v>
      </c>
      <c r="I185" s="13" t="s">
        <v>594</v>
      </c>
      <c r="J185" s="13" t="s">
        <v>21</v>
      </c>
      <c r="K185" s="13" t="s">
        <v>8487</v>
      </c>
      <c r="L185" s="13" t="s">
        <v>18</v>
      </c>
      <c r="M185" t="s">
        <v>3</v>
      </c>
    </row>
    <row r="186" spans="1:13" ht="26.25" x14ac:dyDescent="0.25">
      <c r="A186" s="13" t="s">
        <v>595</v>
      </c>
      <c r="B186" s="13" t="s">
        <v>8965</v>
      </c>
      <c r="C186" s="13" t="s">
        <v>8966</v>
      </c>
      <c r="D186" s="13">
        <v>50</v>
      </c>
      <c r="E186" s="13" t="s">
        <v>596</v>
      </c>
      <c r="F186" s="13" t="s">
        <v>8907</v>
      </c>
      <c r="G186" s="13" t="s">
        <v>19</v>
      </c>
      <c r="H186" s="13" t="s">
        <v>3</v>
      </c>
      <c r="I186" s="13" t="s">
        <v>516</v>
      </c>
      <c r="J186" s="13" t="s">
        <v>144</v>
      </c>
      <c r="K186" s="13" t="s">
        <v>516</v>
      </c>
      <c r="L186" s="13" t="s">
        <v>144</v>
      </c>
      <c r="M186" t="s">
        <v>3</v>
      </c>
    </row>
    <row r="187" spans="1:13" x14ac:dyDescent="0.25">
      <c r="A187" s="13" t="s">
        <v>597</v>
      </c>
      <c r="B187" s="13" t="s">
        <v>598</v>
      </c>
      <c r="C187" s="13" t="s">
        <v>599</v>
      </c>
      <c r="D187" s="13">
        <v>570</v>
      </c>
      <c r="E187" s="13" t="s">
        <v>600</v>
      </c>
      <c r="F187" s="13" t="s">
        <v>8861</v>
      </c>
      <c r="G187" s="13" t="s">
        <v>2</v>
      </c>
      <c r="H187" s="13" t="s">
        <v>3</v>
      </c>
      <c r="I187" s="13" t="s">
        <v>602</v>
      </c>
      <c r="J187" s="13" t="s">
        <v>8890</v>
      </c>
      <c r="K187" s="13" t="s">
        <v>8417</v>
      </c>
      <c r="L187" s="13" t="s">
        <v>601</v>
      </c>
      <c r="M187" t="s">
        <v>3</v>
      </c>
    </row>
    <row r="188" spans="1:13" ht="26.25" x14ac:dyDescent="0.25">
      <c r="A188" s="13" t="s">
        <v>603</v>
      </c>
      <c r="B188" s="13" t="s">
        <v>604</v>
      </c>
      <c r="C188" s="13" t="s">
        <v>605</v>
      </c>
      <c r="D188" s="13">
        <v>34.1</v>
      </c>
      <c r="E188" s="13" t="s">
        <v>606</v>
      </c>
      <c r="F188" s="13" t="s">
        <v>275</v>
      </c>
      <c r="G188" s="13" t="s">
        <v>19</v>
      </c>
      <c r="H188" s="13" t="s">
        <v>3</v>
      </c>
      <c r="I188" s="13" t="s">
        <v>602</v>
      </c>
      <c r="J188" s="13" t="s">
        <v>276</v>
      </c>
      <c r="K188" s="13" t="s">
        <v>8417</v>
      </c>
      <c r="L188" s="13" t="s">
        <v>275</v>
      </c>
      <c r="M188" t="s">
        <v>3</v>
      </c>
    </row>
    <row r="189" spans="1:13" x14ac:dyDescent="0.25">
      <c r="A189" s="13" t="s">
        <v>607</v>
      </c>
      <c r="B189" s="13" t="s">
        <v>608</v>
      </c>
      <c r="C189" s="13" t="s">
        <v>609</v>
      </c>
      <c r="D189" s="13">
        <v>40.9</v>
      </c>
      <c r="E189" s="13" t="s">
        <v>610</v>
      </c>
      <c r="F189" s="13" t="s">
        <v>8867</v>
      </c>
      <c r="G189" s="13" t="s">
        <v>2</v>
      </c>
      <c r="H189" s="13" t="s">
        <v>8958</v>
      </c>
      <c r="I189" s="13" t="s">
        <v>516</v>
      </c>
      <c r="J189" s="13" t="s">
        <v>8890</v>
      </c>
      <c r="K189" s="13" t="s">
        <v>516</v>
      </c>
      <c r="L189" s="13" t="s">
        <v>158</v>
      </c>
      <c r="M189" t="s">
        <v>8958</v>
      </c>
    </row>
    <row r="190" spans="1:13" ht="26.25" x14ac:dyDescent="0.25">
      <c r="A190" s="13" t="s">
        <v>611</v>
      </c>
      <c r="B190" s="13" t="s">
        <v>612</v>
      </c>
      <c r="C190" s="13" t="s">
        <v>612</v>
      </c>
      <c r="D190" s="13">
        <v>1</v>
      </c>
      <c r="E190" s="13" t="s">
        <v>613</v>
      </c>
      <c r="F190" s="13" t="s">
        <v>8860</v>
      </c>
      <c r="G190" s="13" t="s">
        <v>19</v>
      </c>
      <c r="H190" s="13" t="s">
        <v>3</v>
      </c>
      <c r="I190" s="13" t="s">
        <v>612</v>
      </c>
      <c r="J190" s="13" t="s">
        <v>21</v>
      </c>
      <c r="K190" s="13" t="s">
        <v>8488</v>
      </c>
      <c r="L190" s="13" t="s">
        <v>18</v>
      </c>
      <c r="M190" t="s">
        <v>3</v>
      </c>
    </row>
    <row r="191" spans="1:13" ht="26.25" x14ac:dyDescent="0.25">
      <c r="A191" s="13" t="s">
        <v>11164</v>
      </c>
      <c r="B191" s="13" t="s">
        <v>11165</v>
      </c>
      <c r="C191" s="13" t="s">
        <v>11166</v>
      </c>
      <c r="D191" s="13">
        <v>8.1999999999999993</v>
      </c>
      <c r="E191" s="13" t="s">
        <v>11167</v>
      </c>
      <c r="F191" s="13" t="s">
        <v>8867</v>
      </c>
      <c r="G191" s="13" t="s">
        <v>2</v>
      </c>
      <c r="H191" s="13" t="s">
        <v>3</v>
      </c>
      <c r="I191" s="13" t="s">
        <v>502</v>
      </c>
      <c r="J191" s="13" t="s">
        <v>8890</v>
      </c>
      <c r="K191" s="13" t="s">
        <v>8476</v>
      </c>
      <c r="L191" s="13" t="s">
        <v>158</v>
      </c>
      <c r="M191" t="s">
        <v>3</v>
      </c>
    </row>
    <row r="192" spans="1:13" x14ac:dyDescent="0.25">
      <c r="A192" s="13" t="s">
        <v>614</v>
      </c>
      <c r="B192" s="13" t="s">
        <v>614</v>
      </c>
      <c r="C192" s="13" t="s">
        <v>614</v>
      </c>
      <c r="D192" s="13">
        <v>0.1</v>
      </c>
      <c r="E192" s="13" t="s">
        <v>615</v>
      </c>
      <c r="F192" s="13" t="s">
        <v>8863</v>
      </c>
      <c r="G192" s="13" t="s">
        <v>2</v>
      </c>
      <c r="H192" s="13" t="s">
        <v>3</v>
      </c>
      <c r="I192" s="13" t="s">
        <v>616</v>
      </c>
      <c r="J192" s="13" t="s">
        <v>8890</v>
      </c>
      <c r="K192" s="13" t="s">
        <v>8443</v>
      </c>
      <c r="L192" s="13" t="s">
        <v>8893</v>
      </c>
      <c r="M192" t="s">
        <v>3</v>
      </c>
    </row>
    <row r="193" spans="1:13" x14ac:dyDescent="0.25">
      <c r="A193" s="13" t="s">
        <v>9846</v>
      </c>
      <c r="B193" s="13" t="s">
        <v>9846</v>
      </c>
      <c r="C193" s="13" t="s">
        <v>9846</v>
      </c>
      <c r="D193" s="13">
        <v>41.2</v>
      </c>
      <c r="E193" s="13" t="s">
        <v>9847</v>
      </c>
      <c r="F193" s="13" t="s">
        <v>8867</v>
      </c>
      <c r="G193" s="13" t="s">
        <v>2</v>
      </c>
      <c r="H193" s="13" t="s">
        <v>3</v>
      </c>
      <c r="I193" s="13" t="s">
        <v>228</v>
      </c>
      <c r="J193" s="13" t="s">
        <v>8890</v>
      </c>
      <c r="K193" s="13" t="s">
        <v>8418</v>
      </c>
      <c r="L193" s="13" t="s">
        <v>158</v>
      </c>
      <c r="M193" t="s">
        <v>3</v>
      </c>
    </row>
    <row r="194" spans="1:13" x14ac:dyDescent="0.25">
      <c r="A194" s="13" t="s">
        <v>9848</v>
      </c>
      <c r="B194" s="13" t="s">
        <v>9848</v>
      </c>
      <c r="C194" s="13" t="s">
        <v>9848</v>
      </c>
      <c r="D194" s="13">
        <v>41.2</v>
      </c>
      <c r="E194" s="13" t="s">
        <v>9849</v>
      </c>
      <c r="F194" s="13" t="s">
        <v>8867</v>
      </c>
      <c r="G194" s="13" t="s">
        <v>2</v>
      </c>
      <c r="H194" s="13" t="s">
        <v>3</v>
      </c>
      <c r="I194" s="13" t="s">
        <v>228</v>
      </c>
      <c r="J194" s="13" t="s">
        <v>8890</v>
      </c>
      <c r="K194" s="13" t="s">
        <v>8418</v>
      </c>
      <c r="L194" s="13" t="s">
        <v>158</v>
      </c>
      <c r="M194" t="s">
        <v>3</v>
      </c>
    </row>
    <row r="195" spans="1:13" x14ac:dyDescent="0.25">
      <c r="A195" s="13" t="s">
        <v>9850</v>
      </c>
      <c r="B195" s="13" t="s">
        <v>9850</v>
      </c>
      <c r="C195" s="13" t="s">
        <v>9850</v>
      </c>
      <c r="D195" s="13">
        <v>41.2</v>
      </c>
      <c r="E195" s="13" t="s">
        <v>9851</v>
      </c>
      <c r="F195" s="13" t="s">
        <v>8867</v>
      </c>
      <c r="G195" s="13" t="s">
        <v>2</v>
      </c>
      <c r="H195" s="13" t="s">
        <v>3</v>
      </c>
      <c r="I195" s="13" t="s">
        <v>228</v>
      </c>
      <c r="J195" s="13" t="s">
        <v>8890</v>
      </c>
      <c r="K195" s="13" t="s">
        <v>8418</v>
      </c>
      <c r="L195" s="13" t="s">
        <v>158</v>
      </c>
      <c r="M195" t="s">
        <v>3</v>
      </c>
    </row>
    <row r="196" spans="1:13" x14ac:dyDescent="0.25">
      <c r="A196" s="13" t="s">
        <v>617</v>
      </c>
      <c r="B196" s="13" t="s">
        <v>617</v>
      </c>
      <c r="C196" s="13" t="s">
        <v>618</v>
      </c>
      <c r="D196" s="13">
        <v>1.1000000000000001</v>
      </c>
      <c r="E196" s="13" t="s">
        <v>619</v>
      </c>
      <c r="F196" s="13" t="s">
        <v>8873</v>
      </c>
      <c r="G196" s="13" t="s">
        <v>2</v>
      </c>
      <c r="H196" s="13" t="s">
        <v>3</v>
      </c>
      <c r="I196" s="13" t="s">
        <v>429</v>
      </c>
      <c r="J196" s="13" t="s">
        <v>8890</v>
      </c>
      <c r="K196" s="13" t="s">
        <v>6051</v>
      </c>
      <c r="L196" s="13" t="s">
        <v>8964</v>
      </c>
      <c r="M196" t="s">
        <v>3</v>
      </c>
    </row>
    <row r="197" spans="1:13" ht="26.25" x14ac:dyDescent="0.25">
      <c r="A197" s="13" t="s">
        <v>620</v>
      </c>
      <c r="B197" s="13" t="s">
        <v>620</v>
      </c>
      <c r="C197" s="13" t="s">
        <v>621</v>
      </c>
      <c r="D197" s="13">
        <v>0.1</v>
      </c>
      <c r="E197" s="13" t="s">
        <v>622</v>
      </c>
      <c r="F197" s="13" t="s">
        <v>8860</v>
      </c>
      <c r="G197" s="13" t="s">
        <v>19</v>
      </c>
      <c r="H197" s="13" t="s">
        <v>3</v>
      </c>
      <c r="I197" s="13" t="s">
        <v>623</v>
      </c>
      <c r="J197" s="13" t="s">
        <v>21</v>
      </c>
      <c r="K197" s="13" t="s">
        <v>8489</v>
      </c>
      <c r="L197" s="13" t="s">
        <v>18</v>
      </c>
      <c r="M197" t="s">
        <v>3</v>
      </c>
    </row>
    <row r="198" spans="1:13" ht="26.25" x14ac:dyDescent="0.25">
      <c r="A198" s="13" t="s">
        <v>624</v>
      </c>
      <c r="B198" s="13" t="s">
        <v>625</v>
      </c>
      <c r="C198" s="13" t="s">
        <v>626</v>
      </c>
      <c r="D198" s="13">
        <v>0</v>
      </c>
      <c r="E198" s="13" t="s">
        <v>627</v>
      </c>
      <c r="F198" s="13" t="s">
        <v>8860</v>
      </c>
      <c r="G198" s="13" t="s">
        <v>19</v>
      </c>
      <c r="H198" s="13" t="s">
        <v>3</v>
      </c>
      <c r="I198" s="13" t="s">
        <v>628</v>
      </c>
      <c r="J198" s="13" t="s">
        <v>21</v>
      </c>
      <c r="K198" s="13" t="s">
        <v>8490</v>
      </c>
      <c r="L198" s="13" t="s">
        <v>18</v>
      </c>
      <c r="M198" t="s">
        <v>3</v>
      </c>
    </row>
    <row r="199" spans="1:13" ht="26.25" x14ac:dyDescent="0.25">
      <c r="A199" s="13" t="s">
        <v>629</v>
      </c>
      <c r="B199" s="13" t="s">
        <v>630</v>
      </c>
      <c r="C199" s="13" t="s">
        <v>631</v>
      </c>
      <c r="D199" s="13">
        <v>2.2999999999999998</v>
      </c>
      <c r="E199" s="13" t="s">
        <v>632</v>
      </c>
      <c r="F199" s="13" t="s">
        <v>35</v>
      </c>
      <c r="G199" s="13" t="s">
        <v>19</v>
      </c>
      <c r="H199" s="13" t="s">
        <v>3</v>
      </c>
      <c r="I199" s="13" t="s">
        <v>633</v>
      </c>
      <c r="J199" s="13" t="s">
        <v>37</v>
      </c>
      <c r="K199" s="13" t="s">
        <v>8491</v>
      </c>
      <c r="L199" s="13" t="s">
        <v>35</v>
      </c>
      <c r="M199" t="s">
        <v>3</v>
      </c>
    </row>
    <row r="200" spans="1:13" ht="39" x14ac:dyDescent="0.25">
      <c r="A200" s="13" t="s">
        <v>634</v>
      </c>
      <c r="B200" s="13" t="s">
        <v>635</v>
      </c>
      <c r="C200" s="13" t="s">
        <v>636</v>
      </c>
      <c r="D200" s="13">
        <v>0.4</v>
      </c>
      <c r="E200" s="13" t="s">
        <v>637</v>
      </c>
      <c r="F200" s="13" t="s">
        <v>8860</v>
      </c>
      <c r="G200" s="13" t="s">
        <v>19</v>
      </c>
      <c r="H200" s="13" t="s">
        <v>3</v>
      </c>
      <c r="I200" s="13" t="s">
        <v>638</v>
      </c>
      <c r="J200" s="13" t="s">
        <v>21</v>
      </c>
      <c r="K200" s="13" t="s">
        <v>8492</v>
      </c>
      <c r="L200" s="13" t="s">
        <v>18</v>
      </c>
      <c r="M200" t="s">
        <v>3</v>
      </c>
    </row>
    <row r="201" spans="1:13" ht="26.25" x14ac:dyDescent="0.25">
      <c r="A201" s="13" t="s">
        <v>639</v>
      </c>
      <c r="B201" s="13" t="s">
        <v>639</v>
      </c>
      <c r="C201" s="13" t="s">
        <v>639</v>
      </c>
      <c r="D201" s="13">
        <v>7</v>
      </c>
      <c r="E201" s="13" t="s">
        <v>640</v>
      </c>
      <c r="F201" s="13" t="s">
        <v>275</v>
      </c>
      <c r="G201" s="13" t="s">
        <v>19</v>
      </c>
      <c r="H201" s="13" t="s">
        <v>3</v>
      </c>
      <c r="I201" s="13" t="s">
        <v>429</v>
      </c>
      <c r="J201" s="13" t="s">
        <v>276</v>
      </c>
      <c r="K201" s="13" t="s">
        <v>6051</v>
      </c>
      <c r="L201" s="13" t="s">
        <v>275</v>
      </c>
      <c r="M201" t="s">
        <v>3</v>
      </c>
    </row>
    <row r="202" spans="1:13" x14ac:dyDescent="0.25">
      <c r="A202" s="13" t="s">
        <v>641</v>
      </c>
      <c r="B202" s="13" t="s">
        <v>642</v>
      </c>
      <c r="C202" s="13" t="s">
        <v>643</v>
      </c>
      <c r="D202" s="13">
        <v>392.6</v>
      </c>
      <c r="E202" s="13" t="s">
        <v>644</v>
      </c>
      <c r="F202" s="13" t="s">
        <v>8864</v>
      </c>
      <c r="G202" s="13" t="s">
        <v>2</v>
      </c>
      <c r="H202" s="13" t="s">
        <v>8900</v>
      </c>
      <c r="I202" s="13" t="s">
        <v>62</v>
      </c>
      <c r="J202" s="13" t="s">
        <v>8890</v>
      </c>
      <c r="K202" s="13" t="s">
        <v>8430</v>
      </c>
      <c r="L202" s="13" t="s">
        <v>56</v>
      </c>
      <c r="M202" t="s">
        <v>10683</v>
      </c>
    </row>
    <row r="203" spans="1:13" x14ac:dyDescent="0.25">
      <c r="A203" s="13" t="s">
        <v>645</v>
      </c>
      <c r="B203" s="13" t="s">
        <v>646</v>
      </c>
      <c r="C203" s="13" t="s">
        <v>647</v>
      </c>
      <c r="D203" s="13">
        <v>387.9</v>
      </c>
      <c r="E203" s="13" t="s">
        <v>648</v>
      </c>
      <c r="F203" s="13" t="s">
        <v>8864</v>
      </c>
      <c r="G203" s="13" t="s">
        <v>2</v>
      </c>
      <c r="H203" s="13" t="s">
        <v>8922</v>
      </c>
      <c r="I203" s="13" t="s">
        <v>649</v>
      </c>
      <c r="J203" s="13" t="s">
        <v>8890</v>
      </c>
      <c r="K203" s="13" t="s">
        <v>6051</v>
      </c>
      <c r="L203" s="13" t="s">
        <v>56</v>
      </c>
      <c r="M203" t="s">
        <v>8922</v>
      </c>
    </row>
    <row r="204" spans="1:13" x14ac:dyDescent="0.25">
      <c r="A204" s="13" t="s">
        <v>8967</v>
      </c>
      <c r="B204" s="13" t="s">
        <v>8967</v>
      </c>
      <c r="C204" s="13" t="s">
        <v>8968</v>
      </c>
      <c r="D204" s="13">
        <v>5</v>
      </c>
      <c r="E204" s="13" t="s">
        <v>8969</v>
      </c>
      <c r="F204" s="13" t="s">
        <v>8867</v>
      </c>
      <c r="G204" s="13" t="s">
        <v>2</v>
      </c>
      <c r="H204" s="13" t="s">
        <v>3</v>
      </c>
      <c r="I204" s="13" t="s">
        <v>435</v>
      </c>
      <c r="J204" s="13" t="s">
        <v>8890</v>
      </c>
      <c r="K204" s="13" t="s">
        <v>8469</v>
      </c>
      <c r="L204" s="13" t="s">
        <v>158</v>
      </c>
      <c r="M204" t="s">
        <v>3</v>
      </c>
    </row>
    <row r="205" spans="1:13" x14ac:dyDescent="0.25">
      <c r="A205" s="13" t="s">
        <v>650</v>
      </c>
      <c r="B205" s="13" t="s">
        <v>650</v>
      </c>
      <c r="C205" s="13" t="s">
        <v>650</v>
      </c>
      <c r="D205" s="13">
        <v>4.8</v>
      </c>
      <c r="E205" s="13" t="s">
        <v>651</v>
      </c>
      <c r="F205" s="13" t="s">
        <v>8867</v>
      </c>
      <c r="G205" s="13" t="s">
        <v>2</v>
      </c>
      <c r="H205" s="13" t="s">
        <v>3</v>
      </c>
      <c r="I205" s="13" t="s">
        <v>228</v>
      </c>
      <c r="J205" s="13" t="s">
        <v>8890</v>
      </c>
      <c r="K205" s="13" t="s">
        <v>8418</v>
      </c>
      <c r="L205" s="13" t="s">
        <v>158</v>
      </c>
      <c r="M205" t="s">
        <v>3</v>
      </c>
    </row>
    <row r="206" spans="1:13" ht="26.25" x14ac:dyDescent="0.25">
      <c r="A206" s="13" t="s">
        <v>652</v>
      </c>
      <c r="B206" s="13" t="s">
        <v>653</v>
      </c>
      <c r="C206" s="13" t="s">
        <v>654</v>
      </c>
      <c r="D206" s="13">
        <v>4.7</v>
      </c>
      <c r="E206" s="13" t="s">
        <v>655</v>
      </c>
      <c r="F206" s="13" t="s">
        <v>35</v>
      </c>
      <c r="G206" s="13" t="s">
        <v>19</v>
      </c>
      <c r="H206" s="13" t="s">
        <v>3</v>
      </c>
      <c r="I206" s="13" t="s">
        <v>656</v>
      </c>
      <c r="J206" s="13" t="s">
        <v>37</v>
      </c>
      <c r="K206" s="13" t="s">
        <v>8493</v>
      </c>
      <c r="L206" s="13" t="s">
        <v>35</v>
      </c>
      <c r="M206" t="s">
        <v>3</v>
      </c>
    </row>
    <row r="207" spans="1:13" ht="26.25" x14ac:dyDescent="0.25">
      <c r="A207" s="13" t="s">
        <v>10825</v>
      </c>
      <c r="B207" s="13" t="s">
        <v>10826</v>
      </c>
      <c r="C207" s="13" t="s">
        <v>10826</v>
      </c>
      <c r="D207" s="13">
        <v>0.1</v>
      </c>
      <c r="E207" s="13" t="s">
        <v>10827</v>
      </c>
      <c r="F207" s="13" t="s">
        <v>8860</v>
      </c>
      <c r="G207" s="13" t="s">
        <v>19</v>
      </c>
      <c r="H207" s="13" t="s">
        <v>3</v>
      </c>
      <c r="I207" s="13" t="s">
        <v>10828</v>
      </c>
      <c r="J207" s="13" t="s">
        <v>21</v>
      </c>
      <c r="K207" s="13" t="s">
        <v>10829</v>
      </c>
      <c r="L207" s="13" t="s">
        <v>18</v>
      </c>
      <c r="M207" t="s">
        <v>3</v>
      </c>
    </row>
    <row r="208" spans="1:13" ht="26.25" x14ac:dyDescent="0.25">
      <c r="A208" s="13" t="s">
        <v>657</v>
      </c>
      <c r="B208" s="13" t="s">
        <v>658</v>
      </c>
      <c r="C208" s="13" t="s">
        <v>658</v>
      </c>
      <c r="D208" s="13">
        <v>1.2</v>
      </c>
      <c r="E208" s="13" t="s">
        <v>659</v>
      </c>
      <c r="F208" s="13" t="s">
        <v>35</v>
      </c>
      <c r="G208" s="13" t="s">
        <v>19</v>
      </c>
      <c r="H208" s="13" t="s">
        <v>3</v>
      </c>
      <c r="I208" s="13" t="s">
        <v>658</v>
      </c>
      <c r="J208" s="13" t="s">
        <v>37</v>
      </c>
      <c r="K208" s="13" t="s">
        <v>658</v>
      </c>
      <c r="L208" s="13" t="s">
        <v>35</v>
      </c>
      <c r="M208" t="s">
        <v>3</v>
      </c>
    </row>
    <row r="209" spans="1:13" x14ac:dyDescent="0.25">
      <c r="A209" s="13" t="s">
        <v>660</v>
      </c>
      <c r="B209" s="13" t="s">
        <v>660</v>
      </c>
      <c r="C209" s="13" t="s">
        <v>660</v>
      </c>
      <c r="D209" s="13">
        <v>2.6</v>
      </c>
      <c r="E209" s="13" t="s">
        <v>661</v>
      </c>
      <c r="F209" s="13" t="s">
        <v>8867</v>
      </c>
      <c r="G209" s="13" t="s">
        <v>2</v>
      </c>
      <c r="H209" s="13" t="s">
        <v>3</v>
      </c>
      <c r="I209" s="13" t="s">
        <v>228</v>
      </c>
      <c r="J209" s="13" t="s">
        <v>8890</v>
      </c>
      <c r="K209" s="13" t="s">
        <v>8418</v>
      </c>
      <c r="L209" s="13" t="s">
        <v>158</v>
      </c>
      <c r="M209" t="s">
        <v>3</v>
      </c>
    </row>
    <row r="210" spans="1:13" ht="26.25" x14ac:dyDescent="0.25">
      <c r="A210" s="13" t="s">
        <v>662</v>
      </c>
      <c r="B210" s="13" t="s">
        <v>663</v>
      </c>
      <c r="C210" s="13" t="s">
        <v>664</v>
      </c>
      <c r="D210" s="13">
        <v>0.5</v>
      </c>
      <c r="E210" s="13" t="s">
        <v>665</v>
      </c>
      <c r="F210" s="13" t="s">
        <v>8860</v>
      </c>
      <c r="G210" s="13" t="s">
        <v>19</v>
      </c>
      <c r="H210" s="13" t="s">
        <v>3</v>
      </c>
      <c r="I210" s="13" t="s">
        <v>666</v>
      </c>
      <c r="J210" s="13" t="s">
        <v>21</v>
      </c>
      <c r="K210" s="13" t="s">
        <v>8494</v>
      </c>
      <c r="L210" s="13" t="s">
        <v>18</v>
      </c>
      <c r="M210" t="s">
        <v>3</v>
      </c>
    </row>
    <row r="211" spans="1:13" x14ac:dyDescent="0.25">
      <c r="A211" s="13" t="s">
        <v>10830</v>
      </c>
      <c r="B211" s="13" t="s">
        <v>10831</v>
      </c>
      <c r="C211" s="13" t="s">
        <v>10832</v>
      </c>
      <c r="D211" s="13">
        <v>1.8</v>
      </c>
      <c r="E211" s="13" t="s">
        <v>10833</v>
      </c>
      <c r="F211" s="13" t="s">
        <v>8867</v>
      </c>
      <c r="G211" s="13" t="s">
        <v>2</v>
      </c>
      <c r="H211" s="13" t="s">
        <v>3</v>
      </c>
      <c r="I211" s="13" t="s">
        <v>10079</v>
      </c>
      <c r="J211" s="13" t="s">
        <v>8890</v>
      </c>
      <c r="K211" s="13" t="s">
        <v>10082</v>
      </c>
      <c r="L211" s="13" t="s">
        <v>158</v>
      </c>
      <c r="M211" t="s">
        <v>3</v>
      </c>
    </row>
    <row r="212" spans="1:13" x14ac:dyDescent="0.25">
      <c r="A212" s="13" t="s">
        <v>11168</v>
      </c>
      <c r="B212" s="13" t="s">
        <v>11169</v>
      </c>
      <c r="C212" s="13" t="s">
        <v>11170</v>
      </c>
      <c r="D212" s="13">
        <v>0.5</v>
      </c>
      <c r="E212" s="13" t="s">
        <v>11171</v>
      </c>
      <c r="F212" s="13" t="s">
        <v>8867</v>
      </c>
      <c r="G212" s="13" t="s">
        <v>2</v>
      </c>
      <c r="H212" s="13" t="s">
        <v>3</v>
      </c>
      <c r="I212" s="13" t="s">
        <v>10079</v>
      </c>
      <c r="J212" s="13" t="s">
        <v>8890</v>
      </c>
      <c r="K212" s="13" t="s">
        <v>10082</v>
      </c>
      <c r="L212" s="13" t="s">
        <v>158</v>
      </c>
      <c r="M212" t="s">
        <v>3</v>
      </c>
    </row>
    <row r="213" spans="1:13" ht="26.25" x14ac:dyDescent="0.25">
      <c r="A213" s="13" t="s">
        <v>667</v>
      </c>
      <c r="B213" s="13" t="s">
        <v>667</v>
      </c>
      <c r="C213" s="13" t="s">
        <v>8970</v>
      </c>
      <c r="D213" s="13">
        <v>4</v>
      </c>
      <c r="E213" s="13" t="s">
        <v>668</v>
      </c>
      <c r="F213" s="13" t="s">
        <v>8860</v>
      </c>
      <c r="G213" s="13" t="s">
        <v>19</v>
      </c>
      <c r="H213" s="13" t="s">
        <v>3</v>
      </c>
      <c r="I213" s="13" t="s">
        <v>669</v>
      </c>
      <c r="J213" s="13" t="s">
        <v>21</v>
      </c>
      <c r="K213" s="13" t="s">
        <v>8495</v>
      </c>
      <c r="L213" s="13" t="s">
        <v>18</v>
      </c>
      <c r="M213" t="s">
        <v>3</v>
      </c>
    </row>
    <row r="214" spans="1:13" ht="26.25" x14ac:dyDescent="0.25">
      <c r="A214" s="13" t="s">
        <v>670</v>
      </c>
      <c r="B214" s="13" t="s">
        <v>670</v>
      </c>
      <c r="C214" s="13" t="s">
        <v>671</v>
      </c>
      <c r="D214" s="13">
        <v>1</v>
      </c>
      <c r="E214" s="13" t="s">
        <v>672</v>
      </c>
      <c r="F214" s="13" t="s">
        <v>8860</v>
      </c>
      <c r="G214" s="13" t="s">
        <v>19</v>
      </c>
      <c r="H214" s="13" t="s">
        <v>3</v>
      </c>
      <c r="I214" s="13" t="s">
        <v>673</v>
      </c>
      <c r="J214" s="13" t="s">
        <v>21</v>
      </c>
      <c r="K214" s="13" t="s">
        <v>8496</v>
      </c>
      <c r="L214" s="13" t="s">
        <v>18</v>
      </c>
      <c r="M214" t="s">
        <v>3</v>
      </c>
    </row>
    <row r="215" spans="1:13" ht="26.25" x14ac:dyDescent="0.25">
      <c r="A215" s="13" t="s">
        <v>674</v>
      </c>
      <c r="B215" s="13" t="s">
        <v>674</v>
      </c>
      <c r="C215" s="13" t="s">
        <v>8971</v>
      </c>
      <c r="D215" s="13">
        <v>6</v>
      </c>
      <c r="E215" s="13" t="s">
        <v>675</v>
      </c>
      <c r="F215" s="13" t="s">
        <v>8860</v>
      </c>
      <c r="G215" s="13" t="s">
        <v>19</v>
      </c>
      <c r="H215" s="13" t="s">
        <v>3</v>
      </c>
      <c r="I215" s="13" t="s">
        <v>676</v>
      </c>
      <c r="J215" s="13" t="s">
        <v>21</v>
      </c>
      <c r="K215" s="13" t="s">
        <v>8497</v>
      </c>
      <c r="L215" s="13" t="s">
        <v>18</v>
      </c>
      <c r="M215" t="s">
        <v>3</v>
      </c>
    </row>
    <row r="216" spans="1:13" ht="26.25" x14ac:dyDescent="0.25">
      <c r="A216" s="13" t="s">
        <v>11748</v>
      </c>
      <c r="B216" s="13" t="s">
        <v>11749</v>
      </c>
      <c r="C216" s="13" t="s">
        <v>11750</v>
      </c>
      <c r="D216" s="13">
        <v>1</v>
      </c>
      <c r="E216" s="13" t="s">
        <v>11751</v>
      </c>
      <c r="F216" s="13" t="s">
        <v>35</v>
      </c>
      <c r="G216" s="13" t="s">
        <v>19</v>
      </c>
      <c r="H216" s="13" t="s">
        <v>3</v>
      </c>
      <c r="I216" s="13" t="s">
        <v>11752</v>
      </c>
      <c r="J216" s="13" t="s">
        <v>37</v>
      </c>
      <c r="K216" s="13" t="s">
        <v>11753</v>
      </c>
      <c r="L216" s="13" t="s">
        <v>35</v>
      </c>
      <c r="M216" t="s">
        <v>3</v>
      </c>
    </row>
    <row r="217" spans="1:13" ht="26.25" x14ac:dyDescent="0.25">
      <c r="A217" s="13" t="s">
        <v>677</v>
      </c>
      <c r="B217" s="13" t="s">
        <v>677</v>
      </c>
      <c r="C217" s="13" t="s">
        <v>677</v>
      </c>
      <c r="D217" s="13">
        <v>3</v>
      </c>
      <c r="E217" s="13" t="s">
        <v>678</v>
      </c>
      <c r="F217" s="13" t="s">
        <v>35</v>
      </c>
      <c r="G217" s="13" t="s">
        <v>19</v>
      </c>
      <c r="H217" s="13" t="s">
        <v>3</v>
      </c>
      <c r="I217" s="13" t="s">
        <v>429</v>
      </c>
      <c r="J217" s="13" t="s">
        <v>37</v>
      </c>
      <c r="K217" s="13" t="s">
        <v>6051</v>
      </c>
      <c r="L217" s="13" t="s">
        <v>35</v>
      </c>
      <c r="M217" t="s">
        <v>3</v>
      </c>
    </row>
    <row r="218" spans="1:13" ht="26.25" x14ac:dyDescent="0.25">
      <c r="A218" s="13" t="s">
        <v>10112</v>
      </c>
      <c r="B218" s="13" t="s">
        <v>10112</v>
      </c>
      <c r="C218" s="13" t="s">
        <v>10112</v>
      </c>
      <c r="D218" s="13">
        <v>0</v>
      </c>
      <c r="E218" s="13" t="s">
        <v>10113</v>
      </c>
      <c r="F218" s="13" t="s">
        <v>35</v>
      </c>
      <c r="G218" s="13" t="s">
        <v>19</v>
      </c>
      <c r="H218" s="13" t="s">
        <v>3</v>
      </c>
      <c r="I218" s="13" t="s">
        <v>429</v>
      </c>
      <c r="J218" s="13" t="s">
        <v>37</v>
      </c>
      <c r="K218" s="13" t="s">
        <v>6051</v>
      </c>
      <c r="L218" s="13" t="s">
        <v>35</v>
      </c>
      <c r="M218" t="s">
        <v>3</v>
      </c>
    </row>
    <row r="219" spans="1:13" ht="26.25" x14ac:dyDescent="0.25">
      <c r="A219" s="13" t="s">
        <v>679</v>
      </c>
      <c r="B219" s="13" t="s">
        <v>679</v>
      </c>
      <c r="C219" s="13" t="s">
        <v>679</v>
      </c>
      <c r="D219" s="13">
        <v>55</v>
      </c>
      <c r="E219" s="13" t="s">
        <v>680</v>
      </c>
      <c r="F219" s="13" t="s">
        <v>35</v>
      </c>
      <c r="G219" s="13" t="s">
        <v>19</v>
      </c>
      <c r="H219" s="13" t="s">
        <v>3</v>
      </c>
      <c r="I219" s="13" t="s">
        <v>429</v>
      </c>
      <c r="J219" s="13" t="s">
        <v>37</v>
      </c>
      <c r="K219" s="13" t="s">
        <v>6051</v>
      </c>
      <c r="L219" s="13" t="s">
        <v>35</v>
      </c>
      <c r="M219" t="s">
        <v>3</v>
      </c>
    </row>
    <row r="220" spans="1:13" ht="26.25" x14ac:dyDescent="0.25">
      <c r="A220" s="13" t="s">
        <v>10114</v>
      </c>
      <c r="B220" s="13" t="s">
        <v>10114</v>
      </c>
      <c r="C220" s="13" t="s">
        <v>10114</v>
      </c>
      <c r="D220" s="14">
        <v>2600</v>
      </c>
      <c r="E220" s="13" t="s">
        <v>10115</v>
      </c>
      <c r="F220" s="13" t="s">
        <v>35</v>
      </c>
      <c r="G220" s="13" t="s">
        <v>19</v>
      </c>
      <c r="H220" s="13" t="s">
        <v>3</v>
      </c>
      <c r="I220" s="13" t="s">
        <v>429</v>
      </c>
      <c r="J220" s="13" t="s">
        <v>37</v>
      </c>
      <c r="K220" s="13" t="s">
        <v>6051</v>
      </c>
      <c r="L220" s="13" t="s">
        <v>35</v>
      </c>
      <c r="M220" t="s">
        <v>3</v>
      </c>
    </row>
    <row r="221" spans="1:13" ht="26.25" x14ac:dyDescent="0.25">
      <c r="A221" s="13" t="s">
        <v>681</v>
      </c>
      <c r="B221" s="13" t="s">
        <v>682</v>
      </c>
      <c r="C221" s="13" t="s">
        <v>683</v>
      </c>
      <c r="D221" s="13">
        <v>6.3</v>
      </c>
      <c r="E221" s="13" t="s">
        <v>684</v>
      </c>
      <c r="F221" s="13" t="s">
        <v>8860</v>
      </c>
      <c r="G221" s="13" t="s">
        <v>19</v>
      </c>
      <c r="H221" s="13" t="s">
        <v>3</v>
      </c>
      <c r="I221" s="13" t="s">
        <v>685</v>
      </c>
      <c r="J221" s="13" t="s">
        <v>21</v>
      </c>
      <c r="K221" s="13" t="s">
        <v>8498</v>
      </c>
      <c r="L221" s="13" t="s">
        <v>18</v>
      </c>
      <c r="M221" t="s">
        <v>3</v>
      </c>
    </row>
    <row r="222" spans="1:13" ht="26.25" x14ac:dyDescent="0.25">
      <c r="A222" s="13" t="s">
        <v>686</v>
      </c>
      <c r="B222" s="13" t="s">
        <v>687</v>
      </c>
      <c r="C222" s="13" t="s">
        <v>688</v>
      </c>
      <c r="D222" s="13">
        <v>3.6</v>
      </c>
      <c r="E222" s="13" t="s">
        <v>689</v>
      </c>
      <c r="F222" s="13" t="s">
        <v>8860</v>
      </c>
      <c r="G222" s="13" t="s">
        <v>19</v>
      </c>
      <c r="H222" s="13" t="s">
        <v>3</v>
      </c>
      <c r="I222" s="13" t="s">
        <v>690</v>
      </c>
      <c r="J222" s="13" t="s">
        <v>21</v>
      </c>
      <c r="K222" s="13" t="s">
        <v>8499</v>
      </c>
      <c r="L222" s="13" t="s">
        <v>18</v>
      </c>
      <c r="M222" t="s">
        <v>3</v>
      </c>
    </row>
    <row r="223" spans="1:13" ht="26.25" x14ac:dyDescent="0.25">
      <c r="A223" s="13" t="s">
        <v>691</v>
      </c>
      <c r="B223" s="13" t="s">
        <v>692</v>
      </c>
      <c r="C223" s="13" t="s">
        <v>693</v>
      </c>
      <c r="D223" s="13">
        <v>0.1</v>
      </c>
      <c r="E223" s="13" t="s">
        <v>694</v>
      </c>
      <c r="F223" s="13" t="s">
        <v>8860</v>
      </c>
      <c r="G223" s="13" t="s">
        <v>19</v>
      </c>
      <c r="H223" s="13" t="s">
        <v>3</v>
      </c>
      <c r="I223" s="13" t="s">
        <v>692</v>
      </c>
      <c r="J223" s="13" t="s">
        <v>21</v>
      </c>
      <c r="K223" s="13" t="s">
        <v>8500</v>
      </c>
      <c r="L223" s="13" t="s">
        <v>18</v>
      </c>
      <c r="M223" t="s">
        <v>3</v>
      </c>
    </row>
    <row r="224" spans="1:13" ht="26.25" x14ac:dyDescent="0.25">
      <c r="A224" s="13" t="s">
        <v>695</v>
      </c>
      <c r="B224" s="13" t="s">
        <v>695</v>
      </c>
      <c r="C224" s="13" t="s">
        <v>8972</v>
      </c>
      <c r="D224" s="13">
        <v>0.8</v>
      </c>
      <c r="E224" s="13" t="s">
        <v>696</v>
      </c>
      <c r="F224" s="13" t="s">
        <v>8860</v>
      </c>
      <c r="G224" s="13" t="s">
        <v>19</v>
      </c>
      <c r="H224" s="13" t="s">
        <v>3</v>
      </c>
      <c r="I224" s="13" t="s">
        <v>697</v>
      </c>
      <c r="J224" s="13" t="s">
        <v>21</v>
      </c>
      <c r="K224" s="13" t="s">
        <v>8501</v>
      </c>
      <c r="L224" s="13" t="s">
        <v>18</v>
      </c>
      <c r="M224" t="s">
        <v>3</v>
      </c>
    </row>
    <row r="225" spans="1:13" ht="26.25" x14ac:dyDescent="0.25">
      <c r="A225" s="13" t="s">
        <v>698</v>
      </c>
      <c r="B225" s="13" t="s">
        <v>698</v>
      </c>
      <c r="C225" s="13" t="s">
        <v>699</v>
      </c>
      <c r="D225" s="13">
        <v>1.9</v>
      </c>
      <c r="E225" s="13" t="s">
        <v>700</v>
      </c>
      <c r="F225" s="13" t="s">
        <v>8860</v>
      </c>
      <c r="G225" s="13" t="s">
        <v>19</v>
      </c>
      <c r="H225" s="13" t="s">
        <v>3</v>
      </c>
      <c r="I225" s="13" t="s">
        <v>701</v>
      </c>
      <c r="J225" s="13" t="s">
        <v>21</v>
      </c>
      <c r="K225" s="13" t="s">
        <v>8419</v>
      </c>
      <c r="L225" s="13" t="s">
        <v>18</v>
      </c>
      <c r="M225" t="s">
        <v>3</v>
      </c>
    </row>
    <row r="226" spans="1:13" ht="26.25" x14ac:dyDescent="0.25">
      <c r="A226" s="13" t="s">
        <v>702</v>
      </c>
      <c r="B226" s="13" t="s">
        <v>703</v>
      </c>
      <c r="C226" s="13" t="s">
        <v>704</v>
      </c>
      <c r="D226" s="13">
        <v>0</v>
      </c>
      <c r="E226" s="13" t="s">
        <v>705</v>
      </c>
      <c r="F226" s="13" t="s">
        <v>8860</v>
      </c>
      <c r="G226" s="13" t="s">
        <v>19</v>
      </c>
      <c r="H226" s="13" t="s">
        <v>3</v>
      </c>
      <c r="I226" s="13" t="s">
        <v>706</v>
      </c>
      <c r="J226" s="13" t="s">
        <v>21</v>
      </c>
      <c r="K226" s="13" t="s">
        <v>8419</v>
      </c>
      <c r="L226" s="13" t="s">
        <v>18</v>
      </c>
      <c r="M226" t="s">
        <v>3</v>
      </c>
    </row>
    <row r="227" spans="1:13" ht="26.25" x14ac:dyDescent="0.25">
      <c r="A227" s="13" t="s">
        <v>707</v>
      </c>
      <c r="B227" s="13" t="s">
        <v>707</v>
      </c>
      <c r="C227" s="13" t="s">
        <v>708</v>
      </c>
      <c r="D227" s="13">
        <v>7</v>
      </c>
      <c r="E227" s="13" t="s">
        <v>709</v>
      </c>
      <c r="F227" s="13" t="s">
        <v>35</v>
      </c>
      <c r="G227" s="13" t="s">
        <v>19</v>
      </c>
      <c r="H227" s="13" t="s">
        <v>3</v>
      </c>
      <c r="I227" s="13" t="s">
        <v>710</v>
      </c>
      <c r="J227" s="13" t="s">
        <v>37</v>
      </c>
      <c r="K227" s="13" t="s">
        <v>708</v>
      </c>
      <c r="L227" s="13" t="s">
        <v>35</v>
      </c>
      <c r="M227" t="s">
        <v>3</v>
      </c>
    </row>
    <row r="228" spans="1:13" ht="26.25" x14ac:dyDescent="0.25">
      <c r="A228" s="13" t="s">
        <v>711</v>
      </c>
      <c r="B228" s="13" t="s">
        <v>711</v>
      </c>
      <c r="C228" s="13" t="s">
        <v>712</v>
      </c>
      <c r="D228" s="14">
        <v>7021.4</v>
      </c>
      <c r="E228" s="13" t="s">
        <v>713</v>
      </c>
      <c r="F228" s="13" t="s">
        <v>35</v>
      </c>
      <c r="G228" s="13" t="s">
        <v>19</v>
      </c>
      <c r="H228" s="13" t="s">
        <v>3</v>
      </c>
      <c r="I228" s="13" t="s">
        <v>714</v>
      </c>
      <c r="J228" s="13" t="s">
        <v>37</v>
      </c>
      <c r="K228" s="13" t="s">
        <v>714</v>
      </c>
      <c r="L228" s="13" t="s">
        <v>35</v>
      </c>
      <c r="M228" t="s">
        <v>3</v>
      </c>
    </row>
    <row r="229" spans="1:13" ht="26.25" x14ac:dyDescent="0.25">
      <c r="A229" s="13" t="s">
        <v>715</v>
      </c>
      <c r="B229" s="13" t="s">
        <v>716</v>
      </c>
      <c r="C229" s="13" t="s">
        <v>717</v>
      </c>
      <c r="D229" s="13">
        <v>0.4</v>
      </c>
      <c r="E229" s="13" t="s">
        <v>718</v>
      </c>
      <c r="F229" s="13" t="s">
        <v>35</v>
      </c>
      <c r="G229" s="13" t="s">
        <v>19</v>
      </c>
      <c r="H229" s="13" t="s">
        <v>3</v>
      </c>
      <c r="I229" s="13" t="s">
        <v>714</v>
      </c>
      <c r="J229" s="13" t="s">
        <v>37</v>
      </c>
      <c r="K229" s="13" t="s">
        <v>714</v>
      </c>
      <c r="L229" s="13" t="s">
        <v>35</v>
      </c>
      <c r="M229" t="s">
        <v>3</v>
      </c>
    </row>
    <row r="230" spans="1:13" ht="26.25" x14ac:dyDescent="0.25">
      <c r="A230" s="13" t="s">
        <v>10834</v>
      </c>
      <c r="B230" s="13" t="s">
        <v>10835</v>
      </c>
      <c r="C230" s="13" t="s">
        <v>10836</v>
      </c>
      <c r="D230" s="13">
        <v>5</v>
      </c>
      <c r="E230" s="13" t="s">
        <v>10837</v>
      </c>
      <c r="F230" s="13" t="s">
        <v>8860</v>
      </c>
      <c r="G230" s="13" t="s">
        <v>19</v>
      </c>
      <c r="H230" s="13" t="s">
        <v>3</v>
      </c>
      <c r="I230" s="13" t="s">
        <v>10838</v>
      </c>
      <c r="J230" s="13" t="s">
        <v>21</v>
      </c>
      <c r="K230" s="13" t="s">
        <v>10839</v>
      </c>
      <c r="L230" s="13" t="s">
        <v>18</v>
      </c>
      <c r="M230" t="s">
        <v>3</v>
      </c>
    </row>
    <row r="231" spans="1:13" x14ac:dyDescent="0.25">
      <c r="A231" s="13" t="s">
        <v>720</v>
      </c>
      <c r="B231" s="13" t="s">
        <v>720</v>
      </c>
      <c r="C231" s="13" t="s">
        <v>721</v>
      </c>
      <c r="D231" s="13">
        <v>0</v>
      </c>
      <c r="E231" s="13" t="s">
        <v>722</v>
      </c>
      <c r="F231" s="13" t="s">
        <v>8867</v>
      </c>
      <c r="G231" s="13" t="s">
        <v>2</v>
      </c>
      <c r="H231" s="13" t="s">
        <v>3</v>
      </c>
      <c r="I231" s="13" t="s">
        <v>723</v>
      </c>
      <c r="J231" s="13" t="s">
        <v>8890</v>
      </c>
      <c r="K231" s="13" t="s">
        <v>8502</v>
      </c>
      <c r="L231" s="13" t="s">
        <v>158</v>
      </c>
      <c r="M231" t="s">
        <v>3</v>
      </c>
    </row>
    <row r="232" spans="1:13" ht="26.25" x14ac:dyDescent="0.25">
      <c r="A232" s="13" t="s">
        <v>724</v>
      </c>
      <c r="B232" s="13" t="s">
        <v>725</v>
      </c>
      <c r="C232" s="13" t="s">
        <v>726</v>
      </c>
      <c r="D232" s="13">
        <v>0</v>
      </c>
      <c r="E232" s="13" t="s">
        <v>727</v>
      </c>
      <c r="F232" s="13" t="s">
        <v>8860</v>
      </c>
      <c r="G232" s="13" t="s">
        <v>19</v>
      </c>
      <c r="H232" s="13" t="s">
        <v>3</v>
      </c>
      <c r="I232" s="13" t="s">
        <v>728</v>
      </c>
      <c r="J232" s="13" t="s">
        <v>21</v>
      </c>
      <c r="K232" s="13" t="s">
        <v>8419</v>
      </c>
      <c r="L232" s="13" t="s">
        <v>18</v>
      </c>
      <c r="M232" t="s">
        <v>3</v>
      </c>
    </row>
    <row r="233" spans="1:13" ht="26.25" x14ac:dyDescent="0.25">
      <c r="A233" s="13" t="s">
        <v>729</v>
      </c>
      <c r="B233" s="13" t="s">
        <v>729</v>
      </c>
      <c r="C233" s="13" t="s">
        <v>8973</v>
      </c>
      <c r="D233" s="13">
        <v>300</v>
      </c>
      <c r="E233" s="13" t="s">
        <v>730</v>
      </c>
      <c r="F233" s="13" t="s">
        <v>8870</v>
      </c>
      <c r="G233" s="13" t="s">
        <v>19</v>
      </c>
      <c r="H233" s="13" t="s">
        <v>3</v>
      </c>
      <c r="I233" s="13" t="s">
        <v>728</v>
      </c>
      <c r="J233" s="13" t="s">
        <v>410</v>
      </c>
      <c r="K233" s="13" t="s">
        <v>8419</v>
      </c>
      <c r="L233" s="13" t="s">
        <v>8942</v>
      </c>
      <c r="M233" t="s">
        <v>3</v>
      </c>
    </row>
    <row r="234" spans="1:13" ht="26.25" x14ac:dyDescent="0.25">
      <c r="A234" s="13" t="s">
        <v>731</v>
      </c>
      <c r="B234" s="13" t="s">
        <v>731</v>
      </c>
      <c r="C234" s="13" t="s">
        <v>8974</v>
      </c>
      <c r="D234" s="13">
        <v>300</v>
      </c>
      <c r="E234" s="13" t="s">
        <v>732</v>
      </c>
      <c r="F234" s="13" t="s">
        <v>8871</v>
      </c>
      <c r="G234" s="13" t="s">
        <v>2</v>
      </c>
      <c r="H234" s="13" t="s">
        <v>3</v>
      </c>
      <c r="I234" s="13" t="s">
        <v>728</v>
      </c>
      <c r="J234" s="13" t="s">
        <v>410</v>
      </c>
      <c r="K234" s="13" t="s">
        <v>8419</v>
      </c>
      <c r="L234" s="13" t="s">
        <v>8943</v>
      </c>
      <c r="M234" t="s">
        <v>3</v>
      </c>
    </row>
    <row r="235" spans="1:13" ht="26.25" x14ac:dyDescent="0.25">
      <c r="A235" s="13" t="s">
        <v>733</v>
      </c>
      <c r="B235" s="13" t="s">
        <v>734</v>
      </c>
      <c r="C235" s="13" t="s">
        <v>735</v>
      </c>
      <c r="D235" s="13">
        <v>1</v>
      </c>
      <c r="E235" s="13" t="s">
        <v>736</v>
      </c>
      <c r="F235" s="13" t="s">
        <v>8860</v>
      </c>
      <c r="G235" s="13" t="s">
        <v>19</v>
      </c>
      <c r="H235" s="13" t="s">
        <v>3</v>
      </c>
      <c r="I235" s="13" t="s">
        <v>734</v>
      </c>
      <c r="J235" s="13" t="s">
        <v>21</v>
      </c>
      <c r="K235" s="13" t="s">
        <v>735</v>
      </c>
      <c r="L235" s="13" t="s">
        <v>18</v>
      </c>
      <c r="M235" t="s">
        <v>3</v>
      </c>
    </row>
    <row r="236" spans="1:13" x14ac:dyDescent="0.25">
      <c r="A236" s="13" t="s">
        <v>737</v>
      </c>
      <c r="B236" s="13" t="s">
        <v>738</v>
      </c>
      <c r="C236" s="13" t="s">
        <v>738</v>
      </c>
      <c r="D236" s="13">
        <v>1</v>
      </c>
      <c r="E236" s="13" t="s">
        <v>739</v>
      </c>
      <c r="F236" s="13" t="s">
        <v>8867</v>
      </c>
      <c r="G236" s="13" t="s">
        <v>2</v>
      </c>
      <c r="H236" s="13" t="s">
        <v>3</v>
      </c>
      <c r="I236" s="13" t="s">
        <v>740</v>
      </c>
      <c r="J236" s="13" t="s">
        <v>8890</v>
      </c>
      <c r="K236" s="13" t="s">
        <v>8503</v>
      </c>
      <c r="L236" s="13" t="s">
        <v>158</v>
      </c>
      <c r="M236" t="s">
        <v>3</v>
      </c>
    </row>
    <row r="237" spans="1:13" ht="26.25" x14ac:dyDescent="0.25">
      <c r="A237" s="13" t="s">
        <v>741</v>
      </c>
      <c r="B237" s="13" t="s">
        <v>741</v>
      </c>
      <c r="C237" s="13" t="s">
        <v>742</v>
      </c>
      <c r="D237" s="13">
        <v>0.1</v>
      </c>
      <c r="E237" s="13" t="s">
        <v>743</v>
      </c>
      <c r="F237" s="13" t="s">
        <v>8860</v>
      </c>
      <c r="G237" s="13" t="s">
        <v>19</v>
      </c>
      <c r="H237" s="13" t="s">
        <v>3</v>
      </c>
      <c r="I237" s="13" t="s">
        <v>744</v>
      </c>
      <c r="J237" s="13" t="s">
        <v>21</v>
      </c>
      <c r="K237" s="13" t="s">
        <v>8417</v>
      </c>
      <c r="L237" s="13" t="s">
        <v>18</v>
      </c>
      <c r="M237" t="s">
        <v>3</v>
      </c>
    </row>
    <row r="238" spans="1:13" ht="26.25" x14ac:dyDescent="0.25">
      <c r="A238" s="13" t="s">
        <v>745</v>
      </c>
      <c r="B238" s="13" t="s">
        <v>746</v>
      </c>
      <c r="C238" s="13" t="s">
        <v>747</v>
      </c>
      <c r="D238" s="13">
        <v>1</v>
      </c>
      <c r="E238" s="13" t="s">
        <v>748</v>
      </c>
      <c r="F238" s="13" t="s">
        <v>8860</v>
      </c>
      <c r="G238" s="13" t="s">
        <v>19</v>
      </c>
      <c r="H238" s="13" t="s">
        <v>3</v>
      </c>
      <c r="I238" s="13" t="s">
        <v>746</v>
      </c>
      <c r="J238" s="13" t="s">
        <v>21</v>
      </c>
      <c r="K238" s="13" t="s">
        <v>8504</v>
      </c>
      <c r="L238" s="13" t="s">
        <v>18</v>
      </c>
      <c r="M238" t="s">
        <v>3</v>
      </c>
    </row>
    <row r="239" spans="1:13" x14ac:dyDescent="0.25">
      <c r="A239" s="13" t="s">
        <v>749</v>
      </c>
      <c r="B239" s="13" t="s">
        <v>749</v>
      </c>
      <c r="C239" s="13" t="s">
        <v>749</v>
      </c>
      <c r="D239" s="13">
        <v>9.9</v>
      </c>
      <c r="E239" s="13" t="s">
        <v>750</v>
      </c>
      <c r="F239" s="13" t="s">
        <v>8865</v>
      </c>
      <c r="G239" s="13" t="s">
        <v>2</v>
      </c>
      <c r="H239" s="13" t="s">
        <v>3</v>
      </c>
      <c r="I239" s="13" t="s">
        <v>228</v>
      </c>
      <c r="J239" s="13" t="s">
        <v>8890</v>
      </c>
      <c r="K239" s="13" t="s">
        <v>8418</v>
      </c>
      <c r="L239" s="13" t="s">
        <v>8901</v>
      </c>
      <c r="M239" t="s">
        <v>3</v>
      </c>
    </row>
    <row r="240" spans="1:13" x14ac:dyDescent="0.25">
      <c r="A240" s="13" t="s">
        <v>751</v>
      </c>
      <c r="B240" s="13" t="s">
        <v>751</v>
      </c>
      <c r="C240" s="13" t="s">
        <v>751</v>
      </c>
      <c r="D240" s="13">
        <v>0.5</v>
      </c>
      <c r="E240" s="13" t="s">
        <v>752</v>
      </c>
      <c r="F240" s="13" t="s">
        <v>8865</v>
      </c>
      <c r="G240" s="13" t="s">
        <v>2</v>
      </c>
      <c r="H240" s="13" t="s">
        <v>3</v>
      </c>
      <c r="I240" s="13" t="s">
        <v>228</v>
      </c>
      <c r="J240" s="13" t="s">
        <v>8890</v>
      </c>
      <c r="K240" s="13" t="s">
        <v>8418</v>
      </c>
      <c r="L240" s="13" t="s">
        <v>8901</v>
      </c>
      <c r="M240" t="s">
        <v>3</v>
      </c>
    </row>
    <row r="241" spans="1:13" x14ac:dyDescent="0.25">
      <c r="A241" s="13" t="s">
        <v>753</v>
      </c>
      <c r="B241" s="13" t="s">
        <v>753</v>
      </c>
      <c r="C241" s="13" t="s">
        <v>753</v>
      </c>
      <c r="D241" s="13">
        <v>1</v>
      </c>
      <c r="E241" s="13" t="s">
        <v>754</v>
      </c>
      <c r="F241" s="13" t="s">
        <v>8861</v>
      </c>
      <c r="G241" s="13" t="s">
        <v>2</v>
      </c>
      <c r="H241" s="13" t="s">
        <v>3</v>
      </c>
      <c r="I241" s="13" t="s">
        <v>228</v>
      </c>
      <c r="J241" s="13" t="s">
        <v>8890</v>
      </c>
      <c r="K241" s="13" t="s">
        <v>8418</v>
      </c>
      <c r="L241" s="13" t="s">
        <v>8891</v>
      </c>
      <c r="M241" t="s">
        <v>3</v>
      </c>
    </row>
    <row r="242" spans="1:13" x14ac:dyDescent="0.25">
      <c r="A242" s="13" t="s">
        <v>755</v>
      </c>
      <c r="B242" s="13" t="s">
        <v>755</v>
      </c>
      <c r="C242" s="13" t="s">
        <v>755</v>
      </c>
      <c r="D242" s="13">
        <v>0.5</v>
      </c>
      <c r="E242" s="13" t="s">
        <v>756</v>
      </c>
      <c r="F242" s="13" t="s">
        <v>8865</v>
      </c>
      <c r="G242" s="13" t="s">
        <v>2</v>
      </c>
      <c r="H242" s="13" t="s">
        <v>3</v>
      </c>
      <c r="I242" s="13" t="s">
        <v>228</v>
      </c>
      <c r="J242" s="13" t="s">
        <v>8890</v>
      </c>
      <c r="K242" s="13" t="s">
        <v>8418</v>
      </c>
      <c r="L242" s="13" t="s">
        <v>8901</v>
      </c>
      <c r="M242" t="s">
        <v>3</v>
      </c>
    </row>
    <row r="243" spans="1:13" x14ac:dyDescent="0.25">
      <c r="A243" s="13" t="s">
        <v>757</v>
      </c>
      <c r="B243" s="13" t="s">
        <v>757</v>
      </c>
      <c r="C243" s="13" t="s">
        <v>757</v>
      </c>
      <c r="D243" s="13">
        <v>0.4</v>
      </c>
      <c r="E243" s="13" t="s">
        <v>758</v>
      </c>
      <c r="F243" s="13" t="s">
        <v>8865</v>
      </c>
      <c r="G243" s="13" t="s">
        <v>2</v>
      </c>
      <c r="H243" s="13" t="s">
        <v>3</v>
      </c>
      <c r="I243" s="13" t="s">
        <v>228</v>
      </c>
      <c r="J243" s="13" t="s">
        <v>8890</v>
      </c>
      <c r="K243" s="13" t="s">
        <v>8418</v>
      </c>
      <c r="L243" s="13" t="s">
        <v>8901</v>
      </c>
      <c r="M243" t="s">
        <v>3</v>
      </c>
    </row>
    <row r="244" spans="1:13" x14ac:dyDescent="0.25">
      <c r="A244" s="13" t="s">
        <v>759</v>
      </c>
      <c r="B244" s="13" t="s">
        <v>759</v>
      </c>
      <c r="C244" s="13" t="s">
        <v>759</v>
      </c>
      <c r="D244" s="13">
        <v>0.4</v>
      </c>
      <c r="E244" s="13" t="s">
        <v>760</v>
      </c>
      <c r="F244" s="13" t="s">
        <v>8865</v>
      </c>
      <c r="G244" s="13" t="s">
        <v>2</v>
      </c>
      <c r="H244" s="13" t="s">
        <v>3</v>
      </c>
      <c r="I244" s="13" t="s">
        <v>228</v>
      </c>
      <c r="J244" s="13" t="s">
        <v>8890</v>
      </c>
      <c r="K244" s="13" t="s">
        <v>8418</v>
      </c>
      <c r="L244" s="13" t="s">
        <v>8901</v>
      </c>
      <c r="M244" t="s">
        <v>3</v>
      </c>
    </row>
    <row r="245" spans="1:13" ht="26.25" x14ac:dyDescent="0.25">
      <c r="A245" s="13" t="s">
        <v>761</v>
      </c>
      <c r="B245" s="13" t="s">
        <v>762</v>
      </c>
      <c r="C245" s="13" t="s">
        <v>763</v>
      </c>
      <c r="D245" s="13">
        <v>1</v>
      </c>
      <c r="E245" s="13" t="s">
        <v>764</v>
      </c>
      <c r="F245" s="13" t="s">
        <v>8860</v>
      </c>
      <c r="G245" s="13" t="s">
        <v>19</v>
      </c>
      <c r="H245" s="13" t="s">
        <v>3</v>
      </c>
      <c r="I245" s="13" t="s">
        <v>765</v>
      </c>
      <c r="J245" s="13" t="s">
        <v>21</v>
      </c>
      <c r="K245" s="13" t="s">
        <v>8505</v>
      </c>
      <c r="L245" s="13" t="s">
        <v>18</v>
      </c>
      <c r="M245" t="s">
        <v>3</v>
      </c>
    </row>
    <row r="246" spans="1:13" x14ac:dyDescent="0.25">
      <c r="A246" s="13" t="s">
        <v>766</v>
      </c>
      <c r="B246" s="13" t="s">
        <v>767</v>
      </c>
      <c r="C246" s="13" t="s">
        <v>768</v>
      </c>
      <c r="D246" s="13">
        <v>3.5</v>
      </c>
      <c r="E246" s="13" t="s">
        <v>769</v>
      </c>
      <c r="F246" s="13" t="s">
        <v>8863</v>
      </c>
      <c r="G246" s="13" t="s">
        <v>2</v>
      </c>
      <c r="H246" s="13" t="s">
        <v>3</v>
      </c>
      <c r="I246" s="13" t="s">
        <v>228</v>
      </c>
      <c r="J246" s="13" t="s">
        <v>8890</v>
      </c>
      <c r="K246" s="13" t="s">
        <v>8418</v>
      </c>
      <c r="L246" s="13" t="s">
        <v>8893</v>
      </c>
      <c r="M246" t="s">
        <v>3</v>
      </c>
    </row>
    <row r="247" spans="1:13" ht="26.25" x14ac:dyDescent="0.25">
      <c r="A247" s="13" t="s">
        <v>770</v>
      </c>
      <c r="B247" s="13" t="s">
        <v>770</v>
      </c>
      <c r="C247" s="13" t="s">
        <v>8975</v>
      </c>
      <c r="D247" s="13">
        <v>15</v>
      </c>
      <c r="E247" s="13" t="s">
        <v>772</v>
      </c>
      <c r="F247" s="13" t="s">
        <v>8860</v>
      </c>
      <c r="G247" s="13" t="s">
        <v>19</v>
      </c>
      <c r="H247" s="13" t="s">
        <v>3</v>
      </c>
      <c r="I247" s="13" t="s">
        <v>773</v>
      </c>
      <c r="J247" s="13" t="s">
        <v>21</v>
      </c>
      <c r="K247" s="13" t="s">
        <v>771</v>
      </c>
      <c r="L247" s="13" t="s">
        <v>18</v>
      </c>
      <c r="M247" t="s">
        <v>3</v>
      </c>
    </row>
    <row r="248" spans="1:13" ht="26.25" x14ac:dyDescent="0.25">
      <c r="A248" s="13" t="s">
        <v>774</v>
      </c>
      <c r="B248" s="13" t="s">
        <v>774</v>
      </c>
      <c r="C248" s="13" t="s">
        <v>775</v>
      </c>
      <c r="D248" s="13">
        <v>200</v>
      </c>
      <c r="E248" s="13" t="s">
        <v>776</v>
      </c>
      <c r="F248" s="13" t="s">
        <v>8860</v>
      </c>
      <c r="G248" s="13" t="s">
        <v>19</v>
      </c>
      <c r="H248" s="13" t="s">
        <v>3</v>
      </c>
      <c r="I248" s="13" t="s">
        <v>777</v>
      </c>
      <c r="J248" s="13" t="s">
        <v>21</v>
      </c>
      <c r="K248" s="13" t="s">
        <v>8506</v>
      </c>
      <c r="L248" s="13" t="s">
        <v>18</v>
      </c>
      <c r="M248" t="s">
        <v>3</v>
      </c>
    </row>
    <row r="249" spans="1:13" ht="26.25" x14ac:dyDescent="0.25">
      <c r="A249" s="13" t="s">
        <v>10450</v>
      </c>
      <c r="B249" s="13" t="s">
        <v>10451</v>
      </c>
      <c r="C249" s="13" t="s">
        <v>10452</v>
      </c>
      <c r="D249" s="13">
        <v>1</v>
      </c>
      <c r="E249" s="13" t="s">
        <v>10453</v>
      </c>
      <c r="F249" s="13" t="s">
        <v>8860</v>
      </c>
      <c r="G249" s="13" t="s">
        <v>19</v>
      </c>
      <c r="H249" s="13" t="s">
        <v>3</v>
      </c>
      <c r="I249" s="13" t="s">
        <v>791</v>
      </c>
      <c r="J249" s="13" t="s">
        <v>21</v>
      </c>
      <c r="K249" s="13" t="s">
        <v>10454</v>
      </c>
      <c r="L249" s="13" t="s">
        <v>18</v>
      </c>
      <c r="M249" t="s">
        <v>3</v>
      </c>
    </row>
    <row r="250" spans="1:13" ht="26.25" x14ac:dyDescent="0.25">
      <c r="A250" s="13" t="s">
        <v>778</v>
      </c>
      <c r="B250" s="13" t="s">
        <v>779</v>
      </c>
      <c r="C250" s="13" t="s">
        <v>780</v>
      </c>
      <c r="D250" s="13">
        <v>1.1000000000000001</v>
      </c>
      <c r="E250" s="13" t="s">
        <v>781</v>
      </c>
      <c r="F250" s="13" t="s">
        <v>8860</v>
      </c>
      <c r="G250" s="13" t="s">
        <v>19</v>
      </c>
      <c r="H250" s="13" t="s">
        <v>3</v>
      </c>
      <c r="I250" s="13" t="s">
        <v>68</v>
      </c>
      <c r="J250" s="13" t="s">
        <v>21</v>
      </c>
      <c r="K250" s="13" t="s">
        <v>8507</v>
      </c>
      <c r="L250" s="13" t="s">
        <v>18</v>
      </c>
      <c r="M250" t="s">
        <v>3</v>
      </c>
    </row>
    <row r="251" spans="1:13" ht="26.25" x14ac:dyDescent="0.25">
      <c r="A251" s="13" t="s">
        <v>782</v>
      </c>
      <c r="B251" s="13" t="s">
        <v>782</v>
      </c>
      <c r="C251" s="13" t="s">
        <v>782</v>
      </c>
      <c r="D251" s="13">
        <v>99</v>
      </c>
      <c r="E251" s="13" t="s">
        <v>783</v>
      </c>
      <c r="F251" s="13" t="s">
        <v>8907</v>
      </c>
      <c r="G251" s="13" t="s">
        <v>19</v>
      </c>
      <c r="H251" s="13" t="s">
        <v>3</v>
      </c>
      <c r="I251" s="13" t="s">
        <v>390</v>
      </c>
      <c r="J251" s="13" t="s">
        <v>144</v>
      </c>
      <c r="K251" s="13" t="s">
        <v>8423</v>
      </c>
      <c r="L251" s="13" t="s">
        <v>144</v>
      </c>
      <c r="M251" t="s">
        <v>3</v>
      </c>
    </row>
    <row r="252" spans="1:13" x14ac:dyDescent="0.25">
      <c r="A252" s="13" t="s">
        <v>784</v>
      </c>
      <c r="B252" s="13" t="s">
        <v>784</v>
      </c>
      <c r="C252" s="13" t="s">
        <v>784</v>
      </c>
      <c r="D252" s="13">
        <v>88.7</v>
      </c>
      <c r="E252" s="13" t="s">
        <v>785</v>
      </c>
      <c r="F252" s="13" t="s">
        <v>8868</v>
      </c>
      <c r="G252" s="13" t="s">
        <v>2</v>
      </c>
      <c r="H252" s="13" t="s">
        <v>8923</v>
      </c>
      <c r="I252" s="13" t="s">
        <v>390</v>
      </c>
      <c r="J252" s="13" t="s">
        <v>8890</v>
      </c>
      <c r="K252" s="13" t="s">
        <v>8423</v>
      </c>
      <c r="L252" s="13" t="s">
        <v>8908</v>
      </c>
      <c r="M252" t="s">
        <v>8923</v>
      </c>
    </row>
    <row r="253" spans="1:13" ht="26.25" x14ac:dyDescent="0.25">
      <c r="A253" s="13" t="s">
        <v>786</v>
      </c>
      <c r="B253" s="13" t="s">
        <v>787</v>
      </c>
      <c r="C253" s="13" t="s">
        <v>788</v>
      </c>
      <c r="D253" s="13">
        <v>0.1</v>
      </c>
      <c r="E253" s="13" t="s">
        <v>789</v>
      </c>
      <c r="F253" s="13" t="s">
        <v>8860</v>
      </c>
      <c r="G253" s="13" t="s">
        <v>19</v>
      </c>
      <c r="H253" s="13" t="s">
        <v>3</v>
      </c>
      <c r="I253" s="13" t="s">
        <v>790</v>
      </c>
      <c r="J253" s="13" t="s">
        <v>21</v>
      </c>
      <c r="K253" s="13" t="s">
        <v>8509</v>
      </c>
      <c r="L253" s="13" t="s">
        <v>18</v>
      </c>
      <c r="M253" t="s">
        <v>3</v>
      </c>
    </row>
    <row r="254" spans="1:13" x14ac:dyDescent="0.25">
      <c r="A254" s="13" t="s">
        <v>791</v>
      </c>
      <c r="B254" s="13" t="s">
        <v>792</v>
      </c>
      <c r="C254" s="13" t="s">
        <v>793</v>
      </c>
      <c r="D254" s="13">
        <v>3.5</v>
      </c>
      <c r="E254" s="13" t="s">
        <v>794</v>
      </c>
      <c r="F254" s="13" t="s">
        <v>8863</v>
      </c>
      <c r="G254" s="13" t="s">
        <v>2</v>
      </c>
      <c r="H254" s="13" t="s">
        <v>3</v>
      </c>
      <c r="I254" s="13" t="s">
        <v>228</v>
      </c>
      <c r="J254" s="13" t="s">
        <v>8890</v>
      </c>
      <c r="K254" s="13" t="s">
        <v>8418</v>
      </c>
      <c r="L254" s="13" t="s">
        <v>8893</v>
      </c>
      <c r="M254" t="s">
        <v>3</v>
      </c>
    </row>
    <row r="255" spans="1:13" ht="26.25" x14ac:dyDescent="0.25">
      <c r="A255" s="13" t="s">
        <v>795</v>
      </c>
      <c r="B255" s="13" t="s">
        <v>795</v>
      </c>
      <c r="C255" s="13" t="s">
        <v>795</v>
      </c>
      <c r="D255" s="13">
        <v>5.5</v>
      </c>
      <c r="E255" s="13" t="s">
        <v>796</v>
      </c>
      <c r="F255" s="13" t="s">
        <v>35</v>
      </c>
      <c r="G255" s="13" t="s">
        <v>19</v>
      </c>
      <c r="H255" s="13" t="s">
        <v>3</v>
      </c>
      <c r="I255" s="13" t="s">
        <v>797</v>
      </c>
      <c r="J255" s="13" t="s">
        <v>37</v>
      </c>
      <c r="K255" s="13" t="s">
        <v>8510</v>
      </c>
      <c r="L255" s="13" t="s">
        <v>35</v>
      </c>
      <c r="M255" t="s">
        <v>3</v>
      </c>
    </row>
    <row r="256" spans="1:13" x14ac:dyDescent="0.25">
      <c r="A256" s="13" t="s">
        <v>798</v>
      </c>
      <c r="B256" s="13" t="s">
        <v>799</v>
      </c>
      <c r="C256" s="13" t="s">
        <v>800</v>
      </c>
      <c r="D256" s="13">
        <v>3.5</v>
      </c>
      <c r="E256" s="13" t="s">
        <v>801</v>
      </c>
      <c r="F256" s="13" t="s">
        <v>8863</v>
      </c>
      <c r="G256" s="13" t="s">
        <v>2</v>
      </c>
      <c r="H256" s="13" t="s">
        <v>3</v>
      </c>
      <c r="I256" s="13" t="s">
        <v>228</v>
      </c>
      <c r="J256" s="13" t="s">
        <v>8890</v>
      </c>
      <c r="K256" s="13" t="s">
        <v>8418</v>
      </c>
      <c r="L256" s="13" t="s">
        <v>8893</v>
      </c>
      <c r="M256" t="s">
        <v>3</v>
      </c>
    </row>
    <row r="257" spans="1:13" x14ac:dyDescent="0.25">
      <c r="A257" s="13" t="s">
        <v>802</v>
      </c>
      <c r="B257" s="13" t="s">
        <v>803</v>
      </c>
      <c r="C257" s="13" t="s">
        <v>804</v>
      </c>
      <c r="D257" s="13">
        <v>2.7</v>
      </c>
      <c r="E257" s="13" t="s">
        <v>805</v>
      </c>
      <c r="F257" s="13" t="s">
        <v>8863</v>
      </c>
      <c r="G257" s="13" t="s">
        <v>2</v>
      </c>
      <c r="H257" s="13" t="s">
        <v>3</v>
      </c>
      <c r="I257" s="13" t="s">
        <v>806</v>
      </c>
      <c r="J257" s="13" t="s">
        <v>8890</v>
      </c>
      <c r="K257" s="13" t="s">
        <v>8511</v>
      </c>
      <c r="L257" s="13" t="s">
        <v>8956</v>
      </c>
      <c r="M257" t="s">
        <v>3</v>
      </c>
    </row>
    <row r="258" spans="1:13" x14ac:dyDescent="0.25">
      <c r="A258" s="13" t="s">
        <v>807</v>
      </c>
      <c r="B258" s="13" t="s">
        <v>807</v>
      </c>
      <c r="C258" s="13" t="s">
        <v>807</v>
      </c>
      <c r="D258" s="13">
        <v>0.2</v>
      </c>
      <c r="E258" s="13" t="s">
        <v>808</v>
      </c>
      <c r="F258" s="13" t="s">
        <v>8863</v>
      </c>
      <c r="G258" s="13" t="s">
        <v>2</v>
      </c>
      <c r="H258" s="13" t="s">
        <v>3</v>
      </c>
      <c r="I258" s="13" t="s">
        <v>809</v>
      </c>
      <c r="J258" s="13" t="s">
        <v>8890</v>
      </c>
      <c r="K258" s="13" t="s">
        <v>8512</v>
      </c>
      <c r="L258" s="13" t="s">
        <v>8893</v>
      </c>
      <c r="M258" t="s">
        <v>3</v>
      </c>
    </row>
    <row r="259" spans="1:13" x14ac:dyDescent="0.25">
      <c r="A259" s="13" t="s">
        <v>810</v>
      </c>
      <c r="B259" s="13" t="s">
        <v>810</v>
      </c>
      <c r="C259" s="13" t="s">
        <v>811</v>
      </c>
      <c r="D259" s="13">
        <v>94.1</v>
      </c>
      <c r="E259" s="13" t="s">
        <v>812</v>
      </c>
      <c r="F259" s="13" t="s">
        <v>8861</v>
      </c>
      <c r="G259" s="13" t="s">
        <v>2</v>
      </c>
      <c r="H259" s="13" t="s">
        <v>3</v>
      </c>
      <c r="I259" s="13" t="s">
        <v>813</v>
      </c>
      <c r="J259" s="13" t="s">
        <v>8890</v>
      </c>
      <c r="K259" s="13" t="s">
        <v>8443</v>
      </c>
      <c r="L259" s="13" t="s">
        <v>8891</v>
      </c>
      <c r="M259" t="s">
        <v>3</v>
      </c>
    </row>
    <row r="260" spans="1:13" ht="26.25" x14ac:dyDescent="0.25">
      <c r="A260" s="13" t="s">
        <v>814</v>
      </c>
      <c r="B260" s="13" t="s">
        <v>815</v>
      </c>
      <c r="C260" s="13" t="s">
        <v>816</v>
      </c>
      <c r="D260" s="13">
        <v>0.1</v>
      </c>
      <c r="E260" s="13" t="s">
        <v>817</v>
      </c>
      <c r="F260" s="13" t="s">
        <v>8860</v>
      </c>
      <c r="G260" s="13" t="s">
        <v>19</v>
      </c>
      <c r="H260" s="13" t="s">
        <v>3</v>
      </c>
      <c r="I260" s="13" t="s">
        <v>815</v>
      </c>
      <c r="J260" s="13" t="s">
        <v>21</v>
      </c>
      <c r="K260" s="13" t="s">
        <v>8513</v>
      </c>
      <c r="L260" s="13" t="s">
        <v>18</v>
      </c>
      <c r="M260" t="s">
        <v>3</v>
      </c>
    </row>
    <row r="261" spans="1:13" x14ac:dyDescent="0.25">
      <c r="A261" s="13" t="s">
        <v>10840</v>
      </c>
      <c r="B261" s="13" t="s">
        <v>10841</v>
      </c>
      <c r="C261" s="13" t="s">
        <v>10842</v>
      </c>
      <c r="D261" s="13">
        <v>2</v>
      </c>
      <c r="E261" s="13" t="s">
        <v>10843</v>
      </c>
      <c r="F261" s="13" t="s">
        <v>8872</v>
      </c>
      <c r="G261" s="13" t="s">
        <v>2</v>
      </c>
      <c r="H261" s="13" t="s">
        <v>3</v>
      </c>
      <c r="I261" s="13" t="s">
        <v>517</v>
      </c>
      <c r="J261" s="13" t="s">
        <v>8890</v>
      </c>
      <c r="K261" s="13" t="s">
        <v>8477</v>
      </c>
      <c r="L261" s="13" t="s">
        <v>556</v>
      </c>
      <c r="M261" t="s">
        <v>3</v>
      </c>
    </row>
    <row r="262" spans="1:13" ht="26.25" x14ac:dyDescent="0.25">
      <c r="A262" s="13" t="s">
        <v>818</v>
      </c>
      <c r="B262" s="13" t="s">
        <v>819</v>
      </c>
      <c r="C262" s="13" t="s">
        <v>820</v>
      </c>
      <c r="D262" s="13">
        <v>1.5</v>
      </c>
      <c r="E262" s="13" t="s">
        <v>821</v>
      </c>
      <c r="F262" s="13" t="s">
        <v>275</v>
      </c>
      <c r="G262" s="13" t="s">
        <v>19</v>
      </c>
      <c r="H262" s="13" t="s">
        <v>3</v>
      </c>
      <c r="I262" s="13" t="s">
        <v>822</v>
      </c>
      <c r="J262" s="13" t="s">
        <v>276</v>
      </c>
      <c r="K262" s="13" t="s">
        <v>8514</v>
      </c>
      <c r="L262" s="13" t="s">
        <v>275</v>
      </c>
      <c r="M262" t="s">
        <v>3</v>
      </c>
    </row>
    <row r="263" spans="1:13" ht="26.25" x14ac:dyDescent="0.25">
      <c r="A263" s="13" t="s">
        <v>823</v>
      </c>
      <c r="B263" s="13" t="s">
        <v>824</v>
      </c>
      <c r="C263" s="13" t="s">
        <v>825</v>
      </c>
      <c r="D263" s="13">
        <v>0.1</v>
      </c>
      <c r="E263" s="13" t="s">
        <v>826</v>
      </c>
      <c r="F263" s="13" t="s">
        <v>8860</v>
      </c>
      <c r="G263" s="13" t="s">
        <v>19</v>
      </c>
      <c r="H263" s="13" t="s">
        <v>3</v>
      </c>
      <c r="I263" s="13" t="s">
        <v>827</v>
      </c>
      <c r="J263" s="13" t="s">
        <v>21</v>
      </c>
      <c r="K263" s="13" t="s">
        <v>825</v>
      </c>
      <c r="L263" s="13" t="s">
        <v>18</v>
      </c>
      <c r="M263" t="s">
        <v>3</v>
      </c>
    </row>
    <row r="264" spans="1:13" ht="26.25" x14ac:dyDescent="0.25">
      <c r="A264" s="13" t="s">
        <v>828</v>
      </c>
      <c r="B264" s="13" t="s">
        <v>829</v>
      </c>
      <c r="C264" s="13" t="s">
        <v>830</v>
      </c>
      <c r="D264" s="13">
        <v>0.1</v>
      </c>
      <c r="E264" s="13" t="s">
        <v>831</v>
      </c>
      <c r="F264" s="13" t="s">
        <v>8860</v>
      </c>
      <c r="G264" s="13" t="s">
        <v>19</v>
      </c>
      <c r="H264" s="13" t="s">
        <v>3</v>
      </c>
      <c r="I264" s="13" t="s">
        <v>832</v>
      </c>
      <c r="J264" s="13" t="s">
        <v>21</v>
      </c>
      <c r="K264" s="13" t="s">
        <v>8515</v>
      </c>
      <c r="L264" s="13" t="s">
        <v>18</v>
      </c>
      <c r="M264" t="s">
        <v>3</v>
      </c>
    </row>
    <row r="265" spans="1:13" x14ac:dyDescent="0.25">
      <c r="A265" s="13" t="s">
        <v>833</v>
      </c>
      <c r="B265" s="13" t="s">
        <v>834</v>
      </c>
      <c r="C265" s="13" t="s">
        <v>835</v>
      </c>
      <c r="D265" s="13">
        <v>4.3</v>
      </c>
      <c r="E265" s="13" t="s">
        <v>836</v>
      </c>
      <c r="F265" s="13" t="s">
        <v>8867</v>
      </c>
      <c r="G265" s="13" t="s">
        <v>2</v>
      </c>
      <c r="H265" s="13" t="s">
        <v>3</v>
      </c>
      <c r="I265" s="13" t="s">
        <v>832</v>
      </c>
      <c r="J265" s="13" t="s">
        <v>8890</v>
      </c>
      <c r="K265" s="13" t="s">
        <v>8515</v>
      </c>
      <c r="L265" s="13" t="s">
        <v>158</v>
      </c>
      <c r="M265" t="s">
        <v>3</v>
      </c>
    </row>
    <row r="266" spans="1:13" x14ac:dyDescent="0.25">
      <c r="A266" s="13" t="s">
        <v>837</v>
      </c>
      <c r="B266" s="13" t="s">
        <v>837</v>
      </c>
      <c r="C266" s="13" t="s">
        <v>837</v>
      </c>
      <c r="D266" s="13">
        <v>4.2</v>
      </c>
      <c r="E266" s="13" t="s">
        <v>838</v>
      </c>
      <c r="F266" s="13" t="s">
        <v>8867</v>
      </c>
      <c r="G266" s="13" t="s">
        <v>2</v>
      </c>
      <c r="H266" s="13" t="s">
        <v>3</v>
      </c>
      <c r="I266" s="13" t="s">
        <v>517</v>
      </c>
      <c r="J266" s="13" t="s">
        <v>8890</v>
      </c>
      <c r="K266" s="13" t="s">
        <v>8477</v>
      </c>
      <c r="L266" s="13" t="s">
        <v>158</v>
      </c>
      <c r="M266" t="s">
        <v>3</v>
      </c>
    </row>
    <row r="267" spans="1:13" ht="26.25" x14ac:dyDescent="0.25">
      <c r="A267" s="13" t="s">
        <v>839</v>
      </c>
      <c r="B267" s="13" t="s">
        <v>839</v>
      </c>
      <c r="C267" s="13" t="s">
        <v>839</v>
      </c>
      <c r="D267" s="13">
        <v>40.700000000000003</v>
      </c>
      <c r="E267" s="13" t="s">
        <v>840</v>
      </c>
      <c r="F267" s="13" t="s">
        <v>8867</v>
      </c>
      <c r="G267" s="13" t="s">
        <v>2</v>
      </c>
      <c r="H267" s="13" t="s">
        <v>3</v>
      </c>
      <c r="I267" s="13" t="s">
        <v>832</v>
      </c>
      <c r="J267" s="13" t="s">
        <v>8890</v>
      </c>
      <c r="K267" s="13" t="s">
        <v>8515</v>
      </c>
      <c r="L267" s="13" t="s">
        <v>158</v>
      </c>
      <c r="M267" t="s">
        <v>3</v>
      </c>
    </row>
    <row r="268" spans="1:13" x14ac:dyDescent="0.25">
      <c r="A268" s="13" t="s">
        <v>841</v>
      </c>
      <c r="B268" s="13" t="s">
        <v>841</v>
      </c>
      <c r="C268" s="13" t="s">
        <v>841</v>
      </c>
      <c r="D268" s="13">
        <v>40.700000000000003</v>
      </c>
      <c r="E268" s="13" t="s">
        <v>842</v>
      </c>
      <c r="F268" s="13" t="s">
        <v>8867</v>
      </c>
      <c r="G268" s="13" t="s">
        <v>2</v>
      </c>
      <c r="H268" s="13" t="s">
        <v>3</v>
      </c>
      <c r="I268" s="13" t="s">
        <v>832</v>
      </c>
      <c r="J268" s="13" t="s">
        <v>8890</v>
      </c>
      <c r="K268" s="13" t="s">
        <v>8515</v>
      </c>
      <c r="L268" s="13" t="s">
        <v>158</v>
      </c>
      <c r="M268" t="s">
        <v>3</v>
      </c>
    </row>
    <row r="269" spans="1:13" x14ac:dyDescent="0.25">
      <c r="A269" s="13" t="s">
        <v>843</v>
      </c>
      <c r="B269" s="13" t="s">
        <v>843</v>
      </c>
      <c r="C269" s="13" t="s">
        <v>843</v>
      </c>
      <c r="D269" s="13">
        <v>40.200000000000003</v>
      </c>
      <c r="E269" s="13" t="s">
        <v>844</v>
      </c>
      <c r="F269" s="13" t="s">
        <v>8867</v>
      </c>
      <c r="G269" s="13" t="s">
        <v>2</v>
      </c>
      <c r="H269" s="13" t="s">
        <v>3</v>
      </c>
      <c r="I269" s="13" t="s">
        <v>832</v>
      </c>
      <c r="J269" s="13" t="s">
        <v>8890</v>
      </c>
      <c r="K269" s="13" t="s">
        <v>8515</v>
      </c>
      <c r="L269" s="13" t="s">
        <v>158</v>
      </c>
      <c r="M269" t="s">
        <v>3</v>
      </c>
    </row>
    <row r="270" spans="1:13" x14ac:dyDescent="0.25">
      <c r="A270" s="13" t="s">
        <v>845</v>
      </c>
      <c r="B270" s="13" t="s">
        <v>845</v>
      </c>
      <c r="C270" s="13" t="s">
        <v>845</v>
      </c>
      <c r="D270" s="13">
        <v>10</v>
      </c>
      <c r="E270" s="13" t="s">
        <v>846</v>
      </c>
      <c r="F270" s="13" t="s">
        <v>8867</v>
      </c>
      <c r="G270" s="13" t="s">
        <v>2</v>
      </c>
      <c r="H270" s="13" t="s">
        <v>3</v>
      </c>
      <c r="I270" s="13" t="s">
        <v>832</v>
      </c>
      <c r="J270" s="13" t="s">
        <v>8890</v>
      </c>
      <c r="K270" s="13" t="s">
        <v>8515</v>
      </c>
      <c r="L270" s="13" t="s">
        <v>158</v>
      </c>
      <c r="M270" t="s">
        <v>3</v>
      </c>
    </row>
    <row r="271" spans="1:13" ht="26.25" x14ac:dyDescent="0.25">
      <c r="A271" s="13" t="s">
        <v>847</v>
      </c>
      <c r="B271" s="13" t="s">
        <v>847</v>
      </c>
      <c r="C271" s="13" t="s">
        <v>847</v>
      </c>
      <c r="D271" s="13">
        <v>16.8</v>
      </c>
      <c r="E271" s="13" t="s">
        <v>848</v>
      </c>
      <c r="F271" s="13" t="s">
        <v>8867</v>
      </c>
      <c r="G271" s="13" t="s">
        <v>2</v>
      </c>
      <c r="H271" s="13" t="s">
        <v>3</v>
      </c>
      <c r="I271" s="13" t="s">
        <v>832</v>
      </c>
      <c r="J271" s="13" t="s">
        <v>8890</v>
      </c>
      <c r="K271" s="13" t="s">
        <v>8515</v>
      </c>
      <c r="L271" s="13" t="s">
        <v>158</v>
      </c>
      <c r="M271" t="s">
        <v>3</v>
      </c>
    </row>
    <row r="272" spans="1:13" x14ac:dyDescent="0.25">
      <c r="A272" s="13" t="s">
        <v>849</v>
      </c>
      <c r="B272" s="13" t="s">
        <v>849</v>
      </c>
      <c r="C272" s="13" t="s">
        <v>849</v>
      </c>
      <c r="D272" s="13">
        <v>16.8</v>
      </c>
      <c r="E272" s="13" t="s">
        <v>850</v>
      </c>
      <c r="F272" s="13" t="s">
        <v>8867</v>
      </c>
      <c r="G272" s="13" t="s">
        <v>2</v>
      </c>
      <c r="H272" s="13" t="s">
        <v>3</v>
      </c>
      <c r="I272" s="13" t="s">
        <v>832</v>
      </c>
      <c r="J272" s="13" t="s">
        <v>8890</v>
      </c>
      <c r="K272" s="13" t="s">
        <v>8515</v>
      </c>
      <c r="L272" s="13" t="s">
        <v>158</v>
      </c>
      <c r="M272" t="s">
        <v>3</v>
      </c>
    </row>
    <row r="273" spans="1:13" x14ac:dyDescent="0.25">
      <c r="A273" s="13" t="s">
        <v>851</v>
      </c>
      <c r="B273" s="13" t="s">
        <v>851</v>
      </c>
      <c r="C273" s="13" t="s">
        <v>851</v>
      </c>
      <c r="D273" s="13">
        <v>22.4</v>
      </c>
      <c r="E273" s="13" t="s">
        <v>852</v>
      </c>
      <c r="F273" s="13" t="s">
        <v>8867</v>
      </c>
      <c r="G273" s="13" t="s">
        <v>2</v>
      </c>
      <c r="H273" s="13" t="s">
        <v>3</v>
      </c>
      <c r="I273" s="13" t="s">
        <v>832</v>
      </c>
      <c r="J273" s="13" t="s">
        <v>8890</v>
      </c>
      <c r="K273" s="13" t="s">
        <v>8515</v>
      </c>
      <c r="L273" s="13" t="s">
        <v>158</v>
      </c>
      <c r="M273" t="s">
        <v>3</v>
      </c>
    </row>
    <row r="274" spans="1:13" x14ac:dyDescent="0.25">
      <c r="A274" s="13" t="s">
        <v>9624</v>
      </c>
      <c r="B274" s="13" t="s">
        <v>9624</v>
      </c>
      <c r="C274" s="13" t="s">
        <v>9624</v>
      </c>
      <c r="D274" s="13">
        <v>39</v>
      </c>
      <c r="E274" s="13" t="s">
        <v>9625</v>
      </c>
      <c r="F274" s="13" t="s">
        <v>8867</v>
      </c>
      <c r="G274" s="13" t="s">
        <v>2</v>
      </c>
      <c r="H274" s="13" t="s">
        <v>3</v>
      </c>
      <c r="I274" s="13" t="s">
        <v>832</v>
      </c>
      <c r="J274" s="13" t="s">
        <v>8890</v>
      </c>
      <c r="K274" s="13" t="s">
        <v>8515</v>
      </c>
      <c r="L274" s="13" t="s">
        <v>158</v>
      </c>
      <c r="M274" t="s">
        <v>3</v>
      </c>
    </row>
    <row r="275" spans="1:13" x14ac:dyDescent="0.25">
      <c r="A275" s="13" t="s">
        <v>11172</v>
      </c>
      <c r="B275" s="13" t="s">
        <v>11172</v>
      </c>
      <c r="C275" s="13" t="s">
        <v>11172</v>
      </c>
      <c r="D275" s="13">
        <v>17.100000000000001</v>
      </c>
      <c r="E275" s="13" t="s">
        <v>11173</v>
      </c>
      <c r="F275" s="13" t="s">
        <v>8867</v>
      </c>
      <c r="G275" s="13" t="s">
        <v>2</v>
      </c>
      <c r="H275" s="13" t="s">
        <v>3</v>
      </c>
      <c r="I275" s="13" t="s">
        <v>832</v>
      </c>
      <c r="J275" s="13" t="s">
        <v>8890</v>
      </c>
      <c r="K275" s="13" t="s">
        <v>8515</v>
      </c>
      <c r="L275" s="13" t="s">
        <v>158</v>
      </c>
      <c r="M275" t="s">
        <v>3</v>
      </c>
    </row>
    <row r="276" spans="1:13" ht="26.25" x14ac:dyDescent="0.25">
      <c r="A276" s="13" t="s">
        <v>853</v>
      </c>
      <c r="B276" s="13" t="s">
        <v>853</v>
      </c>
      <c r="C276" s="13" t="s">
        <v>853</v>
      </c>
      <c r="D276" s="14">
        <v>9999</v>
      </c>
      <c r="E276" s="13" t="s">
        <v>854</v>
      </c>
      <c r="F276" s="13" t="s">
        <v>855</v>
      </c>
      <c r="G276" s="13" t="s">
        <v>19</v>
      </c>
      <c r="H276" s="13" t="s">
        <v>3</v>
      </c>
      <c r="I276" s="13" t="s">
        <v>832</v>
      </c>
      <c r="J276" s="13" t="s">
        <v>856</v>
      </c>
      <c r="K276" s="13" t="s">
        <v>8515</v>
      </c>
      <c r="L276" s="13" t="s">
        <v>855</v>
      </c>
      <c r="M276" t="s">
        <v>3</v>
      </c>
    </row>
    <row r="277" spans="1:13" ht="26.25" x14ac:dyDescent="0.25">
      <c r="A277" s="13" t="s">
        <v>857</v>
      </c>
      <c r="B277" s="13" t="s">
        <v>857</v>
      </c>
      <c r="C277" s="13" t="s">
        <v>857</v>
      </c>
      <c r="D277" s="14">
        <v>9999</v>
      </c>
      <c r="E277" s="13" t="s">
        <v>858</v>
      </c>
      <c r="F277" s="13" t="s">
        <v>855</v>
      </c>
      <c r="G277" s="13" t="s">
        <v>2</v>
      </c>
      <c r="H277" s="13" t="s">
        <v>3</v>
      </c>
      <c r="I277" s="13" t="s">
        <v>832</v>
      </c>
      <c r="J277" s="13" t="s">
        <v>856</v>
      </c>
      <c r="K277" s="13" t="s">
        <v>8515</v>
      </c>
      <c r="L277" s="13" t="s">
        <v>855</v>
      </c>
      <c r="M277" t="s">
        <v>3</v>
      </c>
    </row>
    <row r="278" spans="1:13" ht="26.25" x14ac:dyDescent="0.25">
      <c r="A278" s="13" t="s">
        <v>859</v>
      </c>
      <c r="B278" s="13" t="s">
        <v>860</v>
      </c>
      <c r="C278" s="13" t="s">
        <v>861</v>
      </c>
      <c r="D278" s="13">
        <v>41.5</v>
      </c>
      <c r="E278" s="13" t="s">
        <v>862</v>
      </c>
      <c r="F278" s="13" t="s">
        <v>8869</v>
      </c>
      <c r="G278" s="13" t="s">
        <v>2</v>
      </c>
      <c r="H278" s="13" t="s">
        <v>3</v>
      </c>
      <c r="I278" s="13" t="s">
        <v>4522</v>
      </c>
      <c r="J278" s="13" t="s">
        <v>8890</v>
      </c>
      <c r="K278" s="13" t="s">
        <v>8514</v>
      </c>
      <c r="L278" s="13" t="s">
        <v>8918</v>
      </c>
      <c r="M278" t="s">
        <v>3</v>
      </c>
    </row>
    <row r="279" spans="1:13" x14ac:dyDescent="0.25">
      <c r="A279" s="13" t="s">
        <v>863</v>
      </c>
      <c r="B279" s="13" t="s">
        <v>863</v>
      </c>
      <c r="C279" s="13" t="s">
        <v>864</v>
      </c>
      <c r="D279" s="13">
        <v>5.0999999999999996</v>
      </c>
      <c r="E279" s="13" t="s">
        <v>865</v>
      </c>
      <c r="F279" s="13" t="s">
        <v>8865</v>
      </c>
      <c r="G279" s="13" t="s">
        <v>2</v>
      </c>
      <c r="H279" s="13" t="s">
        <v>3</v>
      </c>
      <c r="I279" s="13" t="s">
        <v>497</v>
      </c>
      <c r="J279" s="13" t="s">
        <v>8890</v>
      </c>
      <c r="K279" s="13" t="s">
        <v>8475</v>
      </c>
      <c r="L279" s="13" t="s">
        <v>8901</v>
      </c>
      <c r="M279" t="s">
        <v>3</v>
      </c>
    </row>
    <row r="280" spans="1:13" ht="26.25" x14ac:dyDescent="0.25">
      <c r="A280" s="13" t="s">
        <v>866</v>
      </c>
      <c r="B280" s="13" t="s">
        <v>866</v>
      </c>
      <c r="C280" s="13" t="s">
        <v>867</v>
      </c>
      <c r="D280" s="13">
        <v>5</v>
      </c>
      <c r="E280" s="13" t="s">
        <v>868</v>
      </c>
      <c r="F280" s="13" t="s">
        <v>8860</v>
      </c>
      <c r="G280" s="13" t="s">
        <v>19</v>
      </c>
      <c r="H280" s="13" t="s">
        <v>3</v>
      </c>
      <c r="I280" s="13" t="s">
        <v>723</v>
      </c>
      <c r="J280" s="13" t="s">
        <v>21</v>
      </c>
      <c r="K280" s="13" t="s">
        <v>8502</v>
      </c>
      <c r="L280" s="13" t="s">
        <v>18</v>
      </c>
      <c r="M280" t="s">
        <v>3</v>
      </c>
    </row>
    <row r="281" spans="1:13" ht="26.25" x14ac:dyDescent="0.25">
      <c r="A281" s="13" t="s">
        <v>869</v>
      </c>
      <c r="B281" s="13" t="s">
        <v>869</v>
      </c>
      <c r="C281" s="13" t="s">
        <v>870</v>
      </c>
      <c r="D281" s="13">
        <v>10.5</v>
      </c>
      <c r="E281" s="13" t="s">
        <v>871</v>
      </c>
      <c r="F281" s="13" t="s">
        <v>8860</v>
      </c>
      <c r="G281" s="13" t="s">
        <v>19</v>
      </c>
      <c r="H281" s="13" t="s">
        <v>3</v>
      </c>
      <c r="I281" s="13" t="s">
        <v>224</v>
      </c>
      <c r="J281" s="13" t="s">
        <v>21</v>
      </c>
      <c r="K281" s="13" t="s">
        <v>8452</v>
      </c>
      <c r="L281" s="13" t="s">
        <v>18</v>
      </c>
      <c r="M281" t="s">
        <v>3</v>
      </c>
    </row>
    <row r="282" spans="1:13" ht="26.25" x14ac:dyDescent="0.25">
      <c r="A282" s="13" t="s">
        <v>872</v>
      </c>
      <c r="B282" s="13" t="s">
        <v>872</v>
      </c>
      <c r="C282" s="13" t="s">
        <v>872</v>
      </c>
      <c r="D282" s="13">
        <v>1</v>
      </c>
      <c r="E282" s="13" t="s">
        <v>873</v>
      </c>
      <c r="F282" s="13" t="s">
        <v>8860</v>
      </c>
      <c r="G282" s="13" t="s">
        <v>19</v>
      </c>
      <c r="H282" s="13" t="s">
        <v>3</v>
      </c>
      <c r="I282" s="13" t="s">
        <v>874</v>
      </c>
      <c r="J282" s="13" t="s">
        <v>21</v>
      </c>
      <c r="K282" s="13" t="s">
        <v>8516</v>
      </c>
      <c r="L282" s="13" t="s">
        <v>18</v>
      </c>
      <c r="M282" t="s">
        <v>3</v>
      </c>
    </row>
    <row r="283" spans="1:13" ht="26.25" x14ac:dyDescent="0.25">
      <c r="A283" s="13" t="s">
        <v>875</v>
      </c>
      <c r="B283" s="13" t="s">
        <v>876</v>
      </c>
      <c r="C283" s="13" t="s">
        <v>877</v>
      </c>
      <c r="D283" s="13">
        <v>6.7</v>
      </c>
      <c r="E283" s="13" t="s">
        <v>878</v>
      </c>
      <c r="F283" s="13" t="s">
        <v>8860</v>
      </c>
      <c r="G283" s="13" t="s">
        <v>19</v>
      </c>
      <c r="H283" s="13" t="s">
        <v>3</v>
      </c>
      <c r="I283" s="13" t="s">
        <v>879</v>
      </c>
      <c r="J283" s="13" t="s">
        <v>21</v>
      </c>
      <c r="K283" s="13" t="s">
        <v>8517</v>
      </c>
      <c r="L283" s="13" t="s">
        <v>18</v>
      </c>
      <c r="M283" t="s">
        <v>3</v>
      </c>
    </row>
    <row r="284" spans="1:13" x14ac:dyDescent="0.25">
      <c r="A284" s="13" t="s">
        <v>880</v>
      </c>
      <c r="B284" s="13" t="s">
        <v>881</v>
      </c>
      <c r="C284" s="13" t="s">
        <v>882</v>
      </c>
      <c r="D284" s="13">
        <v>1063.9000000000001</v>
      </c>
      <c r="E284" s="13" t="s">
        <v>883</v>
      </c>
      <c r="F284" s="13" t="s">
        <v>262</v>
      </c>
      <c r="G284" s="13" t="s">
        <v>2</v>
      </c>
      <c r="H284" s="13" t="s">
        <v>3</v>
      </c>
      <c r="I284" s="13" t="s">
        <v>263</v>
      </c>
      <c r="J284" s="13" t="s">
        <v>8890</v>
      </c>
      <c r="K284" s="13" t="s">
        <v>8429</v>
      </c>
      <c r="L284" s="13" t="s">
        <v>262</v>
      </c>
      <c r="M284" t="s">
        <v>3</v>
      </c>
    </row>
    <row r="285" spans="1:13" x14ac:dyDescent="0.25">
      <c r="A285" s="13" t="s">
        <v>884</v>
      </c>
      <c r="B285" s="13" t="s">
        <v>884</v>
      </c>
      <c r="C285" s="13" t="s">
        <v>885</v>
      </c>
      <c r="D285" s="14">
        <v>75.7</v>
      </c>
      <c r="E285" s="13" t="s">
        <v>886</v>
      </c>
      <c r="F285" s="13" t="s">
        <v>8865</v>
      </c>
      <c r="G285" s="13" t="s">
        <v>2</v>
      </c>
      <c r="H285" s="13" t="s">
        <v>3</v>
      </c>
      <c r="I285" s="13" t="s">
        <v>164</v>
      </c>
      <c r="J285" s="13" t="s">
        <v>8890</v>
      </c>
      <c r="K285" s="13" t="s">
        <v>8443</v>
      </c>
      <c r="L285" s="13" t="s">
        <v>8901</v>
      </c>
      <c r="M285" t="s">
        <v>3</v>
      </c>
    </row>
    <row r="286" spans="1:13" ht="26.25" x14ac:dyDescent="0.25">
      <c r="A286" s="13" t="s">
        <v>887</v>
      </c>
      <c r="B286" s="13" t="s">
        <v>887</v>
      </c>
      <c r="C286" s="13" t="s">
        <v>887</v>
      </c>
      <c r="D286" s="13">
        <v>1</v>
      </c>
      <c r="E286" s="13" t="s">
        <v>888</v>
      </c>
      <c r="F286" s="13" t="s">
        <v>8865</v>
      </c>
      <c r="G286" s="13" t="s">
        <v>2</v>
      </c>
      <c r="H286" s="13" t="s">
        <v>3</v>
      </c>
      <c r="I286" s="13" t="s">
        <v>429</v>
      </c>
      <c r="J286" s="13" t="s">
        <v>8890</v>
      </c>
      <c r="K286" s="13" t="s">
        <v>6051</v>
      </c>
      <c r="L286" s="13" t="s">
        <v>8901</v>
      </c>
      <c r="M286" t="s">
        <v>3</v>
      </c>
    </row>
    <row r="287" spans="1:13" x14ac:dyDescent="0.25">
      <c r="A287" s="13" t="s">
        <v>889</v>
      </c>
      <c r="B287" s="13" t="s">
        <v>889</v>
      </c>
      <c r="C287" s="13" t="s">
        <v>889</v>
      </c>
      <c r="D287" s="13">
        <v>2</v>
      </c>
      <c r="E287" s="13" t="s">
        <v>890</v>
      </c>
      <c r="F287" s="13" t="s">
        <v>8865</v>
      </c>
      <c r="G287" s="13" t="s">
        <v>2</v>
      </c>
      <c r="H287" s="13" t="s">
        <v>3</v>
      </c>
      <c r="I287" s="13" t="s">
        <v>228</v>
      </c>
      <c r="J287" s="13" t="s">
        <v>8890</v>
      </c>
      <c r="K287" s="13" t="s">
        <v>8418</v>
      </c>
      <c r="L287" s="13" t="s">
        <v>8901</v>
      </c>
      <c r="M287" t="s">
        <v>3</v>
      </c>
    </row>
    <row r="288" spans="1:13" x14ac:dyDescent="0.25">
      <c r="A288" s="13" t="s">
        <v>891</v>
      </c>
      <c r="B288" s="13" t="s">
        <v>891</v>
      </c>
      <c r="C288" s="13" t="s">
        <v>891</v>
      </c>
      <c r="D288" s="13">
        <v>1.7</v>
      </c>
      <c r="E288" s="13" t="s">
        <v>892</v>
      </c>
      <c r="F288" s="13" t="s">
        <v>8861</v>
      </c>
      <c r="G288" s="13" t="s">
        <v>2</v>
      </c>
      <c r="H288" s="13" t="s">
        <v>3</v>
      </c>
      <c r="I288" s="13" t="s">
        <v>228</v>
      </c>
      <c r="J288" s="13" t="s">
        <v>8890</v>
      </c>
      <c r="K288" s="13" t="s">
        <v>8418</v>
      </c>
      <c r="L288" s="13" t="s">
        <v>8891</v>
      </c>
      <c r="M288" t="s">
        <v>3</v>
      </c>
    </row>
    <row r="289" spans="1:13" x14ac:dyDescent="0.25">
      <c r="A289" s="13" t="s">
        <v>893</v>
      </c>
      <c r="B289" s="13" t="s">
        <v>893</v>
      </c>
      <c r="C289" s="13" t="s">
        <v>893</v>
      </c>
      <c r="D289" s="13">
        <v>13.6</v>
      </c>
      <c r="E289" s="13" t="s">
        <v>894</v>
      </c>
      <c r="F289" s="13" t="s">
        <v>8865</v>
      </c>
      <c r="G289" s="13" t="s">
        <v>2</v>
      </c>
      <c r="H289" s="13" t="s">
        <v>3</v>
      </c>
      <c r="I289" s="13" t="s">
        <v>429</v>
      </c>
      <c r="J289" s="13" t="s">
        <v>8890</v>
      </c>
      <c r="K289" s="13" t="s">
        <v>6051</v>
      </c>
      <c r="L289" s="13" t="s">
        <v>8901</v>
      </c>
      <c r="M289" t="s">
        <v>3</v>
      </c>
    </row>
    <row r="290" spans="1:13" x14ac:dyDescent="0.25">
      <c r="A290" s="13" t="s">
        <v>895</v>
      </c>
      <c r="B290" s="13" t="s">
        <v>895</v>
      </c>
      <c r="C290" s="13" t="s">
        <v>895</v>
      </c>
      <c r="D290" s="13">
        <v>5.5</v>
      </c>
      <c r="E290" s="13" t="s">
        <v>896</v>
      </c>
      <c r="F290" s="13" t="s">
        <v>8865</v>
      </c>
      <c r="G290" s="13" t="s">
        <v>2</v>
      </c>
      <c r="H290" s="13" t="s">
        <v>3</v>
      </c>
      <c r="I290" s="13" t="s">
        <v>429</v>
      </c>
      <c r="J290" s="13" t="s">
        <v>8890</v>
      </c>
      <c r="K290" s="13" t="s">
        <v>6051</v>
      </c>
      <c r="L290" s="13" t="s">
        <v>8901</v>
      </c>
      <c r="M290" t="s">
        <v>3</v>
      </c>
    </row>
    <row r="291" spans="1:13" x14ac:dyDescent="0.25">
      <c r="A291" s="13" t="s">
        <v>897</v>
      </c>
      <c r="B291" s="13" t="s">
        <v>897</v>
      </c>
      <c r="C291" s="13" t="s">
        <v>897</v>
      </c>
      <c r="D291" s="13">
        <v>0.9</v>
      </c>
      <c r="E291" s="13" t="s">
        <v>898</v>
      </c>
      <c r="F291" s="13" t="s">
        <v>8865</v>
      </c>
      <c r="G291" s="13" t="s">
        <v>2</v>
      </c>
      <c r="H291" s="13" t="s">
        <v>3</v>
      </c>
      <c r="I291" s="13" t="s">
        <v>429</v>
      </c>
      <c r="J291" s="13" t="s">
        <v>8890</v>
      </c>
      <c r="K291" s="13" t="s">
        <v>6051</v>
      </c>
      <c r="L291" s="13" t="s">
        <v>8901</v>
      </c>
      <c r="M291" t="s">
        <v>3</v>
      </c>
    </row>
    <row r="292" spans="1:13" x14ac:dyDescent="0.25">
      <c r="A292" s="13" t="s">
        <v>899</v>
      </c>
      <c r="B292" s="13" t="s">
        <v>899</v>
      </c>
      <c r="C292" s="13" t="s">
        <v>899</v>
      </c>
      <c r="D292" s="13">
        <v>18.399999999999999</v>
      </c>
      <c r="E292" s="13" t="s">
        <v>900</v>
      </c>
      <c r="F292" s="13" t="s">
        <v>8865</v>
      </c>
      <c r="G292" s="13" t="s">
        <v>2</v>
      </c>
      <c r="H292" s="13" t="s">
        <v>3</v>
      </c>
      <c r="I292" s="13" t="s">
        <v>429</v>
      </c>
      <c r="J292" s="13" t="s">
        <v>8890</v>
      </c>
      <c r="K292" s="13" t="s">
        <v>6051</v>
      </c>
      <c r="L292" s="13" t="s">
        <v>8901</v>
      </c>
      <c r="M292" t="s">
        <v>3</v>
      </c>
    </row>
    <row r="293" spans="1:13" x14ac:dyDescent="0.25">
      <c r="A293" s="13" t="s">
        <v>901</v>
      </c>
      <c r="B293" s="13" t="s">
        <v>901</v>
      </c>
      <c r="C293" s="13" t="s">
        <v>901</v>
      </c>
      <c r="D293" s="13">
        <v>1</v>
      </c>
      <c r="E293" s="13" t="s">
        <v>902</v>
      </c>
      <c r="F293" s="13" t="s">
        <v>8865</v>
      </c>
      <c r="G293" s="13" t="s">
        <v>2</v>
      </c>
      <c r="H293" s="13" t="s">
        <v>3</v>
      </c>
      <c r="I293" s="13" t="s">
        <v>429</v>
      </c>
      <c r="J293" s="13" t="s">
        <v>8890</v>
      </c>
      <c r="K293" s="13" t="s">
        <v>6051</v>
      </c>
      <c r="L293" s="13" t="s">
        <v>8901</v>
      </c>
      <c r="M293" t="s">
        <v>3</v>
      </c>
    </row>
    <row r="294" spans="1:13" x14ac:dyDescent="0.25">
      <c r="A294" s="13" t="s">
        <v>903</v>
      </c>
      <c r="B294" s="13" t="s">
        <v>903</v>
      </c>
      <c r="C294" s="13" t="s">
        <v>903</v>
      </c>
      <c r="D294" s="13">
        <v>6.9</v>
      </c>
      <c r="E294" s="13" t="s">
        <v>904</v>
      </c>
      <c r="F294" s="13" t="s">
        <v>8865</v>
      </c>
      <c r="G294" s="13" t="s">
        <v>2</v>
      </c>
      <c r="H294" s="13" t="s">
        <v>3</v>
      </c>
      <c r="I294" s="13" t="s">
        <v>429</v>
      </c>
      <c r="J294" s="13" t="s">
        <v>8890</v>
      </c>
      <c r="K294" s="13" t="s">
        <v>6051</v>
      </c>
      <c r="L294" s="13" t="s">
        <v>8901</v>
      </c>
      <c r="M294" t="s">
        <v>3</v>
      </c>
    </row>
    <row r="295" spans="1:13" ht="26.25" x14ac:dyDescent="0.25">
      <c r="A295" s="13" t="s">
        <v>905</v>
      </c>
      <c r="B295" s="13" t="s">
        <v>905</v>
      </c>
      <c r="C295" s="13" t="s">
        <v>905</v>
      </c>
      <c r="D295" s="13">
        <v>0.9</v>
      </c>
      <c r="E295" s="13" t="s">
        <v>906</v>
      </c>
      <c r="F295" s="13" t="s">
        <v>8865</v>
      </c>
      <c r="G295" s="13" t="s">
        <v>2</v>
      </c>
      <c r="H295" s="13" t="s">
        <v>3</v>
      </c>
      <c r="I295" s="13" t="s">
        <v>429</v>
      </c>
      <c r="J295" s="13" t="s">
        <v>8890</v>
      </c>
      <c r="K295" s="13" t="s">
        <v>6051</v>
      </c>
      <c r="L295" s="13" t="s">
        <v>8901</v>
      </c>
      <c r="M295" t="s">
        <v>3</v>
      </c>
    </row>
    <row r="296" spans="1:13" x14ac:dyDescent="0.25">
      <c r="A296" s="13" t="s">
        <v>907</v>
      </c>
      <c r="B296" s="13" t="s">
        <v>907</v>
      </c>
      <c r="C296" s="13" t="s">
        <v>907</v>
      </c>
      <c r="D296" s="13">
        <v>2.2000000000000002</v>
      </c>
      <c r="E296" s="13" t="s">
        <v>908</v>
      </c>
      <c r="F296" s="13" t="s">
        <v>8865</v>
      </c>
      <c r="G296" s="13" t="s">
        <v>2</v>
      </c>
      <c r="H296" s="13" t="s">
        <v>3</v>
      </c>
      <c r="I296" s="13" t="s">
        <v>429</v>
      </c>
      <c r="J296" s="13" t="s">
        <v>8890</v>
      </c>
      <c r="K296" s="13" t="s">
        <v>6051</v>
      </c>
      <c r="L296" s="13" t="s">
        <v>8901</v>
      </c>
      <c r="M296" t="s">
        <v>3</v>
      </c>
    </row>
    <row r="297" spans="1:13" x14ac:dyDescent="0.25">
      <c r="A297" s="13" t="s">
        <v>8977</v>
      </c>
      <c r="B297" s="13" t="s">
        <v>8977</v>
      </c>
      <c r="C297" s="13" t="s">
        <v>7840</v>
      </c>
      <c r="D297" s="13">
        <v>4.5999999999999996</v>
      </c>
      <c r="E297" s="13" t="s">
        <v>8978</v>
      </c>
      <c r="F297" s="13" t="s">
        <v>8865</v>
      </c>
      <c r="G297" s="13" t="s">
        <v>2</v>
      </c>
      <c r="H297" s="13" t="s">
        <v>3</v>
      </c>
      <c r="I297" s="13" t="s">
        <v>429</v>
      </c>
      <c r="J297" s="13" t="s">
        <v>8890</v>
      </c>
      <c r="K297" s="13" t="s">
        <v>6051</v>
      </c>
      <c r="L297" s="13" t="s">
        <v>8901</v>
      </c>
      <c r="M297" t="s">
        <v>3</v>
      </c>
    </row>
    <row r="298" spans="1:13" x14ac:dyDescent="0.25">
      <c r="A298" s="13" t="s">
        <v>909</v>
      </c>
      <c r="B298" s="13" t="s">
        <v>909</v>
      </c>
      <c r="C298" s="13" t="s">
        <v>909</v>
      </c>
      <c r="D298" s="13">
        <v>3</v>
      </c>
      <c r="E298" s="13" t="s">
        <v>910</v>
      </c>
      <c r="F298" s="13" t="s">
        <v>8865</v>
      </c>
      <c r="G298" s="13" t="s">
        <v>2</v>
      </c>
      <c r="H298" s="13" t="s">
        <v>3</v>
      </c>
      <c r="I298" s="13" t="s">
        <v>429</v>
      </c>
      <c r="J298" s="13" t="s">
        <v>8890</v>
      </c>
      <c r="K298" s="13" t="s">
        <v>6051</v>
      </c>
      <c r="L298" s="13" t="s">
        <v>8901</v>
      </c>
      <c r="M298" t="s">
        <v>3</v>
      </c>
    </row>
    <row r="299" spans="1:13" ht="26.25" x14ac:dyDescent="0.25">
      <c r="A299" s="13" t="s">
        <v>911</v>
      </c>
      <c r="B299" s="13" t="s">
        <v>911</v>
      </c>
      <c r="C299" s="13" t="s">
        <v>911</v>
      </c>
      <c r="D299" s="13">
        <v>1</v>
      </c>
      <c r="E299" s="13" t="s">
        <v>912</v>
      </c>
      <c r="F299" s="13" t="s">
        <v>8865</v>
      </c>
      <c r="G299" s="13" t="s">
        <v>2</v>
      </c>
      <c r="H299" s="13" t="s">
        <v>3</v>
      </c>
      <c r="I299" s="13" t="s">
        <v>429</v>
      </c>
      <c r="J299" s="13" t="s">
        <v>8890</v>
      </c>
      <c r="K299" s="13" t="s">
        <v>6051</v>
      </c>
      <c r="L299" s="13" t="s">
        <v>8901</v>
      </c>
      <c r="M299" t="s">
        <v>3</v>
      </c>
    </row>
    <row r="300" spans="1:13" x14ac:dyDescent="0.25">
      <c r="A300" s="13" t="s">
        <v>913</v>
      </c>
      <c r="B300" s="13" t="s">
        <v>913</v>
      </c>
      <c r="C300" s="13" t="s">
        <v>913</v>
      </c>
      <c r="D300" s="13">
        <v>9.9</v>
      </c>
      <c r="E300" s="13" t="s">
        <v>914</v>
      </c>
      <c r="F300" s="13" t="s">
        <v>8865</v>
      </c>
      <c r="G300" s="13" t="s">
        <v>2</v>
      </c>
      <c r="H300" s="13" t="s">
        <v>3</v>
      </c>
      <c r="I300" s="13" t="s">
        <v>429</v>
      </c>
      <c r="J300" s="13" t="s">
        <v>8890</v>
      </c>
      <c r="K300" s="13" t="s">
        <v>6051</v>
      </c>
      <c r="L300" s="13" t="s">
        <v>8901</v>
      </c>
      <c r="M300" t="s">
        <v>3</v>
      </c>
    </row>
    <row r="301" spans="1:13" x14ac:dyDescent="0.25">
      <c r="A301" s="13" t="s">
        <v>915</v>
      </c>
      <c r="B301" s="13" t="s">
        <v>915</v>
      </c>
      <c r="C301" s="13" t="s">
        <v>915</v>
      </c>
      <c r="D301" s="13">
        <v>5.2</v>
      </c>
      <c r="E301" s="13" t="s">
        <v>916</v>
      </c>
      <c r="F301" s="13" t="s">
        <v>8865</v>
      </c>
      <c r="G301" s="13" t="s">
        <v>2</v>
      </c>
      <c r="H301" s="13" t="s">
        <v>3</v>
      </c>
      <c r="I301" s="13" t="s">
        <v>429</v>
      </c>
      <c r="J301" s="13" t="s">
        <v>8890</v>
      </c>
      <c r="K301" s="13" t="s">
        <v>6051</v>
      </c>
      <c r="L301" s="13" t="s">
        <v>8901</v>
      </c>
      <c r="M301" t="s">
        <v>3</v>
      </c>
    </row>
    <row r="302" spans="1:13" x14ac:dyDescent="0.25">
      <c r="A302" s="13" t="s">
        <v>917</v>
      </c>
      <c r="B302" s="13" t="s">
        <v>917</v>
      </c>
      <c r="C302" s="13" t="s">
        <v>917</v>
      </c>
      <c r="D302" s="13">
        <v>3.4</v>
      </c>
      <c r="E302" s="13" t="s">
        <v>918</v>
      </c>
      <c r="F302" s="13" t="s">
        <v>8861</v>
      </c>
      <c r="G302" s="13" t="s">
        <v>2</v>
      </c>
      <c r="H302" s="13" t="s">
        <v>3</v>
      </c>
      <c r="I302" s="13" t="s">
        <v>429</v>
      </c>
      <c r="J302" s="13" t="s">
        <v>8890</v>
      </c>
      <c r="K302" s="13" t="s">
        <v>6051</v>
      </c>
      <c r="L302" s="13" t="s">
        <v>8891</v>
      </c>
      <c r="M302" t="s">
        <v>3</v>
      </c>
    </row>
    <row r="303" spans="1:13" x14ac:dyDescent="0.25">
      <c r="A303" s="13" t="s">
        <v>919</v>
      </c>
      <c r="B303" s="13" t="s">
        <v>919</v>
      </c>
      <c r="C303" s="13" t="s">
        <v>919</v>
      </c>
      <c r="D303" s="13">
        <v>1</v>
      </c>
      <c r="E303" s="13" t="s">
        <v>920</v>
      </c>
      <c r="F303" s="13" t="s">
        <v>8865</v>
      </c>
      <c r="G303" s="13" t="s">
        <v>2</v>
      </c>
      <c r="H303" s="13" t="s">
        <v>3</v>
      </c>
      <c r="I303" s="13" t="s">
        <v>429</v>
      </c>
      <c r="J303" s="13" t="s">
        <v>8890</v>
      </c>
      <c r="K303" s="13" t="s">
        <v>6051</v>
      </c>
      <c r="L303" s="13" t="s">
        <v>8901</v>
      </c>
      <c r="M303" t="s">
        <v>3</v>
      </c>
    </row>
    <row r="304" spans="1:13" x14ac:dyDescent="0.25">
      <c r="A304" s="13" t="s">
        <v>921</v>
      </c>
      <c r="B304" s="13" t="s">
        <v>921</v>
      </c>
      <c r="C304" s="13" t="s">
        <v>921</v>
      </c>
      <c r="D304" s="13">
        <v>3.5</v>
      </c>
      <c r="E304" s="13" t="s">
        <v>922</v>
      </c>
      <c r="F304" s="13" t="s">
        <v>8865</v>
      </c>
      <c r="G304" s="13" t="s">
        <v>2</v>
      </c>
      <c r="H304" s="13" t="s">
        <v>3</v>
      </c>
      <c r="I304" s="13" t="s">
        <v>429</v>
      </c>
      <c r="J304" s="13" t="s">
        <v>8890</v>
      </c>
      <c r="K304" s="13" t="s">
        <v>6051</v>
      </c>
      <c r="L304" s="13" t="s">
        <v>8901</v>
      </c>
      <c r="M304" t="s">
        <v>3</v>
      </c>
    </row>
    <row r="305" spans="1:13" x14ac:dyDescent="0.25">
      <c r="A305" s="13" t="s">
        <v>923</v>
      </c>
      <c r="B305" s="13" t="s">
        <v>923</v>
      </c>
      <c r="C305" s="13" t="s">
        <v>923</v>
      </c>
      <c r="D305" s="13">
        <v>1.1000000000000001</v>
      </c>
      <c r="E305" s="13" t="s">
        <v>924</v>
      </c>
      <c r="F305" s="13" t="s">
        <v>8872</v>
      </c>
      <c r="G305" s="13" t="s">
        <v>2</v>
      </c>
      <c r="H305" s="13" t="s">
        <v>3</v>
      </c>
      <c r="I305" s="13" t="s">
        <v>429</v>
      </c>
      <c r="J305" s="13" t="s">
        <v>8890</v>
      </c>
      <c r="K305" s="13" t="s">
        <v>6051</v>
      </c>
      <c r="L305" s="13" t="s">
        <v>556</v>
      </c>
      <c r="M305" t="s">
        <v>3</v>
      </c>
    </row>
    <row r="306" spans="1:13" ht="26.25" x14ac:dyDescent="0.25">
      <c r="A306" s="13" t="s">
        <v>925</v>
      </c>
      <c r="B306" s="13" t="s">
        <v>925</v>
      </c>
      <c r="C306" s="13" t="s">
        <v>925</v>
      </c>
      <c r="D306" s="13">
        <v>0.4</v>
      </c>
      <c r="E306" s="13" t="s">
        <v>926</v>
      </c>
      <c r="F306" s="13" t="s">
        <v>8865</v>
      </c>
      <c r="G306" s="13" t="s">
        <v>2</v>
      </c>
      <c r="H306" s="13" t="s">
        <v>3</v>
      </c>
      <c r="I306" s="13" t="s">
        <v>429</v>
      </c>
      <c r="J306" s="13" t="s">
        <v>8890</v>
      </c>
      <c r="K306" s="13" t="s">
        <v>6051</v>
      </c>
      <c r="L306" s="13" t="s">
        <v>8901</v>
      </c>
      <c r="M306" t="s">
        <v>3</v>
      </c>
    </row>
    <row r="307" spans="1:13" ht="26.25" x14ac:dyDescent="0.25">
      <c r="A307" s="13" t="s">
        <v>927</v>
      </c>
      <c r="B307" s="13" t="s">
        <v>927</v>
      </c>
      <c r="C307" s="13" t="s">
        <v>928</v>
      </c>
      <c r="D307" s="13">
        <v>1</v>
      </c>
      <c r="E307" s="13" t="s">
        <v>929</v>
      </c>
      <c r="F307" s="13" t="s">
        <v>8860</v>
      </c>
      <c r="G307" s="13" t="s">
        <v>19</v>
      </c>
      <c r="H307" s="13" t="s">
        <v>3</v>
      </c>
      <c r="I307" s="13" t="s">
        <v>115</v>
      </c>
      <c r="J307" s="13" t="s">
        <v>21</v>
      </c>
      <c r="K307" s="13" t="s">
        <v>928</v>
      </c>
      <c r="L307" s="13" t="s">
        <v>18</v>
      </c>
      <c r="M307" t="s">
        <v>3</v>
      </c>
    </row>
    <row r="308" spans="1:13" x14ac:dyDescent="0.25">
      <c r="A308" s="13" t="s">
        <v>930</v>
      </c>
      <c r="B308" s="13" t="s">
        <v>930</v>
      </c>
      <c r="C308" s="13" t="s">
        <v>930</v>
      </c>
      <c r="D308" s="13">
        <v>1</v>
      </c>
      <c r="E308" s="13" t="s">
        <v>931</v>
      </c>
      <c r="F308" s="13" t="s">
        <v>8865</v>
      </c>
      <c r="G308" s="13" t="s">
        <v>2</v>
      </c>
      <c r="H308" s="13" t="s">
        <v>3</v>
      </c>
      <c r="I308" s="13" t="s">
        <v>429</v>
      </c>
      <c r="J308" s="13" t="s">
        <v>8890</v>
      </c>
      <c r="K308" s="13" t="s">
        <v>6051</v>
      </c>
      <c r="L308" s="13" t="s">
        <v>8901</v>
      </c>
      <c r="M308" t="s">
        <v>3</v>
      </c>
    </row>
    <row r="309" spans="1:13" x14ac:dyDescent="0.25">
      <c r="A309" s="13" t="s">
        <v>932</v>
      </c>
      <c r="B309" s="13" t="s">
        <v>932</v>
      </c>
      <c r="C309" s="13" t="s">
        <v>932</v>
      </c>
      <c r="D309" s="13">
        <v>4.3</v>
      </c>
      <c r="E309" s="13" t="s">
        <v>933</v>
      </c>
      <c r="F309" s="13" t="s">
        <v>8865</v>
      </c>
      <c r="G309" s="13" t="s">
        <v>2</v>
      </c>
      <c r="H309" s="13" t="s">
        <v>3</v>
      </c>
      <c r="I309" s="13" t="s">
        <v>429</v>
      </c>
      <c r="J309" s="13" t="s">
        <v>8890</v>
      </c>
      <c r="K309" s="13" t="s">
        <v>6051</v>
      </c>
      <c r="L309" s="13" t="s">
        <v>8901</v>
      </c>
      <c r="M309" t="s">
        <v>3</v>
      </c>
    </row>
    <row r="310" spans="1:13" x14ac:dyDescent="0.25">
      <c r="A310" s="13" t="s">
        <v>934</v>
      </c>
      <c r="B310" s="13" t="s">
        <v>934</v>
      </c>
      <c r="C310" s="13" t="s">
        <v>934</v>
      </c>
      <c r="D310" s="13">
        <v>5.3</v>
      </c>
      <c r="E310" s="13" t="s">
        <v>935</v>
      </c>
      <c r="F310" s="13" t="s">
        <v>8865</v>
      </c>
      <c r="G310" s="13" t="s">
        <v>2</v>
      </c>
      <c r="H310" s="13" t="s">
        <v>3</v>
      </c>
      <c r="I310" s="13" t="s">
        <v>429</v>
      </c>
      <c r="J310" s="13" t="s">
        <v>8890</v>
      </c>
      <c r="K310" s="13" t="s">
        <v>6051</v>
      </c>
      <c r="L310" s="13" t="s">
        <v>8901</v>
      </c>
      <c r="M310" t="s">
        <v>3</v>
      </c>
    </row>
    <row r="311" spans="1:13" x14ac:dyDescent="0.25">
      <c r="A311" s="13" t="s">
        <v>936</v>
      </c>
      <c r="B311" s="13" t="s">
        <v>936</v>
      </c>
      <c r="C311" s="13" t="s">
        <v>936</v>
      </c>
      <c r="D311" s="13">
        <v>4</v>
      </c>
      <c r="E311" s="13" t="s">
        <v>937</v>
      </c>
      <c r="F311" s="13" t="s">
        <v>8865</v>
      </c>
      <c r="G311" s="13" t="s">
        <v>2</v>
      </c>
      <c r="H311" s="13" t="s">
        <v>3</v>
      </c>
      <c r="I311" s="13" t="s">
        <v>429</v>
      </c>
      <c r="J311" s="13" t="s">
        <v>8890</v>
      </c>
      <c r="K311" s="13" t="s">
        <v>6051</v>
      </c>
      <c r="L311" s="13" t="s">
        <v>8901</v>
      </c>
      <c r="M311" t="s">
        <v>3</v>
      </c>
    </row>
    <row r="312" spans="1:13" x14ac:dyDescent="0.25">
      <c r="A312" s="13" t="s">
        <v>938</v>
      </c>
      <c r="B312" s="13" t="s">
        <v>938</v>
      </c>
      <c r="C312" s="13" t="s">
        <v>938</v>
      </c>
      <c r="D312" s="13">
        <v>5.3</v>
      </c>
      <c r="E312" s="13" t="s">
        <v>939</v>
      </c>
      <c r="F312" s="13" t="s">
        <v>8865</v>
      </c>
      <c r="G312" s="13" t="s">
        <v>2</v>
      </c>
      <c r="H312" s="13" t="s">
        <v>3</v>
      </c>
      <c r="I312" s="13" t="s">
        <v>429</v>
      </c>
      <c r="J312" s="13" t="s">
        <v>8890</v>
      </c>
      <c r="K312" s="13" t="s">
        <v>6051</v>
      </c>
      <c r="L312" s="13" t="s">
        <v>8901</v>
      </c>
      <c r="M312" t="s">
        <v>3</v>
      </c>
    </row>
    <row r="313" spans="1:13" x14ac:dyDescent="0.25">
      <c r="A313" s="13" t="s">
        <v>940</v>
      </c>
      <c r="B313" s="13" t="s">
        <v>940</v>
      </c>
      <c r="C313" s="13" t="s">
        <v>940</v>
      </c>
      <c r="D313" s="13">
        <v>9.6</v>
      </c>
      <c r="E313" s="13" t="s">
        <v>941</v>
      </c>
      <c r="F313" s="13" t="s">
        <v>8865</v>
      </c>
      <c r="G313" s="13" t="s">
        <v>2</v>
      </c>
      <c r="H313" s="13" t="s">
        <v>3</v>
      </c>
      <c r="I313" s="13" t="s">
        <v>429</v>
      </c>
      <c r="J313" s="13" t="s">
        <v>8890</v>
      </c>
      <c r="K313" s="13" t="s">
        <v>6051</v>
      </c>
      <c r="L313" s="13" t="s">
        <v>8901</v>
      </c>
      <c r="M313" t="s">
        <v>3</v>
      </c>
    </row>
    <row r="314" spans="1:13" x14ac:dyDescent="0.25">
      <c r="A314" s="13" t="s">
        <v>942</v>
      </c>
      <c r="B314" s="13" t="s">
        <v>942</v>
      </c>
      <c r="C314" s="13" t="s">
        <v>942</v>
      </c>
      <c r="D314" s="13">
        <v>0.9</v>
      </c>
      <c r="E314" s="13" t="s">
        <v>943</v>
      </c>
      <c r="F314" s="13" t="s">
        <v>8865</v>
      </c>
      <c r="G314" s="13" t="s">
        <v>2</v>
      </c>
      <c r="H314" s="13" t="s">
        <v>3</v>
      </c>
      <c r="I314" s="13" t="s">
        <v>429</v>
      </c>
      <c r="J314" s="13" t="s">
        <v>8890</v>
      </c>
      <c r="K314" s="13" t="s">
        <v>6051</v>
      </c>
      <c r="L314" s="13" t="s">
        <v>8901</v>
      </c>
      <c r="M314" t="s">
        <v>3</v>
      </c>
    </row>
    <row r="315" spans="1:13" x14ac:dyDescent="0.25">
      <c r="A315" s="13" t="s">
        <v>944</v>
      </c>
      <c r="B315" s="13" t="s">
        <v>945</v>
      </c>
      <c r="C315" s="13" t="s">
        <v>946</v>
      </c>
      <c r="D315" s="13">
        <v>1</v>
      </c>
      <c r="E315" s="13" t="s">
        <v>947</v>
      </c>
      <c r="F315" s="13" t="s">
        <v>8865</v>
      </c>
      <c r="G315" s="13" t="s">
        <v>2</v>
      </c>
      <c r="H315" s="13" t="s">
        <v>3</v>
      </c>
      <c r="I315" s="13" t="s">
        <v>948</v>
      </c>
      <c r="J315" s="13" t="s">
        <v>8890</v>
      </c>
      <c r="K315" s="13" t="s">
        <v>8518</v>
      </c>
      <c r="L315" s="13" t="s">
        <v>8901</v>
      </c>
      <c r="M315" t="s">
        <v>3</v>
      </c>
    </row>
    <row r="316" spans="1:13" ht="26.25" x14ac:dyDescent="0.25">
      <c r="A316" s="13" t="s">
        <v>949</v>
      </c>
      <c r="B316" s="13" t="s">
        <v>949</v>
      </c>
      <c r="C316" s="13" t="s">
        <v>949</v>
      </c>
      <c r="D316" s="13">
        <v>0.1</v>
      </c>
      <c r="E316" s="13" t="s">
        <v>950</v>
      </c>
      <c r="F316" s="13" t="s">
        <v>8872</v>
      </c>
      <c r="G316" s="13" t="s">
        <v>2</v>
      </c>
      <c r="H316" s="13" t="s">
        <v>3</v>
      </c>
      <c r="I316" s="13" t="s">
        <v>429</v>
      </c>
      <c r="J316" s="13" t="s">
        <v>8890</v>
      </c>
      <c r="K316" s="13" t="s">
        <v>6051</v>
      </c>
      <c r="L316" s="13" t="s">
        <v>556</v>
      </c>
      <c r="M316" t="s">
        <v>3</v>
      </c>
    </row>
    <row r="317" spans="1:13" x14ac:dyDescent="0.25">
      <c r="A317" s="13" t="s">
        <v>951</v>
      </c>
      <c r="B317" s="13" t="s">
        <v>951</v>
      </c>
      <c r="C317" s="13" t="s">
        <v>951</v>
      </c>
      <c r="D317" s="13">
        <v>1</v>
      </c>
      <c r="E317" s="13" t="s">
        <v>952</v>
      </c>
      <c r="F317" s="13" t="s">
        <v>8865</v>
      </c>
      <c r="G317" s="13" t="s">
        <v>2</v>
      </c>
      <c r="H317" s="13" t="s">
        <v>3</v>
      </c>
      <c r="I317" s="13" t="s">
        <v>429</v>
      </c>
      <c r="J317" s="13" t="s">
        <v>8890</v>
      </c>
      <c r="K317" s="13" t="s">
        <v>6051</v>
      </c>
      <c r="L317" s="13" t="s">
        <v>8901</v>
      </c>
      <c r="M317" t="s">
        <v>3</v>
      </c>
    </row>
    <row r="318" spans="1:13" x14ac:dyDescent="0.25">
      <c r="A318" s="13" t="s">
        <v>953</v>
      </c>
      <c r="B318" s="13" t="s">
        <v>953</v>
      </c>
      <c r="C318" s="13" t="s">
        <v>953</v>
      </c>
      <c r="D318" s="13">
        <v>1</v>
      </c>
      <c r="E318" s="13" t="s">
        <v>954</v>
      </c>
      <c r="F318" s="13" t="s">
        <v>8865</v>
      </c>
      <c r="G318" s="13" t="s">
        <v>2</v>
      </c>
      <c r="H318" s="13" t="s">
        <v>3</v>
      </c>
      <c r="I318" s="13" t="s">
        <v>429</v>
      </c>
      <c r="J318" s="13" t="s">
        <v>8890</v>
      </c>
      <c r="K318" s="13" t="s">
        <v>6051</v>
      </c>
      <c r="L318" s="13" t="s">
        <v>8901</v>
      </c>
      <c r="M318" t="s">
        <v>3</v>
      </c>
    </row>
    <row r="319" spans="1:13" x14ac:dyDescent="0.25">
      <c r="A319" s="13" t="s">
        <v>955</v>
      </c>
      <c r="B319" s="13" t="s">
        <v>955</v>
      </c>
      <c r="C319" s="13" t="s">
        <v>955</v>
      </c>
      <c r="D319" s="13">
        <v>0.9</v>
      </c>
      <c r="E319" s="13" t="s">
        <v>956</v>
      </c>
      <c r="F319" s="13" t="s">
        <v>8865</v>
      </c>
      <c r="G319" s="13" t="s">
        <v>2</v>
      </c>
      <c r="H319" s="13" t="s">
        <v>3</v>
      </c>
      <c r="I319" s="13" t="s">
        <v>429</v>
      </c>
      <c r="J319" s="13" t="s">
        <v>8890</v>
      </c>
      <c r="K319" s="13" t="s">
        <v>6051</v>
      </c>
      <c r="L319" s="13" t="s">
        <v>8901</v>
      </c>
      <c r="M319" t="s">
        <v>3</v>
      </c>
    </row>
    <row r="320" spans="1:13" x14ac:dyDescent="0.25">
      <c r="A320" s="13" t="s">
        <v>957</v>
      </c>
      <c r="B320" s="13" t="s">
        <v>957</v>
      </c>
      <c r="C320" s="13" t="s">
        <v>957</v>
      </c>
      <c r="D320" s="13">
        <v>1.9</v>
      </c>
      <c r="E320" s="13" t="s">
        <v>958</v>
      </c>
      <c r="F320" s="13" t="s">
        <v>8865</v>
      </c>
      <c r="G320" s="13" t="s">
        <v>2</v>
      </c>
      <c r="H320" s="13" t="s">
        <v>3</v>
      </c>
      <c r="I320" s="13" t="s">
        <v>429</v>
      </c>
      <c r="J320" s="13" t="s">
        <v>8890</v>
      </c>
      <c r="K320" s="13" t="s">
        <v>6051</v>
      </c>
      <c r="L320" s="13" t="s">
        <v>8901</v>
      </c>
      <c r="M320" t="s">
        <v>3</v>
      </c>
    </row>
    <row r="321" spans="1:13" x14ac:dyDescent="0.25">
      <c r="A321" s="13" t="s">
        <v>11174</v>
      </c>
      <c r="B321" s="13" t="s">
        <v>11174</v>
      </c>
      <c r="C321" s="13" t="s">
        <v>11174</v>
      </c>
      <c r="D321" s="13">
        <v>2.4</v>
      </c>
      <c r="E321" s="13" t="s">
        <v>11175</v>
      </c>
      <c r="F321" s="13" t="s">
        <v>8865</v>
      </c>
      <c r="G321" s="13" t="s">
        <v>2</v>
      </c>
      <c r="H321" s="13" t="s">
        <v>3</v>
      </c>
      <c r="I321" s="13" t="s">
        <v>429</v>
      </c>
      <c r="J321" s="13" t="s">
        <v>8890</v>
      </c>
      <c r="K321" s="13" t="s">
        <v>6051</v>
      </c>
      <c r="L321" s="13" t="s">
        <v>8901</v>
      </c>
      <c r="M321" t="s">
        <v>3</v>
      </c>
    </row>
    <row r="322" spans="1:13" x14ac:dyDescent="0.25">
      <c r="A322" s="13" t="s">
        <v>959</v>
      </c>
      <c r="B322" s="13" t="s">
        <v>959</v>
      </c>
      <c r="C322" s="13" t="s">
        <v>959</v>
      </c>
      <c r="D322" s="13">
        <v>1</v>
      </c>
      <c r="E322" s="13" t="s">
        <v>960</v>
      </c>
      <c r="F322" s="13" t="s">
        <v>8865</v>
      </c>
      <c r="G322" s="13" t="s">
        <v>2</v>
      </c>
      <c r="H322" s="13" t="s">
        <v>3</v>
      </c>
      <c r="I322" s="13" t="s">
        <v>429</v>
      </c>
      <c r="J322" s="13" t="s">
        <v>8890</v>
      </c>
      <c r="K322" s="13" t="s">
        <v>6051</v>
      </c>
      <c r="L322" s="13" t="s">
        <v>8901</v>
      </c>
      <c r="M322" t="s">
        <v>3</v>
      </c>
    </row>
    <row r="323" spans="1:13" x14ac:dyDescent="0.25">
      <c r="A323" s="13" t="s">
        <v>961</v>
      </c>
      <c r="B323" s="13" t="s">
        <v>961</v>
      </c>
      <c r="C323" s="13" t="s">
        <v>961</v>
      </c>
      <c r="D323" s="13">
        <v>14.7</v>
      </c>
      <c r="E323" s="13" t="s">
        <v>962</v>
      </c>
      <c r="F323" s="13" t="s">
        <v>8865</v>
      </c>
      <c r="G323" s="13" t="s">
        <v>2</v>
      </c>
      <c r="H323" s="13" t="s">
        <v>3</v>
      </c>
      <c r="I323" s="13" t="s">
        <v>429</v>
      </c>
      <c r="J323" s="13" t="s">
        <v>8890</v>
      </c>
      <c r="K323" s="13" t="s">
        <v>6051</v>
      </c>
      <c r="L323" s="13" t="s">
        <v>8901</v>
      </c>
      <c r="M323" t="s">
        <v>3</v>
      </c>
    </row>
    <row r="324" spans="1:13" x14ac:dyDescent="0.25">
      <c r="A324" s="13" t="s">
        <v>963</v>
      </c>
      <c r="B324" s="13" t="s">
        <v>963</v>
      </c>
      <c r="C324" s="13" t="s">
        <v>963</v>
      </c>
      <c r="D324" s="13">
        <v>0.5</v>
      </c>
      <c r="E324" s="13" t="s">
        <v>964</v>
      </c>
      <c r="F324" s="13" t="s">
        <v>8865</v>
      </c>
      <c r="G324" s="13" t="s">
        <v>2</v>
      </c>
      <c r="H324" s="13" t="s">
        <v>3</v>
      </c>
      <c r="I324" s="13" t="s">
        <v>429</v>
      </c>
      <c r="J324" s="13" t="s">
        <v>8890</v>
      </c>
      <c r="K324" s="13" t="s">
        <v>6051</v>
      </c>
      <c r="L324" s="13" t="s">
        <v>8901</v>
      </c>
      <c r="M324" t="s">
        <v>3</v>
      </c>
    </row>
    <row r="325" spans="1:13" x14ac:dyDescent="0.25">
      <c r="A325" s="13" t="s">
        <v>965</v>
      </c>
      <c r="B325" s="13" t="s">
        <v>965</v>
      </c>
      <c r="C325" s="13" t="s">
        <v>965</v>
      </c>
      <c r="D325" s="13">
        <v>0.7</v>
      </c>
      <c r="E325" s="13" t="s">
        <v>966</v>
      </c>
      <c r="F325" s="13" t="s">
        <v>8865</v>
      </c>
      <c r="G325" s="13" t="s">
        <v>2</v>
      </c>
      <c r="H325" s="13" t="s">
        <v>3</v>
      </c>
      <c r="I325" s="13" t="s">
        <v>429</v>
      </c>
      <c r="J325" s="13" t="s">
        <v>8890</v>
      </c>
      <c r="K325" s="13" t="s">
        <v>6051</v>
      </c>
      <c r="L325" s="13" t="s">
        <v>8901</v>
      </c>
      <c r="M325" t="s">
        <v>3</v>
      </c>
    </row>
    <row r="326" spans="1:13" x14ac:dyDescent="0.25">
      <c r="A326" s="13" t="s">
        <v>967</v>
      </c>
      <c r="B326" s="13" t="s">
        <v>967</v>
      </c>
      <c r="C326" s="13" t="s">
        <v>967</v>
      </c>
      <c r="D326" s="13">
        <v>3.6</v>
      </c>
      <c r="E326" s="13" t="s">
        <v>968</v>
      </c>
      <c r="F326" s="13" t="s">
        <v>8865</v>
      </c>
      <c r="G326" s="13" t="s">
        <v>2</v>
      </c>
      <c r="H326" s="13" t="s">
        <v>3</v>
      </c>
      <c r="I326" s="13" t="s">
        <v>429</v>
      </c>
      <c r="J326" s="13" t="s">
        <v>8890</v>
      </c>
      <c r="K326" s="13" t="s">
        <v>6051</v>
      </c>
      <c r="L326" s="13" t="s">
        <v>8901</v>
      </c>
      <c r="M326" t="s">
        <v>3</v>
      </c>
    </row>
    <row r="327" spans="1:13" x14ac:dyDescent="0.25">
      <c r="A327" s="13" t="s">
        <v>969</v>
      </c>
      <c r="B327" s="13" t="s">
        <v>969</v>
      </c>
      <c r="C327" s="13" t="s">
        <v>969</v>
      </c>
      <c r="D327" s="13">
        <v>5</v>
      </c>
      <c r="E327" s="13" t="s">
        <v>970</v>
      </c>
      <c r="F327" s="13" t="s">
        <v>8865</v>
      </c>
      <c r="G327" s="13" t="s">
        <v>2</v>
      </c>
      <c r="H327" s="13" t="s">
        <v>3</v>
      </c>
      <c r="I327" s="13" t="s">
        <v>429</v>
      </c>
      <c r="J327" s="13" t="s">
        <v>8890</v>
      </c>
      <c r="K327" s="13" t="s">
        <v>6051</v>
      </c>
      <c r="L327" s="13" t="s">
        <v>8901</v>
      </c>
      <c r="M327" t="s">
        <v>3</v>
      </c>
    </row>
    <row r="328" spans="1:13" x14ac:dyDescent="0.25">
      <c r="A328" s="13" t="s">
        <v>971</v>
      </c>
      <c r="B328" s="13" t="s">
        <v>971</v>
      </c>
      <c r="C328" s="13" t="s">
        <v>971</v>
      </c>
      <c r="D328" s="13">
        <v>0.5</v>
      </c>
      <c r="E328" s="13" t="s">
        <v>972</v>
      </c>
      <c r="F328" s="13" t="s">
        <v>8865</v>
      </c>
      <c r="G328" s="13" t="s">
        <v>2</v>
      </c>
      <c r="H328" s="13" t="s">
        <v>3</v>
      </c>
      <c r="I328" s="13" t="s">
        <v>429</v>
      </c>
      <c r="J328" s="13" t="s">
        <v>8890</v>
      </c>
      <c r="K328" s="13" t="s">
        <v>6051</v>
      </c>
      <c r="L328" s="13" t="s">
        <v>8901</v>
      </c>
      <c r="M328" t="s">
        <v>3</v>
      </c>
    </row>
    <row r="329" spans="1:13" x14ac:dyDescent="0.25">
      <c r="A329" s="13" t="s">
        <v>973</v>
      </c>
      <c r="B329" s="13" t="s">
        <v>973</v>
      </c>
      <c r="C329" s="13" t="s">
        <v>973</v>
      </c>
      <c r="D329" s="13">
        <v>6</v>
      </c>
      <c r="E329" s="13" t="s">
        <v>974</v>
      </c>
      <c r="F329" s="13" t="s">
        <v>8865</v>
      </c>
      <c r="G329" s="13" t="s">
        <v>2</v>
      </c>
      <c r="H329" s="13" t="s">
        <v>3</v>
      </c>
      <c r="I329" s="13" t="s">
        <v>429</v>
      </c>
      <c r="J329" s="13" t="s">
        <v>8890</v>
      </c>
      <c r="K329" s="13" t="s">
        <v>6051</v>
      </c>
      <c r="L329" s="13" t="s">
        <v>8901</v>
      </c>
      <c r="M329" t="s">
        <v>3</v>
      </c>
    </row>
    <row r="330" spans="1:13" x14ac:dyDescent="0.25">
      <c r="A330" s="13" t="s">
        <v>975</v>
      </c>
      <c r="B330" s="13" t="s">
        <v>975</v>
      </c>
      <c r="C330" s="13" t="s">
        <v>975</v>
      </c>
      <c r="D330" s="13">
        <v>5.3</v>
      </c>
      <c r="E330" s="13" t="s">
        <v>976</v>
      </c>
      <c r="F330" s="13" t="s">
        <v>8865</v>
      </c>
      <c r="G330" s="13" t="s">
        <v>2</v>
      </c>
      <c r="H330" s="13" t="s">
        <v>3</v>
      </c>
      <c r="I330" s="13" t="s">
        <v>429</v>
      </c>
      <c r="J330" s="13" t="s">
        <v>8890</v>
      </c>
      <c r="K330" s="13" t="s">
        <v>6051</v>
      </c>
      <c r="L330" s="13" t="s">
        <v>8901</v>
      </c>
      <c r="M330" t="s">
        <v>3</v>
      </c>
    </row>
    <row r="331" spans="1:13" x14ac:dyDescent="0.25">
      <c r="A331" s="13" t="s">
        <v>977</v>
      </c>
      <c r="B331" s="13" t="s">
        <v>977</v>
      </c>
      <c r="C331" s="13" t="s">
        <v>977</v>
      </c>
      <c r="D331" s="13">
        <v>5</v>
      </c>
      <c r="E331" s="13" t="s">
        <v>978</v>
      </c>
      <c r="F331" s="13" t="s">
        <v>8865</v>
      </c>
      <c r="G331" s="13" t="s">
        <v>2</v>
      </c>
      <c r="H331" s="13" t="s">
        <v>3</v>
      </c>
      <c r="I331" s="13" t="s">
        <v>429</v>
      </c>
      <c r="J331" s="13" t="s">
        <v>8890</v>
      </c>
      <c r="K331" s="13" t="s">
        <v>6051</v>
      </c>
      <c r="L331" s="13" t="s">
        <v>8901</v>
      </c>
      <c r="M331" t="s">
        <v>3</v>
      </c>
    </row>
    <row r="332" spans="1:13" x14ac:dyDescent="0.25">
      <c r="A332" s="13" t="s">
        <v>979</v>
      </c>
      <c r="B332" s="13" t="s">
        <v>979</v>
      </c>
      <c r="C332" s="13" t="s">
        <v>979</v>
      </c>
      <c r="D332" s="13">
        <v>6.8</v>
      </c>
      <c r="E332" s="13" t="s">
        <v>980</v>
      </c>
      <c r="F332" s="13" t="s">
        <v>8865</v>
      </c>
      <c r="G332" s="13" t="s">
        <v>2</v>
      </c>
      <c r="H332" s="13" t="s">
        <v>3</v>
      </c>
      <c r="I332" s="13" t="s">
        <v>429</v>
      </c>
      <c r="J332" s="13" t="s">
        <v>8890</v>
      </c>
      <c r="K332" s="13" t="s">
        <v>6051</v>
      </c>
      <c r="L332" s="13" t="s">
        <v>8901</v>
      </c>
      <c r="M332" t="s">
        <v>3</v>
      </c>
    </row>
    <row r="333" spans="1:13" ht="26.25" x14ac:dyDescent="0.25">
      <c r="A333" s="13" t="s">
        <v>981</v>
      </c>
      <c r="B333" s="13" t="s">
        <v>981</v>
      </c>
      <c r="C333" s="13" t="s">
        <v>981</v>
      </c>
      <c r="D333" s="13">
        <v>0.4</v>
      </c>
      <c r="E333" s="13" t="s">
        <v>982</v>
      </c>
      <c r="F333" s="13" t="s">
        <v>8865</v>
      </c>
      <c r="G333" s="13" t="s">
        <v>2</v>
      </c>
      <c r="H333" s="13" t="s">
        <v>3</v>
      </c>
      <c r="I333" s="13" t="s">
        <v>429</v>
      </c>
      <c r="J333" s="13" t="s">
        <v>8890</v>
      </c>
      <c r="K333" s="13" t="s">
        <v>6051</v>
      </c>
      <c r="L333" s="13" t="s">
        <v>8901</v>
      </c>
      <c r="M333" t="s">
        <v>3</v>
      </c>
    </row>
    <row r="334" spans="1:13" x14ac:dyDescent="0.25">
      <c r="A334" s="13" t="s">
        <v>983</v>
      </c>
      <c r="B334" s="13" t="s">
        <v>983</v>
      </c>
      <c r="C334" s="13" t="s">
        <v>983</v>
      </c>
      <c r="D334" s="13">
        <v>10</v>
      </c>
      <c r="E334" s="13" t="s">
        <v>984</v>
      </c>
      <c r="F334" s="13" t="s">
        <v>8865</v>
      </c>
      <c r="G334" s="13" t="s">
        <v>2</v>
      </c>
      <c r="H334" s="13" t="s">
        <v>3</v>
      </c>
      <c r="I334" s="13" t="s">
        <v>429</v>
      </c>
      <c r="J334" s="13" t="s">
        <v>8890</v>
      </c>
      <c r="K334" s="13" t="s">
        <v>6051</v>
      </c>
      <c r="L334" s="13" t="s">
        <v>8901</v>
      </c>
      <c r="M334" t="s">
        <v>3</v>
      </c>
    </row>
    <row r="335" spans="1:13" x14ac:dyDescent="0.25">
      <c r="A335" s="13" t="s">
        <v>985</v>
      </c>
      <c r="B335" s="13" t="s">
        <v>985</v>
      </c>
      <c r="C335" s="13" t="s">
        <v>985</v>
      </c>
      <c r="D335" s="13">
        <v>0.5</v>
      </c>
      <c r="E335" s="13" t="s">
        <v>986</v>
      </c>
      <c r="F335" s="13" t="s">
        <v>8865</v>
      </c>
      <c r="G335" s="13" t="s">
        <v>2</v>
      </c>
      <c r="H335" s="13" t="s">
        <v>3</v>
      </c>
      <c r="I335" s="13" t="s">
        <v>429</v>
      </c>
      <c r="J335" s="13" t="s">
        <v>8890</v>
      </c>
      <c r="K335" s="13" t="s">
        <v>6051</v>
      </c>
      <c r="L335" s="13" t="s">
        <v>8901</v>
      </c>
      <c r="M335" t="s">
        <v>3</v>
      </c>
    </row>
    <row r="336" spans="1:13" x14ac:dyDescent="0.25">
      <c r="A336" s="13" t="s">
        <v>11946</v>
      </c>
      <c r="B336" s="13" t="s">
        <v>11946</v>
      </c>
      <c r="C336" s="13" t="s">
        <v>11946</v>
      </c>
      <c r="D336" s="13">
        <v>3.8</v>
      </c>
      <c r="E336" s="13" t="s">
        <v>11947</v>
      </c>
      <c r="F336" s="13" t="s">
        <v>8865</v>
      </c>
      <c r="G336" s="13" t="s">
        <v>2</v>
      </c>
      <c r="H336" s="13" t="s">
        <v>3</v>
      </c>
      <c r="I336" s="13" t="s">
        <v>429</v>
      </c>
      <c r="J336" s="13" t="s">
        <v>8890</v>
      </c>
      <c r="K336" s="13" t="s">
        <v>6051</v>
      </c>
      <c r="L336" s="13" t="s">
        <v>8901</v>
      </c>
      <c r="M336" t="s">
        <v>3</v>
      </c>
    </row>
    <row r="337" spans="1:13" x14ac:dyDescent="0.25">
      <c r="A337" s="13" t="s">
        <v>11948</v>
      </c>
      <c r="B337" s="13" t="s">
        <v>11948</v>
      </c>
      <c r="C337" s="13" t="s">
        <v>11948</v>
      </c>
      <c r="D337" s="13">
        <v>2.5</v>
      </c>
      <c r="E337" s="13" t="s">
        <v>11949</v>
      </c>
      <c r="F337" s="13" t="s">
        <v>8865</v>
      </c>
      <c r="G337" s="13" t="s">
        <v>2</v>
      </c>
      <c r="H337" s="13" t="s">
        <v>3</v>
      </c>
      <c r="I337" s="13" t="s">
        <v>429</v>
      </c>
      <c r="J337" s="13" t="s">
        <v>8890</v>
      </c>
      <c r="K337" s="13" t="s">
        <v>6051</v>
      </c>
      <c r="L337" s="13" t="s">
        <v>8901</v>
      </c>
      <c r="M337" t="s">
        <v>3</v>
      </c>
    </row>
    <row r="338" spans="1:13" x14ac:dyDescent="0.25">
      <c r="A338" s="13" t="s">
        <v>987</v>
      </c>
      <c r="B338" s="13" t="s">
        <v>987</v>
      </c>
      <c r="C338" s="13" t="s">
        <v>987</v>
      </c>
      <c r="D338" s="13">
        <v>3.9</v>
      </c>
      <c r="E338" s="13" t="s">
        <v>988</v>
      </c>
      <c r="F338" s="13" t="s">
        <v>8865</v>
      </c>
      <c r="G338" s="13" t="s">
        <v>2</v>
      </c>
      <c r="H338" s="13" t="s">
        <v>3</v>
      </c>
      <c r="I338" s="13" t="s">
        <v>429</v>
      </c>
      <c r="J338" s="13" t="s">
        <v>8890</v>
      </c>
      <c r="K338" s="13" t="s">
        <v>6051</v>
      </c>
      <c r="L338" s="13" t="s">
        <v>8901</v>
      </c>
      <c r="M338" t="s">
        <v>3</v>
      </c>
    </row>
    <row r="339" spans="1:13" x14ac:dyDescent="0.25">
      <c r="A339" s="13" t="s">
        <v>989</v>
      </c>
      <c r="B339" s="13" t="s">
        <v>989</v>
      </c>
      <c r="C339" s="13" t="s">
        <v>989</v>
      </c>
      <c r="D339" s="13">
        <v>1</v>
      </c>
      <c r="E339" s="13" t="s">
        <v>990</v>
      </c>
      <c r="F339" s="13" t="s">
        <v>8865</v>
      </c>
      <c r="G339" s="13" t="s">
        <v>2</v>
      </c>
      <c r="H339" s="13" t="s">
        <v>3</v>
      </c>
      <c r="I339" s="13" t="s">
        <v>429</v>
      </c>
      <c r="J339" s="13" t="s">
        <v>8890</v>
      </c>
      <c r="K339" s="13" t="s">
        <v>6051</v>
      </c>
      <c r="L339" s="13" t="s">
        <v>8901</v>
      </c>
      <c r="M339" t="s">
        <v>3</v>
      </c>
    </row>
    <row r="340" spans="1:13" x14ac:dyDescent="0.25">
      <c r="A340" s="13" t="s">
        <v>991</v>
      </c>
      <c r="B340" s="13" t="s">
        <v>991</v>
      </c>
      <c r="C340" s="13" t="s">
        <v>991</v>
      </c>
      <c r="D340" s="13">
        <v>14.3</v>
      </c>
      <c r="E340" s="13" t="s">
        <v>992</v>
      </c>
      <c r="F340" s="13" t="s">
        <v>8865</v>
      </c>
      <c r="G340" s="13" t="s">
        <v>2</v>
      </c>
      <c r="H340" s="13" t="s">
        <v>3</v>
      </c>
      <c r="I340" s="13" t="s">
        <v>429</v>
      </c>
      <c r="J340" s="13" t="s">
        <v>8890</v>
      </c>
      <c r="K340" s="13" t="s">
        <v>6051</v>
      </c>
      <c r="L340" s="13" t="s">
        <v>8901</v>
      </c>
      <c r="M340" t="s">
        <v>3</v>
      </c>
    </row>
    <row r="341" spans="1:13" x14ac:dyDescent="0.25">
      <c r="A341" s="13" t="s">
        <v>993</v>
      </c>
      <c r="B341" s="13" t="s">
        <v>993</v>
      </c>
      <c r="C341" s="13" t="s">
        <v>993</v>
      </c>
      <c r="D341" s="13">
        <v>4.3</v>
      </c>
      <c r="E341" s="13" t="s">
        <v>994</v>
      </c>
      <c r="F341" s="13" t="s">
        <v>8865</v>
      </c>
      <c r="G341" s="13" t="s">
        <v>2</v>
      </c>
      <c r="H341" s="13" t="s">
        <v>3</v>
      </c>
      <c r="I341" s="13" t="s">
        <v>429</v>
      </c>
      <c r="J341" s="13" t="s">
        <v>8890</v>
      </c>
      <c r="K341" s="13" t="s">
        <v>6051</v>
      </c>
      <c r="L341" s="13" t="s">
        <v>8901</v>
      </c>
      <c r="M341" t="s">
        <v>3</v>
      </c>
    </row>
    <row r="342" spans="1:13" x14ac:dyDescent="0.25">
      <c r="A342" s="13" t="s">
        <v>995</v>
      </c>
      <c r="B342" s="13" t="s">
        <v>995</v>
      </c>
      <c r="C342" s="13" t="s">
        <v>995</v>
      </c>
      <c r="D342" s="13">
        <v>7.2</v>
      </c>
      <c r="E342" s="13" t="s">
        <v>996</v>
      </c>
      <c r="F342" s="13" t="s">
        <v>8865</v>
      </c>
      <c r="G342" s="13" t="s">
        <v>2</v>
      </c>
      <c r="H342" s="13" t="s">
        <v>3</v>
      </c>
      <c r="I342" s="13" t="s">
        <v>429</v>
      </c>
      <c r="J342" s="13" t="s">
        <v>8890</v>
      </c>
      <c r="K342" s="13" t="s">
        <v>6051</v>
      </c>
      <c r="L342" s="13" t="s">
        <v>8901</v>
      </c>
      <c r="M342" t="s">
        <v>3</v>
      </c>
    </row>
    <row r="343" spans="1:13" x14ac:dyDescent="0.25">
      <c r="A343" s="13" t="s">
        <v>997</v>
      </c>
      <c r="B343" s="13" t="s">
        <v>997</v>
      </c>
      <c r="C343" s="13" t="s">
        <v>997</v>
      </c>
      <c r="D343" s="13">
        <v>3</v>
      </c>
      <c r="E343" s="13" t="s">
        <v>998</v>
      </c>
      <c r="F343" s="13" t="s">
        <v>8865</v>
      </c>
      <c r="G343" s="13" t="s">
        <v>2</v>
      </c>
      <c r="H343" s="13" t="s">
        <v>3</v>
      </c>
      <c r="I343" s="13" t="s">
        <v>429</v>
      </c>
      <c r="J343" s="13" t="s">
        <v>8890</v>
      </c>
      <c r="K343" s="13" t="s">
        <v>6051</v>
      </c>
      <c r="L343" s="13" t="s">
        <v>8901</v>
      </c>
      <c r="M343" t="s">
        <v>3</v>
      </c>
    </row>
    <row r="344" spans="1:13" ht="26.25" x14ac:dyDescent="0.25">
      <c r="A344" s="13" t="s">
        <v>999</v>
      </c>
      <c r="B344" s="13" t="s">
        <v>999</v>
      </c>
      <c r="C344" s="13" t="s">
        <v>999</v>
      </c>
      <c r="D344" s="13">
        <v>6.3</v>
      </c>
      <c r="E344" s="13" t="s">
        <v>1000</v>
      </c>
      <c r="F344" s="13" t="s">
        <v>8865</v>
      </c>
      <c r="G344" s="13" t="s">
        <v>2</v>
      </c>
      <c r="H344" s="13" t="s">
        <v>3</v>
      </c>
      <c r="I344" s="13" t="s">
        <v>429</v>
      </c>
      <c r="J344" s="13" t="s">
        <v>8890</v>
      </c>
      <c r="K344" s="13" t="s">
        <v>6051</v>
      </c>
      <c r="L344" s="13" t="s">
        <v>8901</v>
      </c>
      <c r="M344" t="s">
        <v>3</v>
      </c>
    </row>
    <row r="345" spans="1:13" x14ac:dyDescent="0.25">
      <c r="A345" s="13" t="s">
        <v>1001</v>
      </c>
      <c r="B345" s="13" t="s">
        <v>1001</v>
      </c>
      <c r="C345" s="13" t="s">
        <v>1001</v>
      </c>
      <c r="D345" s="13">
        <v>1</v>
      </c>
      <c r="E345" s="13" t="s">
        <v>1002</v>
      </c>
      <c r="F345" s="13" t="s">
        <v>8861</v>
      </c>
      <c r="G345" s="13" t="s">
        <v>2</v>
      </c>
      <c r="H345" s="13" t="s">
        <v>3</v>
      </c>
      <c r="I345" s="13" t="s">
        <v>429</v>
      </c>
      <c r="J345" s="13" t="s">
        <v>8890</v>
      </c>
      <c r="K345" s="13" t="s">
        <v>6051</v>
      </c>
      <c r="L345" s="13" t="s">
        <v>8891</v>
      </c>
      <c r="M345" t="s">
        <v>3</v>
      </c>
    </row>
    <row r="346" spans="1:13" x14ac:dyDescent="0.25">
      <c r="A346" s="13" t="s">
        <v>1003</v>
      </c>
      <c r="B346" s="13" t="s">
        <v>1003</v>
      </c>
      <c r="C346" s="13" t="s">
        <v>1003</v>
      </c>
      <c r="D346" s="13">
        <v>2</v>
      </c>
      <c r="E346" s="13" t="s">
        <v>1004</v>
      </c>
      <c r="F346" s="13" t="s">
        <v>8865</v>
      </c>
      <c r="G346" s="13" t="s">
        <v>2</v>
      </c>
      <c r="H346" s="13" t="s">
        <v>3</v>
      </c>
      <c r="I346" s="13" t="s">
        <v>429</v>
      </c>
      <c r="J346" s="13" t="s">
        <v>8890</v>
      </c>
      <c r="K346" s="13" t="s">
        <v>6051</v>
      </c>
      <c r="L346" s="13" t="s">
        <v>8901</v>
      </c>
      <c r="M346" t="s">
        <v>3</v>
      </c>
    </row>
    <row r="347" spans="1:13" x14ac:dyDescent="0.25">
      <c r="A347" s="13" t="s">
        <v>1005</v>
      </c>
      <c r="B347" s="13" t="s">
        <v>1005</v>
      </c>
      <c r="C347" s="13" t="s">
        <v>1005</v>
      </c>
      <c r="D347" s="13">
        <v>4.2</v>
      </c>
      <c r="E347" s="13" t="s">
        <v>1006</v>
      </c>
      <c r="F347" s="13" t="s">
        <v>8865</v>
      </c>
      <c r="G347" s="13" t="s">
        <v>2</v>
      </c>
      <c r="H347" s="13" t="s">
        <v>3</v>
      </c>
      <c r="I347" s="13" t="s">
        <v>429</v>
      </c>
      <c r="J347" s="13" t="s">
        <v>8890</v>
      </c>
      <c r="K347" s="13" t="s">
        <v>6051</v>
      </c>
      <c r="L347" s="13" t="s">
        <v>8901</v>
      </c>
      <c r="M347" t="s">
        <v>3</v>
      </c>
    </row>
    <row r="348" spans="1:13" ht="26.25" x14ac:dyDescent="0.25">
      <c r="A348" s="13" t="s">
        <v>1007</v>
      </c>
      <c r="B348" s="13" t="s">
        <v>1007</v>
      </c>
      <c r="C348" s="13" t="s">
        <v>1007</v>
      </c>
      <c r="D348" s="13">
        <v>16.8</v>
      </c>
      <c r="E348" s="13" t="s">
        <v>1008</v>
      </c>
      <c r="F348" s="13" t="s">
        <v>8865</v>
      </c>
      <c r="G348" s="13" t="s">
        <v>2</v>
      </c>
      <c r="H348" s="13" t="s">
        <v>3</v>
      </c>
      <c r="I348" s="13" t="s">
        <v>429</v>
      </c>
      <c r="J348" s="13" t="s">
        <v>8890</v>
      </c>
      <c r="K348" s="13" t="s">
        <v>6051</v>
      </c>
      <c r="L348" s="13" t="s">
        <v>8901</v>
      </c>
      <c r="M348" t="s">
        <v>3</v>
      </c>
    </row>
    <row r="349" spans="1:13" ht="26.25" x14ac:dyDescent="0.25">
      <c r="A349" s="13" t="s">
        <v>1009</v>
      </c>
      <c r="B349" s="13" t="s">
        <v>1009</v>
      </c>
      <c r="C349" s="13" t="s">
        <v>1009</v>
      </c>
      <c r="D349" s="13">
        <v>1.5</v>
      </c>
      <c r="E349" s="13" t="s">
        <v>1010</v>
      </c>
      <c r="F349" s="13" t="s">
        <v>8865</v>
      </c>
      <c r="G349" s="13" t="s">
        <v>2</v>
      </c>
      <c r="H349" s="13" t="s">
        <v>3</v>
      </c>
      <c r="I349" s="13" t="s">
        <v>429</v>
      </c>
      <c r="J349" s="13" t="s">
        <v>8890</v>
      </c>
      <c r="K349" s="13" t="s">
        <v>6051</v>
      </c>
      <c r="L349" s="13" t="s">
        <v>8901</v>
      </c>
      <c r="M349" t="s">
        <v>3</v>
      </c>
    </row>
    <row r="350" spans="1:13" x14ac:dyDescent="0.25">
      <c r="A350" s="13" t="s">
        <v>1011</v>
      </c>
      <c r="B350" s="13" t="s">
        <v>1011</v>
      </c>
      <c r="C350" s="13" t="s">
        <v>1011</v>
      </c>
      <c r="D350" s="13">
        <v>4.8</v>
      </c>
      <c r="E350" s="13" t="s">
        <v>1012</v>
      </c>
      <c r="F350" s="13" t="s">
        <v>8865</v>
      </c>
      <c r="G350" s="13" t="s">
        <v>2</v>
      </c>
      <c r="H350" s="13" t="s">
        <v>3</v>
      </c>
      <c r="I350" s="13" t="s">
        <v>429</v>
      </c>
      <c r="J350" s="13" t="s">
        <v>8890</v>
      </c>
      <c r="K350" s="13" t="s">
        <v>6051</v>
      </c>
      <c r="L350" s="13" t="s">
        <v>8901</v>
      </c>
      <c r="M350" t="s">
        <v>3</v>
      </c>
    </row>
    <row r="351" spans="1:13" x14ac:dyDescent="0.25">
      <c r="A351" s="13" t="s">
        <v>1013</v>
      </c>
      <c r="B351" s="13" t="s">
        <v>1013</v>
      </c>
      <c r="C351" s="13" t="s">
        <v>1013</v>
      </c>
      <c r="D351" s="13">
        <v>0.9</v>
      </c>
      <c r="E351" s="13" t="s">
        <v>1014</v>
      </c>
      <c r="F351" s="13" t="s">
        <v>8865</v>
      </c>
      <c r="G351" s="13" t="s">
        <v>2</v>
      </c>
      <c r="H351" s="13" t="s">
        <v>3</v>
      </c>
      <c r="I351" s="13" t="s">
        <v>429</v>
      </c>
      <c r="J351" s="13" t="s">
        <v>8890</v>
      </c>
      <c r="K351" s="13" t="s">
        <v>6051</v>
      </c>
      <c r="L351" s="13" t="s">
        <v>8901</v>
      </c>
      <c r="M351" t="s">
        <v>3</v>
      </c>
    </row>
    <row r="352" spans="1:13" x14ac:dyDescent="0.25">
      <c r="A352" s="13" t="s">
        <v>1015</v>
      </c>
      <c r="B352" s="13" t="s">
        <v>1015</v>
      </c>
      <c r="C352" s="13" t="s">
        <v>1015</v>
      </c>
      <c r="D352" s="13">
        <v>3.1</v>
      </c>
      <c r="E352" s="13" t="s">
        <v>1016</v>
      </c>
      <c r="F352" s="13" t="s">
        <v>8865</v>
      </c>
      <c r="G352" s="13" t="s">
        <v>2</v>
      </c>
      <c r="H352" s="13" t="s">
        <v>3</v>
      </c>
      <c r="I352" s="13" t="s">
        <v>429</v>
      </c>
      <c r="J352" s="13" t="s">
        <v>8890</v>
      </c>
      <c r="K352" s="13" t="s">
        <v>6051</v>
      </c>
      <c r="L352" s="13" t="s">
        <v>8901</v>
      </c>
      <c r="M352" t="s">
        <v>3</v>
      </c>
    </row>
    <row r="353" spans="1:13" x14ac:dyDescent="0.25">
      <c r="A353" s="13" t="s">
        <v>1017</v>
      </c>
      <c r="B353" s="13" t="s">
        <v>1017</v>
      </c>
      <c r="C353" s="13" t="s">
        <v>1017</v>
      </c>
      <c r="D353" s="13">
        <v>6.4</v>
      </c>
      <c r="E353" s="13" t="s">
        <v>1018</v>
      </c>
      <c r="F353" s="13" t="s">
        <v>8872</v>
      </c>
      <c r="G353" s="13" t="s">
        <v>2</v>
      </c>
      <c r="H353" s="13" t="s">
        <v>3</v>
      </c>
      <c r="I353" s="13" t="s">
        <v>429</v>
      </c>
      <c r="J353" s="13" t="s">
        <v>8890</v>
      </c>
      <c r="K353" s="13" t="s">
        <v>6051</v>
      </c>
      <c r="L353" s="13" t="s">
        <v>556</v>
      </c>
      <c r="M353" t="s">
        <v>3</v>
      </c>
    </row>
    <row r="354" spans="1:13" x14ac:dyDescent="0.25">
      <c r="A354" s="13" t="s">
        <v>1019</v>
      </c>
      <c r="B354" s="13" t="s">
        <v>1020</v>
      </c>
      <c r="C354" s="13" t="s">
        <v>1021</v>
      </c>
      <c r="D354" s="13">
        <v>390.9</v>
      </c>
      <c r="E354" s="13" t="s">
        <v>1022</v>
      </c>
      <c r="F354" s="13" t="s">
        <v>8864</v>
      </c>
      <c r="G354" s="13" t="s">
        <v>2</v>
      </c>
      <c r="H354" s="13" t="s">
        <v>8923</v>
      </c>
      <c r="I354" s="13" t="s">
        <v>390</v>
      </c>
      <c r="J354" s="13" t="s">
        <v>8890</v>
      </c>
      <c r="K354" s="13" t="s">
        <v>8423</v>
      </c>
      <c r="L354" s="13" t="s">
        <v>56</v>
      </c>
      <c r="M354" t="s">
        <v>8923</v>
      </c>
    </row>
    <row r="355" spans="1:13" ht="26.25" x14ac:dyDescent="0.25">
      <c r="A355" s="13" t="s">
        <v>11950</v>
      </c>
      <c r="B355" s="13" t="s">
        <v>11950</v>
      </c>
      <c r="C355" s="13" t="s">
        <v>11950</v>
      </c>
      <c r="D355" s="13">
        <v>5</v>
      </c>
      <c r="E355" s="13" t="s">
        <v>11951</v>
      </c>
      <c r="F355" s="13" t="s">
        <v>8860</v>
      </c>
      <c r="G355" s="13" t="s">
        <v>19</v>
      </c>
      <c r="H355" s="13" t="s">
        <v>3</v>
      </c>
      <c r="I355" s="13" t="s">
        <v>11952</v>
      </c>
      <c r="J355" s="13" t="s">
        <v>21</v>
      </c>
      <c r="K355" s="13" t="s">
        <v>11953</v>
      </c>
      <c r="L355" s="13" t="s">
        <v>18</v>
      </c>
      <c r="M355" t="s">
        <v>3</v>
      </c>
    </row>
    <row r="356" spans="1:13" ht="26.25" x14ac:dyDescent="0.25">
      <c r="A356" s="13" t="s">
        <v>10844</v>
      </c>
      <c r="B356" s="13" t="s">
        <v>10844</v>
      </c>
      <c r="C356" s="13" t="s">
        <v>10844</v>
      </c>
      <c r="D356" s="13">
        <v>1</v>
      </c>
      <c r="E356" s="13" t="s">
        <v>10845</v>
      </c>
      <c r="F356" s="13" t="s">
        <v>8860</v>
      </c>
      <c r="G356" s="13" t="s">
        <v>19</v>
      </c>
      <c r="H356" s="13" t="s">
        <v>3</v>
      </c>
      <c r="I356" s="13" t="s">
        <v>10846</v>
      </c>
      <c r="J356" s="13" t="s">
        <v>21</v>
      </c>
      <c r="K356" s="13" t="s">
        <v>10847</v>
      </c>
      <c r="L356" s="13" t="s">
        <v>18</v>
      </c>
      <c r="M356" t="s">
        <v>3</v>
      </c>
    </row>
    <row r="357" spans="1:13" ht="26.25" x14ac:dyDescent="0.25">
      <c r="A357" s="13" t="s">
        <v>1023</v>
      </c>
      <c r="B357" s="13" t="s">
        <v>1024</v>
      </c>
      <c r="C357" s="13" t="s">
        <v>1024</v>
      </c>
      <c r="D357" s="13">
        <v>0.1</v>
      </c>
      <c r="E357" s="13" t="s">
        <v>1025</v>
      </c>
      <c r="F357" s="13" t="s">
        <v>8860</v>
      </c>
      <c r="G357" s="13" t="s">
        <v>19</v>
      </c>
      <c r="H357" s="13" t="s">
        <v>3</v>
      </c>
      <c r="I357" s="13" t="s">
        <v>1026</v>
      </c>
      <c r="J357" s="13" t="s">
        <v>21</v>
      </c>
      <c r="K357" s="13" t="s">
        <v>8519</v>
      </c>
      <c r="L357" s="13" t="s">
        <v>18</v>
      </c>
      <c r="M357" t="s">
        <v>3</v>
      </c>
    </row>
    <row r="358" spans="1:13" ht="26.25" x14ac:dyDescent="0.25">
      <c r="A358" s="13" t="s">
        <v>1027</v>
      </c>
      <c r="B358" s="13" t="s">
        <v>1028</v>
      </c>
      <c r="C358" s="13" t="s">
        <v>1029</v>
      </c>
      <c r="D358" s="13">
        <v>0.8</v>
      </c>
      <c r="E358" s="13" t="s">
        <v>1030</v>
      </c>
      <c r="F358" s="13" t="s">
        <v>8867</v>
      </c>
      <c r="G358" s="13" t="s">
        <v>2</v>
      </c>
      <c r="H358" s="13" t="s">
        <v>3</v>
      </c>
      <c r="I358" s="13" t="s">
        <v>1026</v>
      </c>
      <c r="J358" s="13" t="s">
        <v>8890</v>
      </c>
      <c r="K358" s="13" t="s">
        <v>8519</v>
      </c>
      <c r="L358" s="13" t="s">
        <v>158</v>
      </c>
      <c r="M358" t="s">
        <v>3</v>
      </c>
    </row>
    <row r="359" spans="1:13" ht="26.25" x14ac:dyDescent="0.25">
      <c r="A359" s="13" t="s">
        <v>1031</v>
      </c>
      <c r="B359" s="13" t="s">
        <v>1032</v>
      </c>
      <c r="C359" s="13" t="s">
        <v>1033</v>
      </c>
      <c r="D359" s="13">
        <v>3</v>
      </c>
      <c r="E359" s="13" t="s">
        <v>1034</v>
      </c>
      <c r="F359" s="13" t="s">
        <v>8860</v>
      </c>
      <c r="G359" s="13" t="s">
        <v>19</v>
      </c>
      <c r="H359" s="13" t="s">
        <v>3</v>
      </c>
      <c r="I359" s="13" t="s">
        <v>1035</v>
      </c>
      <c r="J359" s="13" t="s">
        <v>21</v>
      </c>
      <c r="K359" s="13" t="s">
        <v>1033</v>
      </c>
      <c r="L359" s="13" t="s">
        <v>18</v>
      </c>
      <c r="M359" t="s">
        <v>3</v>
      </c>
    </row>
    <row r="360" spans="1:13" ht="26.25" x14ac:dyDescent="0.25">
      <c r="A360" s="13" t="s">
        <v>1036</v>
      </c>
      <c r="B360" s="13" t="s">
        <v>1037</v>
      </c>
      <c r="C360" s="13" t="s">
        <v>1037</v>
      </c>
      <c r="D360" s="13">
        <v>1</v>
      </c>
      <c r="E360" s="13" t="s">
        <v>1038</v>
      </c>
      <c r="F360" s="13" t="s">
        <v>8860</v>
      </c>
      <c r="G360" s="13" t="s">
        <v>19</v>
      </c>
      <c r="H360" s="13" t="s">
        <v>3</v>
      </c>
      <c r="I360" s="13" t="s">
        <v>1039</v>
      </c>
      <c r="J360" s="13" t="s">
        <v>21</v>
      </c>
      <c r="K360" s="13" t="s">
        <v>8520</v>
      </c>
      <c r="L360" s="13" t="s">
        <v>18</v>
      </c>
      <c r="M360" t="s">
        <v>3</v>
      </c>
    </row>
    <row r="361" spans="1:13" ht="26.25" x14ac:dyDescent="0.25">
      <c r="A361" s="13" t="s">
        <v>1040</v>
      </c>
      <c r="B361" s="13" t="s">
        <v>1041</v>
      </c>
      <c r="C361" s="13" t="s">
        <v>1042</v>
      </c>
      <c r="D361" s="13">
        <v>1</v>
      </c>
      <c r="E361" s="13" t="s">
        <v>1043</v>
      </c>
      <c r="F361" s="13" t="s">
        <v>8860</v>
      </c>
      <c r="G361" s="13" t="s">
        <v>19</v>
      </c>
      <c r="H361" s="13" t="s">
        <v>3</v>
      </c>
      <c r="I361" s="13" t="s">
        <v>1044</v>
      </c>
      <c r="J361" s="13" t="s">
        <v>21</v>
      </c>
      <c r="K361" s="13" t="s">
        <v>8521</v>
      </c>
      <c r="L361" s="13" t="s">
        <v>18</v>
      </c>
      <c r="M361" t="s">
        <v>3</v>
      </c>
    </row>
    <row r="362" spans="1:13" ht="26.25" x14ac:dyDescent="0.25">
      <c r="A362" s="13" t="s">
        <v>1045</v>
      </c>
      <c r="B362" s="13" t="s">
        <v>1046</v>
      </c>
      <c r="C362" s="13" t="s">
        <v>1047</v>
      </c>
      <c r="D362" s="13">
        <v>0.5</v>
      </c>
      <c r="E362" s="13" t="s">
        <v>1048</v>
      </c>
      <c r="F362" s="13" t="s">
        <v>8860</v>
      </c>
      <c r="G362" s="13" t="s">
        <v>19</v>
      </c>
      <c r="H362" s="13" t="s">
        <v>3</v>
      </c>
      <c r="I362" s="13" t="s">
        <v>1049</v>
      </c>
      <c r="J362" s="13" t="s">
        <v>21</v>
      </c>
      <c r="K362" s="13" t="s">
        <v>1046</v>
      </c>
      <c r="L362" s="13" t="s">
        <v>18</v>
      </c>
      <c r="M362" t="s">
        <v>3</v>
      </c>
    </row>
    <row r="363" spans="1:13" x14ac:dyDescent="0.25">
      <c r="A363" s="13" t="s">
        <v>9710</v>
      </c>
      <c r="B363" s="13" t="s">
        <v>9711</v>
      </c>
      <c r="C363" s="13" t="s">
        <v>9712</v>
      </c>
      <c r="D363" s="13">
        <v>48.5</v>
      </c>
      <c r="E363" s="13" t="s">
        <v>9713</v>
      </c>
      <c r="F363" s="13" t="s">
        <v>8867</v>
      </c>
      <c r="G363" s="13" t="s">
        <v>2</v>
      </c>
      <c r="H363" s="13" t="s">
        <v>3</v>
      </c>
      <c r="I363" s="13" t="s">
        <v>1834</v>
      </c>
      <c r="J363" s="13" t="s">
        <v>8890</v>
      </c>
      <c r="K363" s="13" t="s">
        <v>3164</v>
      </c>
      <c r="L363" s="13" t="s">
        <v>158</v>
      </c>
      <c r="M363" t="s">
        <v>3</v>
      </c>
    </row>
    <row r="364" spans="1:13" x14ac:dyDescent="0.25">
      <c r="A364" s="13" t="s">
        <v>9714</v>
      </c>
      <c r="B364" s="13" t="s">
        <v>9711</v>
      </c>
      <c r="C364" s="13" t="s">
        <v>9715</v>
      </c>
      <c r="D364" s="13">
        <v>48.5</v>
      </c>
      <c r="E364" s="13" t="s">
        <v>9716</v>
      </c>
      <c r="F364" s="13" t="s">
        <v>8867</v>
      </c>
      <c r="G364" s="13" t="s">
        <v>2</v>
      </c>
      <c r="H364" s="13" t="s">
        <v>3</v>
      </c>
      <c r="I364" s="13" t="s">
        <v>1834</v>
      </c>
      <c r="J364" s="13" t="s">
        <v>8890</v>
      </c>
      <c r="K364" s="13" t="s">
        <v>3164</v>
      </c>
      <c r="L364" s="13" t="s">
        <v>158</v>
      </c>
      <c r="M364" t="s">
        <v>3</v>
      </c>
    </row>
    <row r="365" spans="1:13" x14ac:dyDescent="0.25">
      <c r="A365" s="13" t="s">
        <v>11176</v>
      </c>
      <c r="B365" s="13" t="s">
        <v>11177</v>
      </c>
      <c r="C365" s="13" t="s">
        <v>11178</v>
      </c>
      <c r="D365" s="13">
        <v>50</v>
      </c>
      <c r="E365" s="13" t="s">
        <v>11179</v>
      </c>
      <c r="F365" s="13" t="s">
        <v>8867</v>
      </c>
      <c r="G365" s="13" t="s">
        <v>2</v>
      </c>
      <c r="H365" s="13" t="s">
        <v>3</v>
      </c>
      <c r="I365" s="13" t="s">
        <v>1834</v>
      </c>
      <c r="J365" s="13" t="s">
        <v>8890</v>
      </c>
      <c r="K365" s="13" t="s">
        <v>3164</v>
      </c>
      <c r="L365" s="13" t="s">
        <v>158</v>
      </c>
      <c r="M365" t="s">
        <v>3</v>
      </c>
    </row>
    <row r="366" spans="1:13" ht="26.25" x14ac:dyDescent="0.25">
      <c r="A366" s="13" t="s">
        <v>1050</v>
      </c>
      <c r="B366" s="13" t="s">
        <v>1051</v>
      </c>
      <c r="C366" s="13" t="s">
        <v>1051</v>
      </c>
      <c r="D366" s="13">
        <v>2.7</v>
      </c>
      <c r="E366" s="13" t="s">
        <v>1052</v>
      </c>
      <c r="F366" s="13" t="s">
        <v>35</v>
      </c>
      <c r="G366" s="13" t="s">
        <v>19</v>
      </c>
      <c r="H366" s="13" t="s">
        <v>3</v>
      </c>
      <c r="I366" s="13" t="s">
        <v>1051</v>
      </c>
      <c r="J366" s="13" t="s">
        <v>37</v>
      </c>
      <c r="K366" s="13" t="s">
        <v>1051</v>
      </c>
      <c r="L366" s="13" t="s">
        <v>35</v>
      </c>
      <c r="M366" t="s">
        <v>3</v>
      </c>
    </row>
    <row r="367" spans="1:13" ht="26.25" x14ac:dyDescent="0.25">
      <c r="A367" s="13" t="s">
        <v>1053</v>
      </c>
      <c r="B367" s="13" t="s">
        <v>1054</v>
      </c>
      <c r="C367" s="13" t="s">
        <v>1055</v>
      </c>
      <c r="D367" s="13">
        <v>1</v>
      </c>
      <c r="E367" s="13" t="s">
        <v>1056</v>
      </c>
      <c r="F367" s="13" t="s">
        <v>8860</v>
      </c>
      <c r="G367" s="13" t="s">
        <v>19</v>
      </c>
      <c r="H367" s="13" t="s">
        <v>3</v>
      </c>
      <c r="I367" s="13" t="s">
        <v>1054</v>
      </c>
      <c r="J367" s="13" t="s">
        <v>21</v>
      </c>
      <c r="K367" s="13" t="s">
        <v>8522</v>
      </c>
      <c r="L367" s="13" t="s">
        <v>18</v>
      </c>
      <c r="M367" t="s">
        <v>3</v>
      </c>
    </row>
    <row r="368" spans="1:13" ht="26.25" x14ac:dyDescent="0.25">
      <c r="A368" s="13" t="s">
        <v>1057</v>
      </c>
      <c r="B368" s="13" t="s">
        <v>1058</v>
      </c>
      <c r="C368" s="13" t="s">
        <v>1059</v>
      </c>
      <c r="D368" s="13">
        <v>1</v>
      </c>
      <c r="E368" s="13" t="s">
        <v>1060</v>
      </c>
      <c r="F368" s="13" t="s">
        <v>8860</v>
      </c>
      <c r="G368" s="13" t="s">
        <v>19</v>
      </c>
      <c r="H368" s="13" t="s">
        <v>3</v>
      </c>
      <c r="I368" s="13" t="s">
        <v>1061</v>
      </c>
      <c r="J368" s="13" t="s">
        <v>21</v>
      </c>
      <c r="K368" s="13" t="s">
        <v>8523</v>
      </c>
      <c r="L368" s="13" t="s">
        <v>18</v>
      </c>
      <c r="M368" t="s">
        <v>3</v>
      </c>
    </row>
    <row r="369" spans="1:13" ht="26.25" x14ac:dyDescent="0.25">
      <c r="A369" s="13" t="s">
        <v>8979</v>
      </c>
      <c r="B369" s="13" t="s">
        <v>8980</v>
      </c>
      <c r="C369" s="13" t="s">
        <v>8981</v>
      </c>
      <c r="D369" s="13">
        <v>10</v>
      </c>
      <c r="E369" s="13" t="s">
        <v>8982</v>
      </c>
      <c r="F369" s="13" t="s">
        <v>8867</v>
      </c>
      <c r="G369" s="13" t="s">
        <v>2</v>
      </c>
      <c r="H369" s="13" t="s">
        <v>3</v>
      </c>
      <c r="I369" s="13" t="s">
        <v>517</v>
      </c>
      <c r="J369" s="13" t="s">
        <v>8890</v>
      </c>
      <c r="K369" s="13" t="s">
        <v>8477</v>
      </c>
      <c r="L369" s="13" t="s">
        <v>158</v>
      </c>
      <c r="M369" t="s">
        <v>3</v>
      </c>
    </row>
    <row r="370" spans="1:13" x14ac:dyDescent="0.25">
      <c r="A370" s="13" t="s">
        <v>1062</v>
      </c>
      <c r="B370" s="13" t="s">
        <v>1063</v>
      </c>
      <c r="C370" s="13" t="s">
        <v>1063</v>
      </c>
      <c r="D370" s="13">
        <v>5.0999999999999996</v>
      </c>
      <c r="E370" s="13" t="s">
        <v>1064</v>
      </c>
      <c r="F370" s="13" t="s">
        <v>8865</v>
      </c>
      <c r="G370" s="13" t="s">
        <v>2</v>
      </c>
      <c r="H370" s="13" t="s">
        <v>3</v>
      </c>
      <c r="I370" s="13" t="s">
        <v>497</v>
      </c>
      <c r="J370" s="13" t="s">
        <v>8890</v>
      </c>
      <c r="K370" s="13" t="s">
        <v>8475</v>
      </c>
      <c r="L370" s="13" t="s">
        <v>8901</v>
      </c>
      <c r="M370" t="s">
        <v>3</v>
      </c>
    </row>
    <row r="371" spans="1:13" x14ac:dyDescent="0.25">
      <c r="A371" s="13" t="s">
        <v>1065</v>
      </c>
      <c r="B371" s="13" t="s">
        <v>1066</v>
      </c>
      <c r="C371" s="13" t="s">
        <v>1067</v>
      </c>
      <c r="D371" s="13">
        <v>418.2</v>
      </c>
      <c r="E371" s="13" t="s">
        <v>1068</v>
      </c>
      <c r="F371" s="13" t="s">
        <v>8864</v>
      </c>
      <c r="G371" s="13" t="s">
        <v>2</v>
      </c>
      <c r="H371" s="13" t="s">
        <v>8900</v>
      </c>
      <c r="I371" s="13" t="s">
        <v>62</v>
      </c>
      <c r="J371" s="13" t="s">
        <v>8890</v>
      </c>
      <c r="K371" s="13" t="s">
        <v>8430</v>
      </c>
      <c r="L371" s="13" t="s">
        <v>56</v>
      </c>
      <c r="M371" t="s">
        <v>10683</v>
      </c>
    </row>
    <row r="372" spans="1:13" x14ac:dyDescent="0.25">
      <c r="A372" s="13" t="s">
        <v>1069</v>
      </c>
      <c r="B372" s="13" t="s">
        <v>1070</v>
      </c>
      <c r="C372" s="13" t="s">
        <v>1071</v>
      </c>
      <c r="D372" s="13">
        <v>417.8</v>
      </c>
      <c r="E372" s="13" t="s">
        <v>1072</v>
      </c>
      <c r="F372" s="13" t="s">
        <v>8864</v>
      </c>
      <c r="G372" s="13" t="s">
        <v>2</v>
      </c>
      <c r="H372" s="13" t="s">
        <v>8900</v>
      </c>
      <c r="I372" s="13" t="s">
        <v>62</v>
      </c>
      <c r="J372" s="13" t="s">
        <v>8890</v>
      </c>
      <c r="K372" s="13" t="s">
        <v>8430</v>
      </c>
      <c r="L372" s="13" t="s">
        <v>56</v>
      </c>
      <c r="M372" t="s">
        <v>10683</v>
      </c>
    </row>
    <row r="373" spans="1:13" x14ac:dyDescent="0.25">
      <c r="A373" s="13" t="s">
        <v>1073</v>
      </c>
      <c r="B373" s="13" t="s">
        <v>1074</v>
      </c>
      <c r="C373" s="13" t="s">
        <v>1075</v>
      </c>
      <c r="D373" s="13">
        <v>412.7</v>
      </c>
      <c r="E373" s="13" t="s">
        <v>1076</v>
      </c>
      <c r="F373" s="13" t="s">
        <v>8864</v>
      </c>
      <c r="G373" s="13" t="s">
        <v>2</v>
      </c>
      <c r="H373" s="13" t="s">
        <v>8900</v>
      </c>
      <c r="I373" s="13" t="s">
        <v>62</v>
      </c>
      <c r="J373" s="13" t="s">
        <v>8890</v>
      </c>
      <c r="K373" s="13" t="s">
        <v>8430</v>
      </c>
      <c r="L373" s="13" t="s">
        <v>56</v>
      </c>
      <c r="M373" t="s">
        <v>10683</v>
      </c>
    </row>
    <row r="374" spans="1:13" x14ac:dyDescent="0.25">
      <c r="A374" s="13" t="s">
        <v>1077</v>
      </c>
      <c r="B374" s="13" t="s">
        <v>1078</v>
      </c>
      <c r="C374" s="13" t="s">
        <v>8983</v>
      </c>
      <c r="D374" s="13">
        <v>424.9</v>
      </c>
      <c r="E374" s="13" t="s">
        <v>1079</v>
      </c>
      <c r="F374" s="13" t="s">
        <v>8864</v>
      </c>
      <c r="G374" s="13" t="s">
        <v>2</v>
      </c>
      <c r="H374" s="13" t="s">
        <v>8984</v>
      </c>
      <c r="I374" s="13" t="s">
        <v>822</v>
      </c>
      <c r="J374" s="13" t="s">
        <v>8890</v>
      </c>
      <c r="K374" s="13" t="s">
        <v>8514</v>
      </c>
      <c r="L374" s="13" t="s">
        <v>56</v>
      </c>
      <c r="M374" t="s">
        <v>10686</v>
      </c>
    </row>
    <row r="375" spans="1:13" ht="26.25" x14ac:dyDescent="0.25">
      <c r="A375" s="13" t="s">
        <v>1080</v>
      </c>
      <c r="B375" s="13" t="s">
        <v>1081</v>
      </c>
      <c r="C375" s="13" t="s">
        <v>1082</v>
      </c>
      <c r="D375" s="13">
        <v>2</v>
      </c>
      <c r="E375" s="13" t="s">
        <v>1083</v>
      </c>
      <c r="F375" s="13" t="s">
        <v>275</v>
      </c>
      <c r="G375" s="13" t="s">
        <v>19</v>
      </c>
      <c r="H375" s="13" t="s">
        <v>3</v>
      </c>
      <c r="I375" s="13" t="s">
        <v>822</v>
      </c>
      <c r="J375" s="13" t="s">
        <v>276</v>
      </c>
      <c r="K375" s="13" t="s">
        <v>8514</v>
      </c>
      <c r="L375" s="13" t="s">
        <v>275</v>
      </c>
      <c r="M375" t="s">
        <v>3</v>
      </c>
    </row>
    <row r="376" spans="1:13" x14ac:dyDescent="0.25">
      <c r="A376" s="13" t="s">
        <v>1084</v>
      </c>
      <c r="B376" s="13" t="s">
        <v>1085</v>
      </c>
      <c r="C376" s="13" t="s">
        <v>8985</v>
      </c>
      <c r="D376" s="13">
        <v>378.9</v>
      </c>
      <c r="E376" s="13" t="s">
        <v>1086</v>
      </c>
      <c r="F376" s="13" t="s">
        <v>8864</v>
      </c>
      <c r="G376" s="13" t="s">
        <v>2</v>
      </c>
      <c r="H376" s="13" t="s">
        <v>1224</v>
      </c>
      <c r="I376" s="13" t="s">
        <v>57</v>
      </c>
      <c r="J376" s="13" t="s">
        <v>8890</v>
      </c>
      <c r="K376" s="13" t="s">
        <v>8429</v>
      </c>
      <c r="L376" s="13" t="s">
        <v>56</v>
      </c>
      <c r="M376" t="s">
        <v>10682</v>
      </c>
    </row>
    <row r="377" spans="1:13" x14ac:dyDescent="0.25">
      <c r="A377" s="13" t="s">
        <v>1087</v>
      </c>
      <c r="B377" s="13" t="s">
        <v>1088</v>
      </c>
      <c r="C377" s="13" t="s">
        <v>8986</v>
      </c>
      <c r="D377" s="13">
        <v>418.4</v>
      </c>
      <c r="E377" s="13" t="s">
        <v>1089</v>
      </c>
      <c r="F377" s="13" t="s">
        <v>8864</v>
      </c>
      <c r="G377" s="13" t="s">
        <v>2</v>
      </c>
      <c r="H377" s="13" t="s">
        <v>8984</v>
      </c>
      <c r="I377" s="13" t="s">
        <v>822</v>
      </c>
      <c r="J377" s="13" t="s">
        <v>8890</v>
      </c>
      <c r="K377" s="13" t="s">
        <v>8514</v>
      </c>
      <c r="L377" s="13" t="s">
        <v>56</v>
      </c>
      <c r="M377" t="s">
        <v>10686</v>
      </c>
    </row>
    <row r="378" spans="1:13" x14ac:dyDescent="0.25">
      <c r="A378" s="13" t="s">
        <v>1090</v>
      </c>
      <c r="B378" s="13" t="s">
        <v>1091</v>
      </c>
      <c r="C378" s="13" t="s">
        <v>1092</v>
      </c>
      <c r="D378" s="13">
        <v>782</v>
      </c>
      <c r="E378" s="13" t="s">
        <v>1093</v>
      </c>
      <c r="F378" s="13" t="s">
        <v>8864</v>
      </c>
      <c r="G378" s="13" t="s">
        <v>2</v>
      </c>
      <c r="H378" s="13" t="s">
        <v>1224</v>
      </c>
      <c r="I378" s="13" t="s">
        <v>57</v>
      </c>
      <c r="J378" s="13" t="s">
        <v>8890</v>
      </c>
      <c r="K378" s="13" t="s">
        <v>8429</v>
      </c>
      <c r="L378" s="13" t="s">
        <v>56</v>
      </c>
      <c r="M378" t="s">
        <v>10682</v>
      </c>
    </row>
    <row r="379" spans="1:13" x14ac:dyDescent="0.25">
      <c r="A379" s="13" t="s">
        <v>1094</v>
      </c>
      <c r="B379" s="13" t="s">
        <v>1095</v>
      </c>
      <c r="C379" s="13" t="s">
        <v>8987</v>
      </c>
      <c r="D379" s="13">
        <v>839.3</v>
      </c>
      <c r="E379" s="13" t="s">
        <v>1096</v>
      </c>
      <c r="F379" s="13" t="s">
        <v>8864</v>
      </c>
      <c r="G379" s="13" t="s">
        <v>2</v>
      </c>
      <c r="H379" s="13" t="s">
        <v>1224</v>
      </c>
      <c r="I379" s="13" t="s">
        <v>57</v>
      </c>
      <c r="J379" s="13" t="s">
        <v>8890</v>
      </c>
      <c r="K379" s="13" t="s">
        <v>8429</v>
      </c>
      <c r="L379" s="13" t="s">
        <v>56</v>
      </c>
      <c r="M379" t="s">
        <v>10682</v>
      </c>
    </row>
    <row r="380" spans="1:13" x14ac:dyDescent="0.25">
      <c r="A380" s="13" t="s">
        <v>1097</v>
      </c>
      <c r="B380" s="13" t="s">
        <v>1098</v>
      </c>
      <c r="C380" s="13" t="s">
        <v>1099</v>
      </c>
      <c r="D380" s="13">
        <v>790.6</v>
      </c>
      <c r="E380" s="13" t="s">
        <v>1100</v>
      </c>
      <c r="F380" s="13" t="s">
        <v>8864</v>
      </c>
      <c r="G380" s="13" t="s">
        <v>2</v>
      </c>
      <c r="H380" s="13" t="s">
        <v>8988</v>
      </c>
      <c r="I380" s="13" t="s">
        <v>1097</v>
      </c>
      <c r="J380" s="13" t="s">
        <v>8890</v>
      </c>
      <c r="K380" s="13" t="s">
        <v>8524</v>
      </c>
      <c r="L380" s="13" t="s">
        <v>56</v>
      </c>
      <c r="M380" t="s">
        <v>8988</v>
      </c>
    </row>
    <row r="381" spans="1:13" ht="26.25" x14ac:dyDescent="0.25">
      <c r="A381" s="13" t="s">
        <v>1101</v>
      </c>
      <c r="B381" s="13" t="s">
        <v>1101</v>
      </c>
      <c r="C381" s="13" t="s">
        <v>8989</v>
      </c>
      <c r="D381" s="13">
        <v>10</v>
      </c>
      <c r="E381" s="13" t="s">
        <v>1102</v>
      </c>
      <c r="F381" s="13" t="s">
        <v>275</v>
      </c>
      <c r="G381" s="13" t="s">
        <v>19</v>
      </c>
      <c r="H381" s="13" t="s">
        <v>3</v>
      </c>
      <c r="I381" s="13" t="s">
        <v>1097</v>
      </c>
      <c r="J381" s="13" t="s">
        <v>276</v>
      </c>
      <c r="K381" s="13" t="s">
        <v>8524</v>
      </c>
      <c r="L381" s="13" t="s">
        <v>275</v>
      </c>
      <c r="M381" t="s">
        <v>3</v>
      </c>
    </row>
    <row r="382" spans="1:13" x14ac:dyDescent="0.25">
      <c r="A382" s="13" t="s">
        <v>1103</v>
      </c>
      <c r="B382" s="13" t="s">
        <v>1104</v>
      </c>
      <c r="C382" s="13" t="s">
        <v>1105</v>
      </c>
      <c r="D382" s="13">
        <v>1.9</v>
      </c>
      <c r="E382" s="13" t="s">
        <v>1106</v>
      </c>
      <c r="F382" s="13" t="s">
        <v>8865</v>
      </c>
      <c r="G382" s="13" t="s">
        <v>2</v>
      </c>
      <c r="H382" s="13" t="s">
        <v>3</v>
      </c>
      <c r="I382" s="13" t="s">
        <v>497</v>
      </c>
      <c r="J382" s="13" t="s">
        <v>8890</v>
      </c>
      <c r="K382" s="13" t="s">
        <v>8475</v>
      </c>
      <c r="L382" s="13" t="s">
        <v>8901</v>
      </c>
      <c r="M382" t="s">
        <v>3</v>
      </c>
    </row>
    <row r="383" spans="1:13" ht="26.25" x14ac:dyDescent="0.25">
      <c r="A383" s="13" t="s">
        <v>1107</v>
      </c>
      <c r="B383" s="13" t="s">
        <v>8990</v>
      </c>
      <c r="C383" s="13" t="s">
        <v>1108</v>
      </c>
      <c r="D383" s="13">
        <v>3</v>
      </c>
      <c r="E383" s="13" t="s">
        <v>1109</v>
      </c>
      <c r="F383" s="13" t="s">
        <v>8860</v>
      </c>
      <c r="G383" s="13" t="s">
        <v>19</v>
      </c>
      <c r="H383" s="13" t="s">
        <v>3</v>
      </c>
      <c r="I383" s="13" t="s">
        <v>1110</v>
      </c>
      <c r="J383" s="13" t="s">
        <v>21</v>
      </c>
      <c r="K383" s="13" t="s">
        <v>1108</v>
      </c>
      <c r="L383" s="13" t="s">
        <v>18</v>
      </c>
      <c r="M383" t="s">
        <v>3</v>
      </c>
    </row>
    <row r="384" spans="1:13" ht="26.25" x14ac:dyDescent="0.25">
      <c r="A384" s="13" t="s">
        <v>1111</v>
      </c>
      <c r="B384" s="13" t="s">
        <v>1112</v>
      </c>
      <c r="C384" s="13" t="s">
        <v>1113</v>
      </c>
      <c r="D384" s="13">
        <v>0.8</v>
      </c>
      <c r="E384" s="13" t="s">
        <v>1114</v>
      </c>
      <c r="F384" s="13" t="s">
        <v>35</v>
      </c>
      <c r="G384" s="13" t="s">
        <v>19</v>
      </c>
      <c r="H384" s="13" t="s">
        <v>3</v>
      </c>
      <c r="I384" s="13" t="s">
        <v>1112</v>
      </c>
      <c r="J384" s="13" t="s">
        <v>37</v>
      </c>
      <c r="K384" s="13" t="s">
        <v>8525</v>
      </c>
      <c r="L384" s="13" t="s">
        <v>35</v>
      </c>
      <c r="M384" t="s">
        <v>3</v>
      </c>
    </row>
    <row r="385" spans="1:13" ht="26.25" x14ac:dyDescent="0.25">
      <c r="A385" s="13" t="s">
        <v>1115</v>
      </c>
      <c r="B385" s="13" t="s">
        <v>1116</v>
      </c>
      <c r="C385" s="13" t="s">
        <v>1117</v>
      </c>
      <c r="D385" s="13">
        <v>0.5</v>
      </c>
      <c r="E385" s="13" t="s">
        <v>1118</v>
      </c>
      <c r="F385" s="13" t="s">
        <v>35</v>
      </c>
      <c r="G385" s="13" t="s">
        <v>19</v>
      </c>
      <c r="H385" s="13" t="s">
        <v>3</v>
      </c>
      <c r="I385" s="13" t="s">
        <v>1112</v>
      </c>
      <c r="J385" s="13" t="s">
        <v>37</v>
      </c>
      <c r="K385" s="13" t="s">
        <v>8525</v>
      </c>
      <c r="L385" s="13" t="s">
        <v>35</v>
      </c>
      <c r="M385" t="s">
        <v>3</v>
      </c>
    </row>
    <row r="386" spans="1:13" ht="26.25" x14ac:dyDescent="0.25">
      <c r="A386" s="13" t="s">
        <v>10455</v>
      </c>
      <c r="B386" s="13" t="s">
        <v>10455</v>
      </c>
      <c r="C386" s="13" t="s">
        <v>10456</v>
      </c>
      <c r="D386" s="13">
        <v>1</v>
      </c>
      <c r="E386" s="13" t="s">
        <v>10457</v>
      </c>
      <c r="F386" s="13" t="s">
        <v>8860</v>
      </c>
      <c r="G386" s="13" t="s">
        <v>19</v>
      </c>
      <c r="H386" s="13" t="s">
        <v>3</v>
      </c>
      <c r="I386" s="13" t="s">
        <v>10458</v>
      </c>
      <c r="J386" s="13" t="s">
        <v>21</v>
      </c>
      <c r="K386" s="13" t="s">
        <v>10459</v>
      </c>
      <c r="L386" s="13" t="s">
        <v>18</v>
      </c>
      <c r="M386" t="s">
        <v>3</v>
      </c>
    </row>
    <row r="387" spans="1:13" ht="26.25" x14ac:dyDescent="0.25">
      <c r="A387" s="13" t="s">
        <v>10460</v>
      </c>
      <c r="B387" s="13" t="s">
        <v>10461</v>
      </c>
      <c r="C387" s="13" t="s">
        <v>10462</v>
      </c>
      <c r="D387" s="13">
        <v>9</v>
      </c>
      <c r="E387" s="13" t="s">
        <v>10463</v>
      </c>
      <c r="F387" s="13" t="s">
        <v>8860</v>
      </c>
      <c r="G387" s="13" t="s">
        <v>19</v>
      </c>
      <c r="H387" s="13" t="s">
        <v>3</v>
      </c>
      <c r="I387" s="13" t="s">
        <v>948</v>
      </c>
      <c r="J387" s="13" t="s">
        <v>21</v>
      </c>
      <c r="K387" s="13" t="s">
        <v>8518</v>
      </c>
      <c r="L387" s="13" t="s">
        <v>18</v>
      </c>
      <c r="M387" t="s">
        <v>3</v>
      </c>
    </row>
    <row r="388" spans="1:13" ht="26.25" x14ac:dyDescent="0.25">
      <c r="A388" s="13" t="s">
        <v>1119</v>
      </c>
      <c r="B388" s="13" t="s">
        <v>1120</v>
      </c>
      <c r="C388" s="13" t="s">
        <v>1121</v>
      </c>
      <c r="D388" s="13">
        <v>0.4</v>
      </c>
      <c r="E388" s="13" t="s">
        <v>1122</v>
      </c>
      <c r="F388" s="13" t="s">
        <v>8860</v>
      </c>
      <c r="G388" s="13" t="s">
        <v>19</v>
      </c>
      <c r="H388" s="13" t="s">
        <v>3</v>
      </c>
      <c r="I388" s="13" t="s">
        <v>1123</v>
      </c>
      <c r="J388" s="13" t="s">
        <v>21</v>
      </c>
      <c r="K388" s="13" t="s">
        <v>1123</v>
      </c>
      <c r="L388" s="13" t="s">
        <v>18</v>
      </c>
      <c r="M388" t="s">
        <v>3</v>
      </c>
    </row>
    <row r="389" spans="1:13" ht="26.25" x14ac:dyDescent="0.25">
      <c r="A389" s="13" t="s">
        <v>1124</v>
      </c>
      <c r="B389" s="13" t="s">
        <v>1124</v>
      </c>
      <c r="C389" s="13" t="s">
        <v>1125</v>
      </c>
      <c r="D389" s="13">
        <v>50</v>
      </c>
      <c r="E389" s="13" t="s">
        <v>1126</v>
      </c>
      <c r="F389" s="13" t="s">
        <v>8860</v>
      </c>
      <c r="G389" s="13" t="s">
        <v>19</v>
      </c>
      <c r="H389" s="13" t="s">
        <v>3</v>
      </c>
      <c r="I389" s="13" t="s">
        <v>1127</v>
      </c>
      <c r="J389" s="13" t="s">
        <v>21</v>
      </c>
      <c r="K389" s="13" t="s">
        <v>8526</v>
      </c>
      <c r="L389" s="13" t="s">
        <v>18</v>
      </c>
      <c r="M389" t="s">
        <v>3</v>
      </c>
    </row>
    <row r="390" spans="1:13" x14ac:dyDescent="0.25">
      <c r="A390" s="13" t="s">
        <v>11021</v>
      </c>
      <c r="B390" s="13" t="s">
        <v>11022</v>
      </c>
      <c r="C390" s="13" t="s">
        <v>11023</v>
      </c>
      <c r="D390" s="13">
        <v>0.9</v>
      </c>
      <c r="E390" s="13" t="s">
        <v>11024</v>
      </c>
      <c r="F390" s="13" t="s">
        <v>8865</v>
      </c>
      <c r="G390" s="13" t="s">
        <v>2</v>
      </c>
      <c r="H390" s="13" t="s">
        <v>3</v>
      </c>
      <c r="I390" s="13" t="s">
        <v>516</v>
      </c>
      <c r="J390" s="13" t="s">
        <v>8890</v>
      </c>
      <c r="K390" s="13" t="s">
        <v>516</v>
      </c>
      <c r="L390" s="13" t="s">
        <v>8901</v>
      </c>
      <c r="M390" t="s">
        <v>3</v>
      </c>
    </row>
    <row r="391" spans="1:13" ht="26.25" x14ac:dyDescent="0.25">
      <c r="A391" s="13" t="s">
        <v>1129</v>
      </c>
      <c r="B391" s="13" t="s">
        <v>1130</v>
      </c>
      <c r="C391" s="13" t="s">
        <v>1131</v>
      </c>
      <c r="D391" s="13">
        <v>7.4</v>
      </c>
      <c r="E391" s="13" t="s">
        <v>1132</v>
      </c>
      <c r="F391" s="13" t="s">
        <v>35</v>
      </c>
      <c r="G391" s="13" t="s">
        <v>19</v>
      </c>
      <c r="H391" s="13" t="s">
        <v>3</v>
      </c>
      <c r="I391" s="13" t="s">
        <v>1130</v>
      </c>
      <c r="J391" s="13" t="s">
        <v>37</v>
      </c>
      <c r="K391" s="13" t="s">
        <v>1131</v>
      </c>
      <c r="L391" s="13" t="s">
        <v>35</v>
      </c>
      <c r="M391" t="s">
        <v>3</v>
      </c>
    </row>
    <row r="392" spans="1:13" ht="26.25" x14ac:dyDescent="0.25">
      <c r="A392" s="13" t="s">
        <v>1133</v>
      </c>
      <c r="B392" s="13" t="s">
        <v>1134</v>
      </c>
      <c r="C392" s="13" t="s">
        <v>1135</v>
      </c>
      <c r="D392" s="13">
        <v>4</v>
      </c>
      <c r="E392" s="13" t="s">
        <v>1136</v>
      </c>
      <c r="F392" s="13" t="s">
        <v>8860</v>
      </c>
      <c r="G392" s="13" t="s">
        <v>19</v>
      </c>
      <c r="H392" s="13" t="s">
        <v>3</v>
      </c>
      <c r="I392" s="13" t="s">
        <v>1137</v>
      </c>
      <c r="J392" s="13" t="s">
        <v>21</v>
      </c>
      <c r="K392" s="13" t="s">
        <v>8528</v>
      </c>
      <c r="L392" s="13" t="s">
        <v>18</v>
      </c>
      <c r="M392" t="s">
        <v>3</v>
      </c>
    </row>
    <row r="393" spans="1:13" x14ac:dyDescent="0.25">
      <c r="A393" s="13" t="s">
        <v>1138</v>
      </c>
      <c r="B393" s="13" t="s">
        <v>1138</v>
      </c>
      <c r="C393" s="13" t="s">
        <v>1138</v>
      </c>
      <c r="D393" s="13">
        <v>30.4</v>
      </c>
      <c r="E393" s="13" t="s">
        <v>1139</v>
      </c>
      <c r="F393" s="13" t="s">
        <v>8869</v>
      </c>
      <c r="G393" s="13" t="s">
        <v>2</v>
      </c>
      <c r="H393" s="13" t="s">
        <v>3</v>
      </c>
      <c r="I393" s="13" t="s">
        <v>119</v>
      </c>
      <c r="J393" s="13" t="s">
        <v>8890</v>
      </c>
      <c r="K393" s="13" t="s">
        <v>8883</v>
      </c>
      <c r="L393" s="13" t="s">
        <v>8918</v>
      </c>
      <c r="M393" t="s">
        <v>3</v>
      </c>
    </row>
    <row r="394" spans="1:13" x14ac:dyDescent="0.25">
      <c r="A394" s="13" t="s">
        <v>1140</v>
      </c>
      <c r="B394" s="13" t="s">
        <v>1140</v>
      </c>
      <c r="C394" s="13" t="s">
        <v>1140</v>
      </c>
      <c r="D394" s="13">
        <v>99</v>
      </c>
      <c r="E394" s="13" t="s">
        <v>1141</v>
      </c>
      <c r="F394" s="13" t="s">
        <v>8869</v>
      </c>
      <c r="G394" s="13" t="s">
        <v>2</v>
      </c>
      <c r="H394" s="13" t="s">
        <v>3</v>
      </c>
      <c r="I394" s="13" t="s">
        <v>119</v>
      </c>
      <c r="J394" s="13" t="s">
        <v>8890</v>
      </c>
      <c r="K394" s="13" t="s">
        <v>8883</v>
      </c>
      <c r="L394" s="13" t="s">
        <v>8918</v>
      </c>
      <c r="M394" t="s">
        <v>3</v>
      </c>
    </row>
    <row r="395" spans="1:13" ht="26.25" x14ac:dyDescent="0.25">
      <c r="A395" s="13" t="s">
        <v>1142</v>
      </c>
      <c r="B395" s="13" t="s">
        <v>1143</v>
      </c>
      <c r="C395" s="13" t="s">
        <v>1144</v>
      </c>
      <c r="D395" s="13">
        <v>0.1</v>
      </c>
      <c r="E395" s="13" t="s">
        <v>1145</v>
      </c>
      <c r="F395" s="13" t="s">
        <v>35</v>
      </c>
      <c r="G395" s="13" t="s">
        <v>19</v>
      </c>
      <c r="H395" s="13" t="s">
        <v>3</v>
      </c>
      <c r="I395" s="13" t="s">
        <v>1143</v>
      </c>
      <c r="J395" s="13" t="s">
        <v>37</v>
      </c>
      <c r="K395" s="13" t="s">
        <v>1144</v>
      </c>
      <c r="L395" s="13" t="s">
        <v>35</v>
      </c>
      <c r="M395" t="s">
        <v>3</v>
      </c>
    </row>
    <row r="396" spans="1:13" ht="26.25" x14ac:dyDescent="0.25">
      <c r="A396" s="13" t="s">
        <v>1146</v>
      </c>
      <c r="B396" s="13" t="s">
        <v>1146</v>
      </c>
      <c r="C396" s="13" t="s">
        <v>1146</v>
      </c>
      <c r="D396" s="13">
        <v>74.400000000000006</v>
      </c>
      <c r="E396" s="13" t="s">
        <v>1147</v>
      </c>
      <c r="F396" s="13" t="s">
        <v>8860</v>
      </c>
      <c r="G396" s="13" t="s">
        <v>19</v>
      </c>
      <c r="H396" s="13" t="s">
        <v>3</v>
      </c>
      <c r="I396" s="13" t="s">
        <v>1148</v>
      </c>
      <c r="J396" s="13" t="s">
        <v>21</v>
      </c>
      <c r="K396" s="13" t="s">
        <v>8529</v>
      </c>
      <c r="L396" s="13" t="s">
        <v>18</v>
      </c>
      <c r="M396" t="s">
        <v>3</v>
      </c>
    </row>
    <row r="397" spans="1:13" x14ac:dyDescent="0.25">
      <c r="A397" s="13" t="s">
        <v>1149</v>
      </c>
      <c r="B397" s="13" t="s">
        <v>1150</v>
      </c>
      <c r="C397" s="13" t="s">
        <v>1151</v>
      </c>
      <c r="D397" s="13">
        <v>3.4</v>
      </c>
      <c r="E397" s="13" t="s">
        <v>1152</v>
      </c>
      <c r="F397" s="13" t="s">
        <v>8873</v>
      </c>
      <c r="G397" s="13" t="s">
        <v>2</v>
      </c>
      <c r="H397" s="13" t="s">
        <v>3</v>
      </c>
      <c r="I397" s="13" t="s">
        <v>497</v>
      </c>
      <c r="J397" s="13" t="s">
        <v>8890</v>
      </c>
      <c r="K397" s="13" t="s">
        <v>8475</v>
      </c>
      <c r="L397" s="13" t="s">
        <v>8964</v>
      </c>
      <c r="M397" t="s">
        <v>3</v>
      </c>
    </row>
    <row r="398" spans="1:13" ht="26.25" x14ac:dyDescent="0.25">
      <c r="A398" s="13" t="s">
        <v>1153</v>
      </c>
      <c r="B398" s="13" t="s">
        <v>1154</v>
      </c>
      <c r="C398" s="13" t="s">
        <v>1155</v>
      </c>
      <c r="D398" s="14">
        <v>0.6</v>
      </c>
      <c r="E398" s="13" t="s">
        <v>1156</v>
      </c>
      <c r="F398" s="13" t="s">
        <v>35</v>
      </c>
      <c r="G398" s="13" t="s">
        <v>19</v>
      </c>
      <c r="H398" s="13" t="s">
        <v>3</v>
      </c>
      <c r="I398" s="13" t="s">
        <v>1157</v>
      </c>
      <c r="J398" s="13" t="s">
        <v>37</v>
      </c>
      <c r="K398" s="13" t="s">
        <v>1157</v>
      </c>
      <c r="L398" s="13" t="s">
        <v>35</v>
      </c>
      <c r="M398" t="s">
        <v>3</v>
      </c>
    </row>
    <row r="399" spans="1:13" ht="26.25" x14ac:dyDescent="0.25">
      <c r="A399" s="13" t="s">
        <v>1158</v>
      </c>
      <c r="B399" s="13" t="s">
        <v>1158</v>
      </c>
      <c r="C399" s="13" t="s">
        <v>1158</v>
      </c>
      <c r="D399" s="14">
        <v>2535.1999999999998</v>
      </c>
      <c r="E399" s="13" t="s">
        <v>1159</v>
      </c>
      <c r="F399" s="13" t="s">
        <v>35</v>
      </c>
      <c r="G399" s="13" t="s">
        <v>19</v>
      </c>
      <c r="H399" s="13" t="s">
        <v>3</v>
      </c>
      <c r="I399" s="13" t="s">
        <v>429</v>
      </c>
      <c r="J399" s="13" t="s">
        <v>37</v>
      </c>
      <c r="K399" s="13" t="s">
        <v>6051</v>
      </c>
      <c r="L399" s="13" t="s">
        <v>35</v>
      </c>
      <c r="M399" t="s">
        <v>3</v>
      </c>
    </row>
    <row r="400" spans="1:13" ht="26.25" x14ac:dyDescent="0.25">
      <c r="A400" s="13" t="s">
        <v>1160</v>
      </c>
      <c r="B400" s="13" t="s">
        <v>1160</v>
      </c>
      <c r="C400" s="13" t="s">
        <v>1160</v>
      </c>
      <c r="D400" s="13">
        <v>1933.9</v>
      </c>
      <c r="E400" s="13" t="s">
        <v>1161</v>
      </c>
      <c r="F400" s="13" t="s">
        <v>35</v>
      </c>
      <c r="G400" s="13" t="s">
        <v>19</v>
      </c>
      <c r="H400" s="13" t="s">
        <v>3</v>
      </c>
      <c r="I400" s="13" t="s">
        <v>429</v>
      </c>
      <c r="J400" s="13" t="s">
        <v>37</v>
      </c>
      <c r="K400" s="13" t="s">
        <v>6051</v>
      </c>
      <c r="L400" s="13" t="s">
        <v>35</v>
      </c>
      <c r="M400" t="s">
        <v>3</v>
      </c>
    </row>
    <row r="401" spans="1:13" ht="26.25" x14ac:dyDescent="0.25">
      <c r="A401" s="13" t="s">
        <v>1162</v>
      </c>
      <c r="B401" s="13" t="s">
        <v>1162</v>
      </c>
      <c r="C401" s="13" t="s">
        <v>1162</v>
      </c>
      <c r="D401" s="13">
        <v>35</v>
      </c>
      <c r="E401" s="13" t="s">
        <v>1163</v>
      </c>
      <c r="F401" s="13" t="s">
        <v>35</v>
      </c>
      <c r="G401" s="13" t="s">
        <v>19</v>
      </c>
      <c r="H401" s="13" t="s">
        <v>3</v>
      </c>
      <c r="I401" s="13" t="s">
        <v>429</v>
      </c>
      <c r="J401" s="13" t="s">
        <v>37</v>
      </c>
      <c r="K401" s="13" t="s">
        <v>6051</v>
      </c>
      <c r="L401" s="13" t="s">
        <v>35</v>
      </c>
      <c r="M401" t="s">
        <v>3</v>
      </c>
    </row>
    <row r="402" spans="1:13" ht="26.25" x14ac:dyDescent="0.25">
      <c r="A402" s="13" t="s">
        <v>1164</v>
      </c>
      <c r="B402" s="13" t="s">
        <v>8991</v>
      </c>
      <c r="C402" s="13" t="s">
        <v>1165</v>
      </c>
      <c r="D402" s="13">
        <v>0</v>
      </c>
      <c r="E402" s="13" t="s">
        <v>1166</v>
      </c>
      <c r="F402" s="13" t="s">
        <v>8860</v>
      </c>
      <c r="G402" s="13" t="s">
        <v>19</v>
      </c>
      <c r="H402" s="13" t="s">
        <v>3</v>
      </c>
      <c r="I402" s="13" t="s">
        <v>429</v>
      </c>
      <c r="J402" s="13" t="s">
        <v>21</v>
      </c>
      <c r="K402" s="13" t="s">
        <v>6051</v>
      </c>
      <c r="L402" s="13" t="s">
        <v>18</v>
      </c>
      <c r="M402" t="s">
        <v>3</v>
      </c>
    </row>
    <row r="403" spans="1:13" ht="26.25" x14ac:dyDescent="0.25">
      <c r="A403" s="13" t="s">
        <v>1167</v>
      </c>
      <c r="B403" s="13" t="s">
        <v>1167</v>
      </c>
      <c r="C403" s="13" t="s">
        <v>1167</v>
      </c>
      <c r="D403" s="13">
        <v>2</v>
      </c>
      <c r="E403" s="13" t="s">
        <v>1168</v>
      </c>
      <c r="F403" s="13" t="s">
        <v>8860</v>
      </c>
      <c r="G403" s="13" t="s">
        <v>19</v>
      </c>
      <c r="H403" s="13" t="s">
        <v>3</v>
      </c>
      <c r="I403" s="13" t="s">
        <v>429</v>
      </c>
      <c r="J403" s="13" t="s">
        <v>21</v>
      </c>
      <c r="K403" s="13" t="s">
        <v>6051</v>
      </c>
      <c r="L403" s="13" t="s">
        <v>18</v>
      </c>
      <c r="M403" t="s">
        <v>3</v>
      </c>
    </row>
    <row r="404" spans="1:13" ht="26.25" x14ac:dyDescent="0.25">
      <c r="A404" s="13" t="s">
        <v>1169</v>
      </c>
      <c r="B404" s="13" t="s">
        <v>1169</v>
      </c>
      <c r="C404" s="13" t="s">
        <v>1169</v>
      </c>
      <c r="D404" s="13">
        <v>30</v>
      </c>
      <c r="E404" s="13" t="s">
        <v>1170</v>
      </c>
      <c r="F404" s="13" t="s">
        <v>275</v>
      </c>
      <c r="G404" s="13" t="s">
        <v>19</v>
      </c>
      <c r="H404" s="13" t="s">
        <v>3</v>
      </c>
      <c r="I404" s="13" t="s">
        <v>429</v>
      </c>
      <c r="J404" s="13" t="s">
        <v>276</v>
      </c>
      <c r="K404" s="13" t="s">
        <v>6051</v>
      </c>
      <c r="L404" s="13" t="s">
        <v>275</v>
      </c>
      <c r="M404" t="s">
        <v>3</v>
      </c>
    </row>
    <row r="405" spans="1:13" ht="26.25" x14ac:dyDescent="0.25">
      <c r="A405" s="13" t="s">
        <v>11180</v>
      </c>
      <c r="B405" s="13" t="s">
        <v>11180</v>
      </c>
      <c r="C405" s="13" t="s">
        <v>11181</v>
      </c>
      <c r="D405" s="13">
        <v>0</v>
      </c>
      <c r="E405" s="13" t="s">
        <v>11182</v>
      </c>
      <c r="F405" s="13" t="s">
        <v>8860</v>
      </c>
      <c r="G405" s="13" t="s">
        <v>19</v>
      </c>
      <c r="H405" s="13" t="s">
        <v>3</v>
      </c>
      <c r="I405" s="13" t="s">
        <v>11183</v>
      </c>
      <c r="J405" s="13" t="s">
        <v>21</v>
      </c>
      <c r="K405" s="13" t="s">
        <v>11184</v>
      </c>
      <c r="L405" s="13" t="s">
        <v>18</v>
      </c>
      <c r="M405" t="s">
        <v>3</v>
      </c>
    </row>
    <row r="406" spans="1:13" ht="26.25" x14ac:dyDescent="0.25">
      <c r="A406" s="13" t="s">
        <v>1171</v>
      </c>
      <c r="B406" s="13" t="s">
        <v>1172</v>
      </c>
      <c r="C406" s="13" t="s">
        <v>1173</v>
      </c>
      <c r="D406" s="13">
        <v>5</v>
      </c>
      <c r="E406" s="13" t="s">
        <v>1174</v>
      </c>
      <c r="F406" s="13" t="s">
        <v>8860</v>
      </c>
      <c r="G406" s="13" t="s">
        <v>19</v>
      </c>
      <c r="H406" s="13" t="s">
        <v>3</v>
      </c>
      <c r="I406" s="13" t="s">
        <v>1175</v>
      </c>
      <c r="J406" s="13" t="s">
        <v>21</v>
      </c>
      <c r="K406" s="13" t="s">
        <v>8530</v>
      </c>
      <c r="L406" s="13" t="s">
        <v>18</v>
      </c>
      <c r="M406" t="s">
        <v>3</v>
      </c>
    </row>
    <row r="407" spans="1:13" ht="26.25" x14ac:dyDescent="0.25">
      <c r="A407" s="13" t="s">
        <v>1176</v>
      </c>
      <c r="B407" s="13" t="s">
        <v>1177</v>
      </c>
      <c r="C407" s="13" t="s">
        <v>1178</v>
      </c>
      <c r="D407" s="13">
        <v>0.1</v>
      </c>
      <c r="E407" s="13" t="s">
        <v>1179</v>
      </c>
      <c r="F407" s="13" t="s">
        <v>8860</v>
      </c>
      <c r="G407" s="13" t="s">
        <v>19</v>
      </c>
      <c r="H407" s="13" t="s">
        <v>3</v>
      </c>
      <c r="I407" s="13" t="s">
        <v>1177</v>
      </c>
      <c r="J407" s="13" t="s">
        <v>21</v>
      </c>
      <c r="K407" s="13" t="s">
        <v>8531</v>
      </c>
      <c r="L407" s="13" t="s">
        <v>18</v>
      </c>
      <c r="M407" t="s">
        <v>3</v>
      </c>
    </row>
    <row r="408" spans="1:13" ht="26.25" x14ac:dyDescent="0.25">
      <c r="A408" s="13" t="s">
        <v>1180</v>
      </c>
      <c r="B408" s="13" t="s">
        <v>1181</v>
      </c>
      <c r="C408" s="13" t="s">
        <v>1182</v>
      </c>
      <c r="D408" s="13">
        <v>92.7</v>
      </c>
      <c r="E408" s="13" t="s">
        <v>1183</v>
      </c>
      <c r="F408" s="13" t="s">
        <v>35</v>
      </c>
      <c r="G408" s="13" t="s">
        <v>19</v>
      </c>
      <c r="H408" s="13" t="s">
        <v>3</v>
      </c>
      <c r="I408" s="13" t="s">
        <v>1184</v>
      </c>
      <c r="J408" s="13" t="s">
        <v>37</v>
      </c>
      <c r="K408" s="13" t="s">
        <v>1182</v>
      </c>
      <c r="L408" s="13" t="s">
        <v>35</v>
      </c>
      <c r="M408" t="s">
        <v>3</v>
      </c>
    </row>
    <row r="409" spans="1:13" ht="26.25" x14ac:dyDescent="0.25">
      <c r="A409" s="13" t="s">
        <v>8992</v>
      </c>
      <c r="B409" s="13" t="s">
        <v>8993</v>
      </c>
      <c r="C409" s="13" t="s">
        <v>8994</v>
      </c>
      <c r="D409" s="13">
        <v>1</v>
      </c>
      <c r="E409" s="13" t="s">
        <v>8995</v>
      </c>
      <c r="F409" s="13" t="s">
        <v>8860</v>
      </c>
      <c r="G409" s="13" t="s">
        <v>19</v>
      </c>
      <c r="H409" s="13" t="s">
        <v>3</v>
      </c>
      <c r="I409" s="13" t="s">
        <v>8996</v>
      </c>
      <c r="J409" s="13" t="s">
        <v>21</v>
      </c>
      <c r="K409" s="13" t="s">
        <v>8997</v>
      </c>
      <c r="L409" s="13" t="s">
        <v>18</v>
      </c>
      <c r="M409" t="s">
        <v>3</v>
      </c>
    </row>
    <row r="410" spans="1:13" ht="26.25" x14ac:dyDescent="0.25">
      <c r="A410" s="13" t="s">
        <v>1185</v>
      </c>
      <c r="B410" s="13" t="s">
        <v>1185</v>
      </c>
      <c r="C410" s="13" t="s">
        <v>1186</v>
      </c>
      <c r="D410" s="13">
        <v>0.1</v>
      </c>
      <c r="E410" s="13" t="s">
        <v>1187</v>
      </c>
      <c r="F410" s="13" t="s">
        <v>8860</v>
      </c>
      <c r="G410" s="13" t="s">
        <v>19</v>
      </c>
      <c r="H410" s="13" t="s">
        <v>3</v>
      </c>
      <c r="I410" s="13" t="s">
        <v>1188</v>
      </c>
      <c r="J410" s="13" t="s">
        <v>21</v>
      </c>
      <c r="K410" s="13" t="s">
        <v>8532</v>
      </c>
      <c r="L410" s="13" t="s">
        <v>18</v>
      </c>
      <c r="M410" t="s">
        <v>3</v>
      </c>
    </row>
    <row r="411" spans="1:13" ht="26.25" x14ac:dyDescent="0.25">
      <c r="A411" s="13" t="s">
        <v>1189</v>
      </c>
      <c r="B411" s="13" t="s">
        <v>1190</v>
      </c>
      <c r="C411" s="13" t="s">
        <v>1190</v>
      </c>
      <c r="D411" s="13">
        <v>0.1</v>
      </c>
      <c r="E411" s="13" t="s">
        <v>1191</v>
      </c>
      <c r="F411" s="13" t="s">
        <v>8860</v>
      </c>
      <c r="G411" s="13" t="s">
        <v>19</v>
      </c>
      <c r="H411" s="13" t="s">
        <v>3</v>
      </c>
      <c r="I411" s="13" t="s">
        <v>1192</v>
      </c>
      <c r="J411" s="13" t="s">
        <v>21</v>
      </c>
      <c r="K411" s="13" t="s">
        <v>8533</v>
      </c>
      <c r="L411" s="13" t="s">
        <v>18</v>
      </c>
      <c r="M411" t="s">
        <v>3</v>
      </c>
    </row>
    <row r="412" spans="1:13" ht="26.25" x14ac:dyDescent="0.25">
      <c r="A412" s="13" t="s">
        <v>1193</v>
      </c>
      <c r="B412" s="13" t="s">
        <v>8998</v>
      </c>
      <c r="C412" s="13" t="s">
        <v>1194</v>
      </c>
      <c r="D412" s="13">
        <v>12.1</v>
      </c>
      <c r="E412" s="13" t="s">
        <v>1195</v>
      </c>
      <c r="F412" s="13" t="s">
        <v>35</v>
      </c>
      <c r="G412" s="13" t="s">
        <v>19</v>
      </c>
      <c r="H412" s="13" t="s">
        <v>3</v>
      </c>
      <c r="I412" s="13" t="s">
        <v>1196</v>
      </c>
      <c r="J412" s="13" t="s">
        <v>37</v>
      </c>
      <c r="K412" s="13" t="s">
        <v>8534</v>
      </c>
      <c r="L412" s="13" t="s">
        <v>35</v>
      </c>
      <c r="M412" t="s">
        <v>3</v>
      </c>
    </row>
    <row r="413" spans="1:13" ht="26.25" x14ac:dyDescent="0.25">
      <c r="A413" s="13" t="s">
        <v>11025</v>
      </c>
      <c r="B413" s="13" t="s">
        <v>11026</v>
      </c>
      <c r="C413" s="13" t="s">
        <v>11026</v>
      </c>
      <c r="D413" s="13">
        <v>0.1</v>
      </c>
      <c r="E413" s="13" t="s">
        <v>11027</v>
      </c>
      <c r="F413" s="13" t="s">
        <v>8860</v>
      </c>
      <c r="G413" s="13" t="s">
        <v>19</v>
      </c>
      <c r="H413" s="13" t="s">
        <v>3</v>
      </c>
      <c r="I413" s="13" t="s">
        <v>11028</v>
      </c>
      <c r="J413" s="13" t="s">
        <v>21</v>
      </c>
      <c r="K413" s="13" t="s">
        <v>11029</v>
      </c>
      <c r="L413" s="13" t="s">
        <v>18</v>
      </c>
      <c r="M413" t="s">
        <v>3</v>
      </c>
    </row>
    <row r="414" spans="1:13" x14ac:dyDescent="0.25">
      <c r="A414" s="13" t="s">
        <v>1197</v>
      </c>
      <c r="B414" s="13" t="s">
        <v>1197</v>
      </c>
      <c r="C414" s="13" t="s">
        <v>1197</v>
      </c>
      <c r="D414" s="13">
        <v>24.5</v>
      </c>
      <c r="E414" s="13" t="s">
        <v>1198</v>
      </c>
      <c r="F414" s="13" t="s">
        <v>8861</v>
      </c>
      <c r="G414" s="13" t="s">
        <v>2</v>
      </c>
      <c r="H414" s="13" t="s">
        <v>3</v>
      </c>
      <c r="I414" s="13" t="s">
        <v>429</v>
      </c>
      <c r="J414" s="13" t="s">
        <v>8890</v>
      </c>
      <c r="K414" s="13" t="s">
        <v>6051</v>
      </c>
      <c r="L414" s="13" t="s">
        <v>8891</v>
      </c>
      <c r="M414" t="s">
        <v>3</v>
      </c>
    </row>
    <row r="415" spans="1:13" ht="26.25" x14ac:dyDescent="0.25">
      <c r="A415" s="13" t="s">
        <v>1199</v>
      </c>
      <c r="B415" s="13" t="s">
        <v>1200</v>
      </c>
      <c r="C415" s="13" t="s">
        <v>1201</v>
      </c>
      <c r="D415" s="13">
        <v>1</v>
      </c>
      <c r="E415" s="13" t="s">
        <v>1202</v>
      </c>
      <c r="F415" s="13" t="s">
        <v>8860</v>
      </c>
      <c r="G415" s="13" t="s">
        <v>19</v>
      </c>
      <c r="H415" s="13" t="s">
        <v>3</v>
      </c>
      <c r="I415" s="13" t="s">
        <v>1203</v>
      </c>
      <c r="J415" s="13" t="s">
        <v>21</v>
      </c>
      <c r="K415" s="13" t="s">
        <v>8535</v>
      </c>
      <c r="L415" s="13" t="s">
        <v>18</v>
      </c>
      <c r="M415" t="s">
        <v>3</v>
      </c>
    </row>
    <row r="416" spans="1:13" ht="26.25" x14ac:dyDescent="0.25">
      <c r="A416" s="13" t="s">
        <v>1204</v>
      </c>
      <c r="B416" s="13" t="s">
        <v>1205</v>
      </c>
      <c r="C416" s="13" t="s">
        <v>8999</v>
      </c>
      <c r="D416" s="13">
        <v>28</v>
      </c>
      <c r="E416" s="13" t="s">
        <v>1206</v>
      </c>
      <c r="F416" s="13" t="s">
        <v>8860</v>
      </c>
      <c r="G416" s="13" t="s">
        <v>19</v>
      </c>
      <c r="H416" s="13" t="s">
        <v>3</v>
      </c>
      <c r="I416" s="13" t="s">
        <v>1205</v>
      </c>
      <c r="J416" s="13" t="s">
        <v>21</v>
      </c>
      <c r="K416" s="13" t="s">
        <v>8536</v>
      </c>
      <c r="L416" s="13" t="s">
        <v>18</v>
      </c>
      <c r="M416" t="s">
        <v>3</v>
      </c>
    </row>
    <row r="417" spans="1:13" ht="26.25" x14ac:dyDescent="0.25">
      <c r="A417" s="13" t="s">
        <v>1207</v>
      </c>
      <c r="B417" s="13" t="s">
        <v>1207</v>
      </c>
      <c r="C417" s="13" t="s">
        <v>1208</v>
      </c>
      <c r="D417" s="13">
        <v>28.6</v>
      </c>
      <c r="E417" s="13" t="s">
        <v>1209</v>
      </c>
      <c r="F417" s="13" t="s">
        <v>35</v>
      </c>
      <c r="G417" s="13" t="s">
        <v>19</v>
      </c>
      <c r="H417" s="13" t="s">
        <v>3</v>
      </c>
      <c r="I417" s="13" t="s">
        <v>1205</v>
      </c>
      <c r="J417" s="13" t="s">
        <v>37</v>
      </c>
      <c r="K417" s="13" t="s">
        <v>8536</v>
      </c>
      <c r="L417" s="13" t="s">
        <v>35</v>
      </c>
      <c r="M417" t="s">
        <v>3</v>
      </c>
    </row>
    <row r="418" spans="1:13" ht="26.25" x14ac:dyDescent="0.25">
      <c r="A418" s="13" t="s">
        <v>1210</v>
      </c>
      <c r="B418" s="13" t="s">
        <v>1211</v>
      </c>
      <c r="C418" s="13" t="s">
        <v>1212</v>
      </c>
      <c r="D418" s="13">
        <v>4.5</v>
      </c>
      <c r="E418" s="13" t="s">
        <v>1213</v>
      </c>
      <c r="F418" s="13" t="s">
        <v>8860</v>
      </c>
      <c r="G418" s="13" t="s">
        <v>19</v>
      </c>
      <c r="H418" s="13" t="s">
        <v>3</v>
      </c>
      <c r="I418" s="13" t="s">
        <v>1214</v>
      </c>
      <c r="J418" s="13" t="s">
        <v>21</v>
      </c>
      <c r="K418" s="13" t="s">
        <v>8537</v>
      </c>
      <c r="L418" s="13" t="s">
        <v>18</v>
      </c>
      <c r="M418" t="s">
        <v>3</v>
      </c>
    </row>
    <row r="419" spans="1:13" ht="26.25" x14ac:dyDescent="0.25">
      <c r="A419" s="13" t="s">
        <v>1215</v>
      </c>
      <c r="B419" s="13" t="s">
        <v>1216</v>
      </c>
      <c r="C419" s="13" t="s">
        <v>1217</v>
      </c>
      <c r="D419" s="14">
        <v>20</v>
      </c>
      <c r="E419" s="13" t="s">
        <v>1218</v>
      </c>
      <c r="F419" s="13" t="s">
        <v>8860</v>
      </c>
      <c r="G419" s="13" t="s">
        <v>19</v>
      </c>
      <c r="H419" s="13" t="s">
        <v>3</v>
      </c>
      <c r="I419" s="13" t="s">
        <v>1219</v>
      </c>
      <c r="J419" s="13" t="s">
        <v>21</v>
      </c>
      <c r="K419" s="13" t="s">
        <v>8538</v>
      </c>
      <c r="L419" s="13" t="s">
        <v>18</v>
      </c>
      <c r="M419" t="s">
        <v>3</v>
      </c>
    </row>
    <row r="420" spans="1:13" ht="26.25" x14ac:dyDescent="0.25">
      <c r="A420" s="13" t="s">
        <v>1220</v>
      </c>
      <c r="B420" s="13" t="s">
        <v>1221</v>
      </c>
      <c r="C420" s="13" t="s">
        <v>1222</v>
      </c>
      <c r="D420" s="14">
        <v>1308</v>
      </c>
      <c r="E420" s="13" t="s">
        <v>1223</v>
      </c>
      <c r="F420" s="13" t="s">
        <v>8907</v>
      </c>
      <c r="G420" s="13" t="s">
        <v>19</v>
      </c>
      <c r="H420" s="13" t="s">
        <v>3</v>
      </c>
      <c r="I420" s="13" t="s">
        <v>1224</v>
      </c>
      <c r="J420" s="13" t="s">
        <v>144</v>
      </c>
      <c r="K420" s="13" t="s">
        <v>8429</v>
      </c>
      <c r="L420" s="13" t="s">
        <v>144</v>
      </c>
      <c r="M420" t="s">
        <v>3</v>
      </c>
    </row>
    <row r="421" spans="1:13" x14ac:dyDescent="0.25">
      <c r="A421" s="13" t="s">
        <v>1225</v>
      </c>
      <c r="B421" s="13" t="s">
        <v>1226</v>
      </c>
      <c r="C421" s="13" t="s">
        <v>1227</v>
      </c>
      <c r="D421" s="13">
        <v>3533.6</v>
      </c>
      <c r="E421" s="13" t="s">
        <v>1228</v>
      </c>
      <c r="F421" s="13" t="s">
        <v>8863</v>
      </c>
      <c r="G421" s="13" t="s">
        <v>2</v>
      </c>
      <c r="H421" s="13" t="s">
        <v>1224</v>
      </c>
      <c r="I421" s="13" t="s">
        <v>1224</v>
      </c>
      <c r="J421" s="13" t="s">
        <v>8890</v>
      </c>
      <c r="K421" s="13" t="s">
        <v>8429</v>
      </c>
      <c r="L421" s="13" t="s">
        <v>8893</v>
      </c>
      <c r="M421" t="s">
        <v>10682</v>
      </c>
    </row>
    <row r="422" spans="1:13" ht="26.25" x14ac:dyDescent="0.25">
      <c r="A422" s="13" t="s">
        <v>11954</v>
      </c>
      <c r="B422" s="13" t="s">
        <v>11955</v>
      </c>
      <c r="C422" s="13" t="s">
        <v>11956</v>
      </c>
      <c r="D422" s="13">
        <v>1</v>
      </c>
      <c r="E422" s="13" t="s">
        <v>11957</v>
      </c>
      <c r="F422" s="13" t="e">
        <v>#N/A</v>
      </c>
      <c r="G422" s="13" t="s">
        <v>19</v>
      </c>
      <c r="H422" s="13" t="s">
        <v>3</v>
      </c>
      <c r="I422" s="13" t="s">
        <v>11958</v>
      </c>
      <c r="J422" s="13" t="s">
        <v>21</v>
      </c>
      <c r="K422" s="13" t="s">
        <v>11959</v>
      </c>
      <c r="L422" s="13"/>
      <c r="M422" t="s">
        <v>3</v>
      </c>
    </row>
    <row r="423" spans="1:13" ht="26.25" x14ac:dyDescent="0.25">
      <c r="A423" s="13" t="s">
        <v>1229</v>
      </c>
      <c r="B423" s="13" t="s">
        <v>1229</v>
      </c>
      <c r="C423" s="13" t="s">
        <v>1229</v>
      </c>
      <c r="D423" s="13">
        <v>400</v>
      </c>
      <c r="E423" s="13" t="s">
        <v>1230</v>
      </c>
      <c r="F423" s="13" t="s">
        <v>8860</v>
      </c>
      <c r="G423" s="13" t="s">
        <v>19</v>
      </c>
      <c r="H423" s="13" t="s">
        <v>3</v>
      </c>
      <c r="I423" s="13" t="s">
        <v>1231</v>
      </c>
      <c r="J423" s="13" t="s">
        <v>21</v>
      </c>
      <c r="K423" s="13" t="s">
        <v>8539</v>
      </c>
      <c r="L423" s="13" t="s">
        <v>18</v>
      </c>
      <c r="M423" t="s">
        <v>3</v>
      </c>
    </row>
    <row r="424" spans="1:13" ht="26.25" x14ac:dyDescent="0.25">
      <c r="A424" s="13" t="s">
        <v>1232</v>
      </c>
      <c r="B424" s="13" t="s">
        <v>1233</v>
      </c>
      <c r="C424" s="13" t="s">
        <v>1234</v>
      </c>
      <c r="D424" s="13">
        <v>400</v>
      </c>
      <c r="E424" s="13" t="s">
        <v>1235</v>
      </c>
      <c r="F424" s="13" t="s">
        <v>8870</v>
      </c>
      <c r="G424" s="13" t="s">
        <v>19</v>
      </c>
      <c r="H424" s="13" t="s">
        <v>3</v>
      </c>
      <c r="I424" s="13" t="s">
        <v>1231</v>
      </c>
      <c r="J424" s="13" t="s">
        <v>410</v>
      </c>
      <c r="K424" s="13" t="s">
        <v>8539</v>
      </c>
      <c r="L424" s="13" t="s">
        <v>8942</v>
      </c>
      <c r="M424" t="s">
        <v>3</v>
      </c>
    </row>
    <row r="425" spans="1:13" x14ac:dyDescent="0.25">
      <c r="A425" s="13" t="s">
        <v>1236</v>
      </c>
      <c r="B425" s="13" t="s">
        <v>1236</v>
      </c>
      <c r="C425" s="13" t="s">
        <v>1234</v>
      </c>
      <c r="D425" s="13">
        <v>400</v>
      </c>
      <c r="E425" s="13" t="s">
        <v>1237</v>
      </c>
      <c r="F425" s="13" t="s">
        <v>8871</v>
      </c>
      <c r="G425" s="13" t="s">
        <v>2</v>
      </c>
      <c r="H425" s="13" t="s">
        <v>3</v>
      </c>
      <c r="I425" s="13" t="s">
        <v>1231</v>
      </c>
      <c r="J425" s="13" t="s">
        <v>410</v>
      </c>
      <c r="K425" s="13" t="s">
        <v>8539</v>
      </c>
      <c r="L425" s="13" t="s">
        <v>8943</v>
      </c>
      <c r="M425" t="s">
        <v>3</v>
      </c>
    </row>
    <row r="426" spans="1:13" ht="26.25" x14ac:dyDescent="0.25">
      <c r="A426" s="13" t="s">
        <v>1238</v>
      </c>
      <c r="B426" s="13" t="s">
        <v>1239</v>
      </c>
      <c r="C426" s="13" t="s">
        <v>1240</v>
      </c>
      <c r="D426" s="13">
        <v>1</v>
      </c>
      <c r="E426" s="13" t="s">
        <v>1241</v>
      </c>
      <c r="F426" s="13" t="s">
        <v>8860</v>
      </c>
      <c r="G426" s="13" t="s">
        <v>19</v>
      </c>
      <c r="H426" s="13" t="s">
        <v>3</v>
      </c>
      <c r="I426" s="13" t="s">
        <v>1242</v>
      </c>
      <c r="J426" s="13" t="s">
        <v>21</v>
      </c>
      <c r="K426" s="13" t="s">
        <v>8540</v>
      </c>
      <c r="L426" s="13" t="s">
        <v>18</v>
      </c>
      <c r="M426" t="s">
        <v>3</v>
      </c>
    </row>
    <row r="427" spans="1:13" ht="26.25" x14ac:dyDescent="0.25">
      <c r="A427" s="13" t="s">
        <v>1243</v>
      </c>
      <c r="B427" s="13" t="s">
        <v>1244</v>
      </c>
      <c r="C427" s="13" t="s">
        <v>1244</v>
      </c>
      <c r="D427" s="13">
        <v>0.1</v>
      </c>
      <c r="E427" s="13" t="s">
        <v>1245</v>
      </c>
      <c r="F427" s="13" t="s">
        <v>8860</v>
      </c>
      <c r="G427" s="13" t="s">
        <v>19</v>
      </c>
      <c r="H427" s="13" t="s">
        <v>3</v>
      </c>
      <c r="I427" s="13" t="s">
        <v>1246</v>
      </c>
      <c r="J427" s="13" t="s">
        <v>21</v>
      </c>
      <c r="K427" s="13" t="s">
        <v>8541</v>
      </c>
      <c r="L427" s="13" t="s">
        <v>18</v>
      </c>
      <c r="M427" t="s">
        <v>3</v>
      </c>
    </row>
    <row r="428" spans="1:13" x14ac:dyDescent="0.25">
      <c r="A428" s="13" t="s">
        <v>1247</v>
      </c>
      <c r="B428" s="13" t="s">
        <v>1247</v>
      </c>
      <c r="C428" s="13" t="s">
        <v>1247</v>
      </c>
      <c r="D428" s="13">
        <v>26</v>
      </c>
      <c r="E428" s="13" t="s">
        <v>1248</v>
      </c>
      <c r="F428" s="13" t="s">
        <v>8869</v>
      </c>
      <c r="G428" s="13" t="s">
        <v>2</v>
      </c>
      <c r="H428" s="13" t="s">
        <v>9000</v>
      </c>
      <c r="I428" s="13" t="s">
        <v>706</v>
      </c>
      <c r="J428" s="13" t="s">
        <v>8890</v>
      </c>
      <c r="K428" s="13" t="s">
        <v>8419</v>
      </c>
      <c r="L428" s="13" t="s">
        <v>8918</v>
      </c>
      <c r="M428" t="s">
        <v>10688</v>
      </c>
    </row>
    <row r="429" spans="1:13" ht="26.25" x14ac:dyDescent="0.25">
      <c r="A429" s="13" t="s">
        <v>1249</v>
      </c>
      <c r="B429" s="13" t="s">
        <v>1249</v>
      </c>
      <c r="C429" s="13" t="s">
        <v>1249</v>
      </c>
      <c r="D429" s="13">
        <v>20.5</v>
      </c>
      <c r="E429" s="13" t="s">
        <v>1250</v>
      </c>
      <c r="F429" s="13" t="s">
        <v>8869</v>
      </c>
      <c r="G429" s="13" t="s">
        <v>2</v>
      </c>
      <c r="H429" s="13" t="s">
        <v>3</v>
      </c>
      <c r="I429" s="13" t="s">
        <v>706</v>
      </c>
      <c r="J429" s="13" t="s">
        <v>8890</v>
      </c>
      <c r="K429" s="13" t="s">
        <v>8419</v>
      </c>
      <c r="L429" s="13" t="s">
        <v>8918</v>
      </c>
      <c r="M429" t="s">
        <v>3</v>
      </c>
    </row>
    <row r="430" spans="1:13" x14ac:dyDescent="0.25">
      <c r="A430" s="13" t="s">
        <v>1251</v>
      </c>
      <c r="B430" s="13" t="s">
        <v>1251</v>
      </c>
      <c r="C430" s="13" t="s">
        <v>1252</v>
      </c>
      <c r="D430" s="13">
        <v>34</v>
      </c>
      <c r="E430" s="13" t="s">
        <v>1253</v>
      </c>
      <c r="F430" s="13" t="s">
        <v>8869</v>
      </c>
      <c r="G430" s="13" t="s">
        <v>2</v>
      </c>
      <c r="H430" s="13" t="s">
        <v>3</v>
      </c>
      <c r="I430" s="13" t="s">
        <v>1254</v>
      </c>
      <c r="J430" s="13" t="s">
        <v>8890</v>
      </c>
      <c r="K430" s="13" t="s">
        <v>8508</v>
      </c>
      <c r="L430" s="13" t="s">
        <v>8918</v>
      </c>
      <c r="M430" t="s">
        <v>3</v>
      </c>
    </row>
    <row r="431" spans="1:13" x14ac:dyDescent="0.25">
      <c r="A431" s="13" t="s">
        <v>1255</v>
      </c>
      <c r="B431" s="13" t="s">
        <v>1255</v>
      </c>
      <c r="C431" s="13" t="s">
        <v>1256</v>
      </c>
      <c r="D431" s="13">
        <v>40</v>
      </c>
      <c r="E431" s="13" t="s">
        <v>1257</v>
      </c>
      <c r="F431" s="13" t="s">
        <v>8869</v>
      </c>
      <c r="G431" s="13" t="s">
        <v>2</v>
      </c>
      <c r="H431" s="13" t="s">
        <v>3</v>
      </c>
      <c r="I431" s="13" t="s">
        <v>706</v>
      </c>
      <c r="J431" s="13" t="s">
        <v>8890</v>
      </c>
      <c r="K431" s="13" t="s">
        <v>8419</v>
      </c>
      <c r="L431" s="13" t="s">
        <v>8918</v>
      </c>
      <c r="M431" t="s">
        <v>3</v>
      </c>
    </row>
    <row r="432" spans="1:13" x14ac:dyDescent="0.25">
      <c r="A432" s="13" t="s">
        <v>1258</v>
      </c>
      <c r="B432" s="13" t="s">
        <v>1258</v>
      </c>
      <c r="C432" s="13" t="s">
        <v>1259</v>
      </c>
      <c r="D432" s="13">
        <v>3.4</v>
      </c>
      <c r="E432" s="13" t="s">
        <v>1259</v>
      </c>
      <c r="F432" s="13" t="s">
        <v>8869</v>
      </c>
      <c r="G432" s="13" t="s">
        <v>2</v>
      </c>
      <c r="H432" s="13" t="s">
        <v>3</v>
      </c>
      <c r="I432" s="13" t="s">
        <v>447</v>
      </c>
      <c r="J432" s="13" t="s">
        <v>8890</v>
      </c>
      <c r="K432" s="13" t="s">
        <v>8421</v>
      </c>
      <c r="L432" s="13" t="s">
        <v>8918</v>
      </c>
      <c r="M432" t="s">
        <v>3</v>
      </c>
    </row>
    <row r="433" spans="1:13" x14ac:dyDescent="0.25">
      <c r="A433" s="13" t="s">
        <v>9852</v>
      </c>
      <c r="B433" s="13" t="s">
        <v>9852</v>
      </c>
      <c r="C433" s="13" t="s">
        <v>9853</v>
      </c>
      <c r="D433" s="13">
        <v>53.6</v>
      </c>
      <c r="E433" s="13" t="s">
        <v>9854</v>
      </c>
      <c r="F433" s="13" t="s">
        <v>8869</v>
      </c>
      <c r="G433" s="13" t="s">
        <v>2</v>
      </c>
      <c r="H433" s="13" t="s">
        <v>3</v>
      </c>
      <c r="I433" s="13" t="s">
        <v>809</v>
      </c>
      <c r="J433" s="13" t="s">
        <v>8890</v>
      </c>
      <c r="K433" s="13" t="s">
        <v>8512</v>
      </c>
      <c r="L433" s="13" t="s">
        <v>8918</v>
      </c>
      <c r="M433" t="s">
        <v>3</v>
      </c>
    </row>
    <row r="434" spans="1:13" x14ac:dyDescent="0.25">
      <c r="A434" s="13" t="s">
        <v>1260</v>
      </c>
      <c r="B434" s="13" t="s">
        <v>1260</v>
      </c>
      <c r="C434" s="13" t="s">
        <v>1261</v>
      </c>
      <c r="D434" s="13">
        <v>7.3</v>
      </c>
      <c r="E434" s="13" t="s">
        <v>1262</v>
      </c>
      <c r="F434" s="13" t="s">
        <v>8869</v>
      </c>
      <c r="G434" s="13" t="s">
        <v>2</v>
      </c>
      <c r="H434" s="13" t="s">
        <v>8422</v>
      </c>
      <c r="I434" s="13" t="s">
        <v>1263</v>
      </c>
      <c r="J434" s="13" t="s">
        <v>8890</v>
      </c>
      <c r="K434" s="13" t="s">
        <v>8422</v>
      </c>
      <c r="L434" s="13" t="s">
        <v>8918</v>
      </c>
      <c r="M434" t="s">
        <v>10689</v>
      </c>
    </row>
    <row r="435" spans="1:13" x14ac:dyDescent="0.25">
      <c r="A435" s="13" t="s">
        <v>1264</v>
      </c>
      <c r="B435" s="13" t="s">
        <v>1264</v>
      </c>
      <c r="C435" s="13" t="s">
        <v>1265</v>
      </c>
      <c r="D435" s="13">
        <v>10.3</v>
      </c>
      <c r="E435" s="13" t="s">
        <v>1266</v>
      </c>
      <c r="F435" s="13" t="s">
        <v>8869</v>
      </c>
      <c r="G435" s="13" t="s">
        <v>2</v>
      </c>
      <c r="H435" s="13" t="s">
        <v>8422</v>
      </c>
      <c r="I435" s="13" t="s">
        <v>1263</v>
      </c>
      <c r="J435" s="13" t="s">
        <v>8890</v>
      </c>
      <c r="K435" s="13" t="s">
        <v>8422</v>
      </c>
      <c r="L435" s="13" t="s">
        <v>8918</v>
      </c>
      <c r="M435" t="s">
        <v>10689</v>
      </c>
    </row>
    <row r="436" spans="1:13" x14ac:dyDescent="0.25">
      <c r="A436" s="13" t="s">
        <v>1267</v>
      </c>
      <c r="B436" s="13" t="s">
        <v>1267</v>
      </c>
      <c r="C436" s="13" t="s">
        <v>9001</v>
      </c>
      <c r="D436" s="13">
        <v>21.6</v>
      </c>
      <c r="E436" s="13" t="s">
        <v>1268</v>
      </c>
      <c r="F436" s="13" t="s">
        <v>8869</v>
      </c>
      <c r="G436" s="13" t="s">
        <v>2</v>
      </c>
      <c r="H436" s="13" t="s">
        <v>3</v>
      </c>
      <c r="I436" s="13" t="s">
        <v>1254</v>
      </c>
      <c r="J436" s="13" t="s">
        <v>8890</v>
      </c>
      <c r="K436" s="13" t="s">
        <v>8508</v>
      </c>
      <c r="L436" s="13" t="s">
        <v>8918</v>
      </c>
      <c r="M436" t="s">
        <v>3</v>
      </c>
    </row>
    <row r="437" spans="1:13" x14ac:dyDescent="0.25">
      <c r="A437" s="13" t="s">
        <v>9855</v>
      </c>
      <c r="B437" s="13" t="s">
        <v>9855</v>
      </c>
      <c r="C437" s="13" t="s">
        <v>9855</v>
      </c>
      <c r="D437" s="13">
        <v>9</v>
      </c>
      <c r="E437" s="13" t="s">
        <v>9856</v>
      </c>
      <c r="F437" s="13" t="s">
        <v>8869</v>
      </c>
      <c r="G437" s="13" t="s">
        <v>2</v>
      </c>
      <c r="H437" s="13" t="s">
        <v>3</v>
      </c>
      <c r="I437" s="13" t="s">
        <v>706</v>
      </c>
      <c r="J437" s="13" t="s">
        <v>8890</v>
      </c>
      <c r="K437" s="13" t="s">
        <v>8419</v>
      </c>
      <c r="L437" s="13" t="s">
        <v>8918</v>
      </c>
      <c r="M437" t="s">
        <v>3</v>
      </c>
    </row>
    <row r="438" spans="1:13" x14ac:dyDescent="0.25">
      <c r="A438" s="13" t="s">
        <v>11030</v>
      </c>
      <c r="B438" s="13" t="s">
        <v>11030</v>
      </c>
      <c r="C438" s="13" t="s">
        <v>11031</v>
      </c>
      <c r="D438" s="13">
        <v>28.1</v>
      </c>
      <c r="E438" s="13" t="s">
        <v>11032</v>
      </c>
      <c r="F438" s="13" t="s">
        <v>8869</v>
      </c>
      <c r="G438" s="13" t="s">
        <v>2</v>
      </c>
      <c r="H438" s="13" t="s">
        <v>3</v>
      </c>
      <c r="I438" s="13" t="s">
        <v>447</v>
      </c>
      <c r="J438" s="13" t="s">
        <v>8890</v>
      </c>
      <c r="K438" s="13" t="s">
        <v>8421</v>
      </c>
      <c r="L438" s="13" t="s">
        <v>8918</v>
      </c>
      <c r="M438" t="s">
        <v>3</v>
      </c>
    </row>
    <row r="439" spans="1:13" ht="26.25" x14ac:dyDescent="0.25">
      <c r="A439" s="13" t="s">
        <v>1269</v>
      </c>
      <c r="B439" s="13" t="s">
        <v>1270</v>
      </c>
      <c r="C439" s="13" t="s">
        <v>1270</v>
      </c>
      <c r="D439" s="13">
        <v>19.5</v>
      </c>
      <c r="E439" s="13" t="s">
        <v>1271</v>
      </c>
      <c r="F439" s="13" t="s">
        <v>8869</v>
      </c>
      <c r="G439" s="13" t="s">
        <v>2</v>
      </c>
      <c r="H439" s="13" t="s">
        <v>3</v>
      </c>
      <c r="I439" s="13" t="s">
        <v>1263</v>
      </c>
      <c r="J439" s="13" t="s">
        <v>8890</v>
      </c>
      <c r="K439" s="13" t="s">
        <v>8422</v>
      </c>
      <c r="L439" s="13" t="s">
        <v>8918</v>
      </c>
      <c r="M439" t="s">
        <v>3</v>
      </c>
    </row>
    <row r="440" spans="1:13" x14ac:dyDescent="0.25">
      <c r="A440" s="13" t="s">
        <v>1272</v>
      </c>
      <c r="B440" s="13" t="s">
        <v>1273</v>
      </c>
      <c r="C440" s="13" t="s">
        <v>1273</v>
      </c>
      <c r="D440" s="13">
        <v>31.9</v>
      </c>
      <c r="E440" s="13" t="s">
        <v>1274</v>
      </c>
      <c r="F440" s="13" t="s">
        <v>8869</v>
      </c>
      <c r="G440" s="13" t="s">
        <v>2</v>
      </c>
      <c r="H440" s="13" t="s">
        <v>8422</v>
      </c>
      <c r="I440" s="13" t="s">
        <v>1263</v>
      </c>
      <c r="J440" s="13" t="s">
        <v>8890</v>
      </c>
      <c r="K440" s="13" t="s">
        <v>8422</v>
      </c>
      <c r="L440" s="13" t="s">
        <v>8918</v>
      </c>
      <c r="M440" t="s">
        <v>10689</v>
      </c>
    </row>
    <row r="441" spans="1:13" ht="26.25" x14ac:dyDescent="0.25">
      <c r="A441" s="13" t="s">
        <v>1275</v>
      </c>
      <c r="B441" s="13" t="s">
        <v>1275</v>
      </c>
      <c r="C441" s="13" t="s">
        <v>1276</v>
      </c>
      <c r="D441" s="13">
        <v>5</v>
      </c>
      <c r="E441" s="13" t="s">
        <v>1277</v>
      </c>
      <c r="F441" s="13" t="s">
        <v>8860</v>
      </c>
      <c r="G441" s="13" t="s">
        <v>19</v>
      </c>
      <c r="H441" s="13" t="s">
        <v>3</v>
      </c>
      <c r="I441" s="13" t="s">
        <v>1278</v>
      </c>
      <c r="J441" s="13" t="s">
        <v>21</v>
      </c>
      <c r="K441" s="13" t="s">
        <v>1276</v>
      </c>
      <c r="L441" s="13" t="s">
        <v>18</v>
      </c>
      <c r="M441" t="s">
        <v>3</v>
      </c>
    </row>
    <row r="442" spans="1:13" x14ac:dyDescent="0.25">
      <c r="A442" s="13" t="s">
        <v>1279</v>
      </c>
      <c r="B442" s="13" t="s">
        <v>1280</v>
      </c>
      <c r="C442" s="13" t="s">
        <v>1281</v>
      </c>
      <c r="D442" s="13">
        <v>46</v>
      </c>
      <c r="E442" s="13" t="s">
        <v>1282</v>
      </c>
      <c r="F442" s="13" t="s">
        <v>8869</v>
      </c>
      <c r="G442" s="13" t="s">
        <v>2</v>
      </c>
      <c r="H442" s="13" t="s">
        <v>3</v>
      </c>
      <c r="I442" s="13" t="s">
        <v>1283</v>
      </c>
      <c r="J442" s="13" t="s">
        <v>8890</v>
      </c>
      <c r="K442" s="13" t="s">
        <v>8524</v>
      </c>
      <c r="L442" s="13" t="s">
        <v>8918</v>
      </c>
      <c r="M442" t="s">
        <v>3</v>
      </c>
    </row>
    <row r="443" spans="1:13" ht="26.25" x14ac:dyDescent="0.25">
      <c r="A443" s="13" t="s">
        <v>1284</v>
      </c>
      <c r="B443" s="13" t="s">
        <v>1284</v>
      </c>
      <c r="C443" s="13" t="s">
        <v>1284</v>
      </c>
      <c r="D443" s="13">
        <v>28.8</v>
      </c>
      <c r="E443" s="13" t="s">
        <v>1285</v>
      </c>
      <c r="F443" s="13" t="s">
        <v>8869</v>
      </c>
      <c r="G443" s="13" t="s">
        <v>2</v>
      </c>
      <c r="H443" s="13" t="s">
        <v>3</v>
      </c>
      <c r="I443" s="13" t="s">
        <v>649</v>
      </c>
      <c r="J443" s="13" t="s">
        <v>8890</v>
      </c>
      <c r="K443" s="13" t="s">
        <v>6051</v>
      </c>
      <c r="L443" s="13" t="s">
        <v>8918</v>
      </c>
      <c r="M443" t="s">
        <v>3</v>
      </c>
    </row>
    <row r="444" spans="1:13" ht="26.25" x14ac:dyDescent="0.25">
      <c r="A444" s="13" t="s">
        <v>1286</v>
      </c>
      <c r="B444" s="13" t="s">
        <v>1287</v>
      </c>
      <c r="C444" s="13" t="s">
        <v>1288</v>
      </c>
      <c r="D444" s="13">
        <v>0.3</v>
      </c>
      <c r="E444" s="13" t="s">
        <v>1289</v>
      </c>
      <c r="F444" s="13" t="s">
        <v>8860</v>
      </c>
      <c r="G444" s="13" t="s">
        <v>19</v>
      </c>
      <c r="H444" s="13" t="s">
        <v>3</v>
      </c>
      <c r="I444" s="13" t="s">
        <v>1290</v>
      </c>
      <c r="J444" s="13" t="s">
        <v>21</v>
      </c>
      <c r="K444" s="13" t="s">
        <v>8542</v>
      </c>
      <c r="L444" s="13" t="s">
        <v>18</v>
      </c>
      <c r="M444" t="s">
        <v>3</v>
      </c>
    </row>
    <row r="445" spans="1:13" x14ac:dyDescent="0.25">
      <c r="A445" s="13" t="s">
        <v>1291</v>
      </c>
      <c r="B445" s="13" t="s">
        <v>1291</v>
      </c>
      <c r="C445" s="13" t="s">
        <v>1292</v>
      </c>
      <c r="D445" s="13">
        <v>27.5</v>
      </c>
      <c r="E445" s="13" t="s">
        <v>1293</v>
      </c>
      <c r="F445" s="13" t="s">
        <v>8869</v>
      </c>
      <c r="G445" s="13" t="s">
        <v>2</v>
      </c>
      <c r="H445" s="13" t="s">
        <v>3</v>
      </c>
      <c r="I445" s="13" t="s">
        <v>1263</v>
      </c>
      <c r="J445" s="13" t="s">
        <v>8890</v>
      </c>
      <c r="K445" s="13" t="s">
        <v>8422</v>
      </c>
      <c r="L445" s="13" t="s">
        <v>8918</v>
      </c>
      <c r="M445" t="s">
        <v>3</v>
      </c>
    </row>
    <row r="446" spans="1:13" x14ac:dyDescent="0.25">
      <c r="A446" s="13" t="s">
        <v>10116</v>
      </c>
      <c r="B446" s="13" t="s">
        <v>10117</v>
      </c>
      <c r="C446" s="13" t="s">
        <v>10117</v>
      </c>
      <c r="D446" s="13">
        <v>20.399999999999999</v>
      </c>
      <c r="E446" s="13" t="s">
        <v>10118</v>
      </c>
      <c r="F446" s="13" t="s">
        <v>8869</v>
      </c>
      <c r="G446" s="13" t="s">
        <v>2</v>
      </c>
      <c r="H446" s="13" t="s">
        <v>3</v>
      </c>
      <c r="I446" s="13" t="s">
        <v>119</v>
      </c>
      <c r="J446" s="13" t="s">
        <v>8890</v>
      </c>
      <c r="K446" s="13" t="s">
        <v>8883</v>
      </c>
      <c r="L446" s="13" t="s">
        <v>8918</v>
      </c>
      <c r="M446" t="s">
        <v>3</v>
      </c>
    </row>
    <row r="447" spans="1:13" ht="26.25" x14ac:dyDescent="0.25">
      <c r="A447" s="13" t="s">
        <v>10119</v>
      </c>
      <c r="B447" s="13" t="s">
        <v>10120</v>
      </c>
      <c r="C447" s="13" t="s">
        <v>10120</v>
      </c>
      <c r="D447" s="13">
        <v>24</v>
      </c>
      <c r="E447" s="13" t="s">
        <v>10121</v>
      </c>
      <c r="F447" s="13" t="s">
        <v>8869</v>
      </c>
      <c r="G447" s="13" t="s">
        <v>2</v>
      </c>
      <c r="H447" s="13" t="s">
        <v>3</v>
      </c>
      <c r="I447" s="13" t="s">
        <v>119</v>
      </c>
      <c r="J447" s="13" t="s">
        <v>8890</v>
      </c>
      <c r="K447" s="13" t="s">
        <v>8883</v>
      </c>
      <c r="L447" s="13" t="s">
        <v>8918</v>
      </c>
      <c r="M447" t="s">
        <v>3</v>
      </c>
    </row>
    <row r="448" spans="1:13" x14ac:dyDescent="0.25">
      <c r="A448" s="13" t="s">
        <v>10122</v>
      </c>
      <c r="B448" s="13" t="s">
        <v>10123</v>
      </c>
      <c r="C448" s="13" t="s">
        <v>10123</v>
      </c>
      <c r="D448" s="13">
        <v>49.6</v>
      </c>
      <c r="E448" s="13" t="s">
        <v>10124</v>
      </c>
      <c r="F448" s="13" t="s">
        <v>8869</v>
      </c>
      <c r="G448" s="13" t="s">
        <v>2</v>
      </c>
      <c r="H448" s="13" t="s">
        <v>3</v>
      </c>
      <c r="I448" s="13" t="s">
        <v>119</v>
      </c>
      <c r="J448" s="13" t="s">
        <v>8890</v>
      </c>
      <c r="K448" s="13" t="s">
        <v>8883</v>
      </c>
      <c r="L448" s="13" t="s">
        <v>8918</v>
      </c>
      <c r="M448" t="s">
        <v>3</v>
      </c>
    </row>
    <row r="449" spans="1:13" x14ac:dyDescent="0.25">
      <c r="A449" s="13" t="s">
        <v>1294</v>
      </c>
      <c r="B449" s="13" t="s">
        <v>1294</v>
      </c>
      <c r="C449" s="13" t="s">
        <v>1295</v>
      </c>
      <c r="D449" s="13">
        <v>28</v>
      </c>
      <c r="E449" s="13" t="s">
        <v>1295</v>
      </c>
      <c r="F449" s="13" t="s">
        <v>8869</v>
      </c>
      <c r="G449" s="13" t="s">
        <v>2</v>
      </c>
      <c r="H449" s="13" t="s">
        <v>3</v>
      </c>
      <c r="I449" s="13" t="s">
        <v>447</v>
      </c>
      <c r="J449" s="13" t="s">
        <v>8890</v>
      </c>
      <c r="K449" s="13" t="s">
        <v>8421</v>
      </c>
      <c r="L449" s="13" t="s">
        <v>8918</v>
      </c>
      <c r="M449" t="s">
        <v>3</v>
      </c>
    </row>
    <row r="450" spans="1:13" ht="26.25" x14ac:dyDescent="0.25">
      <c r="A450" s="13" t="s">
        <v>1296</v>
      </c>
      <c r="B450" s="13" t="s">
        <v>1297</v>
      </c>
      <c r="C450" s="13" t="s">
        <v>9002</v>
      </c>
      <c r="D450" s="13">
        <v>50</v>
      </c>
      <c r="E450" s="13" t="s">
        <v>1298</v>
      </c>
      <c r="F450" s="13" t="s">
        <v>8869</v>
      </c>
      <c r="G450" s="13" t="s">
        <v>2</v>
      </c>
      <c r="H450" s="13" t="s">
        <v>3</v>
      </c>
      <c r="I450" s="13" t="s">
        <v>1299</v>
      </c>
      <c r="J450" s="13" t="s">
        <v>8890</v>
      </c>
      <c r="K450" s="13" t="s">
        <v>8543</v>
      </c>
      <c r="L450" s="13" t="s">
        <v>8918</v>
      </c>
      <c r="M450" t="s">
        <v>3</v>
      </c>
    </row>
    <row r="451" spans="1:13" ht="26.25" x14ac:dyDescent="0.25">
      <c r="A451" s="13" t="s">
        <v>1300</v>
      </c>
      <c r="B451" s="13" t="s">
        <v>1300</v>
      </c>
      <c r="C451" s="13" t="s">
        <v>9003</v>
      </c>
      <c r="D451" s="13">
        <v>5.7</v>
      </c>
      <c r="E451" s="13" t="s">
        <v>1301</v>
      </c>
      <c r="F451" s="13" t="s">
        <v>8860</v>
      </c>
      <c r="G451" s="13" t="s">
        <v>19</v>
      </c>
      <c r="H451" s="13" t="s">
        <v>3</v>
      </c>
      <c r="I451" s="13" t="s">
        <v>1302</v>
      </c>
      <c r="J451" s="13" t="s">
        <v>21</v>
      </c>
      <c r="K451" s="13" t="s">
        <v>8544</v>
      </c>
      <c r="L451" s="13" t="s">
        <v>18</v>
      </c>
      <c r="M451" t="s">
        <v>3</v>
      </c>
    </row>
    <row r="452" spans="1:13" ht="26.25" x14ac:dyDescent="0.25">
      <c r="A452" s="13" t="s">
        <v>1303</v>
      </c>
      <c r="B452" s="13" t="s">
        <v>1304</v>
      </c>
      <c r="C452" s="13" t="s">
        <v>1305</v>
      </c>
      <c r="D452" s="13">
        <v>0.3</v>
      </c>
      <c r="E452" s="13" t="s">
        <v>1306</v>
      </c>
      <c r="F452" s="13" t="s">
        <v>8860</v>
      </c>
      <c r="G452" s="13" t="s">
        <v>19</v>
      </c>
      <c r="H452" s="13" t="s">
        <v>3</v>
      </c>
      <c r="I452" s="13" t="s">
        <v>1307</v>
      </c>
      <c r="J452" s="13" t="s">
        <v>21</v>
      </c>
      <c r="K452" s="13" t="s">
        <v>1305</v>
      </c>
      <c r="L452" s="13" t="s">
        <v>18</v>
      </c>
      <c r="M452" t="s">
        <v>3</v>
      </c>
    </row>
    <row r="453" spans="1:13" x14ac:dyDescent="0.25">
      <c r="A453" s="13" t="s">
        <v>11033</v>
      </c>
      <c r="B453" s="13" t="s">
        <v>11034</v>
      </c>
      <c r="C453" s="13" t="s">
        <v>11034</v>
      </c>
      <c r="D453" s="13">
        <v>1.2</v>
      </c>
      <c r="E453" s="13" t="s">
        <v>11035</v>
      </c>
      <c r="F453" s="13" t="s">
        <v>8867</v>
      </c>
      <c r="G453" s="13" t="s">
        <v>2</v>
      </c>
      <c r="H453" s="13" t="s">
        <v>3</v>
      </c>
      <c r="I453" s="13" t="s">
        <v>1307</v>
      </c>
      <c r="J453" s="13" t="s">
        <v>8890</v>
      </c>
      <c r="K453" s="13" t="s">
        <v>1305</v>
      </c>
      <c r="L453" s="13" t="s">
        <v>158</v>
      </c>
      <c r="M453" t="s">
        <v>3</v>
      </c>
    </row>
    <row r="454" spans="1:13" ht="26.25" x14ac:dyDescent="0.25">
      <c r="A454" s="13" t="s">
        <v>1308</v>
      </c>
      <c r="B454" s="13" t="s">
        <v>1309</v>
      </c>
      <c r="C454" s="13" t="s">
        <v>1310</v>
      </c>
      <c r="D454" s="13">
        <v>49.9</v>
      </c>
      <c r="E454" s="13" t="s">
        <v>1311</v>
      </c>
      <c r="F454" s="13" t="s">
        <v>8869</v>
      </c>
      <c r="G454" s="13" t="s">
        <v>2</v>
      </c>
      <c r="H454" s="13" t="s">
        <v>3</v>
      </c>
      <c r="I454" s="13" t="s">
        <v>1283</v>
      </c>
      <c r="J454" s="13" t="s">
        <v>8890</v>
      </c>
      <c r="K454" s="13" t="s">
        <v>8524</v>
      </c>
      <c r="L454" s="13" t="s">
        <v>8918</v>
      </c>
      <c r="M454" t="s">
        <v>3</v>
      </c>
    </row>
    <row r="455" spans="1:13" x14ac:dyDescent="0.25">
      <c r="A455" s="13" t="s">
        <v>1312</v>
      </c>
      <c r="B455" s="13" t="s">
        <v>1312</v>
      </c>
      <c r="C455" s="13" t="s">
        <v>1313</v>
      </c>
      <c r="D455" s="13">
        <v>8</v>
      </c>
      <c r="E455" s="13" t="s">
        <v>1313</v>
      </c>
      <c r="F455" s="13" t="s">
        <v>8869</v>
      </c>
      <c r="G455" s="13" t="s">
        <v>2</v>
      </c>
      <c r="H455" s="13" t="s">
        <v>3</v>
      </c>
      <c r="I455" s="13" t="s">
        <v>447</v>
      </c>
      <c r="J455" s="13" t="s">
        <v>8890</v>
      </c>
      <c r="K455" s="13" t="s">
        <v>8421</v>
      </c>
      <c r="L455" s="13" t="s">
        <v>8918</v>
      </c>
      <c r="M455" t="s">
        <v>3</v>
      </c>
    </row>
    <row r="456" spans="1:13" x14ac:dyDescent="0.25">
      <c r="A456" s="13" t="s">
        <v>1314</v>
      </c>
      <c r="B456" s="13" t="s">
        <v>1314</v>
      </c>
      <c r="C456" s="13" t="s">
        <v>1314</v>
      </c>
      <c r="D456" s="13">
        <v>92.6</v>
      </c>
      <c r="E456" s="13" t="s">
        <v>1315</v>
      </c>
      <c r="F456" s="13" t="s">
        <v>8869</v>
      </c>
      <c r="G456" s="13" t="s">
        <v>2</v>
      </c>
      <c r="H456" s="13" t="s">
        <v>3</v>
      </c>
      <c r="I456" s="13" t="s">
        <v>164</v>
      </c>
      <c r="J456" s="13" t="s">
        <v>8890</v>
      </c>
      <c r="K456" s="13" t="s">
        <v>8443</v>
      </c>
      <c r="L456" s="13" t="s">
        <v>8918</v>
      </c>
      <c r="M456" t="s">
        <v>3</v>
      </c>
    </row>
    <row r="457" spans="1:13" ht="26.25" x14ac:dyDescent="0.25">
      <c r="A457" s="13" t="s">
        <v>1316</v>
      </c>
      <c r="B457" s="13" t="s">
        <v>1316</v>
      </c>
      <c r="C457" s="13" t="s">
        <v>1317</v>
      </c>
      <c r="D457" s="13">
        <v>7.6</v>
      </c>
      <c r="E457" s="13" t="s">
        <v>1318</v>
      </c>
      <c r="F457" s="13" t="s">
        <v>8869</v>
      </c>
      <c r="G457" s="13" t="s">
        <v>2</v>
      </c>
      <c r="H457" s="13" t="s">
        <v>3</v>
      </c>
      <c r="I457" s="13" t="s">
        <v>1263</v>
      </c>
      <c r="J457" s="13" t="s">
        <v>8890</v>
      </c>
      <c r="K457" s="13" t="s">
        <v>8422</v>
      </c>
      <c r="L457" s="13" t="s">
        <v>8918</v>
      </c>
      <c r="M457" t="s">
        <v>3</v>
      </c>
    </row>
    <row r="458" spans="1:13" x14ac:dyDescent="0.25">
      <c r="A458" s="13" t="s">
        <v>1319</v>
      </c>
      <c r="B458" s="13" t="s">
        <v>1319</v>
      </c>
      <c r="C458" s="13" t="s">
        <v>1320</v>
      </c>
      <c r="D458" s="13">
        <v>27</v>
      </c>
      <c r="E458" s="13" t="s">
        <v>1321</v>
      </c>
      <c r="F458" s="13" t="s">
        <v>8869</v>
      </c>
      <c r="G458" s="13" t="s">
        <v>2</v>
      </c>
      <c r="H458" s="13" t="s">
        <v>9000</v>
      </c>
      <c r="I458" s="13" t="s">
        <v>706</v>
      </c>
      <c r="J458" s="13" t="s">
        <v>8890</v>
      </c>
      <c r="K458" s="13" t="s">
        <v>8419</v>
      </c>
      <c r="L458" s="13" t="s">
        <v>8918</v>
      </c>
      <c r="M458" t="s">
        <v>10688</v>
      </c>
    </row>
    <row r="459" spans="1:13" x14ac:dyDescent="0.25">
      <c r="A459" s="13" t="s">
        <v>1322</v>
      </c>
      <c r="B459" s="13" t="s">
        <v>1323</v>
      </c>
      <c r="C459" s="13" t="s">
        <v>1324</v>
      </c>
      <c r="D459" s="13">
        <v>30</v>
      </c>
      <c r="E459" s="13" t="s">
        <v>1325</v>
      </c>
      <c r="F459" s="13" t="s">
        <v>8869</v>
      </c>
      <c r="G459" s="13" t="s">
        <v>2</v>
      </c>
      <c r="H459" s="13" t="s">
        <v>3</v>
      </c>
      <c r="I459" s="13" t="s">
        <v>1283</v>
      </c>
      <c r="J459" s="13" t="s">
        <v>8890</v>
      </c>
      <c r="K459" s="13" t="s">
        <v>8524</v>
      </c>
      <c r="L459" s="13" t="s">
        <v>8918</v>
      </c>
      <c r="M459" t="s">
        <v>3</v>
      </c>
    </row>
    <row r="460" spans="1:13" x14ac:dyDescent="0.25">
      <c r="A460" s="13" t="s">
        <v>1326</v>
      </c>
      <c r="B460" s="13" t="s">
        <v>1326</v>
      </c>
      <c r="C460" s="13" t="s">
        <v>1327</v>
      </c>
      <c r="D460" s="13">
        <v>6</v>
      </c>
      <c r="E460" s="13" t="s">
        <v>1328</v>
      </c>
      <c r="F460" s="13" t="s">
        <v>8869</v>
      </c>
      <c r="G460" s="13" t="s">
        <v>2</v>
      </c>
      <c r="H460" s="13" t="s">
        <v>3</v>
      </c>
      <c r="I460" s="13" t="s">
        <v>1329</v>
      </c>
      <c r="J460" s="13" t="s">
        <v>8890</v>
      </c>
      <c r="K460" s="13" t="s">
        <v>8545</v>
      </c>
      <c r="L460" s="13" t="s">
        <v>8918</v>
      </c>
      <c r="M460" t="s">
        <v>3</v>
      </c>
    </row>
    <row r="461" spans="1:13" x14ac:dyDescent="0.25">
      <c r="A461" s="13" t="s">
        <v>1330</v>
      </c>
      <c r="B461" s="13" t="s">
        <v>1330</v>
      </c>
      <c r="C461" s="13" t="s">
        <v>1331</v>
      </c>
      <c r="D461" s="13">
        <v>37.799999999999997</v>
      </c>
      <c r="E461" s="13" t="s">
        <v>1332</v>
      </c>
      <c r="F461" s="13" t="s">
        <v>9717</v>
      </c>
      <c r="G461" s="13" t="s">
        <v>2</v>
      </c>
      <c r="H461" s="13" t="s">
        <v>3</v>
      </c>
      <c r="I461" s="13" t="s">
        <v>137</v>
      </c>
      <c r="J461" s="13" t="s">
        <v>9004</v>
      </c>
      <c r="K461" s="13" t="s">
        <v>8429</v>
      </c>
      <c r="L461" s="13" t="s">
        <v>10021</v>
      </c>
      <c r="M461" t="s">
        <v>3</v>
      </c>
    </row>
    <row r="462" spans="1:13" ht="26.25" x14ac:dyDescent="0.25">
      <c r="A462" s="13" t="s">
        <v>1333</v>
      </c>
      <c r="B462" s="13" t="s">
        <v>1333</v>
      </c>
      <c r="C462" s="13" t="s">
        <v>1334</v>
      </c>
      <c r="D462" s="13">
        <v>5</v>
      </c>
      <c r="E462" s="13" t="s">
        <v>1335</v>
      </c>
      <c r="F462" s="13" t="s">
        <v>8860</v>
      </c>
      <c r="G462" s="13" t="s">
        <v>19</v>
      </c>
      <c r="H462" s="13" t="s">
        <v>3</v>
      </c>
      <c r="I462" s="13" t="s">
        <v>1336</v>
      </c>
      <c r="J462" s="13" t="s">
        <v>21</v>
      </c>
      <c r="K462" s="13" t="s">
        <v>8546</v>
      </c>
      <c r="L462" s="13" t="s">
        <v>18</v>
      </c>
      <c r="M462" t="s">
        <v>3</v>
      </c>
    </row>
    <row r="463" spans="1:13" ht="26.25" x14ac:dyDescent="0.25">
      <c r="A463" s="13" t="s">
        <v>1337</v>
      </c>
      <c r="B463" s="13" t="s">
        <v>1338</v>
      </c>
      <c r="C463" s="13" t="s">
        <v>1339</v>
      </c>
      <c r="D463" s="13">
        <v>0</v>
      </c>
      <c r="E463" s="13" t="s">
        <v>1340</v>
      </c>
      <c r="F463" s="13" t="s">
        <v>8860</v>
      </c>
      <c r="G463" s="13" t="s">
        <v>19</v>
      </c>
      <c r="H463" s="13" t="s">
        <v>3</v>
      </c>
      <c r="I463" s="13" t="s">
        <v>1283</v>
      </c>
      <c r="J463" s="13" t="s">
        <v>21</v>
      </c>
      <c r="K463" s="13" t="s">
        <v>8524</v>
      </c>
      <c r="L463" s="13" t="s">
        <v>18</v>
      </c>
      <c r="M463" t="s">
        <v>3</v>
      </c>
    </row>
    <row r="464" spans="1:13" ht="26.25" x14ac:dyDescent="0.25">
      <c r="A464" s="13" t="s">
        <v>10125</v>
      </c>
      <c r="B464" s="13" t="s">
        <v>10126</v>
      </c>
      <c r="C464" s="13" t="s">
        <v>719</v>
      </c>
      <c r="D464" s="13">
        <v>21.9</v>
      </c>
      <c r="E464" s="13" t="s">
        <v>10127</v>
      </c>
      <c r="F464" s="13" t="s">
        <v>8860</v>
      </c>
      <c r="G464" s="13" t="s">
        <v>19</v>
      </c>
      <c r="H464" s="13" t="s">
        <v>3</v>
      </c>
      <c r="I464" s="13" t="s">
        <v>1283</v>
      </c>
      <c r="J464" s="13" t="s">
        <v>21</v>
      </c>
      <c r="K464" s="13" t="s">
        <v>8524</v>
      </c>
      <c r="L464" s="13" t="s">
        <v>18</v>
      </c>
      <c r="M464" t="s">
        <v>3</v>
      </c>
    </row>
    <row r="465" spans="1:13" ht="26.25" x14ac:dyDescent="0.25">
      <c r="A465" s="13" t="s">
        <v>11754</v>
      </c>
      <c r="B465" s="13" t="s">
        <v>11754</v>
      </c>
      <c r="C465" s="13" t="s">
        <v>11754</v>
      </c>
      <c r="D465" s="14">
        <v>9999</v>
      </c>
      <c r="E465" s="13" t="s">
        <v>11755</v>
      </c>
      <c r="F465" s="13" t="s">
        <v>855</v>
      </c>
      <c r="G465" s="13" t="s">
        <v>19</v>
      </c>
      <c r="H465" s="13" t="s">
        <v>3</v>
      </c>
      <c r="I465" s="13" t="s">
        <v>1283</v>
      </c>
      <c r="J465" s="13" t="s">
        <v>856</v>
      </c>
      <c r="K465" s="13" t="s">
        <v>8524</v>
      </c>
      <c r="L465" s="13" t="s">
        <v>855</v>
      </c>
      <c r="M465" t="s">
        <v>3</v>
      </c>
    </row>
    <row r="466" spans="1:13" x14ac:dyDescent="0.25">
      <c r="A466" s="13" t="s">
        <v>11756</v>
      </c>
      <c r="B466" s="13" t="s">
        <v>11756</v>
      </c>
      <c r="C466" s="13" t="s">
        <v>11756</v>
      </c>
      <c r="D466" s="14">
        <v>9999</v>
      </c>
      <c r="E466" s="13" t="s">
        <v>11757</v>
      </c>
      <c r="F466" s="13" t="s">
        <v>855</v>
      </c>
      <c r="G466" s="13" t="s">
        <v>2</v>
      </c>
      <c r="H466" s="13" t="s">
        <v>3</v>
      </c>
      <c r="I466" s="13" t="s">
        <v>1283</v>
      </c>
      <c r="J466" s="13" t="s">
        <v>856</v>
      </c>
      <c r="K466" s="13" t="s">
        <v>8524</v>
      </c>
      <c r="L466" s="13" t="s">
        <v>855</v>
      </c>
      <c r="M466" t="s">
        <v>3</v>
      </c>
    </row>
    <row r="467" spans="1:13" x14ac:dyDescent="0.25">
      <c r="A467" s="13" t="s">
        <v>1341</v>
      </c>
      <c r="B467" s="13" t="s">
        <v>1341</v>
      </c>
      <c r="C467" s="13" t="s">
        <v>1342</v>
      </c>
      <c r="D467" s="13">
        <v>100</v>
      </c>
      <c r="E467" s="13" t="s">
        <v>1342</v>
      </c>
      <c r="F467" s="13" t="s">
        <v>8869</v>
      </c>
      <c r="G467" s="13" t="s">
        <v>2</v>
      </c>
      <c r="H467" s="13" t="s">
        <v>8421</v>
      </c>
      <c r="I467" s="13" t="s">
        <v>447</v>
      </c>
      <c r="J467" s="13" t="s">
        <v>8890</v>
      </c>
      <c r="K467" s="13" t="s">
        <v>8421</v>
      </c>
      <c r="L467" s="13" t="s">
        <v>8918</v>
      </c>
      <c r="M467" t="s">
        <v>10690</v>
      </c>
    </row>
    <row r="468" spans="1:13" x14ac:dyDescent="0.25">
      <c r="A468" s="13" t="s">
        <v>1343</v>
      </c>
      <c r="B468" s="13" t="s">
        <v>1344</v>
      </c>
      <c r="C468" s="13" t="s">
        <v>1345</v>
      </c>
      <c r="D468" s="13">
        <v>191.3</v>
      </c>
      <c r="E468" s="13" t="s">
        <v>1346</v>
      </c>
      <c r="F468" s="13" t="s">
        <v>8863</v>
      </c>
      <c r="G468" s="13" t="s">
        <v>2</v>
      </c>
      <c r="H468" s="13" t="s">
        <v>1224</v>
      </c>
      <c r="I468" s="13" t="s">
        <v>1224</v>
      </c>
      <c r="J468" s="13" t="s">
        <v>8890</v>
      </c>
      <c r="K468" s="13" t="s">
        <v>8429</v>
      </c>
      <c r="L468" s="13" t="s">
        <v>8893</v>
      </c>
      <c r="M468" t="s">
        <v>10682</v>
      </c>
    </row>
    <row r="469" spans="1:13" x14ac:dyDescent="0.25">
      <c r="A469" s="13" t="s">
        <v>1347</v>
      </c>
      <c r="B469" s="13" t="s">
        <v>1347</v>
      </c>
      <c r="C469" s="13" t="s">
        <v>1347</v>
      </c>
      <c r="D469" s="13">
        <v>376.4</v>
      </c>
      <c r="E469" s="13" t="s">
        <v>1348</v>
      </c>
      <c r="F469" s="13" t="s">
        <v>8863</v>
      </c>
      <c r="G469" s="13" t="s">
        <v>2</v>
      </c>
      <c r="H469" s="13" t="s">
        <v>8923</v>
      </c>
      <c r="I469" s="13" t="s">
        <v>390</v>
      </c>
      <c r="J469" s="13" t="s">
        <v>8890</v>
      </c>
      <c r="K469" s="13" t="s">
        <v>8423</v>
      </c>
      <c r="L469" s="13" t="s">
        <v>8893</v>
      </c>
      <c r="M469" t="s">
        <v>8923</v>
      </c>
    </row>
    <row r="470" spans="1:13" x14ac:dyDescent="0.25">
      <c r="A470" s="13" t="s">
        <v>1349</v>
      </c>
      <c r="B470" s="13" t="s">
        <v>1349</v>
      </c>
      <c r="C470" s="13" t="s">
        <v>1349</v>
      </c>
      <c r="D470" s="13">
        <v>162</v>
      </c>
      <c r="E470" s="13" t="s">
        <v>1350</v>
      </c>
      <c r="F470" s="13" t="s">
        <v>8863</v>
      </c>
      <c r="G470" s="13" t="s">
        <v>2</v>
      </c>
      <c r="H470" s="13" t="s">
        <v>8923</v>
      </c>
      <c r="I470" s="13" t="s">
        <v>390</v>
      </c>
      <c r="J470" s="13" t="s">
        <v>8890</v>
      </c>
      <c r="K470" s="13" t="s">
        <v>8423</v>
      </c>
      <c r="L470" s="13" t="s">
        <v>8893</v>
      </c>
      <c r="M470" t="s">
        <v>8923</v>
      </c>
    </row>
    <row r="471" spans="1:13" ht="26.25" x14ac:dyDescent="0.25">
      <c r="A471" s="13" t="s">
        <v>1351</v>
      </c>
      <c r="B471" s="13" t="s">
        <v>1351</v>
      </c>
      <c r="C471" s="13" t="s">
        <v>1351</v>
      </c>
      <c r="D471" s="13">
        <v>0.1</v>
      </c>
      <c r="E471" s="13" t="s">
        <v>1352</v>
      </c>
      <c r="F471" s="13" t="s">
        <v>8860</v>
      </c>
      <c r="G471" s="13" t="s">
        <v>19</v>
      </c>
      <c r="H471" s="13" t="s">
        <v>3</v>
      </c>
      <c r="I471" s="13" t="s">
        <v>1353</v>
      </c>
      <c r="J471" s="13" t="s">
        <v>21</v>
      </c>
      <c r="K471" s="13" t="s">
        <v>8547</v>
      </c>
      <c r="L471" s="13" t="s">
        <v>18</v>
      </c>
      <c r="M471" t="s">
        <v>3</v>
      </c>
    </row>
    <row r="472" spans="1:13" x14ac:dyDescent="0.25">
      <c r="A472" s="13" t="s">
        <v>1354</v>
      </c>
      <c r="B472" s="13" t="s">
        <v>1355</v>
      </c>
      <c r="C472" s="13" t="s">
        <v>1356</v>
      </c>
      <c r="D472" s="13">
        <v>2.2999999999999998</v>
      </c>
      <c r="E472" s="13" t="s">
        <v>1357</v>
      </c>
      <c r="F472" s="13" t="s">
        <v>8863</v>
      </c>
      <c r="G472" s="13" t="s">
        <v>2</v>
      </c>
      <c r="H472" s="13" t="s">
        <v>8923</v>
      </c>
      <c r="I472" s="13" t="s">
        <v>390</v>
      </c>
      <c r="J472" s="13" t="s">
        <v>8890</v>
      </c>
      <c r="K472" s="13" t="s">
        <v>8423</v>
      </c>
      <c r="L472" s="13" t="s">
        <v>8893</v>
      </c>
      <c r="M472" t="s">
        <v>8923</v>
      </c>
    </row>
    <row r="473" spans="1:13" x14ac:dyDescent="0.25">
      <c r="A473" s="13" t="s">
        <v>1358</v>
      </c>
      <c r="B473" s="13" t="s">
        <v>1359</v>
      </c>
      <c r="C473" s="13" t="s">
        <v>1360</v>
      </c>
      <c r="D473" s="14">
        <v>1857.7</v>
      </c>
      <c r="E473" s="13" t="s">
        <v>1361</v>
      </c>
      <c r="F473" s="13" t="s">
        <v>8863</v>
      </c>
      <c r="G473" s="13" t="s">
        <v>2</v>
      </c>
      <c r="H473" s="13" t="s">
        <v>8923</v>
      </c>
      <c r="I473" s="13" t="s">
        <v>390</v>
      </c>
      <c r="J473" s="13" t="s">
        <v>8890</v>
      </c>
      <c r="K473" s="13" t="s">
        <v>8423</v>
      </c>
      <c r="L473" s="13" t="s">
        <v>8893</v>
      </c>
      <c r="M473" t="s">
        <v>8923</v>
      </c>
    </row>
    <row r="474" spans="1:13" x14ac:dyDescent="0.25">
      <c r="A474" s="13" t="s">
        <v>1362</v>
      </c>
      <c r="B474" s="13" t="s">
        <v>1362</v>
      </c>
      <c r="C474" s="13" t="s">
        <v>1362</v>
      </c>
      <c r="D474" s="13">
        <v>40.799999999999997</v>
      </c>
      <c r="E474" s="13" t="s">
        <v>1363</v>
      </c>
      <c r="F474" s="13" t="s">
        <v>8863</v>
      </c>
      <c r="G474" s="13" t="s">
        <v>2</v>
      </c>
      <c r="H474" s="13" t="s">
        <v>3</v>
      </c>
      <c r="I474" s="13" t="s">
        <v>228</v>
      </c>
      <c r="J474" s="13" t="s">
        <v>8890</v>
      </c>
      <c r="K474" s="13" t="s">
        <v>8418</v>
      </c>
      <c r="L474" s="13" t="s">
        <v>8893</v>
      </c>
      <c r="M474" t="s">
        <v>3</v>
      </c>
    </row>
    <row r="475" spans="1:13" x14ac:dyDescent="0.25">
      <c r="A475" s="13" t="s">
        <v>1364</v>
      </c>
      <c r="B475" s="13" t="s">
        <v>1364</v>
      </c>
      <c r="C475" s="13" t="s">
        <v>9005</v>
      </c>
      <c r="D475" s="13">
        <v>73.3</v>
      </c>
      <c r="E475" s="13" t="s">
        <v>1365</v>
      </c>
      <c r="F475" s="13" t="s">
        <v>8869</v>
      </c>
      <c r="G475" s="13" t="s">
        <v>2</v>
      </c>
      <c r="H475" s="13" t="s">
        <v>3</v>
      </c>
      <c r="I475" s="13" t="s">
        <v>1366</v>
      </c>
      <c r="J475" s="13" t="s">
        <v>8890</v>
      </c>
      <c r="K475" s="13" t="s">
        <v>8417</v>
      </c>
      <c r="L475" s="13" t="s">
        <v>8918</v>
      </c>
      <c r="M475" t="s">
        <v>3</v>
      </c>
    </row>
    <row r="476" spans="1:13" x14ac:dyDescent="0.25">
      <c r="A476" s="13" t="s">
        <v>1367</v>
      </c>
      <c r="B476" s="13" t="s">
        <v>1367</v>
      </c>
      <c r="C476" s="13" t="s">
        <v>1368</v>
      </c>
      <c r="D476" s="13">
        <v>40</v>
      </c>
      <c r="E476" s="13" t="s">
        <v>1368</v>
      </c>
      <c r="F476" s="13" t="s">
        <v>8869</v>
      </c>
      <c r="G476" s="13" t="s">
        <v>2</v>
      </c>
      <c r="H476" s="13" t="s">
        <v>8421</v>
      </c>
      <c r="I476" s="13" t="s">
        <v>447</v>
      </c>
      <c r="J476" s="13" t="s">
        <v>8890</v>
      </c>
      <c r="K476" s="13" t="s">
        <v>8421</v>
      </c>
      <c r="L476" s="13" t="s">
        <v>8918</v>
      </c>
      <c r="M476" t="s">
        <v>10690</v>
      </c>
    </row>
    <row r="477" spans="1:13" x14ac:dyDescent="0.25">
      <c r="A477" s="13" t="s">
        <v>1369</v>
      </c>
      <c r="B477" s="13" t="s">
        <v>1369</v>
      </c>
      <c r="C477" s="13" t="s">
        <v>1370</v>
      </c>
      <c r="D477" s="13">
        <v>49.3</v>
      </c>
      <c r="E477" s="13" t="s">
        <v>1371</v>
      </c>
      <c r="F477" s="13" t="s">
        <v>8869</v>
      </c>
      <c r="G477" s="13" t="s">
        <v>2</v>
      </c>
      <c r="H477" s="13" t="s">
        <v>3</v>
      </c>
      <c r="I477" s="13" t="s">
        <v>1254</v>
      </c>
      <c r="J477" s="13" t="s">
        <v>8890</v>
      </c>
      <c r="K477" s="13" t="s">
        <v>8508</v>
      </c>
      <c r="L477" s="13" t="s">
        <v>8918</v>
      </c>
      <c r="M477" t="s">
        <v>3</v>
      </c>
    </row>
    <row r="478" spans="1:13" x14ac:dyDescent="0.25">
      <c r="A478" s="13" t="s">
        <v>1372</v>
      </c>
      <c r="B478" s="13" t="s">
        <v>1372</v>
      </c>
      <c r="C478" s="13" t="s">
        <v>1373</v>
      </c>
      <c r="D478" s="13">
        <v>13.8</v>
      </c>
      <c r="E478" s="13" t="s">
        <v>1374</v>
      </c>
      <c r="F478" s="13" t="s">
        <v>8869</v>
      </c>
      <c r="G478" s="13" t="s">
        <v>2</v>
      </c>
      <c r="H478" s="13" t="s">
        <v>3</v>
      </c>
      <c r="I478" s="13" t="s">
        <v>1375</v>
      </c>
      <c r="J478" s="13" t="s">
        <v>8890</v>
      </c>
      <c r="K478" s="13" t="s">
        <v>8548</v>
      </c>
      <c r="L478" s="13" t="s">
        <v>8918</v>
      </c>
      <c r="M478" t="s">
        <v>3</v>
      </c>
    </row>
    <row r="479" spans="1:13" x14ac:dyDescent="0.25">
      <c r="A479" s="13" t="s">
        <v>11185</v>
      </c>
      <c r="B479" s="13" t="s">
        <v>11186</v>
      </c>
      <c r="C479" s="13" t="s">
        <v>11187</v>
      </c>
      <c r="D479" s="13">
        <v>12</v>
      </c>
      <c r="E479" s="13" t="s">
        <v>11188</v>
      </c>
      <c r="F479" s="13" t="s">
        <v>8869</v>
      </c>
      <c r="G479" s="13" t="s">
        <v>2</v>
      </c>
      <c r="H479" s="13" t="s">
        <v>3</v>
      </c>
      <c r="I479" s="13" t="s">
        <v>1283</v>
      </c>
      <c r="J479" s="13" t="s">
        <v>8890</v>
      </c>
      <c r="K479" s="13" t="s">
        <v>8524</v>
      </c>
      <c r="L479" s="13" t="s">
        <v>8918</v>
      </c>
      <c r="M479" t="s">
        <v>3</v>
      </c>
    </row>
    <row r="480" spans="1:13" x14ac:dyDescent="0.25">
      <c r="A480" s="13" t="s">
        <v>1376</v>
      </c>
      <c r="B480" s="13" t="s">
        <v>1377</v>
      </c>
      <c r="C480" s="13" t="s">
        <v>1378</v>
      </c>
      <c r="D480" s="13">
        <v>8</v>
      </c>
      <c r="E480" s="13" t="s">
        <v>1379</v>
      </c>
      <c r="F480" s="13" t="s">
        <v>8869</v>
      </c>
      <c r="G480" s="13" t="s">
        <v>2</v>
      </c>
      <c r="H480" s="13" t="s">
        <v>3</v>
      </c>
      <c r="I480" s="13" t="s">
        <v>1283</v>
      </c>
      <c r="J480" s="13" t="s">
        <v>8890</v>
      </c>
      <c r="K480" s="13" t="s">
        <v>8524</v>
      </c>
      <c r="L480" s="13" t="s">
        <v>8918</v>
      </c>
      <c r="M480" t="s">
        <v>3</v>
      </c>
    </row>
    <row r="481" spans="1:13" x14ac:dyDescent="0.25">
      <c r="A481" s="13" t="s">
        <v>1380</v>
      </c>
      <c r="B481" s="13" t="s">
        <v>1381</v>
      </c>
      <c r="C481" s="13" t="s">
        <v>1382</v>
      </c>
      <c r="D481" s="13">
        <v>30.6</v>
      </c>
      <c r="E481" s="13" t="s">
        <v>1383</v>
      </c>
      <c r="F481" s="13" t="s">
        <v>8869</v>
      </c>
      <c r="G481" s="13" t="s">
        <v>2</v>
      </c>
      <c r="H481" s="13" t="s">
        <v>3</v>
      </c>
      <c r="I481" s="13" t="s">
        <v>1283</v>
      </c>
      <c r="J481" s="13" t="s">
        <v>8890</v>
      </c>
      <c r="K481" s="13" t="s">
        <v>8524</v>
      </c>
      <c r="L481" s="13" t="s">
        <v>8918</v>
      </c>
      <c r="M481" t="s">
        <v>3</v>
      </c>
    </row>
    <row r="482" spans="1:13" x14ac:dyDescent="0.25">
      <c r="A482" s="13" t="s">
        <v>10691</v>
      </c>
      <c r="B482" s="13" t="s">
        <v>10691</v>
      </c>
      <c r="C482" s="13" t="s">
        <v>10692</v>
      </c>
      <c r="D482" s="13">
        <v>50</v>
      </c>
      <c r="E482" s="13" t="s">
        <v>10693</v>
      </c>
      <c r="F482" s="13" t="s">
        <v>8869</v>
      </c>
      <c r="G482" s="13" t="s">
        <v>2</v>
      </c>
      <c r="H482" s="13" t="s">
        <v>3</v>
      </c>
      <c r="I482" s="13" t="s">
        <v>447</v>
      </c>
      <c r="J482" s="13" t="s">
        <v>8890</v>
      </c>
      <c r="K482" s="13" t="s">
        <v>8421</v>
      </c>
      <c r="L482" s="13" t="s">
        <v>8918</v>
      </c>
      <c r="M482" t="s">
        <v>3</v>
      </c>
    </row>
    <row r="483" spans="1:13" ht="26.25" x14ac:dyDescent="0.25">
      <c r="A483" s="13" t="s">
        <v>1384</v>
      </c>
      <c r="B483" s="13" t="s">
        <v>1384</v>
      </c>
      <c r="C483" s="13" t="s">
        <v>1385</v>
      </c>
      <c r="D483" s="13">
        <v>49.6</v>
      </c>
      <c r="E483" s="13" t="s">
        <v>1386</v>
      </c>
      <c r="F483" s="13" t="s">
        <v>8869</v>
      </c>
      <c r="G483" s="13" t="s">
        <v>2</v>
      </c>
      <c r="H483" s="13" t="s">
        <v>3</v>
      </c>
      <c r="I483" s="13" t="s">
        <v>1263</v>
      </c>
      <c r="J483" s="13" t="s">
        <v>8890</v>
      </c>
      <c r="K483" s="13" t="s">
        <v>8422</v>
      </c>
      <c r="L483" s="13" t="s">
        <v>8918</v>
      </c>
      <c r="M483" t="s">
        <v>3</v>
      </c>
    </row>
    <row r="484" spans="1:13" x14ac:dyDescent="0.25">
      <c r="A484" s="13" t="s">
        <v>1387</v>
      </c>
      <c r="B484" s="13" t="s">
        <v>1387</v>
      </c>
      <c r="C484" s="13" t="s">
        <v>1388</v>
      </c>
      <c r="D484" s="13">
        <v>28</v>
      </c>
      <c r="E484" s="13" t="s">
        <v>1389</v>
      </c>
      <c r="F484" s="13" t="s">
        <v>8869</v>
      </c>
      <c r="G484" s="13" t="s">
        <v>2</v>
      </c>
      <c r="H484" s="13" t="s">
        <v>3</v>
      </c>
      <c r="I484" s="13" t="s">
        <v>1263</v>
      </c>
      <c r="J484" s="13" t="s">
        <v>8890</v>
      </c>
      <c r="K484" s="13" t="s">
        <v>8422</v>
      </c>
      <c r="L484" s="13" t="s">
        <v>8918</v>
      </c>
      <c r="M484" t="s">
        <v>3</v>
      </c>
    </row>
    <row r="485" spans="1:13" x14ac:dyDescent="0.25">
      <c r="A485" s="13" t="s">
        <v>1390</v>
      </c>
      <c r="B485" s="13" t="s">
        <v>1390</v>
      </c>
      <c r="C485" s="13" t="s">
        <v>1391</v>
      </c>
      <c r="D485" s="13">
        <v>49.5</v>
      </c>
      <c r="E485" s="13" t="s">
        <v>1392</v>
      </c>
      <c r="F485" s="13" t="s">
        <v>8869</v>
      </c>
      <c r="G485" s="13" t="s">
        <v>2</v>
      </c>
      <c r="H485" s="13" t="s">
        <v>3</v>
      </c>
      <c r="I485" s="13" t="s">
        <v>1263</v>
      </c>
      <c r="J485" s="13" t="s">
        <v>8890</v>
      </c>
      <c r="K485" s="13" t="s">
        <v>8422</v>
      </c>
      <c r="L485" s="13" t="s">
        <v>8918</v>
      </c>
      <c r="M485" t="s">
        <v>3</v>
      </c>
    </row>
    <row r="486" spans="1:13" x14ac:dyDescent="0.25">
      <c r="A486" s="13" t="s">
        <v>1393</v>
      </c>
      <c r="B486" s="13" t="s">
        <v>1393</v>
      </c>
      <c r="C486" s="13" t="s">
        <v>1393</v>
      </c>
      <c r="D486" s="13">
        <v>8.9</v>
      </c>
      <c r="E486" s="13" t="s">
        <v>1394</v>
      </c>
      <c r="F486" s="13" t="s">
        <v>8869</v>
      </c>
      <c r="G486" s="13" t="s">
        <v>2</v>
      </c>
      <c r="H486" s="13" t="s">
        <v>3</v>
      </c>
      <c r="I486" s="13" t="s">
        <v>706</v>
      </c>
      <c r="J486" s="13" t="s">
        <v>8890</v>
      </c>
      <c r="K486" s="13" t="s">
        <v>8419</v>
      </c>
      <c r="L486" s="13" t="s">
        <v>8918</v>
      </c>
      <c r="M486" t="s">
        <v>3</v>
      </c>
    </row>
    <row r="487" spans="1:13" x14ac:dyDescent="0.25">
      <c r="A487" s="13" t="s">
        <v>1395</v>
      </c>
      <c r="B487" s="13" t="s">
        <v>1395</v>
      </c>
      <c r="C487" s="13" t="s">
        <v>1396</v>
      </c>
      <c r="D487" s="13">
        <v>49.5</v>
      </c>
      <c r="E487" s="13" t="s">
        <v>1396</v>
      </c>
      <c r="F487" s="13" t="s">
        <v>8869</v>
      </c>
      <c r="G487" s="13" t="s">
        <v>2</v>
      </c>
      <c r="H487" s="13" t="s">
        <v>3</v>
      </c>
      <c r="I487" s="13" t="s">
        <v>447</v>
      </c>
      <c r="J487" s="13" t="s">
        <v>8890</v>
      </c>
      <c r="K487" s="13" t="s">
        <v>8421</v>
      </c>
      <c r="L487" s="13" t="s">
        <v>8918</v>
      </c>
      <c r="M487" t="s">
        <v>3</v>
      </c>
    </row>
    <row r="488" spans="1:13" x14ac:dyDescent="0.25">
      <c r="A488" s="13" t="s">
        <v>1397</v>
      </c>
      <c r="B488" s="13" t="s">
        <v>1397</v>
      </c>
      <c r="C488" s="13" t="s">
        <v>1398</v>
      </c>
      <c r="D488" s="13">
        <v>8</v>
      </c>
      <c r="E488" s="13" t="s">
        <v>1399</v>
      </c>
      <c r="F488" s="13" t="s">
        <v>8869</v>
      </c>
      <c r="G488" s="13" t="s">
        <v>2</v>
      </c>
      <c r="H488" s="13" t="s">
        <v>3</v>
      </c>
      <c r="I488" s="13" t="s">
        <v>706</v>
      </c>
      <c r="J488" s="13" t="s">
        <v>8890</v>
      </c>
      <c r="K488" s="13" t="s">
        <v>8419</v>
      </c>
      <c r="L488" s="13" t="s">
        <v>8918</v>
      </c>
      <c r="M488" t="s">
        <v>3</v>
      </c>
    </row>
    <row r="489" spans="1:13" x14ac:dyDescent="0.25">
      <c r="A489" s="13" t="s">
        <v>1400</v>
      </c>
      <c r="B489" s="13" t="s">
        <v>1400</v>
      </c>
      <c r="C489" s="13" t="s">
        <v>1401</v>
      </c>
      <c r="D489" s="13">
        <v>36</v>
      </c>
      <c r="E489" s="13" t="s">
        <v>1401</v>
      </c>
      <c r="F489" s="13" t="s">
        <v>8869</v>
      </c>
      <c r="G489" s="13" t="s">
        <v>2</v>
      </c>
      <c r="H489" s="13" t="s">
        <v>3</v>
      </c>
      <c r="I489" s="13" t="s">
        <v>447</v>
      </c>
      <c r="J489" s="13" t="s">
        <v>8890</v>
      </c>
      <c r="K489" s="13" t="s">
        <v>8421</v>
      </c>
      <c r="L489" s="13" t="s">
        <v>8918</v>
      </c>
      <c r="M489" t="s">
        <v>3</v>
      </c>
    </row>
    <row r="490" spans="1:13" ht="26.25" x14ac:dyDescent="0.25">
      <c r="A490" s="13" t="s">
        <v>1402</v>
      </c>
      <c r="B490" s="13" t="s">
        <v>1402</v>
      </c>
      <c r="C490" s="13" t="s">
        <v>9006</v>
      </c>
      <c r="D490" s="13">
        <v>1</v>
      </c>
      <c r="E490" s="13" t="s">
        <v>1404</v>
      </c>
      <c r="F490" s="13" t="s">
        <v>8860</v>
      </c>
      <c r="G490" s="13" t="s">
        <v>19</v>
      </c>
      <c r="H490" s="13" t="s">
        <v>3</v>
      </c>
      <c r="I490" s="13" t="s">
        <v>1405</v>
      </c>
      <c r="J490" s="13" t="s">
        <v>21</v>
      </c>
      <c r="K490" s="13" t="s">
        <v>1403</v>
      </c>
      <c r="L490" s="13" t="s">
        <v>18</v>
      </c>
      <c r="M490" t="s">
        <v>3</v>
      </c>
    </row>
    <row r="491" spans="1:13" x14ac:dyDescent="0.25">
      <c r="A491" s="13" t="s">
        <v>1406</v>
      </c>
      <c r="B491" s="13" t="s">
        <v>1406</v>
      </c>
      <c r="C491" s="13" t="s">
        <v>1407</v>
      </c>
      <c r="D491" s="13">
        <v>57.6</v>
      </c>
      <c r="E491" s="13" t="s">
        <v>1407</v>
      </c>
      <c r="F491" s="13" t="s">
        <v>8869</v>
      </c>
      <c r="G491" s="13" t="s">
        <v>2</v>
      </c>
      <c r="H491" s="13" t="s">
        <v>3</v>
      </c>
      <c r="I491" s="13" t="s">
        <v>447</v>
      </c>
      <c r="J491" s="13" t="s">
        <v>8890</v>
      </c>
      <c r="K491" s="13" t="s">
        <v>8421</v>
      </c>
      <c r="L491" s="13" t="s">
        <v>8918</v>
      </c>
      <c r="M491" t="s">
        <v>3</v>
      </c>
    </row>
    <row r="492" spans="1:13" ht="26.25" x14ac:dyDescent="0.25">
      <c r="A492" s="13" t="s">
        <v>1408</v>
      </c>
      <c r="B492" s="13" t="s">
        <v>1409</v>
      </c>
      <c r="C492" s="13" t="s">
        <v>1410</v>
      </c>
      <c r="D492" s="13">
        <v>0</v>
      </c>
      <c r="E492" s="13" t="s">
        <v>1411</v>
      </c>
      <c r="F492" s="13" t="s">
        <v>8860</v>
      </c>
      <c r="G492" s="13" t="s">
        <v>19</v>
      </c>
      <c r="H492" s="13" t="s">
        <v>3</v>
      </c>
      <c r="I492" s="13" t="s">
        <v>1412</v>
      </c>
      <c r="J492" s="13" t="s">
        <v>21</v>
      </c>
      <c r="K492" s="13" t="s">
        <v>8549</v>
      </c>
      <c r="L492" s="13" t="s">
        <v>18</v>
      </c>
      <c r="M492" t="s">
        <v>3</v>
      </c>
    </row>
    <row r="493" spans="1:13" ht="26.25" x14ac:dyDescent="0.25">
      <c r="A493" s="13" t="s">
        <v>1413</v>
      </c>
      <c r="B493" s="13" t="s">
        <v>1414</v>
      </c>
      <c r="C493" s="13" t="s">
        <v>1415</v>
      </c>
      <c r="D493" s="13">
        <v>0</v>
      </c>
      <c r="E493" s="13" t="s">
        <v>1416</v>
      </c>
      <c r="F493" s="13" t="s">
        <v>8860</v>
      </c>
      <c r="G493" s="13" t="s">
        <v>19</v>
      </c>
      <c r="H493" s="13" t="s">
        <v>3</v>
      </c>
      <c r="I493" s="13" t="s">
        <v>1414</v>
      </c>
      <c r="J493" s="13" t="s">
        <v>21</v>
      </c>
      <c r="K493" s="13" t="s">
        <v>8550</v>
      </c>
      <c r="L493" s="13" t="s">
        <v>18</v>
      </c>
      <c r="M493" t="s">
        <v>3</v>
      </c>
    </row>
    <row r="494" spans="1:13" x14ac:dyDescent="0.25">
      <c r="A494" s="13" t="s">
        <v>1417</v>
      </c>
      <c r="B494" s="13" t="s">
        <v>1418</v>
      </c>
      <c r="C494" s="13" t="s">
        <v>9007</v>
      </c>
      <c r="D494" s="13">
        <v>35.6</v>
      </c>
      <c r="E494" s="13" t="s">
        <v>1419</v>
      </c>
      <c r="F494" s="13" t="s">
        <v>8869</v>
      </c>
      <c r="G494" s="13" t="s">
        <v>2</v>
      </c>
      <c r="H494" s="13" t="s">
        <v>3</v>
      </c>
      <c r="I494" s="13" t="s">
        <v>1254</v>
      </c>
      <c r="J494" s="13" t="s">
        <v>8890</v>
      </c>
      <c r="K494" s="13" t="s">
        <v>8508</v>
      </c>
      <c r="L494" s="13" t="s">
        <v>8918</v>
      </c>
      <c r="M494" t="s">
        <v>3</v>
      </c>
    </row>
    <row r="495" spans="1:13" ht="26.25" x14ac:dyDescent="0.25">
      <c r="A495" s="13" t="s">
        <v>1420</v>
      </c>
      <c r="B495" s="13" t="s">
        <v>1421</v>
      </c>
      <c r="C495" s="13" t="s">
        <v>9008</v>
      </c>
      <c r="D495" s="13">
        <v>25.5</v>
      </c>
      <c r="E495" s="13" t="s">
        <v>1422</v>
      </c>
      <c r="F495" s="13" t="s">
        <v>8869</v>
      </c>
      <c r="G495" s="13" t="s">
        <v>2</v>
      </c>
      <c r="H495" s="13" t="s">
        <v>3</v>
      </c>
      <c r="I495" s="13" t="s">
        <v>809</v>
      </c>
      <c r="J495" s="13" t="s">
        <v>8890</v>
      </c>
      <c r="K495" s="13" t="s">
        <v>8512</v>
      </c>
      <c r="L495" s="13" t="s">
        <v>8918</v>
      </c>
      <c r="M495" t="s">
        <v>3</v>
      </c>
    </row>
    <row r="496" spans="1:13" x14ac:dyDescent="0.25">
      <c r="A496" s="13" t="s">
        <v>1423</v>
      </c>
      <c r="B496" s="13" t="s">
        <v>1423</v>
      </c>
      <c r="C496" s="13" t="s">
        <v>1424</v>
      </c>
      <c r="D496" s="13">
        <v>22</v>
      </c>
      <c r="E496" s="13" t="s">
        <v>1425</v>
      </c>
      <c r="F496" s="13" t="s">
        <v>8869</v>
      </c>
      <c r="G496" s="13" t="s">
        <v>2</v>
      </c>
      <c r="H496" s="13" t="s">
        <v>3</v>
      </c>
      <c r="I496" s="13" t="s">
        <v>1263</v>
      </c>
      <c r="J496" s="13" t="s">
        <v>8890</v>
      </c>
      <c r="K496" s="13" t="s">
        <v>8422</v>
      </c>
      <c r="L496" s="13" t="s">
        <v>8918</v>
      </c>
      <c r="M496" t="s">
        <v>3</v>
      </c>
    </row>
    <row r="497" spans="1:13" x14ac:dyDescent="0.25">
      <c r="A497" s="13" t="s">
        <v>1426</v>
      </c>
      <c r="B497" s="13" t="s">
        <v>1426</v>
      </c>
      <c r="C497" s="13" t="s">
        <v>1427</v>
      </c>
      <c r="D497" s="13">
        <v>49.5</v>
      </c>
      <c r="E497" s="13" t="s">
        <v>1428</v>
      </c>
      <c r="F497" s="13" t="s">
        <v>8869</v>
      </c>
      <c r="G497" s="13" t="s">
        <v>2</v>
      </c>
      <c r="H497" s="13" t="s">
        <v>3</v>
      </c>
      <c r="I497" s="13" t="s">
        <v>1263</v>
      </c>
      <c r="J497" s="13" t="s">
        <v>8890</v>
      </c>
      <c r="K497" s="13" t="s">
        <v>8422</v>
      </c>
      <c r="L497" s="13" t="s">
        <v>8918</v>
      </c>
      <c r="M497" t="s">
        <v>3</v>
      </c>
    </row>
    <row r="498" spans="1:13" x14ac:dyDescent="0.25">
      <c r="A498" s="13" t="s">
        <v>10464</v>
      </c>
      <c r="B498" s="13" t="s">
        <v>10464</v>
      </c>
      <c r="C498" s="13" t="s">
        <v>10465</v>
      </c>
      <c r="D498" s="13">
        <v>47.7</v>
      </c>
      <c r="E498" s="13" t="s">
        <v>10466</v>
      </c>
      <c r="F498" s="13" t="s">
        <v>8869</v>
      </c>
      <c r="G498" s="13" t="s">
        <v>2</v>
      </c>
      <c r="H498" s="13" t="s">
        <v>3</v>
      </c>
      <c r="I498" s="13" t="s">
        <v>447</v>
      </c>
      <c r="J498" s="13" t="s">
        <v>8890</v>
      </c>
      <c r="K498" s="13" t="s">
        <v>8421</v>
      </c>
      <c r="L498" s="13" t="s">
        <v>8918</v>
      </c>
      <c r="M498" t="s">
        <v>3</v>
      </c>
    </row>
    <row r="499" spans="1:13" x14ac:dyDescent="0.25">
      <c r="A499" s="13" t="s">
        <v>11580</v>
      </c>
      <c r="B499" s="13" t="s">
        <v>11580</v>
      </c>
      <c r="C499" s="13" t="s">
        <v>11580</v>
      </c>
      <c r="D499" s="13">
        <v>146.5</v>
      </c>
      <c r="E499" s="13" t="s">
        <v>11581</v>
      </c>
      <c r="F499" s="13" t="s">
        <v>8869</v>
      </c>
      <c r="G499" s="13" t="s">
        <v>2</v>
      </c>
      <c r="H499" s="13" t="s">
        <v>3</v>
      </c>
      <c r="I499" s="13" t="s">
        <v>164</v>
      </c>
      <c r="J499" s="13" t="s">
        <v>8890</v>
      </c>
      <c r="K499" s="13" t="s">
        <v>8443</v>
      </c>
      <c r="L499" s="13" t="s">
        <v>8918</v>
      </c>
      <c r="M499" t="s">
        <v>3</v>
      </c>
    </row>
    <row r="500" spans="1:13" x14ac:dyDescent="0.25">
      <c r="A500" s="13" t="s">
        <v>11582</v>
      </c>
      <c r="B500" s="13" t="s">
        <v>11582</v>
      </c>
      <c r="C500" s="13" t="s">
        <v>11582</v>
      </c>
      <c r="D500" s="13">
        <v>75.900000000000006</v>
      </c>
      <c r="E500" s="13" t="s">
        <v>11583</v>
      </c>
      <c r="F500" s="13" t="s">
        <v>8869</v>
      </c>
      <c r="G500" s="13" t="s">
        <v>2</v>
      </c>
      <c r="H500" s="13" t="s">
        <v>3</v>
      </c>
      <c r="I500" s="13" t="s">
        <v>164</v>
      </c>
      <c r="J500" s="13" t="s">
        <v>8890</v>
      </c>
      <c r="K500" s="13" t="s">
        <v>8443</v>
      </c>
      <c r="L500" s="13" t="s">
        <v>8918</v>
      </c>
      <c r="M500" t="s">
        <v>3</v>
      </c>
    </row>
    <row r="501" spans="1:13" x14ac:dyDescent="0.25">
      <c r="A501" s="13" t="s">
        <v>10128</v>
      </c>
      <c r="B501" s="13" t="s">
        <v>10128</v>
      </c>
      <c r="C501" s="13" t="s">
        <v>10128</v>
      </c>
      <c r="D501" s="13">
        <v>65</v>
      </c>
      <c r="E501" s="13" t="s">
        <v>10129</v>
      </c>
      <c r="F501" s="13" t="s">
        <v>8869</v>
      </c>
      <c r="G501" s="13" t="s">
        <v>2</v>
      </c>
      <c r="H501" s="13" t="s">
        <v>3</v>
      </c>
      <c r="I501" s="13" t="s">
        <v>164</v>
      </c>
      <c r="J501" s="13" t="s">
        <v>8890</v>
      </c>
      <c r="K501" s="13" t="s">
        <v>8443</v>
      </c>
      <c r="L501" s="13" t="s">
        <v>8918</v>
      </c>
      <c r="M501" t="s">
        <v>3</v>
      </c>
    </row>
    <row r="502" spans="1:13" x14ac:dyDescent="0.25">
      <c r="A502" s="13" t="s">
        <v>1429</v>
      </c>
      <c r="B502" s="13" t="s">
        <v>1429</v>
      </c>
      <c r="C502" s="13" t="s">
        <v>1430</v>
      </c>
      <c r="D502" s="13">
        <v>1</v>
      </c>
      <c r="E502" s="13" t="s">
        <v>1431</v>
      </c>
      <c r="F502" s="13" t="s">
        <v>8863</v>
      </c>
      <c r="G502" s="13" t="s">
        <v>2</v>
      </c>
      <c r="H502" s="13" t="s">
        <v>3</v>
      </c>
      <c r="I502" s="13" t="s">
        <v>536</v>
      </c>
      <c r="J502" s="13" t="s">
        <v>8890</v>
      </c>
      <c r="K502" s="13" t="s">
        <v>8480</v>
      </c>
      <c r="L502" s="13" t="s">
        <v>8893</v>
      </c>
      <c r="M502" t="s">
        <v>3</v>
      </c>
    </row>
    <row r="503" spans="1:13" x14ac:dyDescent="0.25">
      <c r="A503" s="13" t="s">
        <v>1432</v>
      </c>
      <c r="B503" s="13" t="s">
        <v>1432</v>
      </c>
      <c r="C503" s="13" t="s">
        <v>1432</v>
      </c>
      <c r="D503" s="13">
        <v>60.4</v>
      </c>
      <c r="E503" s="13" t="s">
        <v>1433</v>
      </c>
      <c r="F503" s="13" t="s">
        <v>8869</v>
      </c>
      <c r="G503" s="13" t="s">
        <v>2</v>
      </c>
      <c r="H503" s="13" t="s">
        <v>3</v>
      </c>
      <c r="I503" s="13" t="s">
        <v>516</v>
      </c>
      <c r="J503" s="13" t="s">
        <v>8890</v>
      </c>
      <c r="K503" s="13" t="s">
        <v>516</v>
      </c>
      <c r="L503" s="13" t="s">
        <v>8918</v>
      </c>
      <c r="M503" t="s">
        <v>3</v>
      </c>
    </row>
    <row r="504" spans="1:13" x14ac:dyDescent="0.25">
      <c r="A504" s="13" t="s">
        <v>9009</v>
      </c>
      <c r="B504" s="13" t="s">
        <v>9010</v>
      </c>
      <c r="C504" s="13" t="s">
        <v>9010</v>
      </c>
      <c r="D504" s="13">
        <v>96.8</v>
      </c>
      <c r="E504" s="13" t="s">
        <v>9011</v>
      </c>
      <c r="F504" s="13" t="s">
        <v>8869</v>
      </c>
      <c r="G504" s="13" t="s">
        <v>2</v>
      </c>
      <c r="H504" s="13" t="s">
        <v>3</v>
      </c>
      <c r="I504" s="13" t="s">
        <v>164</v>
      </c>
      <c r="J504" s="13" t="s">
        <v>8890</v>
      </c>
      <c r="K504" s="13" t="s">
        <v>8443</v>
      </c>
      <c r="L504" s="13" t="s">
        <v>8918</v>
      </c>
      <c r="M504" t="s">
        <v>3</v>
      </c>
    </row>
    <row r="505" spans="1:13" x14ac:dyDescent="0.25">
      <c r="A505" s="13" t="s">
        <v>11960</v>
      </c>
      <c r="B505" s="13" t="s">
        <v>11960</v>
      </c>
      <c r="C505" s="13" t="s">
        <v>11960</v>
      </c>
      <c r="D505" s="13">
        <v>60</v>
      </c>
      <c r="E505" s="13" t="s">
        <v>11961</v>
      </c>
      <c r="F505" s="13" t="s">
        <v>8869</v>
      </c>
      <c r="G505" s="13" t="s">
        <v>2</v>
      </c>
      <c r="H505" s="13" t="s">
        <v>3</v>
      </c>
      <c r="I505" s="13" t="s">
        <v>164</v>
      </c>
      <c r="J505" s="13" t="s">
        <v>8890</v>
      </c>
      <c r="K505" s="13" t="s">
        <v>8443</v>
      </c>
      <c r="L505" s="13" t="s">
        <v>8918</v>
      </c>
      <c r="M505" t="s">
        <v>3</v>
      </c>
    </row>
    <row r="506" spans="1:13" ht="26.25" x14ac:dyDescent="0.25">
      <c r="A506" s="13" t="s">
        <v>1434</v>
      </c>
      <c r="B506" s="13" t="s">
        <v>1435</v>
      </c>
      <c r="C506" s="13" t="s">
        <v>1436</v>
      </c>
      <c r="D506" s="13">
        <v>15</v>
      </c>
      <c r="E506" s="13" t="s">
        <v>1437</v>
      </c>
      <c r="F506" s="13" t="s">
        <v>8869</v>
      </c>
      <c r="G506" s="13" t="s">
        <v>2</v>
      </c>
      <c r="H506" s="13" t="s">
        <v>8422</v>
      </c>
      <c r="I506" s="13" t="s">
        <v>1263</v>
      </c>
      <c r="J506" s="13" t="s">
        <v>8890</v>
      </c>
      <c r="K506" s="13" t="s">
        <v>8422</v>
      </c>
      <c r="L506" s="13" t="s">
        <v>8918</v>
      </c>
      <c r="M506" t="s">
        <v>10689</v>
      </c>
    </row>
    <row r="507" spans="1:13" x14ac:dyDescent="0.25">
      <c r="A507" s="13" t="s">
        <v>1438</v>
      </c>
      <c r="B507" s="13" t="s">
        <v>1439</v>
      </c>
      <c r="C507" s="13" t="s">
        <v>1440</v>
      </c>
      <c r="D507" s="13">
        <v>6</v>
      </c>
      <c r="E507" s="13" t="s">
        <v>1441</v>
      </c>
      <c r="F507" s="13" t="s">
        <v>8869</v>
      </c>
      <c r="G507" s="13" t="s">
        <v>2</v>
      </c>
      <c r="H507" s="13" t="s">
        <v>3</v>
      </c>
      <c r="I507" s="13" t="s">
        <v>1283</v>
      </c>
      <c r="J507" s="13" t="s">
        <v>8890</v>
      </c>
      <c r="K507" s="13" t="s">
        <v>8524</v>
      </c>
      <c r="L507" s="13" t="s">
        <v>8918</v>
      </c>
      <c r="M507" t="s">
        <v>3</v>
      </c>
    </row>
    <row r="508" spans="1:13" ht="26.25" x14ac:dyDescent="0.25">
      <c r="A508" s="13" t="s">
        <v>1442</v>
      </c>
      <c r="B508" s="13" t="s">
        <v>1443</v>
      </c>
      <c r="C508" s="13" t="s">
        <v>1443</v>
      </c>
      <c r="D508" s="13">
        <v>158.5</v>
      </c>
      <c r="E508" s="13" t="s">
        <v>1444</v>
      </c>
      <c r="F508" s="13" t="s">
        <v>8869</v>
      </c>
      <c r="G508" s="13" t="s">
        <v>2</v>
      </c>
      <c r="H508" s="13" t="s">
        <v>3</v>
      </c>
      <c r="I508" s="13" t="s">
        <v>164</v>
      </c>
      <c r="J508" s="13" t="s">
        <v>8890</v>
      </c>
      <c r="K508" s="13" t="s">
        <v>8443</v>
      </c>
      <c r="L508" s="13" t="s">
        <v>8918</v>
      </c>
      <c r="M508" t="s">
        <v>3</v>
      </c>
    </row>
    <row r="509" spans="1:13" ht="26.25" x14ac:dyDescent="0.25">
      <c r="A509" s="13" t="s">
        <v>1445</v>
      </c>
      <c r="B509" s="13" t="s">
        <v>1446</v>
      </c>
      <c r="C509" s="13" t="s">
        <v>1447</v>
      </c>
      <c r="D509" s="13">
        <v>4</v>
      </c>
      <c r="E509" s="13" t="s">
        <v>1448</v>
      </c>
      <c r="F509" s="13" t="s">
        <v>8860</v>
      </c>
      <c r="G509" s="13" t="s">
        <v>19</v>
      </c>
      <c r="H509" s="13" t="s">
        <v>3</v>
      </c>
      <c r="I509" s="13" t="s">
        <v>1449</v>
      </c>
      <c r="J509" s="13" t="s">
        <v>21</v>
      </c>
      <c r="K509" s="13" t="s">
        <v>1447</v>
      </c>
      <c r="L509" s="13" t="s">
        <v>18</v>
      </c>
      <c r="M509" t="s">
        <v>3</v>
      </c>
    </row>
    <row r="510" spans="1:13" x14ac:dyDescent="0.25">
      <c r="A510" s="13" t="s">
        <v>10409</v>
      </c>
      <c r="B510" s="13" t="s">
        <v>10409</v>
      </c>
      <c r="C510" s="13" t="s">
        <v>10409</v>
      </c>
      <c r="D510" s="13">
        <v>49.5</v>
      </c>
      <c r="E510" s="13" t="s">
        <v>10410</v>
      </c>
      <c r="F510" s="13" t="s">
        <v>8869</v>
      </c>
      <c r="G510" s="13" t="s">
        <v>2</v>
      </c>
      <c r="H510" s="13" t="s">
        <v>3</v>
      </c>
      <c r="I510" s="13" t="s">
        <v>164</v>
      </c>
      <c r="J510" s="13" t="s">
        <v>8890</v>
      </c>
      <c r="K510" s="13" t="s">
        <v>8443</v>
      </c>
      <c r="L510" s="13" t="s">
        <v>8918</v>
      </c>
      <c r="M510" t="s">
        <v>3</v>
      </c>
    </row>
    <row r="511" spans="1:13" x14ac:dyDescent="0.25">
      <c r="A511" s="13" t="s">
        <v>11516</v>
      </c>
      <c r="B511" s="13" t="s">
        <v>11516</v>
      </c>
      <c r="C511" s="13" t="s">
        <v>11516</v>
      </c>
      <c r="D511" s="13">
        <v>29.9</v>
      </c>
      <c r="E511" s="13" t="s">
        <v>11517</v>
      </c>
      <c r="F511" s="13" t="s">
        <v>8869</v>
      </c>
      <c r="G511" s="13" t="s">
        <v>2</v>
      </c>
      <c r="H511" s="13" t="s">
        <v>3</v>
      </c>
      <c r="I511" s="13" t="s">
        <v>164</v>
      </c>
      <c r="J511" s="13" t="s">
        <v>8890</v>
      </c>
      <c r="K511" s="13" t="s">
        <v>8443</v>
      </c>
      <c r="L511" s="13" t="s">
        <v>8918</v>
      </c>
      <c r="M511" t="s">
        <v>3</v>
      </c>
    </row>
    <row r="512" spans="1:13" ht="26.25" x14ac:dyDescent="0.25">
      <c r="A512" s="13" t="s">
        <v>1450</v>
      </c>
      <c r="B512" s="13" t="s">
        <v>1451</v>
      </c>
      <c r="C512" s="13" t="s">
        <v>1452</v>
      </c>
      <c r="D512" s="13">
        <v>1</v>
      </c>
      <c r="E512" s="13" t="s">
        <v>1453</v>
      </c>
      <c r="F512" s="13" t="s">
        <v>8860</v>
      </c>
      <c r="G512" s="13" t="s">
        <v>19</v>
      </c>
      <c r="H512" s="13" t="s">
        <v>3</v>
      </c>
      <c r="I512" s="13" t="s">
        <v>1454</v>
      </c>
      <c r="J512" s="13" t="s">
        <v>21</v>
      </c>
      <c r="K512" s="13" t="s">
        <v>8551</v>
      </c>
      <c r="L512" s="13" t="s">
        <v>18</v>
      </c>
      <c r="M512" t="s">
        <v>3</v>
      </c>
    </row>
    <row r="513" spans="1:13" x14ac:dyDescent="0.25">
      <c r="A513" s="13" t="s">
        <v>1455</v>
      </c>
      <c r="B513" s="13" t="s">
        <v>1455</v>
      </c>
      <c r="C513" s="13" t="s">
        <v>1456</v>
      </c>
      <c r="D513" s="13">
        <v>49.7</v>
      </c>
      <c r="E513" s="13" t="s">
        <v>1456</v>
      </c>
      <c r="F513" s="13" t="s">
        <v>8869</v>
      </c>
      <c r="G513" s="13" t="s">
        <v>2</v>
      </c>
      <c r="H513" s="13" t="s">
        <v>10022</v>
      </c>
      <c r="I513" s="13" t="s">
        <v>516</v>
      </c>
      <c r="J513" s="13" t="s">
        <v>8890</v>
      </c>
      <c r="K513" s="13" t="s">
        <v>516</v>
      </c>
      <c r="L513" s="13" t="s">
        <v>8918</v>
      </c>
      <c r="M513" t="s">
        <v>10022</v>
      </c>
    </row>
    <row r="514" spans="1:13" x14ac:dyDescent="0.25">
      <c r="A514" s="13" t="s">
        <v>1457</v>
      </c>
      <c r="B514" s="13" t="s">
        <v>1458</v>
      </c>
      <c r="C514" s="13" t="s">
        <v>1459</v>
      </c>
      <c r="D514" s="13">
        <v>48.7</v>
      </c>
      <c r="E514" s="13" t="s">
        <v>1460</v>
      </c>
      <c r="F514" s="13" t="s">
        <v>8869</v>
      </c>
      <c r="G514" s="13" t="s">
        <v>2</v>
      </c>
      <c r="H514" s="13" t="s">
        <v>10022</v>
      </c>
      <c r="I514" s="13" t="s">
        <v>516</v>
      </c>
      <c r="J514" s="13" t="s">
        <v>8890</v>
      </c>
      <c r="K514" s="13" t="s">
        <v>516</v>
      </c>
      <c r="L514" s="13" t="s">
        <v>8918</v>
      </c>
      <c r="M514" t="s">
        <v>10022</v>
      </c>
    </row>
    <row r="515" spans="1:13" ht="26.25" x14ac:dyDescent="0.25">
      <c r="A515" s="13" t="s">
        <v>1461</v>
      </c>
      <c r="B515" s="13" t="s">
        <v>1462</v>
      </c>
      <c r="C515" s="13" t="s">
        <v>1463</v>
      </c>
      <c r="D515" s="13">
        <v>0.2</v>
      </c>
      <c r="E515" s="13" t="s">
        <v>1464</v>
      </c>
      <c r="F515" s="13" t="s">
        <v>8860</v>
      </c>
      <c r="G515" s="13" t="s">
        <v>19</v>
      </c>
      <c r="H515" s="13" t="s">
        <v>3</v>
      </c>
      <c r="I515" s="13" t="s">
        <v>1465</v>
      </c>
      <c r="J515" s="13" t="s">
        <v>21</v>
      </c>
      <c r="K515" s="13" t="s">
        <v>8552</v>
      </c>
      <c r="L515" s="13" t="s">
        <v>18</v>
      </c>
      <c r="M515" t="s">
        <v>3</v>
      </c>
    </row>
    <row r="516" spans="1:13" x14ac:dyDescent="0.25">
      <c r="A516" s="13" t="s">
        <v>1466</v>
      </c>
      <c r="B516" s="13" t="s">
        <v>1467</v>
      </c>
      <c r="C516" s="13" t="s">
        <v>1468</v>
      </c>
      <c r="D516" s="13">
        <v>9</v>
      </c>
      <c r="E516" s="13" t="s">
        <v>1469</v>
      </c>
      <c r="F516" s="13" t="s">
        <v>8869</v>
      </c>
      <c r="G516" s="13" t="s">
        <v>2</v>
      </c>
      <c r="H516" s="13" t="s">
        <v>3</v>
      </c>
      <c r="I516" s="13" t="s">
        <v>1283</v>
      </c>
      <c r="J516" s="13" t="s">
        <v>8890</v>
      </c>
      <c r="K516" s="13" t="s">
        <v>8524</v>
      </c>
      <c r="L516" s="13" t="s">
        <v>8918</v>
      </c>
      <c r="M516" t="s">
        <v>3</v>
      </c>
    </row>
    <row r="517" spans="1:13" x14ac:dyDescent="0.25">
      <c r="A517" s="13" t="s">
        <v>1470</v>
      </c>
      <c r="B517" s="13" t="s">
        <v>1470</v>
      </c>
      <c r="C517" s="13" t="s">
        <v>1471</v>
      </c>
      <c r="D517" s="13">
        <v>3</v>
      </c>
      <c r="E517" s="13" t="s">
        <v>1471</v>
      </c>
      <c r="F517" s="13" t="s">
        <v>8869</v>
      </c>
      <c r="G517" s="13" t="s">
        <v>2</v>
      </c>
      <c r="H517" s="13" t="s">
        <v>3</v>
      </c>
      <c r="I517" s="13" t="s">
        <v>447</v>
      </c>
      <c r="J517" s="13" t="s">
        <v>8890</v>
      </c>
      <c r="K517" s="13" t="s">
        <v>8421</v>
      </c>
      <c r="L517" s="13" t="s">
        <v>8918</v>
      </c>
      <c r="M517" t="s">
        <v>3</v>
      </c>
    </row>
    <row r="518" spans="1:13" x14ac:dyDescent="0.25">
      <c r="A518" s="13" t="s">
        <v>10130</v>
      </c>
      <c r="B518" s="13" t="s">
        <v>10130</v>
      </c>
      <c r="C518" s="13" t="s">
        <v>10131</v>
      </c>
      <c r="D518" s="13">
        <v>36</v>
      </c>
      <c r="E518" s="13" t="s">
        <v>10132</v>
      </c>
      <c r="F518" s="13" t="s">
        <v>8869</v>
      </c>
      <c r="G518" s="13" t="s">
        <v>2</v>
      </c>
      <c r="H518" s="13" t="s">
        <v>3</v>
      </c>
      <c r="I518" s="13" t="s">
        <v>1263</v>
      </c>
      <c r="J518" s="13" t="s">
        <v>8890</v>
      </c>
      <c r="K518" s="13" t="s">
        <v>8422</v>
      </c>
      <c r="L518" s="13" t="s">
        <v>8918</v>
      </c>
      <c r="M518" t="s">
        <v>3</v>
      </c>
    </row>
    <row r="519" spans="1:13" ht="26.25" x14ac:dyDescent="0.25">
      <c r="A519" s="13" t="s">
        <v>1472</v>
      </c>
      <c r="B519" s="13" t="s">
        <v>1473</v>
      </c>
      <c r="C519" s="13" t="s">
        <v>1474</v>
      </c>
      <c r="D519" s="13">
        <v>0.1</v>
      </c>
      <c r="E519" s="13" t="s">
        <v>1475</v>
      </c>
      <c r="F519" s="13" t="s">
        <v>8860</v>
      </c>
      <c r="G519" s="13" t="s">
        <v>19</v>
      </c>
      <c r="H519" s="13" t="s">
        <v>3</v>
      </c>
      <c r="I519" s="13" t="s">
        <v>1476</v>
      </c>
      <c r="J519" s="13" t="s">
        <v>21</v>
      </c>
      <c r="K519" s="13" t="s">
        <v>8553</v>
      </c>
      <c r="L519" s="13" t="s">
        <v>18</v>
      </c>
      <c r="M519" t="s">
        <v>3</v>
      </c>
    </row>
    <row r="520" spans="1:13" ht="26.25" x14ac:dyDescent="0.25">
      <c r="A520" s="13" t="s">
        <v>1477</v>
      </c>
      <c r="B520" s="13" t="s">
        <v>1477</v>
      </c>
      <c r="C520" s="13" t="s">
        <v>1478</v>
      </c>
      <c r="D520" s="13">
        <v>17</v>
      </c>
      <c r="E520" s="13" t="s">
        <v>1479</v>
      </c>
      <c r="F520" s="13" t="s">
        <v>8869</v>
      </c>
      <c r="G520" s="13" t="s">
        <v>2</v>
      </c>
      <c r="H520" s="13" t="s">
        <v>3</v>
      </c>
      <c r="I520" s="13" t="s">
        <v>1263</v>
      </c>
      <c r="J520" s="13" t="s">
        <v>8890</v>
      </c>
      <c r="K520" s="13" t="s">
        <v>8422</v>
      </c>
      <c r="L520" s="13" t="s">
        <v>8918</v>
      </c>
      <c r="M520" t="s">
        <v>3</v>
      </c>
    </row>
    <row r="521" spans="1:13" x14ac:dyDescent="0.25">
      <c r="A521" s="13" t="s">
        <v>1480</v>
      </c>
      <c r="B521" s="13" t="s">
        <v>1481</v>
      </c>
      <c r="C521" s="13" t="s">
        <v>1482</v>
      </c>
      <c r="D521" s="13">
        <v>49.9</v>
      </c>
      <c r="E521" s="13" t="s">
        <v>1483</v>
      </c>
      <c r="F521" s="13" t="s">
        <v>8869</v>
      </c>
      <c r="G521" s="13" t="s">
        <v>2</v>
      </c>
      <c r="H521" s="13" t="s">
        <v>3</v>
      </c>
      <c r="I521" s="13" t="s">
        <v>516</v>
      </c>
      <c r="J521" s="13" t="s">
        <v>8890</v>
      </c>
      <c r="K521" s="13" t="s">
        <v>516</v>
      </c>
      <c r="L521" s="13" t="s">
        <v>8918</v>
      </c>
      <c r="M521" t="s">
        <v>3</v>
      </c>
    </row>
    <row r="522" spans="1:13" ht="26.25" x14ac:dyDescent="0.25">
      <c r="A522" s="13" t="s">
        <v>1484</v>
      </c>
      <c r="B522" s="13" t="s">
        <v>1485</v>
      </c>
      <c r="C522" s="13" t="s">
        <v>1485</v>
      </c>
      <c r="D522" s="13">
        <v>28</v>
      </c>
      <c r="E522" s="13" t="s">
        <v>1486</v>
      </c>
      <c r="F522" s="13" t="s">
        <v>8869</v>
      </c>
      <c r="G522" s="13" t="s">
        <v>2</v>
      </c>
      <c r="H522" s="13" t="s">
        <v>3</v>
      </c>
      <c r="I522" s="13" t="s">
        <v>119</v>
      </c>
      <c r="J522" s="13" t="s">
        <v>8890</v>
      </c>
      <c r="K522" s="13" t="s">
        <v>8883</v>
      </c>
      <c r="L522" s="13" t="s">
        <v>8918</v>
      </c>
      <c r="M522" t="s">
        <v>3</v>
      </c>
    </row>
    <row r="523" spans="1:13" x14ac:dyDescent="0.25">
      <c r="A523" s="13" t="s">
        <v>1487</v>
      </c>
      <c r="B523" s="13" t="s">
        <v>1488</v>
      </c>
      <c r="C523" s="13" t="s">
        <v>1488</v>
      </c>
      <c r="D523" s="13">
        <v>49.7</v>
      </c>
      <c r="E523" s="13" t="s">
        <v>1489</v>
      </c>
      <c r="F523" s="13" t="s">
        <v>8869</v>
      </c>
      <c r="G523" s="13" t="s">
        <v>2</v>
      </c>
      <c r="H523" s="13" t="s">
        <v>8422</v>
      </c>
      <c r="I523" s="13" t="s">
        <v>1263</v>
      </c>
      <c r="J523" s="13" t="s">
        <v>8890</v>
      </c>
      <c r="K523" s="13" t="s">
        <v>8422</v>
      </c>
      <c r="L523" s="13" t="s">
        <v>8918</v>
      </c>
      <c r="M523" t="s">
        <v>10689</v>
      </c>
    </row>
    <row r="524" spans="1:13" ht="26.25" x14ac:dyDescent="0.25">
      <c r="A524" s="13" t="s">
        <v>10694</v>
      </c>
      <c r="B524" s="13" t="s">
        <v>10695</v>
      </c>
      <c r="C524" s="13" t="s">
        <v>10696</v>
      </c>
      <c r="D524" s="13">
        <v>1</v>
      </c>
      <c r="E524" s="13" t="s">
        <v>10697</v>
      </c>
      <c r="F524" s="13" t="s">
        <v>8860</v>
      </c>
      <c r="G524" s="13" t="s">
        <v>19</v>
      </c>
      <c r="H524" s="13" t="s">
        <v>3</v>
      </c>
      <c r="I524" s="13" t="s">
        <v>10698</v>
      </c>
      <c r="J524" s="13" t="s">
        <v>21</v>
      </c>
      <c r="K524" s="13" t="s">
        <v>10699</v>
      </c>
      <c r="L524" s="13" t="s">
        <v>18</v>
      </c>
      <c r="M524" t="s">
        <v>3</v>
      </c>
    </row>
    <row r="525" spans="1:13" ht="26.25" x14ac:dyDescent="0.25">
      <c r="A525" s="13" t="s">
        <v>1490</v>
      </c>
      <c r="B525" s="13" t="s">
        <v>1490</v>
      </c>
      <c r="C525" s="13" t="s">
        <v>1490</v>
      </c>
      <c r="D525" s="13">
        <v>0</v>
      </c>
      <c r="E525" s="13" t="s">
        <v>1491</v>
      </c>
      <c r="F525" s="13" t="s">
        <v>8860</v>
      </c>
      <c r="G525" s="13" t="s">
        <v>19</v>
      </c>
      <c r="H525" s="13" t="s">
        <v>3</v>
      </c>
      <c r="I525" s="13" t="s">
        <v>1492</v>
      </c>
      <c r="J525" s="13" t="s">
        <v>21</v>
      </c>
      <c r="K525" s="13" t="s">
        <v>8554</v>
      </c>
      <c r="L525" s="13" t="s">
        <v>18</v>
      </c>
      <c r="M525" t="s">
        <v>3</v>
      </c>
    </row>
    <row r="526" spans="1:13" ht="26.25" x14ac:dyDescent="0.25">
      <c r="A526" s="13" t="s">
        <v>1493</v>
      </c>
      <c r="B526" s="13" t="s">
        <v>1493</v>
      </c>
      <c r="C526" s="13" t="s">
        <v>1494</v>
      </c>
      <c r="D526" s="13">
        <v>10.5</v>
      </c>
      <c r="E526" s="13" t="s">
        <v>1495</v>
      </c>
      <c r="F526" s="13" t="s">
        <v>8860</v>
      </c>
      <c r="G526" s="13" t="s">
        <v>19</v>
      </c>
      <c r="H526" s="13" t="s">
        <v>3</v>
      </c>
      <c r="I526" s="13" t="s">
        <v>1496</v>
      </c>
      <c r="J526" s="13" t="s">
        <v>21</v>
      </c>
      <c r="K526" s="13" t="s">
        <v>8555</v>
      </c>
      <c r="L526" s="13" t="s">
        <v>18</v>
      </c>
      <c r="M526" t="s">
        <v>3</v>
      </c>
    </row>
    <row r="527" spans="1:13" x14ac:dyDescent="0.25">
      <c r="A527" s="13" t="s">
        <v>1497</v>
      </c>
      <c r="B527" s="13" t="s">
        <v>1497</v>
      </c>
      <c r="C527" s="13" t="s">
        <v>9012</v>
      </c>
      <c r="D527" s="13">
        <v>274.60000000000002</v>
      </c>
      <c r="E527" s="13" t="s">
        <v>1498</v>
      </c>
      <c r="F527" s="13" t="s">
        <v>8864</v>
      </c>
      <c r="G527" s="13" t="s">
        <v>2</v>
      </c>
      <c r="H527" s="13" t="s">
        <v>516</v>
      </c>
      <c r="I527" s="13" t="s">
        <v>1499</v>
      </c>
      <c r="J527" s="13" t="s">
        <v>8890</v>
      </c>
      <c r="K527" s="13" t="s">
        <v>516</v>
      </c>
      <c r="L527" s="13" t="s">
        <v>56</v>
      </c>
      <c r="M527" t="s">
        <v>10700</v>
      </c>
    </row>
    <row r="528" spans="1:13" ht="26.25" x14ac:dyDescent="0.25">
      <c r="A528" s="13" t="s">
        <v>1500</v>
      </c>
      <c r="B528" s="13" t="s">
        <v>1500</v>
      </c>
      <c r="C528" s="13" t="s">
        <v>1501</v>
      </c>
      <c r="D528" s="13">
        <v>4</v>
      </c>
      <c r="E528" s="13" t="s">
        <v>1502</v>
      </c>
      <c r="F528" s="13" t="s">
        <v>275</v>
      </c>
      <c r="G528" s="13" t="s">
        <v>19</v>
      </c>
      <c r="H528" s="13" t="s">
        <v>3</v>
      </c>
      <c r="I528" s="13" t="s">
        <v>1499</v>
      </c>
      <c r="J528" s="13" t="s">
        <v>276</v>
      </c>
      <c r="K528" s="13" t="s">
        <v>516</v>
      </c>
      <c r="L528" s="13" t="s">
        <v>275</v>
      </c>
      <c r="M528" t="s">
        <v>3</v>
      </c>
    </row>
    <row r="529" spans="1:13" x14ac:dyDescent="0.25">
      <c r="A529" s="13" t="s">
        <v>1503</v>
      </c>
      <c r="B529" s="13" t="s">
        <v>1504</v>
      </c>
      <c r="C529" s="13" t="s">
        <v>9013</v>
      </c>
      <c r="D529" s="13">
        <v>804.3</v>
      </c>
      <c r="E529" s="13" t="s">
        <v>1505</v>
      </c>
      <c r="F529" s="13" t="s">
        <v>8864</v>
      </c>
      <c r="G529" s="13" t="s">
        <v>2</v>
      </c>
      <c r="H529" s="13" t="s">
        <v>8443</v>
      </c>
      <c r="I529" s="13" t="s">
        <v>164</v>
      </c>
      <c r="J529" s="13" t="s">
        <v>8890</v>
      </c>
      <c r="K529" s="13" t="s">
        <v>8443</v>
      </c>
      <c r="L529" s="13" t="s">
        <v>56</v>
      </c>
      <c r="M529" t="s">
        <v>10687</v>
      </c>
    </row>
    <row r="530" spans="1:13" x14ac:dyDescent="0.25">
      <c r="A530" s="13" t="s">
        <v>1506</v>
      </c>
      <c r="B530" s="13" t="s">
        <v>1506</v>
      </c>
      <c r="C530" s="13" t="s">
        <v>1507</v>
      </c>
      <c r="D530" s="13">
        <v>7.8</v>
      </c>
      <c r="E530" s="13" t="s">
        <v>1508</v>
      </c>
      <c r="F530" s="13" t="s">
        <v>8869</v>
      </c>
      <c r="G530" s="13" t="s">
        <v>2</v>
      </c>
      <c r="H530" s="13" t="s">
        <v>3</v>
      </c>
      <c r="I530" s="13" t="s">
        <v>1254</v>
      </c>
      <c r="J530" s="13" t="s">
        <v>8890</v>
      </c>
      <c r="K530" s="13" t="s">
        <v>8508</v>
      </c>
      <c r="L530" s="13" t="s">
        <v>8918</v>
      </c>
      <c r="M530" t="s">
        <v>3</v>
      </c>
    </row>
    <row r="531" spans="1:13" x14ac:dyDescent="0.25">
      <c r="A531" s="13" t="s">
        <v>1509</v>
      </c>
      <c r="B531" s="13" t="s">
        <v>1509</v>
      </c>
      <c r="C531" s="13" t="s">
        <v>1510</v>
      </c>
      <c r="D531" s="13">
        <v>140.6</v>
      </c>
      <c r="E531" s="13" t="s">
        <v>1510</v>
      </c>
      <c r="F531" s="13" t="s">
        <v>8869</v>
      </c>
      <c r="G531" s="13" t="s">
        <v>2</v>
      </c>
      <c r="H531" s="13" t="s">
        <v>8421</v>
      </c>
      <c r="I531" s="13" t="s">
        <v>447</v>
      </c>
      <c r="J531" s="13" t="s">
        <v>8890</v>
      </c>
      <c r="K531" s="13" t="s">
        <v>8421</v>
      </c>
      <c r="L531" s="13" t="s">
        <v>8918</v>
      </c>
      <c r="M531" t="s">
        <v>10690</v>
      </c>
    </row>
    <row r="532" spans="1:13" ht="26.25" x14ac:dyDescent="0.25">
      <c r="A532" s="13" t="s">
        <v>1511</v>
      </c>
      <c r="B532" s="13" t="s">
        <v>1511</v>
      </c>
      <c r="C532" s="13" t="s">
        <v>1512</v>
      </c>
      <c r="D532" s="13">
        <v>1.3</v>
      </c>
      <c r="E532" s="13" t="s">
        <v>1513</v>
      </c>
      <c r="F532" s="13" t="s">
        <v>275</v>
      </c>
      <c r="G532" s="13" t="s">
        <v>19</v>
      </c>
      <c r="H532" s="13" t="s">
        <v>3</v>
      </c>
      <c r="I532" s="13" t="s">
        <v>1514</v>
      </c>
      <c r="J532" s="13" t="s">
        <v>276</v>
      </c>
      <c r="K532" s="13" t="s">
        <v>8423</v>
      </c>
      <c r="L532" s="13" t="s">
        <v>275</v>
      </c>
      <c r="M532" t="s">
        <v>3</v>
      </c>
    </row>
    <row r="533" spans="1:13" x14ac:dyDescent="0.25">
      <c r="A533" s="13" t="s">
        <v>1515</v>
      </c>
      <c r="B533" s="13" t="s">
        <v>1515</v>
      </c>
      <c r="C533" s="13" t="s">
        <v>1516</v>
      </c>
      <c r="D533" s="13">
        <v>36</v>
      </c>
      <c r="E533" s="13" t="s">
        <v>1517</v>
      </c>
      <c r="F533" s="13" t="s">
        <v>8869</v>
      </c>
      <c r="G533" s="13" t="s">
        <v>2</v>
      </c>
      <c r="H533" s="13" t="s">
        <v>3</v>
      </c>
      <c r="I533" s="13" t="s">
        <v>1263</v>
      </c>
      <c r="J533" s="13" t="s">
        <v>8890</v>
      </c>
      <c r="K533" s="13" t="s">
        <v>8422</v>
      </c>
      <c r="L533" s="13" t="s">
        <v>8918</v>
      </c>
      <c r="M533" t="s">
        <v>3</v>
      </c>
    </row>
    <row r="534" spans="1:13" x14ac:dyDescent="0.25">
      <c r="A534" s="13" t="s">
        <v>1518</v>
      </c>
      <c r="B534" s="13" t="s">
        <v>1519</v>
      </c>
      <c r="C534" s="13" t="s">
        <v>1519</v>
      </c>
      <c r="D534" s="13">
        <v>15</v>
      </c>
      <c r="E534" s="13" t="s">
        <v>1520</v>
      </c>
      <c r="F534" s="13" t="s">
        <v>8869</v>
      </c>
      <c r="G534" s="13" t="s">
        <v>2</v>
      </c>
      <c r="H534" s="13" t="s">
        <v>3</v>
      </c>
      <c r="I534" s="13" t="s">
        <v>1263</v>
      </c>
      <c r="J534" s="13" t="s">
        <v>8890</v>
      </c>
      <c r="K534" s="13" t="s">
        <v>8422</v>
      </c>
      <c r="L534" s="13" t="s">
        <v>8918</v>
      </c>
      <c r="M534" t="s">
        <v>3</v>
      </c>
    </row>
    <row r="535" spans="1:13" ht="26.25" x14ac:dyDescent="0.25">
      <c r="A535" s="13" t="s">
        <v>10848</v>
      </c>
      <c r="B535" s="13" t="s">
        <v>10848</v>
      </c>
      <c r="C535" s="13" t="s">
        <v>10849</v>
      </c>
      <c r="D535" s="13">
        <v>25.4</v>
      </c>
      <c r="E535" s="13" t="s">
        <v>10850</v>
      </c>
      <c r="F535" s="13" t="s">
        <v>8869</v>
      </c>
      <c r="G535" s="13" t="s">
        <v>2</v>
      </c>
      <c r="H535" s="13" t="s">
        <v>3</v>
      </c>
      <c r="I535" s="13" t="s">
        <v>447</v>
      </c>
      <c r="J535" s="13" t="s">
        <v>8890</v>
      </c>
      <c r="K535" s="13" t="s">
        <v>8421</v>
      </c>
      <c r="L535" s="13" t="s">
        <v>8918</v>
      </c>
      <c r="M535" t="s">
        <v>3</v>
      </c>
    </row>
    <row r="536" spans="1:13" x14ac:dyDescent="0.25">
      <c r="A536" s="13" t="s">
        <v>1521</v>
      </c>
      <c r="B536" s="13" t="s">
        <v>1521</v>
      </c>
      <c r="C536" s="13" t="s">
        <v>1522</v>
      </c>
      <c r="D536" s="13">
        <v>3</v>
      </c>
      <c r="E536" s="13" t="s">
        <v>1522</v>
      </c>
      <c r="F536" s="13" t="s">
        <v>8869</v>
      </c>
      <c r="G536" s="13" t="s">
        <v>2</v>
      </c>
      <c r="H536" s="13" t="s">
        <v>3</v>
      </c>
      <c r="I536" s="13" t="s">
        <v>447</v>
      </c>
      <c r="J536" s="13" t="s">
        <v>8890</v>
      </c>
      <c r="K536" s="13" t="s">
        <v>8421</v>
      </c>
      <c r="L536" s="13" t="s">
        <v>8918</v>
      </c>
      <c r="M536" t="s">
        <v>3</v>
      </c>
    </row>
    <row r="537" spans="1:13" x14ac:dyDescent="0.25">
      <c r="A537" s="13" t="s">
        <v>11962</v>
      </c>
      <c r="B537" s="13" t="s">
        <v>11962</v>
      </c>
      <c r="C537" s="13" t="s">
        <v>11963</v>
      </c>
      <c r="D537" s="13">
        <v>21</v>
      </c>
      <c r="E537" s="13" t="s">
        <v>11964</v>
      </c>
      <c r="F537" s="13" t="s">
        <v>8869</v>
      </c>
      <c r="G537" s="13" t="s">
        <v>2</v>
      </c>
      <c r="H537" s="13" t="s">
        <v>3</v>
      </c>
      <c r="I537" s="13" t="s">
        <v>447</v>
      </c>
      <c r="J537" s="13" t="s">
        <v>8890</v>
      </c>
      <c r="K537" s="13" t="s">
        <v>8421</v>
      </c>
      <c r="L537" s="13" t="s">
        <v>8918</v>
      </c>
      <c r="M537" t="s">
        <v>3</v>
      </c>
    </row>
    <row r="538" spans="1:13" x14ac:dyDescent="0.25">
      <c r="A538" s="13" t="s">
        <v>1523</v>
      </c>
      <c r="B538" s="13" t="s">
        <v>1524</v>
      </c>
      <c r="C538" s="13" t="s">
        <v>1525</v>
      </c>
      <c r="D538" s="13">
        <v>48.5</v>
      </c>
      <c r="E538" s="13" t="s">
        <v>1526</v>
      </c>
      <c r="F538" s="13" t="s">
        <v>8869</v>
      </c>
      <c r="G538" s="13" t="s">
        <v>2</v>
      </c>
      <c r="H538" s="13" t="s">
        <v>9982</v>
      </c>
      <c r="I538" s="13" t="s">
        <v>516</v>
      </c>
      <c r="J538" s="13" t="s">
        <v>8890</v>
      </c>
      <c r="K538" s="13" t="s">
        <v>516</v>
      </c>
      <c r="L538" s="13" t="s">
        <v>8918</v>
      </c>
      <c r="M538" t="s">
        <v>9982</v>
      </c>
    </row>
    <row r="539" spans="1:13" x14ac:dyDescent="0.25">
      <c r="A539" s="13" t="s">
        <v>1527</v>
      </c>
      <c r="B539" s="13" t="s">
        <v>1527</v>
      </c>
      <c r="C539" s="13" t="s">
        <v>1528</v>
      </c>
      <c r="D539" s="13">
        <v>87.7</v>
      </c>
      <c r="E539" s="13" t="s">
        <v>1529</v>
      </c>
      <c r="F539" s="13" t="s">
        <v>8869</v>
      </c>
      <c r="G539" s="13" t="s">
        <v>2</v>
      </c>
      <c r="H539" s="13" t="s">
        <v>3</v>
      </c>
      <c r="I539" s="13" t="s">
        <v>1254</v>
      </c>
      <c r="J539" s="13" t="s">
        <v>8890</v>
      </c>
      <c r="K539" s="13" t="s">
        <v>8508</v>
      </c>
      <c r="L539" s="13" t="s">
        <v>8918</v>
      </c>
      <c r="M539" t="s">
        <v>3</v>
      </c>
    </row>
    <row r="540" spans="1:13" ht="26.25" x14ac:dyDescent="0.25">
      <c r="A540" s="13" t="s">
        <v>1530</v>
      </c>
      <c r="B540" s="13" t="s">
        <v>1531</v>
      </c>
      <c r="C540" s="13" t="s">
        <v>1532</v>
      </c>
      <c r="D540" s="13">
        <v>2.2000000000000002</v>
      </c>
      <c r="E540" s="13" t="s">
        <v>1533</v>
      </c>
      <c r="F540" s="13" t="s">
        <v>8860</v>
      </c>
      <c r="G540" s="13" t="s">
        <v>19</v>
      </c>
      <c r="H540" s="13" t="s">
        <v>3</v>
      </c>
      <c r="I540" s="13" t="s">
        <v>1534</v>
      </c>
      <c r="J540" s="13" t="s">
        <v>21</v>
      </c>
      <c r="K540" s="13" t="s">
        <v>1532</v>
      </c>
      <c r="L540" s="13" t="s">
        <v>18</v>
      </c>
      <c r="M540" t="s">
        <v>3</v>
      </c>
    </row>
    <row r="541" spans="1:13" ht="26.25" x14ac:dyDescent="0.25">
      <c r="A541" s="13" t="s">
        <v>1535</v>
      </c>
      <c r="B541" s="13" t="s">
        <v>1536</v>
      </c>
      <c r="C541" s="13" t="s">
        <v>1536</v>
      </c>
      <c r="D541" s="13">
        <v>0.1</v>
      </c>
      <c r="E541" s="13" t="s">
        <v>1537</v>
      </c>
      <c r="F541" s="13" t="s">
        <v>8860</v>
      </c>
      <c r="G541" s="13" t="s">
        <v>19</v>
      </c>
      <c r="H541" s="13" t="s">
        <v>3</v>
      </c>
      <c r="I541" s="13" t="s">
        <v>1538</v>
      </c>
      <c r="J541" s="13" t="s">
        <v>21</v>
      </c>
      <c r="K541" s="13" t="s">
        <v>8556</v>
      </c>
      <c r="L541" s="13" t="s">
        <v>18</v>
      </c>
      <c r="M541" t="s">
        <v>3</v>
      </c>
    </row>
    <row r="542" spans="1:13" ht="26.25" x14ac:dyDescent="0.25">
      <c r="A542" s="13" t="s">
        <v>1539</v>
      </c>
      <c r="B542" s="13" t="s">
        <v>1540</v>
      </c>
      <c r="C542" s="13" t="s">
        <v>1541</v>
      </c>
      <c r="D542" s="14">
        <v>1000</v>
      </c>
      <c r="E542" s="13" t="s">
        <v>1542</v>
      </c>
      <c r="F542" s="13" t="s">
        <v>8860</v>
      </c>
      <c r="G542" s="13" t="s">
        <v>19</v>
      </c>
      <c r="H542" s="13" t="s">
        <v>3</v>
      </c>
      <c r="I542" s="13" t="s">
        <v>1543</v>
      </c>
      <c r="J542" s="13" t="s">
        <v>21</v>
      </c>
      <c r="K542" s="13" t="s">
        <v>8557</v>
      </c>
      <c r="L542" s="13" t="s">
        <v>18</v>
      </c>
      <c r="M542" t="s">
        <v>3</v>
      </c>
    </row>
    <row r="543" spans="1:13" ht="26.25" x14ac:dyDescent="0.25">
      <c r="A543" s="13" t="s">
        <v>1544</v>
      </c>
      <c r="B543" s="13" t="s">
        <v>1544</v>
      </c>
      <c r="C543" s="13" t="s">
        <v>9014</v>
      </c>
      <c r="D543" s="13">
        <v>0</v>
      </c>
      <c r="E543" s="13" t="s">
        <v>1545</v>
      </c>
      <c r="F543" s="13" t="s">
        <v>8870</v>
      </c>
      <c r="G543" s="13" t="s">
        <v>19</v>
      </c>
      <c r="H543" s="13" t="s">
        <v>3</v>
      </c>
      <c r="I543" s="13" t="s">
        <v>1543</v>
      </c>
      <c r="J543" s="13" t="s">
        <v>410</v>
      </c>
      <c r="K543" s="13" t="s">
        <v>8557</v>
      </c>
      <c r="L543" s="13" t="s">
        <v>8942</v>
      </c>
      <c r="M543" t="s">
        <v>3</v>
      </c>
    </row>
    <row r="544" spans="1:13" x14ac:dyDescent="0.25">
      <c r="A544" s="13" t="s">
        <v>1546</v>
      </c>
      <c r="B544" s="13" t="s">
        <v>1546</v>
      </c>
      <c r="C544" s="13" t="s">
        <v>9015</v>
      </c>
      <c r="D544" s="13">
        <v>0</v>
      </c>
      <c r="E544" s="13" t="s">
        <v>1547</v>
      </c>
      <c r="F544" s="13" t="s">
        <v>8871</v>
      </c>
      <c r="G544" s="13" t="s">
        <v>2</v>
      </c>
      <c r="H544" s="13" t="s">
        <v>3</v>
      </c>
      <c r="I544" s="13" t="s">
        <v>1543</v>
      </c>
      <c r="J544" s="13" t="s">
        <v>410</v>
      </c>
      <c r="K544" s="13" t="s">
        <v>8557</v>
      </c>
      <c r="L544" s="13" t="s">
        <v>8943</v>
      </c>
      <c r="M544" t="s">
        <v>3</v>
      </c>
    </row>
    <row r="545" spans="1:13" ht="26.25" x14ac:dyDescent="0.25">
      <c r="A545" s="13" t="s">
        <v>1548</v>
      </c>
      <c r="B545" s="13" t="s">
        <v>1548</v>
      </c>
      <c r="C545" s="13" t="s">
        <v>1549</v>
      </c>
      <c r="D545" s="13">
        <v>1</v>
      </c>
      <c r="E545" s="13" t="s">
        <v>1550</v>
      </c>
      <c r="F545" s="13" t="s">
        <v>8860</v>
      </c>
      <c r="G545" s="13" t="s">
        <v>19</v>
      </c>
      <c r="H545" s="13" t="s">
        <v>3</v>
      </c>
      <c r="I545" s="13" t="s">
        <v>1551</v>
      </c>
      <c r="J545" s="13" t="s">
        <v>21</v>
      </c>
      <c r="K545" s="13" t="s">
        <v>8417</v>
      </c>
      <c r="L545" s="13" t="s">
        <v>18</v>
      </c>
      <c r="M545" t="s">
        <v>3</v>
      </c>
    </row>
    <row r="546" spans="1:13" ht="26.25" x14ac:dyDescent="0.25">
      <c r="A546" s="13" t="s">
        <v>1552</v>
      </c>
      <c r="B546" s="13" t="s">
        <v>1553</v>
      </c>
      <c r="C546" s="13" t="s">
        <v>1554</v>
      </c>
      <c r="D546" s="13">
        <v>20</v>
      </c>
      <c r="E546" s="13" t="s">
        <v>1555</v>
      </c>
      <c r="F546" s="13" t="s">
        <v>275</v>
      </c>
      <c r="G546" s="13" t="s">
        <v>19</v>
      </c>
      <c r="H546" s="13" t="s">
        <v>3</v>
      </c>
      <c r="I546" s="13" t="s">
        <v>822</v>
      </c>
      <c r="J546" s="13" t="s">
        <v>276</v>
      </c>
      <c r="K546" s="13" t="s">
        <v>8514</v>
      </c>
      <c r="L546" s="13" t="s">
        <v>275</v>
      </c>
      <c r="M546" t="s">
        <v>3</v>
      </c>
    </row>
    <row r="547" spans="1:13" ht="26.25" x14ac:dyDescent="0.25">
      <c r="A547" s="13" t="s">
        <v>1556</v>
      </c>
      <c r="B547" s="13" t="s">
        <v>1556</v>
      </c>
      <c r="C547" s="13" t="s">
        <v>1557</v>
      </c>
      <c r="D547" s="13">
        <v>12</v>
      </c>
      <c r="E547" s="13" t="s">
        <v>1558</v>
      </c>
      <c r="F547" s="13" t="s">
        <v>8860</v>
      </c>
      <c r="G547" s="13" t="s">
        <v>19</v>
      </c>
      <c r="H547" s="13" t="s">
        <v>3</v>
      </c>
      <c r="I547" s="13" t="s">
        <v>1551</v>
      </c>
      <c r="J547" s="13" t="s">
        <v>21</v>
      </c>
      <c r="K547" s="13" t="s">
        <v>8417</v>
      </c>
      <c r="L547" s="13" t="s">
        <v>18</v>
      </c>
      <c r="M547" t="s">
        <v>3</v>
      </c>
    </row>
    <row r="548" spans="1:13" x14ac:dyDescent="0.25">
      <c r="A548" s="13" t="s">
        <v>10701</v>
      </c>
      <c r="B548" s="13" t="s">
        <v>10701</v>
      </c>
      <c r="C548" s="13" t="s">
        <v>10702</v>
      </c>
      <c r="D548" s="13">
        <v>99</v>
      </c>
      <c r="E548" s="13" t="s">
        <v>10703</v>
      </c>
      <c r="F548" s="13" t="s">
        <v>8869</v>
      </c>
      <c r="G548" s="13" t="s">
        <v>2</v>
      </c>
      <c r="H548" s="13" t="s">
        <v>3</v>
      </c>
      <c r="I548" s="13" t="s">
        <v>137</v>
      </c>
      <c r="J548" s="13" t="s">
        <v>8890</v>
      </c>
      <c r="K548" s="13" t="s">
        <v>8429</v>
      </c>
      <c r="L548" s="13" t="s">
        <v>8918</v>
      </c>
      <c r="M548" t="s">
        <v>3</v>
      </c>
    </row>
    <row r="549" spans="1:13" ht="26.25" x14ac:dyDescent="0.25">
      <c r="A549" s="13" t="s">
        <v>1559</v>
      </c>
      <c r="B549" s="13" t="s">
        <v>1559</v>
      </c>
      <c r="C549" s="13" t="s">
        <v>1560</v>
      </c>
      <c r="D549" s="14">
        <v>9999</v>
      </c>
      <c r="E549" s="13" t="s">
        <v>1561</v>
      </c>
      <c r="F549" s="13" t="s">
        <v>8860</v>
      </c>
      <c r="G549" s="13" t="s">
        <v>19</v>
      </c>
      <c r="H549" s="13" t="s">
        <v>3</v>
      </c>
      <c r="I549" s="13" t="s">
        <v>1562</v>
      </c>
      <c r="J549" s="13" t="s">
        <v>1563</v>
      </c>
      <c r="K549" s="13" t="s">
        <v>8423</v>
      </c>
      <c r="L549" s="13" t="s">
        <v>9016</v>
      </c>
      <c r="M549" t="s">
        <v>3</v>
      </c>
    </row>
    <row r="550" spans="1:13" ht="26.25" x14ac:dyDescent="0.25">
      <c r="A550" s="13" t="s">
        <v>1564</v>
      </c>
      <c r="B550" s="13" t="s">
        <v>1565</v>
      </c>
      <c r="C550" s="13" t="s">
        <v>1566</v>
      </c>
      <c r="D550" s="13">
        <v>408</v>
      </c>
      <c r="E550" s="13" t="s">
        <v>1567</v>
      </c>
      <c r="F550" s="13" t="s">
        <v>1568</v>
      </c>
      <c r="G550" s="13" t="s">
        <v>19</v>
      </c>
      <c r="H550" s="13" t="s">
        <v>3</v>
      </c>
      <c r="I550" s="13" t="s">
        <v>1562</v>
      </c>
      <c r="J550" s="13" t="s">
        <v>9017</v>
      </c>
      <c r="K550" s="13" t="s">
        <v>8423</v>
      </c>
      <c r="L550" s="13" t="s">
        <v>1568</v>
      </c>
      <c r="M550" t="s">
        <v>3</v>
      </c>
    </row>
    <row r="551" spans="1:13" x14ac:dyDescent="0.25">
      <c r="A551" s="13" t="s">
        <v>1569</v>
      </c>
      <c r="B551" s="13" t="s">
        <v>1569</v>
      </c>
      <c r="C551" s="13" t="s">
        <v>1570</v>
      </c>
      <c r="D551" s="13">
        <v>28.1</v>
      </c>
      <c r="E551" s="13" t="s">
        <v>1570</v>
      </c>
      <c r="F551" s="13" t="s">
        <v>8869</v>
      </c>
      <c r="G551" s="13" t="s">
        <v>2</v>
      </c>
      <c r="H551" s="13" t="s">
        <v>3</v>
      </c>
      <c r="I551" s="13" t="s">
        <v>447</v>
      </c>
      <c r="J551" s="13" t="s">
        <v>8890</v>
      </c>
      <c r="K551" s="13" t="s">
        <v>8421</v>
      </c>
      <c r="L551" s="13" t="s">
        <v>8918</v>
      </c>
      <c r="M551" t="s">
        <v>3</v>
      </c>
    </row>
    <row r="552" spans="1:13" x14ac:dyDescent="0.25">
      <c r="A552" s="13" t="s">
        <v>1571</v>
      </c>
      <c r="B552" s="13" t="s">
        <v>1571</v>
      </c>
      <c r="C552" s="13" t="s">
        <v>1572</v>
      </c>
      <c r="D552" s="13">
        <v>32.299999999999997</v>
      </c>
      <c r="E552" s="13" t="s">
        <v>1573</v>
      </c>
      <c r="F552" s="13" t="s">
        <v>8869</v>
      </c>
      <c r="G552" s="13" t="s">
        <v>2</v>
      </c>
      <c r="H552" s="13" t="s">
        <v>3</v>
      </c>
      <c r="I552" s="13" t="s">
        <v>706</v>
      </c>
      <c r="J552" s="13" t="s">
        <v>8890</v>
      </c>
      <c r="K552" s="13" t="s">
        <v>8419</v>
      </c>
      <c r="L552" s="13" t="s">
        <v>8918</v>
      </c>
      <c r="M552" t="s">
        <v>3</v>
      </c>
    </row>
    <row r="553" spans="1:13" x14ac:dyDescent="0.25">
      <c r="A553" s="13" t="s">
        <v>1574</v>
      </c>
      <c r="B553" s="13" t="s">
        <v>1574</v>
      </c>
      <c r="C553" s="13" t="s">
        <v>1575</v>
      </c>
      <c r="D553" s="13">
        <v>49.4</v>
      </c>
      <c r="E553" s="13" t="s">
        <v>1576</v>
      </c>
      <c r="F553" s="13" t="s">
        <v>8869</v>
      </c>
      <c r="G553" s="13" t="s">
        <v>2</v>
      </c>
      <c r="H553" s="13" t="s">
        <v>3</v>
      </c>
      <c r="I553" s="13" t="s">
        <v>1283</v>
      </c>
      <c r="J553" s="13" t="s">
        <v>8890</v>
      </c>
      <c r="K553" s="13" t="s">
        <v>8524</v>
      </c>
      <c r="L553" s="13" t="s">
        <v>8918</v>
      </c>
      <c r="M553" t="s">
        <v>3</v>
      </c>
    </row>
    <row r="554" spans="1:13" x14ac:dyDescent="0.25">
      <c r="A554" s="13" t="s">
        <v>1577</v>
      </c>
      <c r="B554" s="13" t="s">
        <v>1577</v>
      </c>
      <c r="C554" s="13" t="s">
        <v>1578</v>
      </c>
      <c r="D554" s="13">
        <v>7.8</v>
      </c>
      <c r="E554" s="13" t="s">
        <v>1579</v>
      </c>
      <c r="F554" s="13" t="s">
        <v>8869</v>
      </c>
      <c r="G554" s="13" t="s">
        <v>2</v>
      </c>
      <c r="H554" s="13" t="s">
        <v>3</v>
      </c>
      <c r="I554" s="13" t="s">
        <v>1283</v>
      </c>
      <c r="J554" s="13" t="s">
        <v>8890</v>
      </c>
      <c r="K554" s="13" t="s">
        <v>8524</v>
      </c>
      <c r="L554" s="13" t="s">
        <v>8918</v>
      </c>
      <c r="M554" t="s">
        <v>3</v>
      </c>
    </row>
    <row r="555" spans="1:13" x14ac:dyDescent="0.25">
      <c r="A555" s="13" t="s">
        <v>1580</v>
      </c>
      <c r="B555" s="13" t="s">
        <v>1580</v>
      </c>
      <c r="C555" s="13" t="s">
        <v>1581</v>
      </c>
      <c r="D555" s="13">
        <v>17.5</v>
      </c>
      <c r="E555" s="13" t="s">
        <v>1582</v>
      </c>
      <c r="F555" s="13" t="s">
        <v>8869</v>
      </c>
      <c r="G555" s="13" t="s">
        <v>2</v>
      </c>
      <c r="H555" s="13" t="s">
        <v>3</v>
      </c>
      <c r="I555" s="13" t="s">
        <v>1283</v>
      </c>
      <c r="J555" s="13" t="s">
        <v>8890</v>
      </c>
      <c r="K555" s="13" t="s">
        <v>8524</v>
      </c>
      <c r="L555" s="13" t="s">
        <v>8918</v>
      </c>
      <c r="M555" t="s">
        <v>3</v>
      </c>
    </row>
    <row r="556" spans="1:13" x14ac:dyDescent="0.25">
      <c r="A556" s="13" t="s">
        <v>1583</v>
      </c>
      <c r="B556" s="13" t="s">
        <v>1583</v>
      </c>
      <c r="C556" s="13" t="s">
        <v>9018</v>
      </c>
      <c r="D556" s="13">
        <v>20.9</v>
      </c>
      <c r="E556" s="13" t="s">
        <v>1584</v>
      </c>
      <c r="F556" s="13" t="s">
        <v>8869</v>
      </c>
      <c r="G556" s="13" t="s">
        <v>2</v>
      </c>
      <c r="H556" s="13" t="s">
        <v>3</v>
      </c>
      <c r="I556" s="13" t="s">
        <v>1283</v>
      </c>
      <c r="J556" s="13" t="s">
        <v>8890</v>
      </c>
      <c r="K556" s="13" t="s">
        <v>8524</v>
      </c>
      <c r="L556" s="13" t="s">
        <v>8918</v>
      </c>
      <c r="M556" t="s">
        <v>3</v>
      </c>
    </row>
    <row r="557" spans="1:13" x14ac:dyDescent="0.25">
      <c r="A557" s="13" t="s">
        <v>1585</v>
      </c>
      <c r="B557" s="13" t="s">
        <v>1585</v>
      </c>
      <c r="C557" s="13" t="s">
        <v>1586</v>
      </c>
      <c r="D557" s="13">
        <v>17.5</v>
      </c>
      <c r="E557" s="13" t="s">
        <v>1587</v>
      </c>
      <c r="F557" s="13" t="s">
        <v>8869</v>
      </c>
      <c r="G557" s="13" t="s">
        <v>2</v>
      </c>
      <c r="H557" s="13" t="s">
        <v>3</v>
      </c>
      <c r="I557" s="13" t="s">
        <v>1283</v>
      </c>
      <c r="J557" s="13" t="s">
        <v>8890</v>
      </c>
      <c r="K557" s="13" t="s">
        <v>8524</v>
      </c>
      <c r="L557" s="13" t="s">
        <v>8918</v>
      </c>
      <c r="M557" t="s">
        <v>3</v>
      </c>
    </row>
    <row r="558" spans="1:13" x14ac:dyDescent="0.25">
      <c r="A558" s="13" t="s">
        <v>1588</v>
      </c>
      <c r="B558" s="13" t="s">
        <v>1588</v>
      </c>
      <c r="C558" s="13" t="s">
        <v>1589</v>
      </c>
      <c r="D558" s="13">
        <v>21.6</v>
      </c>
      <c r="E558" s="13" t="s">
        <v>1590</v>
      </c>
      <c r="F558" s="13" t="s">
        <v>8869</v>
      </c>
      <c r="G558" s="13" t="s">
        <v>2</v>
      </c>
      <c r="H558" s="13" t="s">
        <v>3</v>
      </c>
      <c r="I558" s="13" t="s">
        <v>1283</v>
      </c>
      <c r="J558" s="13" t="s">
        <v>8890</v>
      </c>
      <c r="K558" s="13" t="s">
        <v>8524</v>
      </c>
      <c r="L558" s="13" t="s">
        <v>8918</v>
      </c>
      <c r="M558" t="s">
        <v>3</v>
      </c>
    </row>
    <row r="559" spans="1:13" x14ac:dyDescent="0.25">
      <c r="A559" s="13" t="s">
        <v>1591</v>
      </c>
      <c r="B559" s="13" t="s">
        <v>1591</v>
      </c>
      <c r="C559" s="13" t="s">
        <v>1592</v>
      </c>
      <c r="D559" s="13">
        <v>22.8</v>
      </c>
      <c r="E559" s="13" t="s">
        <v>1593</v>
      </c>
      <c r="F559" s="13" t="s">
        <v>8869</v>
      </c>
      <c r="G559" s="13" t="s">
        <v>2</v>
      </c>
      <c r="H559" s="13" t="s">
        <v>3</v>
      </c>
      <c r="I559" s="13" t="s">
        <v>1283</v>
      </c>
      <c r="J559" s="13" t="s">
        <v>8890</v>
      </c>
      <c r="K559" s="13" t="s">
        <v>8524</v>
      </c>
      <c r="L559" s="13" t="s">
        <v>8918</v>
      </c>
      <c r="M559" t="s">
        <v>3</v>
      </c>
    </row>
    <row r="560" spans="1:13" x14ac:dyDescent="0.25">
      <c r="A560" s="13" t="s">
        <v>1594</v>
      </c>
      <c r="B560" s="13" t="s">
        <v>1594</v>
      </c>
      <c r="C560" s="13" t="s">
        <v>1595</v>
      </c>
      <c r="D560" s="13">
        <v>23.6</v>
      </c>
      <c r="E560" s="13" t="s">
        <v>1596</v>
      </c>
      <c r="F560" s="13" t="s">
        <v>8869</v>
      </c>
      <c r="G560" s="13" t="s">
        <v>2</v>
      </c>
      <c r="H560" s="13" t="s">
        <v>3</v>
      </c>
      <c r="I560" s="13" t="s">
        <v>1283</v>
      </c>
      <c r="J560" s="13" t="s">
        <v>8890</v>
      </c>
      <c r="K560" s="13" t="s">
        <v>8524</v>
      </c>
      <c r="L560" s="13" t="s">
        <v>8918</v>
      </c>
      <c r="M560" t="s">
        <v>3</v>
      </c>
    </row>
    <row r="561" spans="1:13" x14ac:dyDescent="0.25">
      <c r="A561" s="13" t="s">
        <v>1597</v>
      </c>
      <c r="B561" s="13" t="s">
        <v>1597</v>
      </c>
      <c r="C561" s="13" t="s">
        <v>1598</v>
      </c>
      <c r="D561" s="13">
        <v>40</v>
      </c>
      <c r="E561" s="13" t="s">
        <v>1599</v>
      </c>
      <c r="F561" s="13" t="s">
        <v>8869</v>
      </c>
      <c r="G561" s="13" t="s">
        <v>2</v>
      </c>
      <c r="H561" s="13" t="s">
        <v>3</v>
      </c>
      <c r="I561" s="13" t="s">
        <v>1283</v>
      </c>
      <c r="J561" s="13" t="s">
        <v>8890</v>
      </c>
      <c r="K561" s="13" t="s">
        <v>8524</v>
      </c>
      <c r="L561" s="13" t="s">
        <v>8918</v>
      </c>
      <c r="M561" t="s">
        <v>3</v>
      </c>
    </row>
    <row r="562" spans="1:13" x14ac:dyDescent="0.25">
      <c r="A562" s="13" t="s">
        <v>1600</v>
      </c>
      <c r="B562" s="13" t="s">
        <v>1600</v>
      </c>
      <c r="C562" s="13" t="s">
        <v>1601</v>
      </c>
      <c r="D562" s="13">
        <v>27.3</v>
      </c>
      <c r="E562" s="13" t="s">
        <v>1602</v>
      </c>
      <c r="F562" s="13" t="s">
        <v>8869</v>
      </c>
      <c r="G562" s="13" t="s">
        <v>2</v>
      </c>
      <c r="H562" s="13" t="s">
        <v>3</v>
      </c>
      <c r="I562" s="13" t="s">
        <v>1283</v>
      </c>
      <c r="J562" s="13" t="s">
        <v>8890</v>
      </c>
      <c r="K562" s="13" t="s">
        <v>8524</v>
      </c>
      <c r="L562" s="13" t="s">
        <v>8918</v>
      </c>
      <c r="M562" t="s">
        <v>3</v>
      </c>
    </row>
    <row r="563" spans="1:13" x14ac:dyDescent="0.25">
      <c r="A563" s="13" t="s">
        <v>1603</v>
      </c>
      <c r="B563" s="13" t="s">
        <v>1603</v>
      </c>
      <c r="C563" s="13" t="s">
        <v>1604</v>
      </c>
      <c r="D563" s="13">
        <v>63</v>
      </c>
      <c r="E563" s="13" t="s">
        <v>1605</v>
      </c>
      <c r="F563" s="13" t="s">
        <v>8869</v>
      </c>
      <c r="G563" s="13" t="s">
        <v>2</v>
      </c>
      <c r="H563" s="13" t="s">
        <v>3</v>
      </c>
      <c r="I563" s="13" t="s">
        <v>1283</v>
      </c>
      <c r="J563" s="13" t="s">
        <v>8890</v>
      </c>
      <c r="K563" s="13" t="s">
        <v>8524</v>
      </c>
      <c r="L563" s="13" t="s">
        <v>8918</v>
      </c>
      <c r="M563" t="s">
        <v>3</v>
      </c>
    </row>
    <row r="564" spans="1:13" x14ac:dyDescent="0.25">
      <c r="A564" s="13" t="s">
        <v>1606</v>
      </c>
      <c r="B564" s="13" t="s">
        <v>1606</v>
      </c>
      <c r="C564" s="13" t="s">
        <v>1607</v>
      </c>
      <c r="D564" s="13">
        <v>71.3</v>
      </c>
      <c r="E564" s="13" t="s">
        <v>1608</v>
      </c>
      <c r="F564" s="13" t="s">
        <v>8869</v>
      </c>
      <c r="G564" s="13" t="s">
        <v>2</v>
      </c>
      <c r="H564" s="13" t="s">
        <v>3</v>
      </c>
      <c r="I564" s="13" t="s">
        <v>1283</v>
      </c>
      <c r="J564" s="13" t="s">
        <v>8890</v>
      </c>
      <c r="K564" s="13" t="s">
        <v>8524</v>
      </c>
      <c r="L564" s="13" t="s">
        <v>8918</v>
      </c>
      <c r="M564" t="s">
        <v>3</v>
      </c>
    </row>
    <row r="565" spans="1:13" x14ac:dyDescent="0.25">
      <c r="A565" s="13" t="s">
        <v>1609</v>
      </c>
      <c r="B565" s="13" t="s">
        <v>1609</v>
      </c>
      <c r="C565" s="13" t="s">
        <v>1610</v>
      </c>
      <c r="D565" s="13">
        <v>48.6</v>
      </c>
      <c r="E565" s="13" t="s">
        <v>1611</v>
      </c>
      <c r="F565" s="13" t="s">
        <v>8869</v>
      </c>
      <c r="G565" s="13" t="s">
        <v>2</v>
      </c>
      <c r="H565" s="13" t="s">
        <v>3</v>
      </c>
      <c r="I565" s="13" t="s">
        <v>1283</v>
      </c>
      <c r="J565" s="13" t="s">
        <v>8890</v>
      </c>
      <c r="K565" s="13" t="s">
        <v>8524</v>
      </c>
      <c r="L565" s="13" t="s">
        <v>8918</v>
      </c>
      <c r="M565" t="s">
        <v>3</v>
      </c>
    </row>
    <row r="566" spans="1:13" x14ac:dyDescent="0.25">
      <c r="A566" s="13" t="s">
        <v>1612</v>
      </c>
      <c r="B566" s="13" t="s">
        <v>1612</v>
      </c>
      <c r="C566" s="13" t="s">
        <v>1613</v>
      </c>
      <c r="D566" s="13">
        <v>48.1</v>
      </c>
      <c r="E566" s="13" t="s">
        <v>1614</v>
      </c>
      <c r="F566" s="13" t="s">
        <v>8869</v>
      </c>
      <c r="G566" s="13" t="s">
        <v>2</v>
      </c>
      <c r="H566" s="13" t="s">
        <v>3</v>
      </c>
      <c r="I566" s="13" t="s">
        <v>1283</v>
      </c>
      <c r="J566" s="13" t="s">
        <v>8890</v>
      </c>
      <c r="K566" s="13" t="s">
        <v>8524</v>
      </c>
      <c r="L566" s="13" t="s">
        <v>8918</v>
      </c>
      <c r="M566" t="s">
        <v>3</v>
      </c>
    </row>
    <row r="567" spans="1:13" x14ac:dyDescent="0.25">
      <c r="A567" s="13" t="s">
        <v>1615</v>
      </c>
      <c r="B567" s="13" t="s">
        <v>1615</v>
      </c>
      <c r="C567" s="13" t="s">
        <v>1616</v>
      </c>
      <c r="D567" s="13">
        <v>30</v>
      </c>
      <c r="E567" s="13" t="s">
        <v>1617</v>
      </c>
      <c r="F567" s="13" t="s">
        <v>8869</v>
      </c>
      <c r="G567" s="13" t="s">
        <v>2</v>
      </c>
      <c r="H567" s="13" t="s">
        <v>3</v>
      </c>
      <c r="I567" s="13" t="s">
        <v>1283</v>
      </c>
      <c r="J567" s="13" t="s">
        <v>8890</v>
      </c>
      <c r="K567" s="13" t="s">
        <v>8524</v>
      </c>
      <c r="L567" s="13" t="s">
        <v>8918</v>
      </c>
      <c r="M567" t="s">
        <v>3</v>
      </c>
    </row>
    <row r="568" spans="1:13" x14ac:dyDescent="0.25">
      <c r="A568" s="13" t="s">
        <v>1618</v>
      </c>
      <c r="B568" s="13" t="s">
        <v>1618</v>
      </c>
      <c r="C568" s="13" t="s">
        <v>1619</v>
      </c>
      <c r="D568" s="13">
        <v>48.6</v>
      </c>
      <c r="E568" s="13" t="s">
        <v>1620</v>
      </c>
      <c r="F568" s="13" t="s">
        <v>8869</v>
      </c>
      <c r="G568" s="13" t="s">
        <v>2</v>
      </c>
      <c r="H568" s="13" t="s">
        <v>3</v>
      </c>
      <c r="I568" s="13" t="s">
        <v>1283</v>
      </c>
      <c r="J568" s="13" t="s">
        <v>8890</v>
      </c>
      <c r="K568" s="13" t="s">
        <v>8524</v>
      </c>
      <c r="L568" s="13" t="s">
        <v>8918</v>
      </c>
      <c r="M568" t="s">
        <v>3</v>
      </c>
    </row>
    <row r="569" spans="1:13" x14ac:dyDescent="0.25">
      <c r="A569" s="13" t="s">
        <v>1621</v>
      </c>
      <c r="B569" s="13" t="s">
        <v>1621</v>
      </c>
      <c r="C569" s="13" t="s">
        <v>1622</v>
      </c>
      <c r="D569" s="13">
        <v>30</v>
      </c>
      <c r="E569" s="13" t="s">
        <v>1623</v>
      </c>
      <c r="F569" s="13" t="s">
        <v>8869</v>
      </c>
      <c r="G569" s="13" t="s">
        <v>2</v>
      </c>
      <c r="H569" s="13" t="s">
        <v>3</v>
      </c>
      <c r="I569" s="13" t="s">
        <v>1283</v>
      </c>
      <c r="J569" s="13" t="s">
        <v>8890</v>
      </c>
      <c r="K569" s="13" t="s">
        <v>8524</v>
      </c>
      <c r="L569" s="13" t="s">
        <v>8918</v>
      </c>
      <c r="M569" t="s">
        <v>3</v>
      </c>
    </row>
    <row r="570" spans="1:13" ht="26.25" x14ac:dyDescent="0.25">
      <c r="A570" s="13" t="s">
        <v>1624</v>
      </c>
      <c r="B570" s="13" t="s">
        <v>1624</v>
      </c>
      <c r="C570" s="13" t="s">
        <v>1581</v>
      </c>
      <c r="D570" s="13">
        <v>10</v>
      </c>
      <c r="E570" s="13" t="s">
        <v>1625</v>
      </c>
      <c r="F570" s="13" t="s">
        <v>8869</v>
      </c>
      <c r="G570" s="13" t="s">
        <v>2</v>
      </c>
      <c r="H570" s="13" t="s">
        <v>3</v>
      </c>
      <c r="I570" s="13" t="s">
        <v>1283</v>
      </c>
      <c r="J570" s="13" t="s">
        <v>8890</v>
      </c>
      <c r="K570" s="13" t="s">
        <v>8524</v>
      </c>
      <c r="L570" s="13" t="s">
        <v>8918</v>
      </c>
      <c r="M570" t="s">
        <v>3</v>
      </c>
    </row>
    <row r="571" spans="1:13" x14ac:dyDescent="0.25">
      <c r="A571" s="13" t="s">
        <v>1626</v>
      </c>
      <c r="B571" s="13" t="s">
        <v>1626</v>
      </c>
      <c r="C571" s="13" t="s">
        <v>1627</v>
      </c>
      <c r="D571" s="13">
        <v>30</v>
      </c>
      <c r="E571" s="13" t="s">
        <v>1628</v>
      </c>
      <c r="F571" s="13" t="s">
        <v>8869</v>
      </c>
      <c r="G571" s="13" t="s">
        <v>2</v>
      </c>
      <c r="H571" s="13" t="s">
        <v>3</v>
      </c>
      <c r="I571" s="13" t="s">
        <v>1283</v>
      </c>
      <c r="J571" s="13" t="s">
        <v>8890</v>
      </c>
      <c r="K571" s="13" t="s">
        <v>8524</v>
      </c>
      <c r="L571" s="13" t="s">
        <v>8918</v>
      </c>
      <c r="M571" t="s">
        <v>3</v>
      </c>
    </row>
    <row r="572" spans="1:13" x14ac:dyDescent="0.25">
      <c r="A572" s="13" t="s">
        <v>1629</v>
      </c>
      <c r="B572" s="13" t="s">
        <v>1629</v>
      </c>
      <c r="C572" s="13" t="s">
        <v>1630</v>
      </c>
      <c r="D572" s="13">
        <v>34.5</v>
      </c>
      <c r="E572" s="13" t="s">
        <v>1631</v>
      </c>
      <c r="F572" s="13" t="s">
        <v>8869</v>
      </c>
      <c r="G572" s="13" t="s">
        <v>2</v>
      </c>
      <c r="H572" s="13" t="s">
        <v>3</v>
      </c>
      <c r="I572" s="13" t="s">
        <v>706</v>
      </c>
      <c r="J572" s="13" t="s">
        <v>8890</v>
      </c>
      <c r="K572" s="13" t="s">
        <v>8419</v>
      </c>
      <c r="L572" s="13" t="s">
        <v>8918</v>
      </c>
      <c r="M572" t="s">
        <v>3</v>
      </c>
    </row>
    <row r="573" spans="1:13" x14ac:dyDescent="0.25">
      <c r="A573" s="13" t="s">
        <v>1632</v>
      </c>
      <c r="B573" s="13" t="s">
        <v>1632</v>
      </c>
      <c r="C573" s="13" t="s">
        <v>1633</v>
      </c>
      <c r="D573" s="13">
        <v>30.5</v>
      </c>
      <c r="E573" s="13" t="s">
        <v>1634</v>
      </c>
      <c r="F573" s="13" t="s">
        <v>8869</v>
      </c>
      <c r="G573" s="13" t="s">
        <v>2</v>
      </c>
      <c r="H573" s="13" t="s">
        <v>3</v>
      </c>
      <c r="I573" s="13" t="s">
        <v>706</v>
      </c>
      <c r="J573" s="13" t="s">
        <v>8890</v>
      </c>
      <c r="K573" s="13" t="s">
        <v>8419</v>
      </c>
      <c r="L573" s="13" t="s">
        <v>8918</v>
      </c>
      <c r="M573" t="s">
        <v>3</v>
      </c>
    </row>
    <row r="574" spans="1:13" x14ac:dyDescent="0.25">
      <c r="A574" s="13" t="s">
        <v>1635</v>
      </c>
      <c r="B574" s="13" t="s">
        <v>1636</v>
      </c>
      <c r="C574" s="13" t="s">
        <v>1637</v>
      </c>
      <c r="D574" s="13">
        <v>64.900000000000006</v>
      </c>
      <c r="E574" s="13" t="s">
        <v>1638</v>
      </c>
      <c r="F574" s="13" t="s">
        <v>8869</v>
      </c>
      <c r="G574" s="13" t="s">
        <v>2</v>
      </c>
      <c r="H574" s="13" t="s">
        <v>3</v>
      </c>
      <c r="I574" s="13" t="s">
        <v>1283</v>
      </c>
      <c r="J574" s="13" t="s">
        <v>8890</v>
      </c>
      <c r="K574" s="13" t="s">
        <v>8524</v>
      </c>
      <c r="L574" s="13" t="s">
        <v>8918</v>
      </c>
      <c r="M574" t="s">
        <v>3</v>
      </c>
    </row>
    <row r="575" spans="1:13" ht="26.25" x14ac:dyDescent="0.25">
      <c r="A575" s="13" t="s">
        <v>1639</v>
      </c>
      <c r="B575" s="13" t="s">
        <v>1640</v>
      </c>
      <c r="C575" s="13" t="s">
        <v>1641</v>
      </c>
      <c r="D575" s="13">
        <v>0.1</v>
      </c>
      <c r="E575" s="13" t="s">
        <v>1642</v>
      </c>
      <c r="F575" s="13" t="s">
        <v>8860</v>
      </c>
      <c r="G575" s="13" t="s">
        <v>19</v>
      </c>
      <c r="H575" s="13" t="s">
        <v>3</v>
      </c>
      <c r="I575" s="13" t="s">
        <v>1643</v>
      </c>
      <c r="J575" s="13" t="s">
        <v>21</v>
      </c>
      <c r="K575" s="13" t="s">
        <v>1641</v>
      </c>
      <c r="L575" s="13" t="s">
        <v>18</v>
      </c>
      <c r="M575" t="s">
        <v>3</v>
      </c>
    </row>
    <row r="576" spans="1:13" x14ac:dyDescent="0.25">
      <c r="A576" s="13" t="s">
        <v>9019</v>
      </c>
      <c r="B576" s="13" t="s">
        <v>9019</v>
      </c>
      <c r="C576" s="13" t="s">
        <v>9019</v>
      </c>
      <c r="D576" s="13">
        <v>175</v>
      </c>
      <c r="E576" s="13" t="s">
        <v>9020</v>
      </c>
      <c r="F576" s="13" t="s">
        <v>8869</v>
      </c>
      <c r="G576" s="13" t="s">
        <v>2</v>
      </c>
      <c r="H576" s="13" t="s">
        <v>8923</v>
      </c>
      <c r="I576" s="13" t="s">
        <v>1514</v>
      </c>
      <c r="J576" s="13" t="s">
        <v>8890</v>
      </c>
      <c r="K576" s="13" t="s">
        <v>8423</v>
      </c>
      <c r="L576" s="13" t="s">
        <v>8918</v>
      </c>
      <c r="M576" t="s">
        <v>8923</v>
      </c>
    </row>
    <row r="577" spans="1:13" x14ac:dyDescent="0.25">
      <c r="A577" s="13" t="s">
        <v>9857</v>
      </c>
      <c r="B577" s="13" t="s">
        <v>9857</v>
      </c>
      <c r="C577" s="13" t="s">
        <v>9858</v>
      </c>
      <c r="D577" s="13">
        <v>9</v>
      </c>
      <c r="E577" s="13" t="s">
        <v>9859</v>
      </c>
      <c r="F577" s="13" t="s">
        <v>8869</v>
      </c>
      <c r="G577" s="13" t="s">
        <v>2</v>
      </c>
      <c r="H577" s="13" t="s">
        <v>3</v>
      </c>
      <c r="I577" s="13" t="s">
        <v>1514</v>
      </c>
      <c r="J577" s="13" t="s">
        <v>8890</v>
      </c>
      <c r="K577" s="13" t="s">
        <v>8423</v>
      </c>
      <c r="L577" s="13" t="s">
        <v>8918</v>
      </c>
      <c r="M577" t="s">
        <v>3</v>
      </c>
    </row>
    <row r="578" spans="1:13" x14ac:dyDescent="0.25">
      <c r="A578" s="13" t="s">
        <v>1644</v>
      </c>
      <c r="B578" s="13" t="s">
        <v>1644</v>
      </c>
      <c r="C578" s="13" t="s">
        <v>1645</v>
      </c>
      <c r="D578" s="13">
        <v>647.4</v>
      </c>
      <c r="E578" s="13" t="s">
        <v>1646</v>
      </c>
      <c r="F578" s="13" t="s">
        <v>8869</v>
      </c>
      <c r="G578" s="13" t="s">
        <v>2</v>
      </c>
      <c r="H578" s="13" t="s">
        <v>3</v>
      </c>
      <c r="I578" s="13" t="s">
        <v>1514</v>
      </c>
      <c r="J578" s="13" t="s">
        <v>8890</v>
      </c>
      <c r="K578" s="13" t="s">
        <v>8423</v>
      </c>
      <c r="L578" s="13" t="s">
        <v>8918</v>
      </c>
      <c r="M578" t="s">
        <v>3</v>
      </c>
    </row>
    <row r="579" spans="1:13" x14ac:dyDescent="0.25">
      <c r="A579" s="13" t="s">
        <v>9860</v>
      </c>
      <c r="B579" s="13" t="s">
        <v>9860</v>
      </c>
      <c r="C579" s="13" t="s">
        <v>9861</v>
      </c>
      <c r="D579" s="13">
        <v>982</v>
      </c>
      <c r="E579" s="13" t="s">
        <v>9862</v>
      </c>
      <c r="F579" s="13" t="s">
        <v>8869</v>
      </c>
      <c r="G579" s="13" t="s">
        <v>2</v>
      </c>
      <c r="H579" s="13" t="s">
        <v>8923</v>
      </c>
      <c r="I579" s="13" t="s">
        <v>1514</v>
      </c>
      <c r="J579" s="13" t="s">
        <v>8890</v>
      </c>
      <c r="K579" s="13" t="s">
        <v>8423</v>
      </c>
      <c r="L579" s="13" t="s">
        <v>8918</v>
      </c>
      <c r="M579" t="s">
        <v>8923</v>
      </c>
    </row>
    <row r="580" spans="1:13" x14ac:dyDescent="0.25">
      <c r="A580" s="13" t="s">
        <v>1647</v>
      </c>
      <c r="B580" s="13" t="s">
        <v>1647</v>
      </c>
      <c r="C580" s="13" t="s">
        <v>1648</v>
      </c>
      <c r="D580" s="13">
        <v>33.700000000000003</v>
      </c>
      <c r="E580" s="13" t="s">
        <v>1648</v>
      </c>
      <c r="F580" s="13" t="s">
        <v>8869</v>
      </c>
      <c r="G580" s="13" t="s">
        <v>2</v>
      </c>
      <c r="H580" s="13" t="s">
        <v>3</v>
      </c>
      <c r="I580" s="13" t="s">
        <v>447</v>
      </c>
      <c r="J580" s="13" t="s">
        <v>8890</v>
      </c>
      <c r="K580" s="13" t="s">
        <v>8421</v>
      </c>
      <c r="L580" s="13" t="s">
        <v>8918</v>
      </c>
      <c r="M580" t="s">
        <v>3</v>
      </c>
    </row>
    <row r="581" spans="1:13" x14ac:dyDescent="0.25">
      <c r="A581" s="13" t="s">
        <v>1649</v>
      </c>
      <c r="B581" s="13" t="s">
        <v>1649</v>
      </c>
      <c r="C581" s="13" t="s">
        <v>1650</v>
      </c>
      <c r="D581" s="13">
        <v>46</v>
      </c>
      <c r="E581" s="13" t="s">
        <v>1651</v>
      </c>
      <c r="F581" s="13" t="s">
        <v>8872</v>
      </c>
      <c r="G581" s="13" t="s">
        <v>2</v>
      </c>
      <c r="H581" s="13" t="s">
        <v>8420</v>
      </c>
      <c r="I581" s="13" t="s">
        <v>1652</v>
      </c>
      <c r="J581" s="13" t="s">
        <v>8890</v>
      </c>
      <c r="K581" s="13" t="s">
        <v>8420</v>
      </c>
      <c r="L581" s="13" t="s">
        <v>556</v>
      </c>
      <c r="M581" t="s">
        <v>10704</v>
      </c>
    </row>
    <row r="582" spans="1:13" x14ac:dyDescent="0.25">
      <c r="A582" s="13" t="s">
        <v>1653</v>
      </c>
      <c r="B582" s="13" t="s">
        <v>1654</v>
      </c>
      <c r="C582" s="13" t="s">
        <v>1655</v>
      </c>
      <c r="D582" s="13">
        <v>42.5</v>
      </c>
      <c r="E582" s="13" t="s">
        <v>1656</v>
      </c>
      <c r="F582" s="13" t="s">
        <v>8869</v>
      </c>
      <c r="G582" s="13" t="s">
        <v>2</v>
      </c>
      <c r="H582" s="13" t="s">
        <v>3</v>
      </c>
      <c r="I582" s="13" t="s">
        <v>1283</v>
      </c>
      <c r="J582" s="13" t="s">
        <v>8890</v>
      </c>
      <c r="K582" s="13" t="s">
        <v>8524</v>
      </c>
      <c r="L582" s="13" t="s">
        <v>8918</v>
      </c>
      <c r="M582" t="s">
        <v>3</v>
      </c>
    </row>
    <row r="583" spans="1:13" x14ac:dyDescent="0.25">
      <c r="A583" s="13" t="s">
        <v>10851</v>
      </c>
      <c r="B583" s="13" t="s">
        <v>10852</v>
      </c>
      <c r="C583" s="13" t="s">
        <v>10853</v>
      </c>
      <c r="D583" s="13">
        <v>48.8</v>
      </c>
      <c r="E583" s="13" t="s">
        <v>10854</v>
      </c>
      <c r="F583" s="13" t="s">
        <v>8869</v>
      </c>
      <c r="G583" s="13" t="s">
        <v>2</v>
      </c>
      <c r="H583" s="13" t="s">
        <v>3</v>
      </c>
      <c r="I583" s="13" t="s">
        <v>809</v>
      </c>
      <c r="J583" s="13" t="s">
        <v>8890</v>
      </c>
      <c r="K583" s="13" t="s">
        <v>8512</v>
      </c>
      <c r="L583" s="13" t="s">
        <v>8918</v>
      </c>
      <c r="M583" t="s">
        <v>3</v>
      </c>
    </row>
    <row r="584" spans="1:13" x14ac:dyDescent="0.25">
      <c r="A584" s="13" t="s">
        <v>1657</v>
      </c>
      <c r="B584" s="13" t="s">
        <v>1657</v>
      </c>
      <c r="C584" s="13" t="s">
        <v>1658</v>
      </c>
      <c r="D584" s="13">
        <v>25</v>
      </c>
      <c r="E584" s="13" t="s">
        <v>1659</v>
      </c>
      <c r="F584" s="13" t="s">
        <v>8869</v>
      </c>
      <c r="G584" s="13" t="s">
        <v>2</v>
      </c>
      <c r="H584" s="13" t="s">
        <v>9000</v>
      </c>
      <c r="I584" s="13" t="s">
        <v>706</v>
      </c>
      <c r="J584" s="13" t="s">
        <v>8890</v>
      </c>
      <c r="K584" s="13" t="s">
        <v>8419</v>
      </c>
      <c r="L584" s="13" t="s">
        <v>8918</v>
      </c>
      <c r="M584" t="s">
        <v>10688</v>
      </c>
    </row>
    <row r="585" spans="1:13" x14ac:dyDescent="0.25">
      <c r="A585" s="13" t="s">
        <v>1660</v>
      </c>
      <c r="B585" s="13" t="s">
        <v>1661</v>
      </c>
      <c r="C585" s="13" t="s">
        <v>1662</v>
      </c>
      <c r="D585" s="13">
        <v>24.6</v>
      </c>
      <c r="E585" s="13" t="s">
        <v>1663</v>
      </c>
      <c r="F585" s="13" t="s">
        <v>8869</v>
      </c>
      <c r="G585" s="13" t="s">
        <v>2</v>
      </c>
      <c r="H585" s="13" t="s">
        <v>3</v>
      </c>
      <c r="I585" s="13" t="s">
        <v>1283</v>
      </c>
      <c r="J585" s="13" t="s">
        <v>8890</v>
      </c>
      <c r="K585" s="13" t="s">
        <v>8524</v>
      </c>
      <c r="L585" s="13" t="s">
        <v>8918</v>
      </c>
      <c r="M585" t="s">
        <v>3</v>
      </c>
    </row>
    <row r="586" spans="1:13" ht="26.25" x14ac:dyDescent="0.25">
      <c r="A586" s="13" t="s">
        <v>1664</v>
      </c>
      <c r="B586" s="13" t="s">
        <v>1665</v>
      </c>
      <c r="C586" s="13" t="s">
        <v>1666</v>
      </c>
      <c r="D586" s="13">
        <v>0</v>
      </c>
      <c r="E586" s="13" t="s">
        <v>1667</v>
      </c>
      <c r="F586" s="13" t="s">
        <v>8860</v>
      </c>
      <c r="G586" s="13" t="s">
        <v>19</v>
      </c>
      <c r="H586" s="13" t="s">
        <v>3</v>
      </c>
      <c r="I586" s="13" t="s">
        <v>1668</v>
      </c>
      <c r="J586" s="13" t="s">
        <v>21</v>
      </c>
      <c r="K586" s="13" t="s">
        <v>8558</v>
      </c>
      <c r="L586" s="13" t="s">
        <v>18</v>
      </c>
      <c r="M586" t="s">
        <v>3</v>
      </c>
    </row>
    <row r="587" spans="1:13" ht="26.25" x14ac:dyDescent="0.25">
      <c r="A587" s="13" t="s">
        <v>1669</v>
      </c>
      <c r="B587" s="13" t="s">
        <v>1670</v>
      </c>
      <c r="C587" s="13" t="s">
        <v>1671</v>
      </c>
      <c r="D587" s="13">
        <v>3.5</v>
      </c>
      <c r="E587" s="13" t="s">
        <v>1672</v>
      </c>
      <c r="F587" s="13" t="s">
        <v>35</v>
      </c>
      <c r="G587" s="13" t="s">
        <v>19</v>
      </c>
      <c r="H587" s="13" t="s">
        <v>3</v>
      </c>
      <c r="I587" s="13" t="s">
        <v>1673</v>
      </c>
      <c r="J587" s="13" t="s">
        <v>37</v>
      </c>
      <c r="K587" s="13" t="s">
        <v>8420</v>
      </c>
      <c r="L587" s="13" t="s">
        <v>35</v>
      </c>
      <c r="M587" t="s">
        <v>3</v>
      </c>
    </row>
    <row r="588" spans="1:13" x14ac:dyDescent="0.25">
      <c r="A588" s="13" t="s">
        <v>1674</v>
      </c>
      <c r="B588" s="13" t="s">
        <v>1674</v>
      </c>
      <c r="C588" s="13" t="s">
        <v>1675</v>
      </c>
      <c r="D588" s="13">
        <v>30</v>
      </c>
      <c r="E588" s="13" t="s">
        <v>1675</v>
      </c>
      <c r="F588" s="13" t="s">
        <v>8869</v>
      </c>
      <c r="G588" s="13" t="s">
        <v>2</v>
      </c>
      <c r="H588" s="13" t="s">
        <v>3</v>
      </c>
      <c r="I588" s="13" t="s">
        <v>447</v>
      </c>
      <c r="J588" s="13" t="s">
        <v>8890</v>
      </c>
      <c r="K588" s="13" t="s">
        <v>8421</v>
      </c>
      <c r="L588" s="13" t="s">
        <v>8918</v>
      </c>
      <c r="M588" t="s">
        <v>3</v>
      </c>
    </row>
    <row r="589" spans="1:13" x14ac:dyDescent="0.25">
      <c r="A589" s="13" t="s">
        <v>1676</v>
      </c>
      <c r="B589" s="13" t="s">
        <v>1676</v>
      </c>
      <c r="C589" s="13" t="s">
        <v>1677</v>
      </c>
      <c r="D589" s="13">
        <v>31.2</v>
      </c>
      <c r="E589" s="13" t="s">
        <v>1677</v>
      </c>
      <c r="F589" s="13" t="s">
        <v>8869</v>
      </c>
      <c r="G589" s="13" t="s">
        <v>2</v>
      </c>
      <c r="H589" s="13" t="s">
        <v>3</v>
      </c>
      <c r="I589" s="13" t="s">
        <v>447</v>
      </c>
      <c r="J589" s="13" t="s">
        <v>8890</v>
      </c>
      <c r="K589" s="13" t="s">
        <v>8421</v>
      </c>
      <c r="L589" s="13" t="s">
        <v>8918</v>
      </c>
      <c r="M589" t="s">
        <v>3</v>
      </c>
    </row>
    <row r="590" spans="1:13" x14ac:dyDescent="0.25">
      <c r="A590" s="13" t="s">
        <v>1678</v>
      </c>
      <c r="B590" s="13" t="s">
        <v>1678</v>
      </c>
      <c r="C590" s="13" t="s">
        <v>1679</v>
      </c>
      <c r="D590" s="13">
        <v>1.6</v>
      </c>
      <c r="E590" s="13" t="s">
        <v>1679</v>
      </c>
      <c r="F590" s="13" t="s">
        <v>8869</v>
      </c>
      <c r="G590" s="13" t="s">
        <v>2</v>
      </c>
      <c r="H590" s="13" t="s">
        <v>3</v>
      </c>
      <c r="I590" s="13" t="s">
        <v>447</v>
      </c>
      <c r="J590" s="13" t="s">
        <v>8890</v>
      </c>
      <c r="K590" s="13" t="s">
        <v>8421</v>
      </c>
      <c r="L590" s="13" t="s">
        <v>8918</v>
      </c>
      <c r="M590" t="s">
        <v>3</v>
      </c>
    </row>
    <row r="591" spans="1:13" x14ac:dyDescent="0.25">
      <c r="A591" s="13" t="s">
        <v>1680</v>
      </c>
      <c r="B591" s="13" t="s">
        <v>1681</v>
      </c>
      <c r="C591" s="13" t="s">
        <v>1682</v>
      </c>
      <c r="D591" s="13">
        <v>3.4</v>
      </c>
      <c r="E591" s="13" t="s">
        <v>1683</v>
      </c>
      <c r="F591" s="13" t="s">
        <v>1684</v>
      </c>
      <c r="G591" s="13" t="s">
        <v>2</v>
      </c>
      <c r="H591" s="13" t="s">
        <v>3</v>
      </c>
      <c r="I591" s="13" t="s">
        <v>1263</v>
      </c>
      <c r="J591" s="13" t="s">
        <v>8890</v>
      </c>
      <c r="K591" s="13" t="s">
        <v>8422</v>
      </c>
      <c r="L591" s="13" t="s">
        <v>1684</v>
      </c>
      <c r="M591" t="s">
        <v>3</v>
      </c>
    </row>
    <row r="592" spans="1:13" x14ac:dyDescent="0.25">
      <c r="A592" s="13" t="s">
        <v>1685</v>
      </c>
      <c r="B592" s="13" t="s">
        <v>1686</v>
      </c>
      <c r="C592" s="13" t="s">
        <v>1687</v>
      </c>
      <c r="D592" s="13">
        <v>4.5</v>
      </c>
      <c r="E592" s="13" t="s">
        <v>1688</v>
      </c>
      <c r="F592" s="13" t="s">
        <v>1684</v>
      </c>
      <c r="G592" s="13" t="s">
        <v>2</v>
      </c>
      <c r="H592" s="13" t="s">
        <v>3</v>
      </c>
      <c r="I592" s="13" t="s">
        <v>1263</v>
      </c>
      <c r="J592" s="13" t="s">
        <v>8890</v>
      </c>
      <c r="K592" s="13" t="s">
        <v>8422</v>
      </c>
      <c r="L592" s="13" t="s">
        <v>1684</v>
      </c>
      <c r="M592" t="s">
        <v>3</v>
      </c>
    </row>
    <row r="593" spans="1:13" x14ac:dyDescent="0.25">
      <c r="A593" s="13" t="s">
        <v>1689</v>
      </c>
      <c r="B593" s="13" t="s">
        <v>1689</v>
      </c>
      <c r="C593" s="13" t="s">
        <v>1690</v>
      </c>
      <c r="D593" s="13">
        <v>24</v>
      </c>
      <c r="E593" s="13" t="s">
        <v>1691</v>
      </c>
      <c r="F593" s="13" t="s">
        <v>8869</v>
      </c>
      <c r="G593" s="13" t="s">
        <v>2</v>
      </c>
      <c r="H593" s="13" t="s">
        <v>3</v>
      </c>
      <c r="I593" s="13" t="s">
        <v>706</v>
      </c>
      <c r="J593" s="13" t="s">
        <v>8890</v>
      </c>
      <c r="K593" s="13" t="s">
        <v>8419</v>
      </c>
      <c r="L593" s="13" t="s">
        <v>8918</v>
      </c>
      <c r="M593" t="s">
        <v>3</v>
      </c>
    </row>
    <row r="594" spans="1:13" x14ac:dyDescent="0.25">
      <c r="A594" s="13" t="s">
        <v>1692</v>
      </c>
      <c r="B594" s="13" t="s">
        <v>1692</v>
      </c>
      <c r="C594" s="13" t="s">
        <v>1693</v>
      </c>
      <c r="D594" s="13">
        <v>6</v>
      </c>
      <c r="E594" s="13" t="s">
        <v>1694</v>
      </c>
      <c r="F594" s="13" t="s">
        <v>8869</v>
      </c>
      <c r="G594" s="13" t="s">
        <v>2</v>
      </c>
      <c r="H594" s="13" t="s">
        <v>3</v>
      </c>
      <c r="I594" s="13" t="s">
        <v>706</v>
      </c>
      <c r="J594" s="13" t="s">
        <v>8890</v>
      </c>
      <c r="K594" s="13" t="s">
        <v>8419</v>
      </c>
      <c r="L594" s="13" t="s">
        <v>8918</v>
      </c>
      <c r="M594" t="s">
        <v>3</v>
      </c>
    </row>
    <row r="595" spans="1:13" x14ac:dyDescent="0.25">
      <c r="A595" s="13" t="s">
        <v>1695</v>
      </c>
      <c r="B595" s="13" t="s">
        <v>1695</v>
      </c>
      <c r="C595" s="13" t="s">
        <v>1696</v>
      </c>
      <c r="D595" s="13">
        <v>7.2</v>
      </c>
      <c r="E595" s="13" t="s">
        <v>1697</v>
      </c>
      <c r="F595" s="13" t="s">
        <v>8869</v>
      </c>
      <c r="G595" s="13" t="s">
        <v>2</v>
      </c>
      <c r="H595" s="13" t="s">
        <v>3</v>
      </c>
      <c r="I595" s="13" t="s">
        <v>447</v>
      </c>
      <c r="J595" s="13" t="s">
        <v>8890</v>
      </c>
      <c r="K595" s="13" t="s">
        <v>8421</v>
      </c>
      <c r="L595" s="13" t="s">
        <v>8918</v>
      </c>
      <c r="M595" t="s">
        <v>3</v>
      </c>
    </row>
    <row r="596" spans="1:13" x14ac:dyDescent="0.25">
      <c r="A596" s="13" t="s">
        <v>1698</v>
      </c>
      <c r="B596" s="13" t="s">
        <v>1698</v>
      </c>
      <c r="C596" s="13" t="s">
        <v>1699</v>
      </c>
      <c r="D596" s="13">
        <v>7.8</v>
      </c>
      <c r="E596" s="13" t="s">
        <v>1699</v>
      </c>
      <c r="F596" s="13" t="s">
        <v>8869</v>
      </c>
      <c r="G596" s="13" t="s">
        <v>2</v>
      </c>
      <c r="H596" s="13" t="s">
        <v>3</v>
      </c>
      <c r="I596" s="13" t="s">
        <v>447</v>
      </c>
      <c r="J596" s="13" t="s">
        <v>8890</v>
      </c>
      <c r="K596" s="13" t="s">
        <v>8421</v>
      </c>
      <c r="L596" s="13" t="s">
        <v>8918</v>
      </c>
      <c r="M596" t="s">
        <v>3</v>
      </c>
    </row>
    <row r="597" spans="1:13" x14ac:dyDescent="0.25">
      <c r="A597" s="13" t="s">
        <v>1700</v>
      </c>
      <c r="B597" s="13" t="s">
        <v>1701</v>
      </c>
      <c r="C597" s="13" t="s">
        <v>1702</v>
      </c>
      <c r="D597" s="13">
        <v>24</v>
      </c>
      <c r="E597" s="13" t="s">
        <v>1703</v>
      </c>
      <c r="F597" s="13" t="s">
        <v>8869</v>
      </c>
      <c r="G597" s="13" t="s">
        <v>2</v>
      </c>
      <c r="H597" s="13" t="s">
        <v>3</v>
      </c>
      <c r="I597" s="13" t="s">
        <v>1283</v>
      </c>
      <c r="J597" s="13" t="s">
        <v>8890</v>
      </c>
      <c r="K597" s="13" t="s">
        <v>8524</v>
      </c>
      <c r="L597" s="13" t="s">
        <v>8918</v>
      </c>
      <c r="M597" t="s">
        <v>3</v>
      </c>
    </row>
    <row r="598" spans="1:13" x14ac:dyDescent="0.25">
      <c r="A598" s="13" t="s">
        <v>1704</v>
      </c>
      <c r="B598" s="13" t="s">
        <v>1704</v>
      </c>
      <c r="C598" s="13" t="s">
        <v>1705</v>
      </c>
      <c r="D598" s="13">
        <v>88</v>
      </c>
      <c r="E598" s="13" t="s">
        <v>1705</v>
      </c>
      <c r="F598" s="13" t="s">
        <v>8869</v>
      </c>
      <c r="G598" s="13" t="s">
        <v>2</v>
      </c>
      <c r="H598" s="13" t="s">
        <v>8421</v>
      </c>
      <c r="I598" s="13" t="s">
        <v>447</v>
      </c>
      <c r="J598" s="13" t="s">
        <v>8890</v>
      </c>
      <c r="K598" s="13" t="s">
        <v>8421</v>
      </c>
      <c r="L598" s="13" t="s">
        <v>8918</v>
      </c>
      <c r="M598" t="s">
        <v>10690</v>
      </c>
    </row>
    <row r="599" spans="1:13" x14ac:dyDescent="0.25">
      <c r="A599" s="13" t="s">
        <v>1706</v>
      </c>
      <c r="B599" s="13" t="s">
        <v>1706</v>
      </c>
      <c r="C599" s="13" t="s">
        <v>1707</v>
      </c>
      <c r="D599" s="13">
        <v>39.6</v>
      </c>
      <c r="E599" s="13" t="s">
        <v>1707</v>
      </c>
      <c r="F599" s="13" t="s">
        <v>8869</v>
      </c>
      <c r="G599" s="13" t="s">
        <v>2</v>
      </c>
      <c r="H599" s="13" t="s">
        <v>3</v>
      </c>
      <c r="I599" s="13" t="s">
        <v>447</v>
      </c>
      <c r="J599" s="13" t="s">
        <v>8890</v>
      </c>
      <c r="K599" s="13" t="s">
        <v>8421</v>
      </c>
      <c r="L599" s="13" t="s">
        <v>8918</v>
      </c>
      <c r="M599" t="s">
        <v>3</v>
      </c>
    </row>
    <row r="600" spans="1:13" x14ac:dyDescent="0.25">
      <c r="A600" s="13" t="s">
        <v>1708</v>
      </c>
      <c r="B600" s="13" t="s">
        <v>1708</v>
      </c>
      <c r="C600" s="13" t="s">
        <v>1709</v>
      </c>
      <c r="D600" s="13">
        <v>1.6</v>
      </c>
      <c r="E600" s="13" t="s">
        <v>1709</v>
      </c>
      <c r="F600" s="13" t="s">
        <v>8869</v>
      </c>
      <c r="G600" s="13" t="s">
        <v>2</v>
      </c>
      <c r="H600" s="13" t="s">
        <v>3</v>
      </c>
      <c r="I600" s="13" t="s">
        <v>447</v>
      </c>
      <c r="J600" s="13" t="s">
        <v>8890</v>
      </c>
      <c r="K600" s="13" t="s">
        <v>8421</v>
      </c>
      <c r="L600" s="13" t="s">
        <v>8918</v>
      </c>
      <c r="M600" t="s">
        <v>3</v>
      </c>
    </row>
    <row r="601" spans="1:13" x14ac:dyDescent="0.25">
      <c r="A601" s="13" t="s">
        <v>1710</v>
      </c>
      <c r="B601" s="13" t="s">
        <v>1710</v>
      </c>
      <c r="C601" s="13" t="s">
        <v>1711</v>
      </c>
      <c r="D601" s="13">
        <v>10.5</v>
      </c>
      <c r="E601" s="13" t="s">
        <v>1711</v>
      </c>
      <c r="F601" s="13" t="s">
        <v>8869</v>
      </c>
      <c r="G601" s="13" t="s">
        <v>2</v>
      </c>
      <c r="H601" s="13" t="s">
        <v>3</v>
      </c>
      <c r="I601" s="13" t="s">
        <v>447</v>
      </c>
      <c r="J601" s="13" t="s">
        <v>8890</v>
      </c>
      <c r="K601" s="13" t="s">
        <v>8421</v>
      </c>
      <c r="L601" s="13" t="s">
        <v>8918</v>
      </c>
      <c r="M601" t="s">
        <v>3</v>
      </c>
    </row>
    <row r="602" spans="1:13" x14ac:dyDescent="0.25">
      <c r="A602" s="13" t="s">
        <v>1712</v>
      </c>
      <c r="B602" s="13" t="s">
        <v>1712</v>
      </c>
      <c r="C602" s="13" t="s">
        <v>1713</v>
      </c>
      <c r="D602" s="13">
        <v>140.4</v>
      </c>
      <c r="E602" s="13" t="s">
        <v>1713</v>
      </c>
      <c r="F602" s="13" t="s">
        <v>8869</v>
      </c>
      <c r="G602" s="13" t="s">
        <v>2</v>
      </c>
      <c r="H602" s="13" t="s">
        <v>3</v>
      </c>
      <c r="I602" s="13" t="s">
        <v>447</v>
      </c>
      <c r="J602" s="13" t="s">
        <v>8890</v>
      </c>
      <c r="K602" s="13" t="s">
        <v>8421</v>
      </c>
      <c r="L602" s="13" t="s">
        <v>8918</v>
      </c>
      <c r="M602" t="s">
        <v>3</v>
      </c>
    </row>
    <row r="603" spans="1:13" x14ac:dyDescent="0.25">
      <c r="A603" s="13" t="s">
        <v>1714</v>
      </c>
      <c r="B603" s="13" t="s">
        <v>1715</v>
      </c>
      <c r="C603" s="13" t="s">
        <v>1715</v>
      </c>
      <c r="D603" s="13">
        <v>110.2</v>
      </c>
      <c r="E603" s="13" t="s">
        <v>1716</v>
      </c>
      <c r="F603" s="13" t="s">
        <v>8869</v>
      </c>
      <c r="G603" s="13" t="s">
        <v>2</v>
      </c>
      <c r="H603" s="13" t="s">
        <v>3</v>
      </c>
      <c r="I603" s="13" t="s">
        <v>119</v>
      </c>
      <c r="J603" s="13" t="s">
        <v>8890</v>
      </c>
      <c r="K603" s="13" t="s">
        <v>8883</v>
      </c>
      <c r="L603" s="13" t="s">
        <v>8918</v>
      </c>
      <c r="M603" t="s">
        <v>3</v>
      </c>
    </row>
    <row r="604" spans="1:13" ht="26.25" x14ac:dyDescent="0.25">
      <c r="A604" s="13" t="s">
        <v>1717</v>
      </c>
      <c r="B604" s="13" t="s">
        <v>1718</v>
      </c>
      <c r="C604" s="13" t="s">
        <v>1719</v>
      </c>
      <c r="D604" s="13">
        <v>20</v>
      </c>
      <c r="E604" s="13" t="s">
        <v>1720</v>
      </c>
      <c r="F604" s="13" t="s">
        <v>8869</v>
      </c>
      <c r="G604" s="13" t="s">
        <v>2</v>
      </c>
      <c r="H604" s="13" t="s">
        <v>3</v>
      </c>
      <c r="I604" s="13" t="s">
        <v>1283</v>
      </c>
      <c r="J604" s="13" t="s">
        <v>8890</v>
      </c>
      <c r="K604" s="13" t="s">
        <v>8524</v>
      </c>
      <c r="L604" s="13" t="s">
        <v>8918</v>
      </c>
      <c r="M604" t="s">
        <v>3</v>
      </c>
    </row>
    <row r="605" spans="1:13" x14ac:dyDescent="0.25">
      <c r="A605" s="13" t="s">
        <v>1721</v>
      </c>
      <c r="B605" s="13" t="s">
        <v>1721</v>
      </c>
      <c r="C605" s="13" t="s">
        <v>1722</v>
      </c>
      <c r="D605" s="13">
        <v>49.5</v>
      </c>
      <c r="E605" s="13" t="s">
        <v>1723</v>
      </c>
      <c r="F605" s="13" t="s">
        <v>8869</v>
      </c>
      <c r="G605" s="13" t="s">
        <v>2</v>
      </c>
      <c r="H605" s="13" t="s">
        <v>3</v>
      </c>
      <c r="I605" s="13" t="s">
        <v>809</v>
      </c>
      <c r="J605" s="13" t="s">
        <v>8890</v>
      </c>
      <c r="K605" s="13" t="s">
        <v>8512</v>
      </c>
      <c r="L605" s="13" t="s">
        <v>8918</v>
      </c>
      <c r="M605" t="s">
        <v>3</v>
      </c>
    </row>
    <row r="606" spans="1:13" x14ac:dyDescent="0.25">
      <c r="A606" s="13" t="s">
        <v>1724</v>
      </c>
      <c r="B606" s="13" t="s">
        <v>1724</v>
      </c>
      <c r="C606" s="13" t="s">
        <v>1725</v>
      </c>
      <c r="D606" s="13">
        <v>25.2</v>
      </c>
      <c r="E606" s="13" t="s">
        <v>1725</v>
      </c>
      <c r="F606" s="13" t="s">
        <v>8869</v>
      </c>
      <c r="G606" s="13" t="s">
        <v>2</v>
      </c>
      <c r="H606" s="13" t="s">
        <v>3</v>
      </c>
      <c r="I606" s="13" t="s">
        <v>447</v>
      </c>
      <c r="J606" s="13" t="s">
        <v>8890</v>
      </c>
      <c r="K606" s="13" t="s">
        <v>8421</v>
      </c>
      <c r="L606" s="13" t="s">
        <v>8918</v>
      </c>
      <c r="M606" t="s">
        <v>3</v>
      </c>
    </row>
    <row r="607" spans="1:13" ht="26.25" x14ac:dyDescent="0.25">
      <c r="A607" s="13" t="s">
        <v>1726</v>
      </c>
      <c r="B607" s="13" t="s">
        <v>1727</v>
      </c>
      <c r="C607" s="13" t="s">
        <v>1728</v>
      </c>
      <c r="D607" s="13">
        <v>20</v>
      </c>
      <c r="E607" s="13" t="s">
        <v>1729</v>
      </c>
      <c r="F607" s="13" t="s">
        <v>8869</v>
      </c>
      <c r="G607" s="13" t="s">
        <v>2</v>
      </c>
      <c r="H607" s="13" t="s">
        <v>3</v>
      </c>
      <c r="I607" s="13" t="s">
        <v>1283</v>
      </c>
      <c r="J607" s="13" t="s">
        <v>8890</v>
      </c>
      <c r="K607" s="13" t="s">
        <v>8524</v>
      </c>
      <c r="L607" s="13" t="s">
        <v>8918</v>
      </c>
      <c r="M607" t="s">
        <v>3</v>
      </c>
    </row>
    <row r="608" spans="1:13" x14ac:dyDescent="0.25">
      <c r="A608" s="13" t="s">
        <v>1730</v>
      </c>
      <c r="B608" s="13" t="s">
        <v>1730</v>
      </c>
      <c r="C608" s="13" t="s">
        <v>1731</v>
      </c>
      <c r="D608" s="13">
        <v>12</v>
      </c>
      <c r="E608" s="13" t="s">
        <v>1732</v>
      </c>
      <c r="F608" s="13" t="s">
        <v>8869</v>
      </c>
      <c r="G608" s="13" t="s">
        <v>2</v>
      </c>
      <c r="H608" s="13" t="s">
        <v>3</v>
      </c>
      <c r="I608" s="13" t="s">
        <v>1263</v>
      </c>
      <c r="J608" s="13" t="s">
        <v>8890</v>
      </c>
      <c r="K608" s="13" t="s">
        <v>8422</v>
      </c>
      <c r="L608" s="13" t="s">
        <v>8918</v>
      </c>
      <c r="M608" t="s">
        <v>3</v>
      </c>
    </row>
    <row r="609" spans="1:13" x14ac:dyDescent="0.25">
      <c r="A609" s="13" t="s">
        <v>1733</v>
      </c>
      <c r="B609" s="13" t="s">
        <v>1734</v>
      </c>
      <c r="C609" s="13" t="s">
        <v>1735</v>
      </c>
      <c r="D609" s="13">
        <v>48.5</v>
      </c>
      <c r="E609" s="13" t="s">
        <v>1736</v>
      </c>
      <c r="F609" s="13" t="s">
        <v>8869</v>
      </c>
      <c r="G609" s="13" t="s">
        <v>2</v>
      </c>
      <c r="H609" s="13" t="s">
        <v>9982</v>
      </c>
      <c r="I609" s="13" t="s">
        <v>516</v>
      </c>
      <c r="J609" s="13" t="s">
        <v>8890</v>
      </c>
      <c r="K609" s="13" t="s">
        <v>516</v>
      </c>
      <c r="L609" s="13" t="s">
        <v>8918</v>
      </c>
      <c r="M609" t="s">
        <v>9982</v>
      </c>
    </row>
    <row r="610" spans="1:13" x14ac:dyDescent="0.25">
      <c r="A610" s="13" t="s">
        <v>1737</v>
      </c>
      <c r="B610" s="13" t="s">
        <v>1737</v>
      </c>
      <c r="C610" s="13" t="s">
        <v>1738</v>
      </c>
      <c r="D610" s="13">
        <v>56.5</v>
      </c>
      <c r="E610" s="13" t="s">
        <v>1738</v>
      </c>
      <c r="F610" s="13" t="s">
        <v>8869</v>
      </c>
      <c r="G610" s="13" t="s">
        <v>2</v>
      </c>
      <c r="H610" s="13" t="s">
        <v>3</v>
      </c>
      <c r="I610" s="13" t="s">
        <v>1254</v>
      </c>
      <c r="J610" s="13" t="s">
        <v>8890</v>
      </c>
      <c r="K610" s="13" t="s">
        <v>8508</v>
      </c>
      <c r="L610" s="13" t="s">
        <v>8918</v>
      </c>
      <c r="M610" t="s">
        <v>3</v>
      </c>
    </row>
    <row r="611" spans="1:13" x14ac:dyDescent="0.25">
      <c r="A611" s="13" t="s">
        <v>1739</v>
      </c>
      <c r="B611" s="13" t="s">
        <v>1739</v>
      </c>
      <c r="C611" s="13" t="s">
        <v>1739</v>
      </c>
      <c r="D611" s="13">
        <v>130</v>
      </c>
      <c r="E611" s="13" t="s">
        <v>1740</v>
      </c>
      <c r="F611" s="13" t="s">
        <v>8869</v>
      </c>
      <c r="G611" s="13" t="s">
        <v>2</v>
      </c>
      <c r="H611" s="13" t="s">
        <v>3</v>
      </c>
      <c r="I611" s="13" t="s">
        <v>1254</v>
      </c>
      <c r="J611" s="13" t="s">
        <v>8890</v>
      </c>
      <c r="K611" s="13" t="s">
        <v>8508</v>
      </c>
      <c r="L611" s="13" t="s">
        <v>8918</v>
      </c>
      <c r="M611" t="s">
        <v>3</v>
      </c>
    </row>
    <row r="612" spans="1:13" x14ac:dyDescent="0.25">
      <c r="A612" s="13" t="s">
        <v>1741</v>
      </c>
      <c r="B612" s="13" t="s">
        <v>1741</v>
      </c>
      <c r="C612" s="13" t="s">
        <v>1741</v>
      </c>
      <c r="D612" s="13">
        <v>152.69999999999999</v>
      </c>
      <c r="E612" s="13" t="s">
        <v>1742</v>
      </c>
      <c r="F612" s="13" t="s">
        <v>8869</v>
      </c>
      <c r="G612" s="13" t="s">
        <v>2</v>
      </c>
      <c r="H612" s="13" t="s">
        <v>3</v>
      </c>
      <c r="I612" s="13" t="s">
        <v>1254</v>
      </c>
      <c r="J612" s="13" t="s">
        <v>8890</v>
      </c>
      <c r="K612" s="13" t="s">
        <v>8508</v>
      </c>
      <c r="L612" s="13" t="s">
        <v>8918</v>
      </c>
      <c r="M612" t="s">
        <v>3</v>
      </c>
    </row>
    <row r="613" spans="1:13" x14ac:dyDescent="0.25">
      <c r="A613" s="13" t="s">
        <v>1743</v>
      </c>
      <c r="B613" s="13" t="s">
        <v>1743</v>
      </c>
      <c r="C613" s="13" t="s">
        <v>1744</v>
      </c>
      <c r="D613" s="13">
        <v>7.1</v>
      </c>
      <c r="E613" s="13" t="s">
        <v>1744</v>
      </c>
      <c r="F613" s="13" t="s">
        <v>8869</v>
      </c>
      <c r="G613" s="13" t="s">
        <v>2</v>
      </c>
      <c r="H613" s="13" t="s">
        <v>3</v>
      </c>
      <c r="I613" s="13" t="s">
        <v>447</v>
      </c>
      <c r="J613" s="13" t="s">
        <v>8890</v>
      </c>
      <c r="K613" s="13" t="s">
        <v>8421</v>
      </c>
      <c r="L613" s="13" t="s">
        <v>8918</v>
      </c>
      <c r="M613" t="s">
        <v>3</v>
      </c>
    </row>
    <row r="614" spans="1:13" x14ac:dyDescent="0.25">
      <c r="A614" s="13" t="s">
        <v>1746</v>
      </c>
      <c r="B614" s="13" t="s">
        <v>1746</v>
      </c>
      <c r="C614" s="13" t="s">
        <v>1747</v>
      </c>
      <c r="D614" s="13">
        <v>2.5</v>
      </c>
      <c r="E614" s="13" t="s">
        <v>1747</v>
      </c>
      <c r="F614" s="13" t="s">
        <v>8869</v>
      </c>
      <c r="G614" s="13" t="s">
        <v>2</v>
      </c>
      <c r="H614" s="13" t="s">
        <v>3</v>
      </c>
      <c r="I614" s="13" t="s">
        <v>447</v>
      </c>
      <c r="J614" s="13" t="s">
        <v>8890</v>
      </c>
      <c r="K614" s="13" t="s">
        <v>8421</v>
      </c>
      <c r="L614" s="13" t="s">
        <v>8918</v>
      </c>
      <c r="M614" t="s">
        <v>3</v>
      </c>
    </row>
    <row r="615" spans="1:13" ht="26.25" x14ac:dyDescent="0.25">
      <c r="A615" s="13" t="s">
        <v>1748</v>
      </c>
      <c r="B615" s="13" t="s">
        <v>1749</v>
      </c>
      <c r="C615" s="13" t="s">
        <v>1750</v>
      </c>
      <c r="D615" s="13">
        <v>0</v>
      </c>
      <c r="E615" s="13" t="s">
        <v>1751</v>
      </c>
      <c r="F615" s="13" t="s">
        <v>8860</v>
      </c>
      <c r="G615" s="13" t="s">
        <v>19</v>
      </c>
      <c r="H615" s="13" t="s">
        <v>3</v>
      </c>
      <c r="I615" s="13" t="s">
        <v>159</v>
      </c>
      <c r="J615" s="13" t="s">
        <v>21</v>
      </c>
      <c r="K615" s="13" t="s">
        <v>8442</v>
      </c>
      <c r="L615" s="13" t="s">
        <v>18</v>
      </c>
      <c r="M615" t="s">
        <v>3</v>
      </c>
    </row>
    <row r="616" spans="1:13" x14ac:dyDescent="0.25">
      <c r="A616" s="13" t="s">
        <v>1752</v>
      </c>
      <c r="B616" s="13" t="s">
        <v>9021</v>
      </c>
      <c r="C616" s="13" t="s">
        <v>1753</v>
      </c>
      <c r="D616" s="13">
        <v>144.1</v>
      </c>
      <c r="E616" s="13" t="s">
        <v>1754</v>
      </c>
      <c r="F616" s="13" t="s">
        <v>8869</v>
      </c>
      <c r="G616" s="13" t="s">
        <v>2</v>
      </c>
      <c r="H616" s="13" t="s">
        <v>3</v>
      </c>
      <c r="I616" s="13" t="s">
        <v>228</v>
      </c>
      <c r="J616" s="13" t="s">
        <v>8890</v>
      </c>
      <c r="K616" s="13" t="s">
        <v>8418</v>
      </c>
      <c r="L616" s="13" t="s">
        <v>8918</v>
      </c>
      <c r="M616" t="s">
        <v>3</v>
      </c>
    </row>
    <row r="617" spans="1:13" x14ac:dyDescent="0.25">
      <c r="A617" s="13" t="s">
        <v>1755</v>
      </c>
      <c r="B617" s="13" t="s">
        <v>1755</v>
      </c>
      <c r="C617" s="13" t="s">
        <v>1755</v>
      </c>
      <c r="D617" s="13">
        <v>26.4</v>
      </c>
      <c r="E617" s="13" t="s">
        <v>1756</v>
      </c>
      <c r="F617" s="13" t="s">
        <v>8869</v>
      </c>
      <c r="G617" s="13" t="s">
        <v>2</v>
      </c>
      <c r="H617" s="13" t="s">
        <v>3</v>
      </c>
      <c r="I617" s="13" t="s">
        <v>228</v>
      </c>
      <c r="J617" s="13" t="s">
        <v>8890</v>
      </c>
      <c r="K617" s="13" t="s">
        <v>8418</v>
      </c>
      <c r="L617" s="13" t="s">
        <v>8918</v>
      </c>
      <c r="M617" t="s">
        <v>3</v>
      </c>
    </row>
    <row r="618" spans="1:13" x14ac:dyDescent="0.25">
      <c r="A618" s="13" t="s">
        <v>11758</v>
      </c>
      <c r="B618" s="13" t="s">
        <v>11758</v>
      </c>
      <c r="C618" s="13" t="s">
        <v>11758</v>
      </c>
      <c r="D618" s="13">
        <v>2</v>
      </c>
      <c r="E618" s="13" t="s">
        <v>11759</v>
      </c>
      <c r="F618" s="13" t="s">
        <v>8869</v>
      </c>
      <c r="G618" s="13" t="s">
        <v>2</v>
      </c>
      <c r="H618" s="13" t="s">
        <v>3</v>
      </c>
      <c r="I618" s="13" t="s">
        <v>228</v>
      </c>
      <c r="J618" s="13" t="s">
        <v>8890</v>
      </c>
      <c r="K618" s="13" t="s">
        <v>8418</v>
      </c>
      <c r="L618" s="13" t="s">
        <v>11760</v>
      </c>
      <c r="M618" t="s">
        <v>3</v>
      </c>
    </row>
    <row r="619" spans="1:13" x14ac:dyDescent="0.25">
      <c r="A619" s="13" t="s">
        <v>1757</v>
      </c>
      <c r="B619" s="13" t="s">
        <v>1757</v>
      </c>
      <c r="C619" s="13" t="s">
        <v>1758</v>
      </c>
      <c r="D619" s="13">
        <v>48.4</v>
      </c>
      <c r="E619" s="13" t="s">
        <v>1758</v>
      </c>
      <c r="F619" s="13" t="s">
        <v>8869</v>
      </c>
      <c r="G619" s="13" t="s">
        <v>2</v>
      </c>
      <c r="H619" s="13" t="s">
        <v>3</v>
      </c>
      <c r="I619" s="13" t="s">
        <v>447</v>
      </c>
      <c r="J619" s="13" t="s">
        <v>8890</v>
      </c>
      <c r="K619" s="13" t="s">
        <v>8421</v>
      </c>
      <c r="L619" s="13" t="s">
        <v>8918</v>
      </c>
      <c r="M619" t="s">
        <v>3</v>
      </c>
    </row>
    <row r="620" spans="1:13" x14ac:dyDescent="0.25">
      <c r="A620" s="13" t="s">
        <v>11189</v>
      </c>
      <c r="B620" s="13" t="s">
        <v>11189</v>
      </c>
      <c r="C620" s="13" t="s">
        <v>11189</v>
      </c>
      <c r="D620" s="13">
        <v>49.5</v>
      </c>
      <c r="E620" s="13" t="s">
        <v>11190</v>
      </c>
      <c r="F620" s="13" t="s">
        <v>8869</v>
      </c>
      <c r="G620" s="13" t="s">
        <v>2</v>
      </c>
      <c r="H620" s="13" t="s">
        <v>3</v>
      </c>
      <c r="I620" s="13" t="s">
        <v>137</v>
      </c>
      <c r="J620" s="13" t="s">
        <v>8890</v>
      </c>
      <c r="K620" s="13" t="s">
        <v>8429</v>
      </c>
      <c r="L620" s="13" t="s">
        <v>8918</v>
      </c>
      <c r="M620" t="s">
        <v>3</v>
      </c>
    </row>
    <row r="621" spans="1:13" ht="39" x14ac:dyDescent="0.25">
      <c r="A621" s="13" t="s">
        <v>1759</v>
      </c>
      <c r="B621" s="13" t="s">
        <v>1760</v>
      </c>
      <c r="C621" s="13" t="s">
        <v>1761</v>
      </c>
      <c r="D621" s="13">
        <v>9.9</v>
      </c>
      <c r="E621" s="13" t="s">
        <v>1762</v>
      </c>
      <c r="F621" s="13" t="s">
        <v>8860</v>
      </c>
      <c r="G621" s="13" t="s">
        <v>19</v>
      </c>
      <c r="H621" s="13" t="s">
        <v>3</v>
      </c>
      <c r="I621" s="13" t="s">
        <v>1760</v>
      </c>
      <c r="J621" s="13" t="s">
        <v>21</v>
      </c>
      <c r="K621" s="13" t="s">
        <v>8559</v>
      </c>
      <c r="L621" s="13" t="s">
        <v>18</v>
      </c>
      <c r="M621" t="s">
        <v>3</v>
      </c>
    </row>
    <row r="622" spans="1:13" ht="39" x14ac:dyDescent="0.25">
      <c r="A622" s="13" t="s">
        <v>1763</v>
      </c>
      <c r="B622" s="13" t="s">
        <v>1764</v>
      </c>
      <c r="C622" s="13" t="s">
        <v>1765</v>
      </c>
      <c r="D622" s="13">
        <v>0.4</v>
      </c>
      <c r="E622" s="13" t="s">
        <v>1766</v>
      </c>
      <c r="F622" s="13" t="s">
        <v>8867</v>
      </c>
      <c r="G622" s="13" t="s">
        <v>2</v>
      </c>
      <c r="H622" s="13" t="s">
        <v>3</v>
      </c>
      <c r="I622" s="13" t="s">
        <v>1760</v>
      </c>
      <c r="J622" s="13" t="s">
        <v>8890</v>
      </c>
      <c r="K622" s="13" t="s">
        <v>8559</v>
      </c>
      <c r="L622" s="13" t="s">
        <v>158</v>
      </c>
      <c r="M622" t="s">
        <v>3</v>
      </c>
    </row>
    <row r="623" spans="1:13" x14ac:dyDescent="0.25">
      <c r="A623" s="13" t="s">
        <v>1767</v>
      </c>
      <c r="B623" s="13" t="s">
        <v>1767</v>
      </c>
      <c r="C623" s="13" t="s">
        <v>1768</v>
      </c>
      <c r="D623" s="13">
        <v>1.8</v>
      </c>
      <c r="E623" s="13" t="s">
        <v>1769</v>
      </c>
      <c r="F623" s="13" t="s">
        <v>8869</v>
      </c>
      <c r="G623" s="13" t="s">
        <v>2</v>
      </c>
      <c r="H623" s="13" t="s">
        <v>3</v>
      </c>
      <c r="I623" s="13" t="s">
        <v>1263</v>
      </c>
      <c r="J623" s="13" t="s">
        <v>8890</v>
      </c>
      <c r="K623" s="13" t="s">
        <v>8422</v>
      </c>
      <c r="L623" s="13" t="s">
        <v>8918</v>
      </c>
      <c r="M623" t="s">
        <v>3</v>
      </c>
    </row>
    <row r="624" spans="1:13" ht="26.25" x14ac:dyDescent="0.25">
      <c r="A624" s="13" t="s">
        <v>1770</v>
      </c>
      <c r="B624" s="13" t="s">
        <v>1770</v>
      </c>
      <c r="C624" s="13" t="s">
        <v>1771</v>
      </c>
      <c r="D624" s="13">
        <v>1.6</v>
      </c>
      <c r="E624" s="13" t="s">
        <v>1771</v>
      </c>
      <c r="F624" s="13" t="s">
        <v>8869</v>
      </c>
      <c r="G624" s="13" t="s">
        <v>2</v>
      </c>
      <c r="H624" s="13" t="s">
        <v>3</v>
      </c>
      <c r="I624" s="13" t="s">
        <v>447</v>
      </c>
      <c r="J624" s="13" t="s">
        <v>8890</v>
      </c>
      <c r="K624" s="13" t="s">
        <v>8421</v>
      </c>
      <c r="L624" s="13" t="s">
        <v>8918</v>
      </c>
      <c r="M624" t="s">
        <v>3</v>
      </c>
    </row>
    <row r="625" spans="1:13" x14ac:dyDescent="0.25">
      <c r="A625" s="13" t="s">
        <v>1772</v>
      </c>
      <c r="B625" s="13" t="s">
        <v>1772</v>
      </c>
      <c r="C625" s="13" t="s">
        <v>1773</v>
      </c>
      <c r="D625" s="13">
        <v>122.5</v>
      </c>
      <c r="E625" s="13" t="s">
        <v>1774</v>
      </c>
      <c r="F625" s="13" t="s">
        <v>8869</v>
      </c>
      <c r="G625" s="13" t="s">
        <v>2</v>
      </c>
      <c r="H625" s="13" t="s">
        <v>3</v>
      </c>
      <c r="I625" s="13" t="s">
        <v>1745</v>
      </c>
      <c r="J625" s="13" t="s">
        <v>8890</v>
      </c>
      <c r="K625" s="13" t="s">
        <v>8430</v>
      </c>
      <c r="L625" s="13" t="s">
        <v>8918</v>
      </c>
      <c r="M625" t="s">
        <v>3</v>
      </c>
    </row>
    <row r="626" spans="1:13" x14ac:dyDescent="0.25">
      <c r="A626" s="13" t="s">
        <v>1775</v>
      </c>
      <c r="B626" s="13" t="s">
        <v>1776</v>
      </c>
      <c r="C626" s="13" t="s">
        <v>1777</v>
      </c>
      <c r="D626" s="13">
        <v>48.5</v>
      </c>
      <c r="E626" s="13" t="s">
        <v>1778</v>
      </c>
      <c r="F626" s="13" t="s">
        <v>8869</v>
      </c>
      <c r="G626" s="13" t="s">
        <v>2</v>
      </c>
      <c r="H626" s="13" t="s">
        <v>9982</v>
      </c>
      <c r="I626" s="13" t="s">
        <v>516</v>
      </c>
      <c r="J626" s="13" t="s">
        <v>8890</v>
      </c>
      <c r="K626" s="13" t="s">
        <v>516</v>
      </c>
      <c r="L626" s="13" t="s">
        <v>8918</v>
      </c>
      <c r="M626" t="s">
        <v>9982</v>
      </c>
    </row>
    <row r="627" spans="1:13" x14ac:dyDescent="0.25">
      <c r="A627" s="13" t="s">
        <v>1779</v>
      </c>
      <c r="B627" s="13" t="s">
        <v>1779</v>
      </c>
      <c r="C627" s="13" t="s">
        <v>9022</v>
      </c>
      <c r="D627" s="13">
        <v>790.8</v>
      </c>
      <c r="E627" s="13" t="s">
        <v>1780</v>
      </c>
      <c r="F627" s="13" t="s">
        <v>8869</v>
      </c>
      <c r="G627" s="13" t="s">
        <v>2</v>
      </c>
      <c r="H627" s="13" t="s">
        <v>3</v>
      </c>
      <c r="I627" s="13" t="s">
        <v>809</v>
      </c>
      <c r="J627" s="13" t="s">
        <v>8890</v>
      </c>
      <c r="K627" s="13" t="s">
        <v>8512</v>
      </c>
      <c r="L627" s="13" t="s">
        <v>8918</v>
      </c>
      <c r="M627" t="s">
        <v>3</v>
      </c>
    </row>
    <row r="628" spans="1:13" ht="26.25" x14ac:dyDescent="0.25">
      <c r="A628" s="13" t="s">
        <v>1781</v>
      </c>
      <c r="B628" s="13" t="s">
        <v>1782</v>
      </c>
      <c r="C628" s="13" t="s">
        <v>1783</v>
      </c>
      <c r="D628" s="13">
        <v>1</v>
      </c>
      <c r="E628" s="13" t="s">
        <v>1784</v>
      </c>
      <c r="F628" s="13" t="s">
        <v>8860</v>
      </c>
      <c r="G628" s="13" t="s">
        <v>19</v>
      </c>
      <c r="H628" s="13" t="s">
        <v>3</v>
      </c>
      <c r="I628" s="13" t="s">
        <v>1785</v>
      </c>
      <c r="J628" s="13" t="s">
        <v>21</v>
      </c>
      <c r="K628" s="13" t="s">
        <v>1783</v>
      </c>
      <c r="L628" s="13" t="s">
        <v>18</v>
      </c>
      <c r="M628" t="s">
        <v>3</v>
      </c>
    </row>
    <row r="629" spans="1:13" x14ac:dyDescent="0.25">
      <c r="A629" s="13" t="s">
        <v>1786</v>
      </c>
      <c r="B629" s="13" t="s">
        <v>1786</v>
      </c>
      <c r="C629" s="13" t="s">
        <v>1787</v>
      </c>
      <c r="D629" s="13">
        <v>27.3</v>
      </c>
      <c r="E629" s="13" t="s">
        <v>1788</v>
      </c>
      <c r="F629" s="13" t="s">
        <v>8869</v>
      </c>
      <c r="G629" s="13" t="s">
        <v>2</v>
      </c>
      <c r="H629" s="13" t="s">
        <v>3</v>
      </c>
      <c r="I629" s="13" t="s">
        <v>164</v>
      </c>
      <c r="J629" s="13" t="s">
        <v>8890</v>
      </c>
      <c r="K629" s="13" t="s">
        <v>8443</v>
      </c>
      <c r="L629" s="13" t="s">
        <v>8918</v>
      </c>
      <c r="M629" t="s">
        <v>3</v>
      </c>
    </row>
    <row r="630" spans="1:13" ht="26.25" x14ac:dyDescent="0.25">
      <c r="A630" s="13" t="s">
        <v>11965</v>
      </c>
      <c r="B630" s="13" t="s">
        <v>11965</v>
      </c>
      <c r="C630" s="13" t="s">
        <v>11965</v>
      </c>
      <c r="D630" s="13">
        <v>49.5</v>
      </c>
      <c r="E630" s="13" t="s">
        <v>11966</v>
      </c>
      <c r="F630" s="13" t="s">
        <v>8869</v>
      </c>
      <c r="G630" s="13" t="s">
        <v>2</v>
      </c>
      <c r="H630" s="13" t="s">
        <v>3</v>
      </c>
      <c r="I630" s="13" t="s">
        <v>1745</v>
      </c>
      <c r="J630" s="13" t="s">
        <v>8890</v>
      </c>
      <c r="K630" s="13" t="s">
        <v>8430</v>
      </c>
      <c r="L630" s="13" t="s">
        <v>8918</v>
      </c>
      <c r="M630" t="s">
        <v>3</v>
      </c>
    </row>
    <row r="631" spans="1:13" x14ac:dyDescent="0.25">
      <c r="A631" s="13" t="s">
        <v>1789</v>
      </c>
      <c r="B631" s="13" t="s">
        <v>1789</v>
      </c>
      <c r="C631" s="13" t="s">
        <v>1789</v>
      </c>
      <c r="D631" s="13">
        <v>607.5</v>
      </c>
      <c r="E631" s="13" t="s">
        <v>1790</v>
      </c>
      <c r="F631" s="13" t="s">
        <v>8869</v>
      </c>
      <c r="G631" s="13" t="s">
        <v>2</v>
      </c>
      <c r="H631" s="13" t="s">
        <v>3</v>
      </c>
      <c r="I631" s="13" t="s">
        <v>1745</v>
      </c>
      <c r="J631" s="13" t="s">
        <v>8890</v>
      </c>
      <c r="K631" s="13" t="s">
        <v>8430</v>
      </c>
      <c r="L631" s="13" t="s">
        <v>8918</v>
      </c>
      <c r="M631" t="s">
        <v>3</v>
      </c>
    </row>
    <row r="632" spans="1:13" x14ac:dyDescent="0.25">
      <c r="A632" s="13" t="s">
        <v>1791</v>
      </c>
      <c r="B632" s="13" t="s">
        <v>1791</v>
      </c>
      <c r="C632" s="13" t="s">
        <v>1791</v>
      </c>
      <c r="D632" s="13">
        <v>636.29999999999995</v>
      </c>
      <c r="E632" s="13" t="s">
        <v>1792</v>
      </c>
      <c r="F632" s="13" t="s">
        <v>8869</v>
      </c>
      <c r="G632" s="13" t="s">
        <v>2</v>
      </c>
      <c r="H632" s="13" t="s">
        <v>3</v>
      </c>
      <c r="I632" s="13" t="s">
        <v>1745</v>
      </c>
      <c r="J632" s="13" t="s">
        <v>8890</v>
      </c>
      <c r="K632" s="13" t="s">
        <v>8430</v>
      </c>
      <c r="L632" s="13" t="s">
        <v>8918</v>
      </c>
      <c r="M632" t="s">
        <v>3</v>
      </c>
    </row>
    <row r="633" spans="1:13" x14ac:dyDescent="0.25">
      <c r="A633" s="13" t="s">
        <v>1793</v>
      </c>
      <c r="B633" s="13" t="s">
        <v>1793</v>
      </c>
      <c r="C633" s="13" t="s">
        <v>1793</v>
      </c>
      <c r="D633" s="13">
        <v>680.5</v>
      </c>
      <c r="E633" s="13" t="s">
        <v>1794</v>
      </c>
      <c r="F633" s="13" t="s">
        <v>8869</v>
      </c>
      <c r="G633" s="13" t="s">
        <v>2</v>
      </c>
      <c r="H633" s="13" t="s">
        <v>8900</v>
      </c>
      <c r="I633" s="13" t="s">
        <v>1745</v>
      </c>
      <c r="J633" s="13" t="s">
        <v>8890</v>
      </c>
      <c r="K633" s="13" t="s">
        <v>8430</v>
      </c>
      <c r="L633" s="13" t="s">
        <v>8918</v>
      </c>
      <c r="M633" t="s">
        <v>10683</v>
      </c>
    </row>
    <row r="634" spans="1:13" x14ac:dyDescent="0.25">
      <c r="A634" s="13" t="s">
        <v>1795</v>
      </c>
      <c r="B634" s="13" t="s">
        <v>1795</v>
      </c>
      <c r="C634" s="13" t="s">
        <v>1795</v>
      </c>
      <c r="D634" s="13">
        <v>54.4</v>
      </c>
      <c r="E634" s="13" t="s">
        <v>1796</v>
      </c>
      <c r="F634" s="13" t="s">
        <v>8869</v>
      </c>
      <c r="G634" s="13" t="s">
        <v>2</v>
      </c>
      <c r="H634" s="13" t="s">
        <v>3</v>
      </c>
      <c r="I634" s="13" t="s">
        <v>516</v>
      </c>
      <c r="J634" s="13" t="s">
        <v>8890</v>
      </c>
      <c r="K634" s="13" t="s">
        <v>516</v>
      </c>
      <c r="L634" s="13" t="s">
        <v>8918</v>
      </c>
      <c r="M634" t="s">
        <v>3</v>
      </c>
    </row>
    <row r="635" spans="1:13" ht="26.25" x14ac:dyDescent="0.25">
      <c r="A635" s="13" t="s">
        <v>1797</v>
      </c>
      <c r="B635" s="13" t="s">
        <v>1798</v>
      </c>
      <c r="C635" s="13" t="s">
        <v>1799</v>
      </c>
      <c r="D635" s="13">
        <v>1</v>
      </c>
      <c r="E635" s="13" t="s">
        <v>1800</v>
      </c>
      <c r="F635" s="13" t="s">
        <v>8860</v>
      </c>
      <c r="G635" s="13" t="s">
        <v>19</v>
      </c>
      <c r="H635" s="13" t="s">
        <v>3</v>
      </c>
      <c r="I635" s="13" t="s">
        <v>1798</v>
      </c>
      <c r="J635" s="13" t="s">
        <v>21</v>
      </c>
      <c r="K635" s="13" t="s">
        <v>1799</v>
      </c>
      <c r="L635" s="13" t="s">
        <v>18</v>
      </c>
      <c r="M635" t="s">
        <v>3</v>
      </c>
    </row>
    <row r="636" spans="1:13" ht="26.25" x14ac:dyDescent="0.25">
      <c r="A636" s="13" t="s">
        <v>1801</v>
      </c>
      <c r="B636" s="13" t="s">
        <v>1801</v>
      </c>
      <c r="C636" s="13" t="s">
        <v>9023</v>
      </c>
      <c r="D636" s="13">
        <v>180</v>
      </c>
      <c r="E636" s="13" t="s">
        <v>1802</v>
      </c>
      <c r="F636" s="13" t="s">
        <v>8860</v>
      </c>
      <c r="G636" s="13" t="s">
        <v>19</v>
      </c>
      <c r="H636" s="13" t="s">
        <v>3</v>
      </c>
      <c r="I636" s="13" t="s">
        <v>390</v>
      </c>
      <c r="J636" s="13" t="s">
        <v>21</v>
      </c>
      <c r="K636" s="13" t="s">
        <v>8423</v>
      </c>
      <c r="L636" s="13" t="s">
        <v>18</v>
      </c>
      <c r="M636" t="s">
        <v>3</v>
      </c>
    </row>
    <row r="637" spans="1:13" x14ac:dyDescent="0.25">
      <c r="A637" s="13" t="s">
        <v>1803</v>
      </c>
      <c r="B637" s="13" t="s">
        <v>1803</v>
      </c>
      <c r="C637" s="13" t="s">
        <v>1804</v>
      </c>
      <c r="D637" s="13">
        <v>40</v>
      </c>
      <c r="E637" s="13" t="s">
        <v>1805</v>
      </c>
      <c r="F637" s="13" t="s">
        <v>8869</v>
      </c>
      <c r="G637" s="13" t="s">
        <v>2</v>
      </c>
      <c r="H637" s="13" t="s">
        <v>9000</v>
      </c>
      <c r="I637" s="13" t="s">
        <v>706</v>
      </c>
      <c r="J637" s="13" t="s">
        <v>8890</v>
      </c>
      <c r="K637" s="13" t="s">
        <v>8419</v>
      </c>
      <c r="L637" s="13" t="s">
        <v>8918</v>
      </c>
      <c r="M637" t="s">
        <v>10688</v>
      </c>
    </row>
    <row r="638" spans="1:13" x14ac:dyDescent="0.25">
      <c r="A638" s="13" t="s">
        <v>1806</v>
      </c>
      <c r="B638" s="13" t="s">
        <v>1806</v>
      </c>
      <c r="C638" s="13" t="s">
        <v>1807</v>
      </c>
      <c r="D638" s="13">
        <v>300</v>
      </c>
      <c r="E638" s="13" t="s">
        <v>1807</v>
      </c>
      <c r="F638" s="13" t="s">
        <v>8869</v>
      </c>
      <c r="G638" s="13" t="s">
        <v>2</v>
      </c>
      <c r="H638" s="13" t="s">
        <v>8421</v>
      </c>
      <c r="I638" s="13" t="s">
        <v>447</v>
      </c>
      <c r="J638" s="13" t="s">
        <v>8890</v>
      </c>
      <c r="K638" s="13" t="s">
        <v>8421</v>
      </c>
      <c r="L638" s="13" t="s">
        <v>8918</v>
      </c>
      <c r="M638" t="s">
        <v>10690</v>
      </c>
    </row>
    <row r="639" spans="1:13" ht="26.25" x14ac:dyDescent="0.25">
      <c r="A639" s="13" t="s">
        <v>1808</v>
      </c>
      <c r="B639" s="13" t="s">
        <v>1808</v>
      </c>
      <c r="C639" s="13" t="s">
        <v>1808</v>
      </c>
      <c r="D639" s="13">
        <v>0</v>
      </c>
      <c r="E639" s="13" t="s">
        <v>1809</v>
      </c>
      <c r="F639" s="13" t="s">
        <v>8860</v>
      </c>
      <c r="G639" s="13" t="s">
        <v>19</v>
      </c>
      <c r="H639" s="13" t="s">
        <v>3</v>
      </c>
      <c r="I639" s="13" t="s">
        <v>1254</v>
      </c>
      <c r="J639" s="13" t="s">
        <v>21</v>
      </c>
      <c r="K639" s="13" t="s">
        <v>8508</v>
      </c>
      <c r="L639" s="13" t="s">
        <v>18</v>
      </c>
      <c r="M639" t="s">
        <v>3</v>
      </c>
    </row>
    <row r="640" spans="1:13" ht="26.25" x14ac:dyDescent="0.25">
      <c r="A640" s="13" t="s">
        <v>1810</v>
      </c>
      <c r="B640" s="13" t="s">
        <v>1811</v>
      </c>
      <c r="C640" s="13" t="s">
        <v>1812</v>
      </c>
      <c r="D640" s="13">
        <v>20</v>
      </c>
      <c r="E640" s="13" t="s">
        <v>1813</v>
      </c>
      <c r="F640" s="13" t="s">
        <v>8870</v>
      </c>
      <c r="G640" s="13" t="s">
        <v>19</v>
      </c>
      <c r="H640" s="13" t="s">
        <v>3</v>
      </c>
      <c r="I640" s="13" t="s">
        <v>1254</v>
      </c>
      <c r="J640" s="13" t="s">
        <v>410</v>
      </c>
      <c r="K640" s="13" t="s">
        <v>8508</v>
      </c>
      <c r="L640" s="13" t="s">
        <v>8942</v>
      </c>
      <c r="M640" t="s">
        <v>3</v>
      </c>
    </row>
    <row r="641" spans="1:13" ht="26.25" x14ac:dyDescent="0.25">
      <c r="A641" s="13" t="s">
        <v>1814</v>
      </c>
      <c r="B641" s="13" t="s">
        <v>1815</v>
      </c>
      <c r="C641" s="13" t="s">
        <v>1816</v>
      </c>
      <c r="D641" s="13">
        <v>25</v>
      </c>
      <c r="E641" s="13" t="s">
        <v>1817</v>
      </c>
      <c r="F641" s="13" t="s">
        <v>275</v>
      </c>
      <c r="G641" s="13" t="s">
        <v>19</v>
      </c>
      <c r="H641" s="13" t="s">
        <v>3</v>
      </c>
      <c r="I641" s="13" t="s">
        <v>1254</v>
      </c>
      <c r="J641" s="13" t="s">
        <v>276</v>
      </c>
      <c r="K641" s="13" t="s">
        <v>8508</v>
      </c>
      <c r="L641" s="13" t="s">
        <v>275</v>
      </c>
      <c r="M641" t="s">
        <v>3</v>
      </c>
    </row>
    <row r="642" spans="1:13" ht="26.25" x14ac:dyDescent="0.25">
      <c r="A642" s="13" t="s">
        <v>1818</v>
      </c>
      <c r="B642" s="13" t="s">
        <v>1819</v>
      </c>
      <c r="C642" s="13" t="s">
        <v>1820</v>
      </c>
      <c r="D642" s="13">
        <v>10</v>
      </c>
      <c r="E642" s="13" t="s">
        <v>1821</v>
      </c>
      <c r="F642" s="13" t="s">
        <v>8860</v>
      </c>
      <c r="G642" s="13" t="s">
        <v>19</v>
      </c>
      <c r="H642" s="13" t="s">
        <v>3</v>
      </c>
      <c r="I642" s="13" t="s">
        <v>1254</v>
      </c>
      <c r="J642" s="13" t="s">
        <v>21</v>
      </c>
      <c r="K642" s="13" t="s">
        <v>8508</v>
      </c>
      <c r="L642" s="13" t="s">
        <v>18</v>
      </c>
      <c r="M642" t="s">
        <v>3</v>
      </c>
    </row>
    <row r="643" spans="1:13" x14ac:dyDescent="0.25">
      <c r="A643" s="13" t="s">
        <v>1822</v>
      </c>
      <c r="B643" s="13" t="s">
        <v>1823</v>
      </c>
      <c r="C643" s="13" t="s">
        <v>1824</v>
      </c>
      <c r="D643" s="13">
        <v>20</v>
      </c>
      <c r="E643" s="13" t="s">
        <v>1825</v>
      </c>
      <c r="F643" s="13" t="s">
        <v>8871</v>
      </c>
      <c r="G643" s="13" t="s">
        <v>2</v>
      </c>
      <c r="H643" s="13" t="s">
        <v>3</v>
      </c>
      <c r="I643" s="13" t="s">
        <v>1254</v>
      </c>
      <c r="J643" s="13" t="s">
        <v>410</v>
      </c>
      <c r="K643" s="13" t="s">
        <v>8508</v>
      </c>
      <c r="L643" s="13" t="s">
        <v>8943</v>
      </c>
      <c r="M643" t="s">
        <v>3</v>
      </c>
    </row>
    <row r="644" spans="1:13" ht="26.25" x14ac:dyDescent="0.25">
      <c r="A644" s="13" t="s">
        <v>1826</v>
      </c>
      <c r="B644" s="13" t="s">
        <v>1826</v>
      </c>
      <c r="C644" s="13" t="s">
        <v>1827</v>
      </c>
      <c r="D644" s="13">
        <v>3</v>
      </c>
      <c r="E644" s="13" t="s">
        <v>1828</v>
      </c>
      <c r="F644" s="13" t="s">
        <v>8860</v>
      </c>
      <c r="G644" s="13" t="s">
        <v>19</v>
      </c>
      <c r="H644" s="13" t="s">
        <v>3</v>
      </c>
      <c r="I644" s="13" t="s">
        <v>1829</v>
      </c>
      <c r="J644" s="13" t="s">
        <v>21</v>
      </c>
      <c r="K644" s="13" t="s">
        <v>8560</v>
      </c>
      <c r="L644" s="13" t="s">
        <v>18</v>
      </c>
      <c r="M644" t="s">
        <v>3</v>
      </c>
    </row>
    <row r="645" spans="1:13" x14ac:dyDescent="0.25">
      <c r="A645" s="13" t="s">
        <v>1830</v>
      </c>
      <c r="B645" s="13" t="s">
        <v>1831</v>
      </c>
      <c r="C645" s="13" t="s">
        <v>1832</v>
      </c>
      <c r="D645" s="13">
        <v>7.2</v>
      </c>
      <c r="E645" s="13" t="s">
        <v>1833</v>
      </c>
      <c r="F645" s="13" t="s">
        <v>8869</v>
      </c>
      <c r="G645" s="13" t="s">
        <v>2</v>
      </c>
      <c r="H645" s="13" t="s">
        <v>3</v>
      </c>
      <c r="I645" s="13" t="s">
        <v>1834</v>
      </c>
      <c r="J645" s="13" t="s">
        <v>8890</v>
      </c>
      <c r="K645" s="13" t="s">
        <v>3164</v>
      </c>
      <c r="L645" s="13" t="s">
        <v>8918</v>
      </c>
      <c r="M645" t="s">
        <v>3</v>
      </c>
    </row>
    <row r="646" spans="1:13" ht="26.25" x14ac:dyDescent="0.25">
      <c r="A646" s="13" t="s">
        <v>1835</v>
      </c>
      <c r="B646" s="13" t="s">
        <v>1835</v>
      </c>
      <c r="C646" s="13" t="s">
        <v>1835</v>
      </c>
      <c r="D646" s="14">
        <v>9999</v>
      </c>
      <c r="E646" s="13" t="s">
        <v>1836</v>
      </c>
      <c r="F646" s="13" t="s">
        <v>855</v>
      </c>
      <c r="G646" s="13" t="s">
        <v>19</v>
      </c>
      <c r="H646" s="13" t="s">
        <v>3</v>
      </c>
      <c r="I646" s="13" t="s">
        <v>447</v>
      </c>
      <c r="J646" s="13" t="s">
        <v>856</v>
      </c>
      <c r="K646" s="13" t="s">
        <v>8421</v>
      </c>
      <c r="L646" s="13" t="s">
        <v>855</v>
      </c>
      <c r="M646" t="s">
        <v>3</v>
      </c>
    </row>
    <row r="647" spans="1:13" x14ac:dyDescent="0.25">
      <c r="A647" s="13" t="s">
        <v>1837</v>
      </c>
      <c r="B647" s="13" t="s">
        <v>1837</v>
      </c>
      <c r="C647" s="13" t="s">
        <v>1837</v>
      </c>
      <c r="D647" s="14">
        <v>9999</v>
      </c>
      <c r="E647" s="13" t="s">
        <v>1838</v>
      </c>
      <c r="F647" s="13" t="s">
        <v>855</v>
      </c>
      <c r="G647" s="13" t="s">
        <v>2</v>
      </c>
      <c r="H647" s="13" t="s">
        <v>3</v>
      </c>
      <c r="I647" s="13" t="s">
        <v>447</v>
      </c>
      <c r="J647" s="13" t="s">
        <v>856</v>
      </c>
      <c r="K647" s="13" t="s">
        <v>8421</v>
      </c>
      <c r="L647" s="13" t="s">
        <v>855</v>
      </c>
      <c r="M647" t="s">
        <v>3</v>
      </c>
    </row>
    <row r="648" spans="1:13" ht="26.25" x14ac:dyDescent="0.25">
      <c r="A648" s="13" t="s">
        <v>1839</v>
      </c>
      <c r="B648" s="13" t="s">
        <v>1840</v>
      </c>
      <c r="C648" s="13" t="s">
        <v>9024</v>
      </c>
      <c r="D648" s="13">
        <v>0</v>
      </c>
      <c r="E648" s="13" t="s">
        <v>1841</v>
      </c>
      <c r="F648" s="13" t="s">
        <v>8860</v>
      </c>
      <c r="G648" s="13" t="s">
        <v>19</v>
      </c>
      <c r="H648" s="13" t="s">
        <v>3</v>
      </c>
      <c r="I648" s="13" t="s">
        <v>447</v>
      </c>
      <c r="J648" s="13" t="s">
        <v>21</v>
      </c>
      <c r="K648" s="13" t="s">
        <v>8421</v>
      </c>
      <c r="L648" s="13" t="s">
        <v>18</v>
      </c>
      <c r="M648" t="s">
        <v>3</v>
      </c>
    </row>
    <row r="649" spans="1:13" ht="39" x14ac:dyDescent="0.25">
      <c r="A649" s="13" t="s">
        <v>1842</v>
      </c>
      <c r="B649" s="13" t="s">
        <v>1842</v>
      </c>
      <c r="C649" s="13" t="s">
        <v>9025</v>
      </c>
      <c r="D649" s="13">
        <v>500</v>
      </c>
      <c r="E649" s="13" t="s">
        <v>1843</v>
      </c>
      <c r="F649" s="13" t="s">
        <v>8870</v>
      </c>
      <c r="G649" s="13" t="s">
        <v>19</v>
      </c>
      <c r="H649" s="13" t="s">
        <v>3</v>
      </c>
      <c r="I649" s="13" t="s">
        <v>447</v>
      </c>
      <c r="J649" s="13" t="s">
        <v>410</v>
      </c>
      <c r="K649" s="13" t="s">
        <v>8421</v>
      </c>
      <c r="L649" s="13" t="s">
        <v>8942</v>
      </c>
      <c r="M649" t="s">
        <v>3</v>
      </c>
    </row>
    <row r="650" spans="1:13" ht="39" x14ac:dyDescent="0.25">
      <c r="A650" s="13" t="s">
        <v>1844</v>
      </c>
      <c r="B650" s="13" t="s">
        <v>1844</v>
      </c>
      <c r="C650" s="13" t="s">
        <v>9026</v>
      </c>
      <c r="D650" s="14">
        <v>1400</v>
      </c>
      <c r="E650" s="13" t="s">
        <v>1845</v>
      </c>
      <c r="F650" s="13" t="s">
        <v>8871</v>
      </c>
      <c r="G650" s="13" t="s">
        <v>2</v>
      </c>
      <c r="H650" s="13" t="s">
        <v>3</v>
      </c>
      <c r="I650" s="13" t="s">
        <v>447</v>
      </c>
      <c r="J650" s="13" t="s">
        <v>410</v>
      </c>
      <c r="K650" s="13" t="s">
        <v>8421</v>
      </c>
      <c r="L650" s="13" t="s">
        <v>8943</v>
      </c>
      <c r="M650" t="s">
        <v>3</v>
      </c>
    </row>
    <row r="651" spans="1:13" ht="26.25" x14ac:dyDescent="0.25">
      <c r="A651" s="13" t="s">
        <v>1846</v>
      </c>
      <c r="B651" s="13" t="s">
        <v>1846</v>
      </c>
      <c r="C651" s="13" t="s">
        <v>1847</v>
      </c>
      <c r="D651" s="13">
        <v>2.4</v>
      </c>
      <c r="E651" s="13" t="s">
        <v>1848</v>
      </c>
      <c r="F651" s="13" t="s">
        <v>275</v>
      </c>
      <c r="G651" s="13" t="s">
        <v>19</v>
      </c>
      <c r="H651" s="13" t="s">
        <v>3</v>
      </c>
      <c r="I651" s="13" t="s">
        <v>447</v>
      </c>
      <c r="J651" s="13" t="s">
        <v>276</v>
      </c>
      <c r="K651" s="13" t="s">
        <v>8421</v>
      </c>
      <c r="L651" s="13" t="s">
        <v>275</v>
      </c>
      <c r="M651" t="s">
        <v>3</v>
      </c>
    </row>
    <row r="652" spans="1:13" ht="26.25" x14ac:dyDescent="0.25">
      <c r="A652" s="13" t="s">
        <v>1849</v>
      </c>
      <c r="B652" s="13" t="s">
        <v>1849</v>
      </c>
      <c r="C652" s="13" t="s">
        <v>1850</v>
      </c>
      <c r="D652" s="14">
        <v>9999</v>
      </c>
      <c r="E652" s="13" t="s">
        <v>1851</v>
      </c>
      <c r="F652" s="13" t="s">
        <v>855</v>
      </c>
      <c r="G652" s="13" t="s">
        <v>19</v>
      </c>
      <c r="H652" s="13" t="s">
        <v>3</v>
      </c>
      <c r="I652" s="13" t="s">
        <v>447</v>
      </c>
      <c r="J652" s="13" t="s">
        <v>856</v>
      </c>
      <c r="K652" s="13" t="s">
        <v>8421</v>
      </c>
      <c r="L652" s="13" t="s">
        <v>855</v>
      </c>
      <c r="M652" t="s">
        <v>3</v>
      </c>
    </row>
    <row r="653" spans="1:13" x14ac:dyDescent="0.25">
      <c r="A653" s="13" t="s">
        <v>1852</v>
      </c>
      <c r="B653" s="13" t="s">
        <v>1852</v>
      </c>
      <c r="C653" s="13" t="s">
        <v>1853</v>
      </c>
      <c r="D653" s="14">
        <v>9999</v>
      </c>
      <c r="E653" s="13" t="s">
        <v>1854</v>
      </c>
      <c r="F653" s="13" t="s">
        <v>855</v>
      </c>
      <c r="G653" s="13" t="s">
        <v>2</v>
      </c>
      <c r="H653" s="13" t="s">
        <v>3</v>
      </c>
      <c r="I653" s="13" t="s">
        <v>447</v>
      </c>
      <c r="J653" s="13" t="s">
        <v>856</v>
      </c>
      <c r="K653" s="13" t="s">
        <v>8421</v>
      </c>
      <c r="L653" s="13" t="s">
        <v>855</v>
      </c>
      <c r="M653" t="s">
        <v>3</v>
      </c>
    </row>
    <row r="654" spans="1:13" x14ac:dyDescent="0.25">
      <c r="A654" s="13" t="s">
        <v>1855</v>
      </c>
      <c r="B654" s="13" t="s">
        <v>1855</v>
      </c>
      <c r="C654" s="13" t="s">
        <v>1855</v>
      </c>
      <c r="D654" s="13">
        <v>16.399999999999999</v>
      </c>
      <c r="E654" s="13" t="s">
        <v>1856</v>
      </c>
      <c r="F654" s="13" t="s">
        <v>8869</v>
      </c>
      <c r="G654" s="13" t="s">
        <v>2</v>
      </c>
      <c r="H654" s="13" t="s">
        <v>3</v>
      </c>
      <c r="I654" s="13" t="s">
        <v>516</v>
      </c>
      <c r="J654" s="13" t="s">
        <v>8890</v>
      </c>
      <c r="K654" s="13" t="s">
        <v>516</v>
      </c>
      <c r="L654" s="13" t="s">
        <v>8918</v>
      </c>
      <c r="M654" t="s">
        <v>3</v>
      </c>
    </row>
    <row r="655" spans="1:13" x14ac:dyDescent="0.25">
      <c r="A655" s="13" t="s">
        <v>1857</v>
      </c>
      <c r="B655" s="13" t="s">
        <v>1857</v>
      </c>
      <c r="C655" s="13" t="s">
        <v>1858</v>
      </c>
      <c r="D655" s="13">
        <v>19.8</v>
      </c>
      <c r="E655" s="13" t="s">
        <v>1858</v>
      </c>
      <c r="F655" s="13" t="s">
        <v>8869</v>
      </c>
      <c r="G655" s="13" t="s">
        <v>2</v>
      </c>
      <c r="H655" s="13" t="s">
        <v>3</v>
      </c>
      <c r="I655" s="13" t="s">
        <v>447</v>
      </c>
      <c r="J655" s="13" t="s">
        <v>8890</v>
      </c>
      <c r="K655" s="13" t="s">
        <v>8421</v>
      </c>
      <c r="L655" s="13" t="s">
        <v>8918</v>
      </c>
      <c r="M655" t="s">
        <v>3</v>
      </c>
    </row>
    <row r="656" spans="1:13" ht="26.25" x14ac:dyDescent="0.25">
      <c r="A656" s="13" t="s">
        <v>10133</v>
      </c>
      <c r="B656" s="13" t="s">
        <v>10133</v>
      </c>
      <c r="C656" s="13" t="s">
        <v>10133</v>
      </c>
      <c r="D656" s="13">
        <v>1</v>
      </c>
      <c r="E656" s="13" t="s">
        <v>10134</v>
      </c>
      <c r="F656" s="13" t="s">
        <v>8860</v>
      </c>
      <c r="G656" s="13" t="s">
        <v>19</v>
      </c>
      <c r="H656" s="13" t="s">
        <v>3</v>
      </c>
      <c r="I656" s="13" t="s">
        <v>10135</v>
      </c>
      <c r="J656" s="13" t="s">
        <v>21</v>
      </c>
      <c r="K656" s="13" t="s">
        <v>10136</v>
      </c>
      <c r="L656" s="13" t="s">
        <v>18</v>
      </c>
      <c r="M656" t="s">
        <v>3</v>
      </c>
    </row>
    <row r="657" spans="1:13" x14ac:dyDescent="0.25">
      <c r="A657" s="13" t="s">
        <v>1859</v>
      </c>
      <c r="B657" s="13" t="s">
        <v>1860</v>
      </c>
      <c r="C657" s="13" t="s">
        <v>1861</v>
      </c>
      <c r="D657" s="14">
        <v>2281.1</v>
      </c>
      <c r="E657" s="13" t="s">
        <v>1862</v>
      </c>
      <c r="F657" s="13" t="s">
        <v>8869</v>
      </c>
      <c r="G657" s="13" t="s">
        <v>2</v>
      </c>
      <c r="H657" s="13" t="s">
        <v>3</v>
      </c>
      <c r="I657" s="13" t="s">
        <v>1254</v>
      </c>
      <c r="J657" s="13" t="s">
        <v>8890</v>
      </c>
      <c r="K657" s="13" t="s">
        <v>8508</v>
      </c>
      <c r="L657" s="13" t="s">
        <v>8918</v>
      </c>
      <c r="M657" t="s">
        <v>3</v>
      </c>
    </row>
    <row r="658" spans="1:13" ht="26.25" x14ac:dyDescent="0.25">
      <c r="A658" s="13" t="s">
        <v>1863</v>
      </c>
      <c r="B658" s="13" t="s">
        <v>1864</v>
      </c>
      <c r="C658" s="13" t="s">
        <v>1865</v>
      </c>
      <c r="D658" s="14">
        <v>1085.3</v>
      </c>
      <c r="E658" s="13" t="s">
        <v>1866</v>
      </c>
      <c r="F658" s="13" t="s">
        <v>8869</v>
      </c>
      <c r="G658" s="13" t="s">
        <v>2</v>
      </c>
      <c r="H658" s="13" t="s">
        <v>9027</v>
      </c>
      <c r="I658" s="13" t="s">
        <v>1254</v>
      </c>
      <c r="J658" s="13" t="s">
        <v>8890</v>
      </c>
      <c r="K658" s="13" t="s">
        <v>8508</v>
      </c>
      <c r="L658" s="13" t="s">
        <v>8918</v>
      </c>
      <c r="M658" t="s">
        <v>10705</v>
      </c>
    </row>
    <row r="659" spans="1:13" x14ac:dyDescent="0.25">
      <c r="A659" s="13" t="s">
        <v>9028</v>
      </c>
      <c r="B659" s="13" t="s">
        <v>9028</v>
      </c>
      <c r="C659" s="13" t="s">
        <v>9028</v>
      </c>
      <c r="D659" s="13">
        <v>103.3</v>
      </c>
      <c r="E659" s="13" t="s">
        <v>9029</v>
      </c>
      <c r="F659" s="13" t="s">
        <v>9717</v>
      </c>
      <c r="G659" s="13" t="s">
        <v>2</v>
      </c>
      <c r="H659" s="13" t="s">
        <v>9027</v>
      </c>
      <c r="I659" s="13" t="s">
        <v>1254</v>
      </c>
      <c r="J659" s="13" t="s">
        <v>9004</v>
      </c>
      <c r="K659" s="13" t="s">
        <v>8508</v>
      </c>
      <c r="L659" s="13" t="s">
        <v>10023</v>
      </c>
      <c r="M659" t="s">
        <v>10705</v>
      </c>
    </row>
    <row r="660" spans="1:13" x14ac:dyDescent="0.25">
      <c r="A660" s="13" t="s">
        <v>9863</v>
      </c>
      <c r="B660" s="13" t="s">
        <v>9863</v>
      </c>
      <c r="C660" s="13" t="s">
        <v>9863</v>
      </c>
      <c r="D660" s="13">
        <v>21.6</v>
      </c>
      <c r="E660" s="13" t="s">
        <v>9864</v>
      </c>
      <c r="F660" s="13" t="s">
        <v>8869</v>
      </c>
      <c r="G660" s="13" t="s">
        <v>2</v>
      </c>
      <c r="H660" s="13" t="s">
        <v>9886</v>
      </c>
      <c r="I660" s="13" t="s">
        <v>1978</v>
      </c>
      <c r="J660" s="13" t="s">
        <v>8890</v>
      </c>
      <c r="K660" s="13" t="s">
        <v>8570</v>
      </c>
      <c r="L660" s="13" t="s">
        <v>8918</v>
      </c>
      <c r="M660" t="s">
        <v>4305</v>
      </c>
    </row>
    <row r="661" spans="1:13" ht="26.25" x14ac:dyDescent="0.25">
      <c r="A661" s="13" t="s">
        <v>9865</v>
      </c>
      <c r="B661" s="13" t="s">
        <v>9865</v>
      </c>
      <c r="C661" s="13" t="s">
        <v>9865</v>
      </c>
      <c r="D661" s="13">
        <v>16</v>
      </c>
      <c r="E661" s="13" t="s">
        <v>9866</v>
      </c>
      <c r="F661" s="13" t="s">
        <v>8869</v>
      </c>
      <c r="G661" s="13" t="s">
        <v>2</v>
      </c>
      <c r="H661" s="13" t="s">
        <v>9886</v>
      </c>
      <c r="I661" s="13" t="s">
        <v>1978</v>
      </c>
      <c r="J661" s="13" t="s">
        <v>8890</v>
      </c>
      <c r="K661" s="13" t="s">
        <v>8570</v>
      </c>
      <c r="L661" s="13" t="s">
        <v>8918</v>
      </c>
      <c r="M661" t="s">
        <v>4305</v>
      </c>
    </row>
    <row r="662" spans="1:13" x14ac:dyDescent="0.25">
      <c r="A662" s="13" t="s">
        <v>11191</v>
      </c>
      <c r="B662" s="13" t="s">
        <v>11191</v>
      </c>
      <c r="C662" s="13" t="s">
        <v>11191</v>
      </c>
      <c r="D662" s="13">
        <v>39</v>
      </c>
      <c r="E662" s="13" t="s">
        <v>11192</v>
      </c>
      <c r="F662" s="13" t="s">
        <v>8869</v>
      </c>
      <c r="G662" s="13" t="s">
        <v>2</v>
      </c>
      <c r="H662" s="13" t="s">
        <v>3</v>
      </c>
      <c r="I662" s="13" t="s">
        <v>1978</v>
      </c>
      <c r="J662" s="13" t="s">
        <v>8890</v>
      </c>
      <c r="K662" s="13" t="s">
        <v>8570</v>
      </c>
      <c r="L662" s="13" t="s">
        <v>8918</v>
      </c>
      <c r="M662" t="s">
        <v>3</v>
      </c>
    </row>
    <row r="663" spans="1:13" x14ac:dyDescent="0.25">
      <c r="A663" s="13" t="s">
        <v>11193</v>
      </c>
      <c r="B663" s="13" t="s">
        <v>11193</v>
      </c>
      <c r="C663" s="13" t="s">
        <v>11193</v>
      </c>
      <c r="D663" s="13">
        <v>51</v>
      </c>
      <c r="E663" s="13" t="s">
        <v>11194</v>
      </c>
      <c r="F663" s="13" t="s">
        <v>8869</v>
      </c>
      <c r="G663" s="13" t="s">
        <v>2</v>
      </c>
      <c r="H663" s="13" t="s">
        <v>3</v>
      </c>
      <c r="I663" s="13" t="s">
        <v>1978</v>
      </c>
      <c r="J663" s="13" t="s">
        <v>8890</v>
      </c>
      <c r="K663" s="13" t="s">
        <v>8570</v>
      </c>
      <c r="L663" s="13" t="s">
        <v>8918</v>
      </c>
      <c r="M663" t="s">
        <v>3</v>
      </c>
    </row>
    <row r="664" spans="1:13" x14ac:dyDescent="0.25">
      <c r="A664" s="13" t="s">
        <v>11967</v>
      </c>
      <c r="B664" s="13" t="s">
        <v>11967</v>
      </c>
      <c r="C664" s="13" t="s">
        <v>11967</v>
      </c>
      <c r="D664" s="13">
        <v>107.5</v>
      </c>
      <c r="E664" s="13" t="s">
        <v>11968</v>
      </c>
      <c r="F664" s="13" t="s">
        <v>8869</v>
      </c>
      <c r="G664" s="13" t="s">
        <v>2</v>
      </c>
      <c r="H664" s="13" t="s">
        <v>3</v>
      </c>
      <c r="I664" s="13" t="s">
        <v>1978</v>
      </c>
      <c r="J664" s="13" t="s">
        <v>8890</v>
      </c>
      <c r="K664" s="13" t="s">
        <v>8570</v>
      </c>
      <c r="L664" s="13" t="s">
        <v>8918</v>
      </c>
      <c r="M664" t="s">
        <v>3</v>
      </c>
    </row>
    <row r="665" spans="1:13" x14ac:dyDescent="0.25">
      <c r="A665" s="13" t="s">
        <v>1867</v>
      </c>
      <c r="B665" s="13" t="s">
        <v>1867</v>
      </c>
      <c r="C665" s="13" t="s">
        <v>1867</v>
      </c>
      <c r="D665" s="13">
        <v>128</v>
      </c>
      <c r="E665" s="13" t="s">
        <v>1868</v>
      </c>
      <c r="F665" s="13" t="s">
        <v>8869</v>
      </c>
      <c r="G665" s="13" t="s">
        <v>2</v>
      </c>
      <c r="H665" s="13" t="s">
        <v>3</v>
      </c>
      <c r="I665" s="13" t="s">
        <v>516</v>
      </c>
      <c r="J665" s="13" t="s">
        <v>8890</v>
      </c>
      <c r="K665" s="13" t="s">
        <v>516</v>
      </c>
      <c r="L665" s="13" t="s">
        <v>8918</v>
      </c>
      <c r="M665" t="s">
        <v>3</v>
      </c>
    </row>
    <row r="666" spans="1:13" x14ac:dyDescent="0.25">
      <c r="A666" s="13" t="s">
        <v>1869</v>
      </c>
      <c r="B666" s="13" t="s">
        <v>1870</v>
      </c>
      <c r="C666" s="13" t="s">
        <v>1870</v>
      </c>
      <c r="D666" s="14">
        <v>34.6</v>
      </c>
      <c r="E666" s="13" t="s">
        <v>1871</v>
      </c>
      <c r="F666" s="13" t="s">
        <v>8869</v>
      </c>
      <c r="G666" s="13" t="s">
        <v>2</v>
      </c>
      <c r="H666" s="13" t="s">
        <v>8422</v>
      </c>
      <c r="I666" s="13" t="s">
        <v>1263</v>
      </c>
      <c r="J666" s="13" t="s">
        <v>8890</v>
      </c>
      <c r="K666" s="13" t="s">
        <v>8422</v>
      </c>
      <c r="L666" s="13" t="s">
        <v>8918</v>
      </c>
      <c r="M666" t="s">
        <v>10689</v>
      </c>
    </row>
    <row r="667" spans="1:13" x14ac:dyDescent="0.25">
      <c r="A667" s="13" t="s">
        <v>1872</v>
      </c>
      <c r="B667" s="13" t="s">
        <v>1872</v>
      </c>
      <c r="C667" s="13" t="s">
        <v>1872</v>
      </c>
      <c r="D667" s="13">
        <v>5808.2</v>
      </c>
      <c r="E667" s="13" t="s">
        <v>1873</v>
      </c>
      <c r="F667" s="13" t="s">
        <v>8869</v>
      </c>
      <c r="G667" s="13" t="s">
        <v>2</v>
      </c>
      <c r="H667" s="13" t="s">
        <v>3</v>
      </c>
      <c r="I667" s="13" t="s">
        <v>137</v>
      </c>
      <c r="J667" s="13" t="s">
        <v>8890</v>
      </c>
      <c r="K667" s="13" t="s">
        <v>8429</v>
      </c>
      <c r="L667" s="13" t="s">
        <v>8918</v>
      </c>
      <c r="M667" t="s">
        <v>3</v>
      </c>
    </row>
    <row r="668" spans="1:13" x14ac:dyDescent="0.25">
      <c r="A668" s="13" t="s">
        <v>11761</v>
      </c>
      <c r="B668" s="13" t="s">
        <v>11761</v>
      </c>
      <c r="C668" s="13" t="s">
        <v>11762</v>
      </c>
      <c r="D668" s="13">
        <v>23.1</v>
      </c>
      <c r="E668" s="13" t="s">
        <v>11763</v>
      </c>
      <c r="F668" s="13" t="s">
        <v>9717</v>
      </c>
      <c r="G668" s="13" t="s">
        <v>2</v>
      </c>
      <c r="H668" s="13" t="s">
        <v>3</v>
      </c>
      <c r="I668" s="13" t="s">
        <v>1263</v>
      </c>
      <c r="J668" s="13" t="s">
        <v>9004</v>
      </c>
      <c r="K668" s="13" t="s">
        <v>8422</v>
      </c>
      <c r="L668" s="13" t="s">
        <v>10023</v>
      </c>
      <c r="M668" t="s">
        <v>3</v>
      </c>
    </row>
    <row r="669" spans="1:13" x14ac:dyDescent="0.25">
      <c r="A669" s="13" t="s">
        <v>11764</v>
      </c>
      <c r="B669" s="13" t="s">
        <v>11764</v>
      </c>
      <c r="C669" s="13" t="s">
        <v>11765</v>
      </c>
      <c r="D669" s="13">
        <v>23</v>
      </c>
      <c r="E669" s="13" t="s">
        <v>11766</v>
      </c>
      <c r="F669" s="13" t="s">
        <v>9717</v>
      </c>
      <c r="G669" s="13" t="s">
        <v>2</v>
      </c>
      <c r="H669" s="13" t="s">
        <v>3</v>
      </c>
      <c r="I669" s="13" t="s">
        <v>1263</v>
      </c>
      <c r="J669" s="13" t="s">
        <v>9004</v>
      </c>
      <c r="K669" s="13" t="s">
        <v>8422</v>
      </c>
      <c r="L669" s="13" t="s">
        <v>10023</v>
      </c>
      <c r="M669" t="s">
        <v>3</v>
      </c>
    </row>
    <row r="670" spans="1:13" ht="26.25" x14ac:dyDescent="0.25">
      <c r="A670" s="13" t="s">
        <v>1874</v>
      </c>
      <c r="B670" s="13" t="s">
        <v>1875</v>
      </c>
      <c r="C670" s="13" t="s">
        <v>1875</v>
      </c>
      <c r="D670" s="13">
        <v>3</v>
      </c>
      <c r="E670" s="13" t="s">
        <v>1876</v>
      </c>
      <c r="F670" s="13" t="s">
        <v>8860</v>
      </c>
      <c r="G670" s="13" t="s">
        <v>19</v>
      </c>
      <c r="H670" s="13" t="s">
        <v>3</v>
      </c>
      <c r="I670" s="13" t="s">
        <v>1877</v>
      </c>
      <c r="J670" s="13" t="s">
        <v>21</v>
      </c>
      <c r="K670" s="13" t="s">
        <v>8561</v>
      </c>
      <c r="L670" s="13" t="s">
        <v>18</v>
      </c>
      <c r="M670" t="s">
        <v>3</v>
      </c>
    </row>
    <row r="671" spans="1:13" x14ac:dyDescent="0.25">
      <c r="A671" s="13" t="s">
        <v>1878</v>
      </c>
      <c r="B671" s="13" t="s">
        <v>1878</v>
      </c>
      <c r="C671" s="13" t="s">
        <v>1879</v>
      </c>
      <c r="D671" s="13">
        <v>39</v>
      </c>
      <c r="E671" s="13" t="s">
        <v>1879</v>
      </c>
      <c r="F671" s="13" t="s">
        <v>8869</v>
      </c>
      <c r="G671" s="13" t="s">
        <v>2</v>
      </c>
      <c r="H671" s="13" t="s">
        <v>3</v>
      </c>
      <c r="I671" s="13" t="s">
        <v>447</v>
      </c>
      <c r="J671" s="13" t="s">
        <v>8890</v>
      </c>
      <c r="K671" s="13" t="s">
        <v>8421</v>
      </c>
      <c r="L671" s="13" t="s">
        <v>8918</v>
      </c>
      <c r="M671" t="s">
        <v>3</v>
      </c>
    </row>
    <row r="672" spans="1:13" x14ac:dyDescent="0.25">
      <c r="A672" s="13" t="s">
        <v>9030</v>
      </c>
      <c r="B672" s="13" t="s">
        <v>9030</v>
      </c>
      <c r="C672" s="13" t="s">
        <v>9030</v>
      </c>
      <c r="D672" s="13">
        <v>104</v>
      </c>
      <c r="E672" s="13" t="s">
        <v>9031</v>
      </c>
      <c r="F672" s="13" t="s">
        <v>8869</v>
      </c>
      <c r="G672" s="13" t="s">
        <v>2</v>
      </c>
      <c r="H672" s="13" t="s">
        <v>3</v>
      </c>
      <c r="I672" s="13" t="s">
        <v>137</v>
      </c>
      <c r="J672" s="13" t="s">
        <v>8890</v>
      </c>
      <c r="K672" s="13" t="s">
        <v>8429</v>
      </c>
      <c r="L672" s="13" t="s">
        <v>8918</v>
      </c>
      <c r="M672" t="s">
        <v>3</v>
      </c>
    </row>
    <row r="673" spans="1:13" x14ac:dyDescent="0.25">
      <c r="A673" s="13" t="s">
        <v>11969</v>
      </c>
      <c r="B673" s="13" t="s">
        <v>11969</v>
      </c>
      <c r="C673" s="13" t="s">
        <v>11969</v>
      </c>
      <c r="D673" s="13">
        <v>110.8</v>
      </c>
      <c r="E673" s="13" t="s">
        <v>11970</v>
      </c>
      <c r="F673" s="13" t="s">
        <v>8869</v>
      </c>
      <c r="G673" s="13" t="s">
        <v>2</v>
      </c>
      <c r="H673" s="13" t="s">
        <v>3</v>
      </c>
      <c r="I673" s="13" t="s">
        <v>137</v>
      </c>
      <c r="J673" s="13" t="s">
        <v>8890</v>
      </c>
      <c r="K673" s="13" t="s">
        <v>8429</v>
      </c>
      <c r="L673" s="13" t="s">
        <v>8918</v>
      </c>
      <c r="M673" t="s">
        <v>3</v>
      </c>
    </row>
    <row r="674" spans="1:13" ht="26.25" x14ac:dyDescent="0.25">
      <c r="A674" s="13" t="s">
        <v>10855</v>
      </c>
      <c r="B674" s="13" t="s">
        <v>10855</v>
      </c>
      <c r="C674" s="13" t="s">
        <v>10855</v>
      </c>
      <c r="D674" s="13">
        <v>0.1</v>
      </c>
      <c r="E674" s="13" t="s">
        <v>10856</v>
      </c>
      <c r="F674" s="13" t="s">
        <v>8860</v>
      </c>
      <c r="G674" s="13" t="s">
        <v>19</v>
      </c>
      <c r="H674" s="13" t="s">
        <v>3</v>
      </c>
      <c r="I674" s="13" t="s">
        <v>10857</v>
      </c>
      <c r="J674" s="13" t="s">
        <v>21</v>
      </c>
      <c r="K674" s="13" t="s">
        <v>10858</v>
      </c>
      <c r="L674" s="13" t="s">
        <v>18</v>
      </c>
      <c r="M674" t="s">
        <v>3</v>
      </c>
    </row>
    <row r="675" spans="1:13" ht="26.25" x14ac:dyDescent="0.25">
      <c r="A675" s="13" t="s">
        <v>1880</v>
      </c>
      <c r="B675" s="13" t="s">
        <v>1881</v>
      </c>
      <c r="C675" s="13" t="s">
        <v>1882</v>
      </c>
      <c r="D675" s="13">
        <v>10</v>
      </c>
      <c r="E675" s="13" t="s">
        <v>1883</v>
      </c>
      <c r="F675" s="13" t="s">
        <v>8860</v>
      </c>
      <c r="G675" s="13" t="s">
        <v>19</v>
      </c>
      <c r="H675" s="13" t="s">
        <v>3</v>
      </c>
      <c r="I675" s="13" t="s">
        <v>1884</v>
      </c>
      <c r="J675" s="13" t="s">
        <v>21</v>
      </c>
      <c r="K675" s="13" t="s">
        <v>8562</v>
      </c>
      <c r="L675" s="13" t="s">
        <v>18</v>
      </c>
      <c r="M675" t="s">
        <v>3</v>
      </c>
    </row>
    <row r="676" spans="1:13" x14ac:dyDescent="0.25">
      <c r="A676" s="13" t="s">
        <v>1885</v>
      </c>
      <c r="B676" s="13" t="s">
        <v>1885</v>
      </c>
      <c r="C676" s="13" t="s">
        <v>1886</v>
      </c>
      <c r="D676" s="13">
        <v>15</v>
      </c>
      <c r="E676" s="13" t="s">
        <v>1886</v>
      </c>
      <c r="F676" s="13" t="s">
        <v>8869</v>
      </c>
      <c r="G676" s="13" t="s">
        <v>2</v>
      </c>
      <c r="H676" s="13" t="s">
        <v>3</v>
      </c>
      <c r="I676" s="13" t="s">
        <v>447</v>
      </c>
      <c r="J676" s="13" t="s">
        <v>8890</v>
      </c>
      <c r="K676" s="13" t="s">
        <v>8421</v>
      </c>
      <c r="L676" s="13" t="s">
        <v>8918</v>
      </c>
      <c r="M676" t="s">
        <v>3</v>
      </c>
    </row>
    <row r="677" spans="1:13" x14ac:dyDescent="0.25">
      <c r="A677" s="13" t="s">
        <v>1887</v>
      </c>
      <c r="B677" s="13" t="s">
        <v>1887</v>
      </c>
      <c r="C677" s="13" t="s">
        <v>1888</v>
      </c>
      <c r="D677" s="13">
        <v>19.8</v>
      </c>
      <c r="E677" s="13" t="s">
        <v>1888</v>
      </c>
      <c r="F677" s="13" t="s">
        <v>8869</v>
      </c>
      <c r="G677" s="13" t="s">
        <v>2</v>
      </c>
      <c r="H677" s="13" t="s">
        <v>3</v>
      </c>
      <c r="I677" s="13" t="s">
        <v>447</v>
      </c>
      <c r="J677" s="13" t="s">
        <v>8890</v>
      </c>
      <c r="K677" s="13" t="s">
        <v>8421</v>
      </c>
      <c r="L677" s="13" t="s">
        <v>8918</v>
      </c>
      <c r="M677" t="s">
        <v>3</v>
      </c>
    </row>
    <row r="678" spans="1:13" x14ac:dyDescent="0.25">
      <c r="A678" s="13" t="s">
        <v>1889</v>
      </c>
      <c r="B678" s="13" t="s">
        <v>1889</v>
      </c>
      <c r="C678" s="13" t="s">
        <v>1890</v>
      </c>
      <c r="D678" s="13">
        <v>9</v>
      </c>
      <c r="E678" s="13" t="s">
        <v>1891</v>
      </c>
      <c r="F678" s="13" t="s">
        <v>8869</v>
      </c>
      <c r="G678" s="13" t="s">
        <v>2</v>
      </c>
      <c r="H678" s="13" t="s">
        <v>3</v>
      </c>
      <c r="I678" s="13" t="s">
        <v>1263</v>
      </c>
      <c r="J678" s="13" t="s">
        <v>8890</v>
      </c>
      <c r="K678" s="13" t="s">
        <v>8422</v>
      </c>
      <c r="L678" s="13" t="s">
        <v>8918</v>
      </c>
      <c r="M678" t="s">
        <v>3</v>
      </c>
    </row>
    <row r="679" spans="1:13" x14ac:dyDescent="0.25">
      <c r="A679" s="13" t="s">
        <v>1892</v>
      </c>
      <c r="B679" s="13" t="s">
        <v>1892</v>
      </c>
      <c r="C679" s="13" t="s">
        <v>1893</v>
      </c>
      <c r="D679" s="13">
        <v>9</v>
      </c>
      <c r="E679" s="13" t="s">
        <v>1894</v>
      </c>
      <c r="F679" s="13" t="s">
        <v>8869</v>
      </c>
      <c r="G679" s="13" t="s">
        <v>2</v>
      </c>
      <c r="H679" s="13" t="s">
        <v>3</v>
      </c>
      <c r="I679" s="13" t="s">
        <v>1263</v>
      </c>
      <c r="J679" s="13" t="s">
        <v>8890</v>
      </c>
      <c r="K679" s="13" t="s">
        <v>8422</v>
      </c>
      <c r="L679" s="13" t="s">
        <v>8918</v>
      </c>
      <c r="M679" t="s">
        <v>3</v>
      </c>
    </row>
    <row r="680" spans="1:13" x14ac:dyDescent="0.25">
      <c r="A680" s="13" t="s">
        <v>1895</v>
      </c>
      <c r="B680" s="13" t="s">
        <v>1895</v>
      </c>
      <c r="C680" s="13" t="s">
        <v>1896</v>
      </c>
      <c r="D680" s="13">
        <v>8</v>
      </c>
      <c r="E680" s="13" t="s">
        <v>1897</v>
      </c>
      <c r="F680" s="13" t="s">
        <v>8869</v>
      </c>
      <c r="G680" s="13" t="s">
        <v>2</v>
      </c>
      <c r="H680" s="13" t="s">
        <v>3</v>
      </c>
      <c r="I680" s="13" t="s">
        <v>1263</v>
      </c>
      <c r="J680" s="13" t="s">
        <v>8890</v>
      </c>
      <c r="K680" s="13" t="s">
        <v>8422</v>
      </c>
      <c r="L680" s="13" t="s">
        <v>8918</v>
      </c>
      <c r="M680" t="s">
        <v>3</v>
      </c>
    </row>
    <row r="681" spans="1:13" x14ac:dyDescent="0.25">
      <c r="A681" s="13" t="s">
        <v>11971</v>
      </c>
      <c r="B681" s="13" t="s">
        <v>11971</v>
      </c>
      <c r="C681" s="13" t="s">
        <v>11972</v>
      </c>
      <c r="D681" s="13">
        <v>4</v>
      </c>
      <c r="E681" s="13" t="s">
        <v>11973</v>
      </c>
      <c r="F681" s="13" t="s">
        <v>8869</v>
      </c>
      <c r="G681" s="13" t="s">
        <v>2</v>
      </c>
      <c r="H681" s="13" t="s">
        <v>3</v>
      </c>
      <c r="I681" s="13" t="s">
        <v>1283</v>
      </c>
      <c r="J681" s="13" t="s">
        <v>8890</v>
      </c>
      <c r="K681" s="13" t="s">
        <v>8524</v>
      </c>
      <c r="L681" s="13" t="s">
        <v>8918</v>
      </c>
      <c r="M681" t="s">
        <v>3</v>
      </c>
    </row>
    <row r="682" spans="1:13" ht="26.25" x14ac:dyDescent="0.25">
      <c r="A682" s="13" t="s">
        <v>1898</v>
      </c>
      <c r="B682" s="13" t="s">
        <v>1899</v>
      </c>
      <c r="C682" s="13" t="s">
        <v>1900</v>
      </c>
      <c r="D682" s="13">
        <v>1</v>
      </c>
      <c r="E682" s="13" t="s">
        <v>1901</v>
      </c>
      <c r="F682" s="13" t="s">
        <v>8860</v>
      </c>
      <c r="G682" s="13" t="s">
        <v>19</v>
      </c>
      <c r="H682" s="13" t="s">
        <v>3</v>
      </c>
      <c r="I682" s="13" t="s">
        <v>1902</v>
      </c>
      <c r="J682" s="13" t="s">
        <v>21</v>
      </c>
      <c r="K682" s="13" t="s">
        <v>1902</v>
      </c>
      <c r="L682" s="13" t="s">
        <v>18</v>
      </c>
      <c r="M682" t="s">
        <v>3</v>
      </c>
    </row>
    <row r="683" spans="1:13" ht="26.25" x14ac:dyDescent="0.25">
      <c r="A683" s="13" t="s">
        <v>1903</v>
      </c>
      <c r="B683" s="13" t="s">
        <v>1904</v>
      </c>
      <c r="C683" s="13" t="s">
        <v>1905</v>
      </c>
      <c r="D683" s="13">
        <v>0.8</v>
      </c>
      <c r="E683" s="13" t="s">
        <v>1906</v>
      </c>
      <c r="F683" s="13" t="s">
        <v>8860</v>
      </c>
      <c r="G683" s="13" t="s">
        <v>19</v>
      </c>
      <c r="H683" s="13" t="s">
        <v>3</v>
      </c>
      <c r="I683" s="13" t="s">
        <v>1907</v>
      </c>
      <c r="J683" s="13" t="s">
        <v>21</v>
      </c>
      <c r="K683" s="13" t="s">
        <v>1907</v>
      </c>
      <c r="L683" s="13" t="s">
        <v>18</v>
      </c>
      <c r="M683" t="s">
        <v>3</v>
      </c>
    </row>
    <row r="684" spans="1:13" x14ac:dyDescent="0.25">
      <c r="A684" s="13" t="s">
        <v>1908</v>
      </c>
      <c r="B684" s="13" t="s">
        <v>1908</v>
      </c>
      <c r="C684" s="13" t="s">
        <v>1909</v>
      </c>
      <c r="D684" s="13">
        <v>49.5</v>
      </c>
      <c r="E684" s="13" t="s">
        <v>1910</v>
      </c>
      <c r="F684" s="13" t="s">
        <v>8869</v>
      </c>
      <c r="G684" s="13" t="s">
        <v>2</v>
      </c>
      <c r="H684" s="13" t="s">
        <v>11195</v>
      </c>
      <c r="I684" s="13" t="s">
        <v>809</v>
      </c>
      <c r="J684" s="13" t="s">
        <v>8890</v>
      </c>
      <c r="K684" s="13" t="s">
        <v>8512</v>
      </c>
      <c r="L684" s="13" t="s">
        <v>8918</v>
      </c>
      <c r="M684" t="s">
        <v>11195</v>
      </c>
    </row>
    <row r="685" spans="1:13" ht="26.25" x14ac:dyDescent="0.25">
      <c r="A685" s="13" t="s">
        <v>1911</v>
      </c>
      <c r="B685" s="13" t="s">
        <v>1911</v>
      </c>
      <c r="C685" s="13" t="s">
        <v>1912</v>
      </c>
      <c r="D685" s="13">
        <v>4</v>
      </c>
      <c r="E685" s="13" t="s">
        <v>1913</v>
      </c>
      <c r="F685" s="13" t="s">
        <v>8860</v>
      </c>
      <c r="G685" s="13" t="s">
        <v>19</v>
      </c>
      <c r="H685" s="13" t="s">
        <v>3</v>
      </c>
      <c r="I685" s="13" t="s">
        <v>1914</v>
      </c>
      <c r="J685" s="13" t="s">
        <v>21</v>
      </c>
      <c r="K685" s="13" t="s">
        <v>8563</v>
      </c>
      <c r="L685" s="13" t="s">
        <v>18</v>
      </c>
      <c r="M685" t="s">
        <v>3</v>
      </c>
    </row>
    <row r="686" spans="1:13" ht="26.25" x14ac:dyDescent="0.25">
      <c r="A686" s="13" t="s">
        <v>1915</v>
      </c>
      <c r="B686" s="13" t="s">
        <v>1916</v>
      </c>
      <c r="C686" s="13" t="s">
        <v>1917</v>
      </c>
      <c r="D686" s="13">
        <v>4</v>
      </c>
      <c r="E686" s="13" t="s">
        <v>1918</v>
      </c>
      <c r="F686" s="13" t="s">
        <v>8860</v>
      </c>
      <c r="G686" s="13" t="s">
        <v>19</v>
      </c>
      <c r="H686" s="13" t="s">
        <v>3</v>
      </c>
      <c r="I686" s="13" t="s">
        <v>1919</v>
      </c>
      <c r="J686" s="13" t="s">
        <v>21</v>
      </c>
      <c r="K686" s="13" t="s">
        <v>1917</v>
      </c>
      <c r="L686" s="13" t="s">
        <v>18</v>
      </c>
      <c r="M686" t="s">
        <v>3</v>
      </c>
    </row>
    <row r="687" spans="1:13" x14ac:dyDescent="0.25">
      <c r="A687" s="13" t="s">
        <v>1920</v>
      </c>
      <c r="B687" s="13" t="s">
        <v>1920</v>
      </c>
      <c r="C687" s="13" t="s">
        <v>1921</v>
      </c>
      <c r="D687" s="13">
        <v>280.39999999999998</v>
      </c>
      <c r="E687" s="13" t="s">
        <v>1921</v>
      </c>
      <c r="F687" s="13" t="s">
        <v>8869</v>
      </c>
      <c r="G687" s="13" t="s">
        <v>2</v>
      </c>
      <c r="H687" s="13" t="s">
        <v>3</v>
      </c>
      <c r="I687" s="13" t="s">
        <v>447</v>
      </c>
      <c r="J687" s="13" t="s">
        <v>8890</v>
      </c>
      <c r="K687" s="13" t="s">
        <v>8421</v>
      </c>
      <c r="L687" s="13" t="s">
        <v>8918</v>
      </c>
      <c r="M687" t="s">
        <v>3</v>
      </c>
    </row>
    <row r="688" spans="1:13" ht="26.25" x14ac:dyDescent="0.25">
      <c r="A688" s="13" t="s">
        <v>1922</v>
      </c>
      <c r="B688" s="13" t="s">
        <v>1922</v>
      </c>
      <c r="C688" s="13" t="s">
        <v>9032</v>
      </c>
      <c r="D688" s="13">
        <v>1</v>
      </c>
      <c r="E688" s="13" t="s">
        <v>1924</v>
      </c>
      <c r="F688" s="13" t="s">
        <v>8860</v>
      </c>
      <c r="G688" s="13" t="s">
        <v>19</v>
      </c>
      <c r="H688" s="13" t="s">
        <v>3</v>
      </c>
      <c r="I688" s="13" t="s">
        <v>1925</v>
      </c>
      <c r="J688" s="13" t="s">
        <v>21</v>
      </c>
      <c r="K688" s="13" t="s">
        <v>1923</v>
      </c>
      <c r="L688" s="13" t="s">
        <v>18</v>
      </c>
      <c r="M688" t="s">
        <v>3</v>
      </c>
    </row>
    <row r="689" spans="1:13" ht="26.25" x14ac:dyDescent="0.25">
      <c r="A689" s="13" t="s">
        <v>1926</v>
      </c>
      <c r="B689" s="13" t="s">
        <v>1926</v>
      </c>
      <c r="C689" s="13" t="s">
        <v>1926</v>
      </c>
      <c r="D689" s="13">
        <v>0.2</v>
      </c>
      <c r="E689" s="13" t="s">
        <v>1927</v>
      </c>
      <c r="F689" s="13" t="s">
        <v>8860</v>
      </c>
      <c r="G689" s="13" t="s">
        <v>19</v>
      </c>
      <c r="H689" s="13" t="s">
        <v>3</v>
      </c>
      <c r="I689" s="13" t="s">
        <v>1928</v>
      </c>
      <c r="J689" s="13" t="s">
        <v>21</v>
      </c>
      <c r="K689" s="13" t="s">
        <v>8564</v>
      </c>
      <c r="L689" s="13" t="s">
        <v>18</v>
      </c>
      <c r="M689" t="s">
        <v>3</v>
      </c>
    </row>
    <row r="690" spans="1:13" x14ac:dyDescent="0.25">
      <c r="A690" s="13" t="s">
        <v>9033</v>
      </c>
      <c r="B690" s="13" t="s">
        <v>9033</v>
      </c>
      <c r="C690" s="13" t="s">
        <v>9034</v>
      </c>
      <c r="D690" s="13">
        <v>21</v>
      </c>
      <c r="E690" s="13" t="s">
        <v>9035</v>
      </c>
      <c r="F690" s="13" t="s">
        <v>8869</v>
      </c>
      <c r="G690" s="13" t="s">
        <v>2</v>
      </c>
      <c r="H690" s="13" t="s">
        <v>11195</v>
      </c>
      <c r="I690" s="13" t="s">
        <v>809</v>
      </c>
      <c r="J690" s="13" t="s">
        <v>8890</v>
      </c>
      <c r="K690" s="13" t="s">
        <v>8512</v>
      </c>
      <c r="L690" s="13" t="s">
        <v>8918</v>
      </c>
      <c r="M690" t="s">
        <v>11195</v>
      </c>
    </row>
    <row r="691" spans="1:13" ht="26.25" x14ac:dyDescent="0.25">
      <c r="A691" s="13" t="s">
        <v>1929</v>
      </c>
      <c r="B691" s="13" t="s">
        <v>1930</v>
      </c>
      <c r="C691" s="13" t="s">
        <v>1931</v>
      </c>
      <c r="D691" s="14">
        <v>5</v>
      </c>
      <c r="E691" s="13" t="s">
        <v>1932</v>
      </c>
      <c r="F691" s="13" t="s">
        <v>275</v>
      </c>
      <c r="G691" s="13" t="s">
        <v>19</v>
      </c>
      <c r="H691" s="13" t="s">
        <v>3</v>
      </c>
      <c r="I691" s="13" t="s">
        <v>517</v>
      </c>
      <c r="J691" s="13" t="s">
        <v>276</v>
      </c>
      <c r="K691" s="13" t="s">
        <v>8477</v>
      </c>
      <c r="L691" s="13" t="s">
        <v>275</v>
      </c>
      <c r="M691" t="s">
        <v>3</v>
      </c>
    </row>
    <row r="692" spans="1:13" ht="26.25" x14ac:dyDescent="0.25">
      <c r="A692" s="13" t="s">
        <v>1933</v>
      </c>
      <c r="B692" s="13" t="s">
        <v>1933</v>
      </c>
      <c r="C692" s="13" t="s">
        <v>1934</v>
      </c>
      <c r="D692" s="14">
        <v>0.1</v>
      </c>
      <c r="E692" s="13" t="s">
        <v>1935</v>
      </c>
      <c r="F692" s="13" t="s">
        <v>8860</v>
      </c>
      <c r="G692" s="13" t="s">
        <v>19</v>
      </c>
      <c r="H692" s="13" t="s">
        <v>3</v>
      </c>
      <c r="I692" s="13" t="s">
        <v>517</v>
      </c>
      <c r="J692" s="13" t="s">
        <v>21</v>
      </c>
      <c r="K692" s="13" t="s">
        <v>8477</v>
      </c>
      <c r="L692" s="13" t="s">
        <v>18</v>
      </c>
      <c r="M692" t="s">
        <v>3</v>
      </c>
    </row>
    <row r="693" spans="1:13" ht="26.25" x14ac:dyDescent="0.25">
      <c r="A693" s="13" t="s">
        <v>1936</v>
      </c>
      <c r="B693" s="13" t="s">
        <v>1936</v>
      </c>
      <c r="C693" s="13" t="s">
        <v>1936</v>
      </c>
      <c r="D693" s="13">
        <v>0.1</v>
      </c>
      <c r="E693" s="13" t="s">
        <v>1937</v>
      </c>
      <c r="F693" s="13" t="s">
        <v>8860</v>
      </c>
      <c r="G693" s="13" t="s">
        <v>19</v>
      </c>
      <c r="H693" s="13" t="s">
        <v>3</v>
      </c>
      <c r="I693" s="13" t="s">
        <v>1938</v>
      </c>
      <c r="J693" s="13" t="s">
        <v>21</v>
      </c>
      <c r="K693" s="13" t="s">
        <v>8565</v>
      </c>
      <c r="L693" s="13" t="s">
        <v>18</v>
      </c>
      <c r="M693" t="s">
        <v>3</v>
      </c>
    </row>
    <row r="694" spans="1:13" ht="26.25" x14ac:dyDescent="0.25">
      <c r="A694" s="13" t="s">
        <v>1939</v>
      </c>
      <c r="B694" s="13" t="s">
        <v>1939</v>
      </c>
      <c r="C694" s="13" t="s">
        <v>1939</v>
      </c>
      <c r="D694" s="13">
        <v>9999</v>
      </c>
      <c r="E694" s="13" t="s">
        <v>1940</v>
      </c>
      <c r="F694" s="13" t="s">
        <v>855</v>
      </c>
      <c r="G694" s="13" t="s">
        <v>19</v>
      </c>
      <c r="H694" s="13" t="s">
        <v>3</v>
      </c>
      <c r="I694" s="13" t="s">
        <v>517</v>
      </c>
      <c r="J694" s="13" t="s">
        <v>856</v>
      </c>
      <c r="K694" s="13" t="s">
        <v>8477</v>
      </c>
      <c r="L694" s="13" t="s">
        <v>855</v>
      </c>
      <c r="M694" t="s">
        <v>3</v>
      </c>
    </row>
    <row r="695" spans="1:13" x14ac:dyDescent="0.25">
      <c r="A695" s="13" t="s">
        <v>1941</v>
      </c>
      <c r="B695" s="13" t="s">
        <v>1941</v>
      </c>
      <c r="C695" s="13" t="s">
        <v>1941</v>
      </c>
      <c r="D695" s="13">
        <v>9999</v>
      </c>
      <c r="E695" s="13" t="s">
        <v>1942</v>
      </c>
      <c r="F695" s="13" t="s">
        <v>855</v>
      </c>
      <c r="G695" s="13" t="s">
        <v>2</v>
      </c>
      <c r="H695" s="13" t="s">
        <v>3</v>
      </c>
      <c r="I695" s="13" t="s">
        <v>517</v>
      </c>
      <c r="J695" s="13" t="s">
        <v>856</v>
      </c>
      <c r="K695" s="13" t="s">
        <v>8477</v>
      </c>
      <c r="L695" s="13" t="s">
        <v>855</v>
      </c>
      <c r="M695" t="s">
        <v>3</v>
      </c>
    </row>
    <row r="696" spans="1:13" ht="26.25" x14ac:dyDescent="0.25">
      <c r="A696" s="13" t="s">
        <v>1943</v>
      </c>
      <c r="B696" s="13" t="s">
        <v>1944</v>
      </c>
      <c r="C696" s="13" t="s">
        <v>1945</v>
      </c>
      <c r="D696" s="13">
        <v>0.2</v>
      </c>
      <c r="E696" s="13" t="s">
        <v>1946</v>
      </c>
      <c r="F696" s="13" t="s">
        <v>8860</v>
      </c>
      <c r="G696" s="13" t="s">
        <v>19</v>
      </c>
      <c r="H696" s="13" t="s">
        <v>3</v>
      </c>
      <c r="I696" s="13" t="s">
        <v>1947</v>
      </c>
      <c r="J696" s="13" t="s">
        <v>21</v>
      </c>
      <c r="K696" s="13" t="s">
        <v>8566</v>
      </c>
      <c r="L696" s="13" t="s">
        <v>18</v>
      </c>
      <c r="M696" t="s">
        <v>3</v>
      </c>
    </row>
    <row r="697" spans="1:13" ht="26.25" x14ac:dyDescent="0.25">
      <c r="A697" s="13" t="s">
        <v>1948</v>
      </c>
      <c r="B697" s="13" t="s">
        <v>1949</v>
      </c>
      <c r="C697" s="13" t="s">
        <v>1950</v>
      </c>
      <c r="D697" s="13">
        <v>44</v>
      </c>
      <c r="E697" s="13" t="s">
        <v>1951</v>
      </c>
      <c r="F697" s="13" t="s">
        <v>8869</v>
      </c>
      <c r="G697" s="13" t="s">
        <v>2</v>
      </c>
      <c r="H697" s="13" t="s">
        <v>3</v>
      </c>
      <c r="I697" s="13" t="s">
        <v>1283</v>
      </c>
      <c r="J697" s="13" t="s">
        <v>8890</v>
      </c>
      <c r="K697" s="13" t="s">
        <v>8524</v>
      </c>
      <c r="L697" s="13" t="s">
        <v>8918</v>
      </c>
      <c r="M697" t="s">
        <v>3</v>
      </c>
    </row>
    <row r="698" spans="1:13" x14ac:dyDescent="0.25">
      <c r="A698" s="13" t="s">
        <v>1952</v>
      </c>
      <c r="B698" s="13" t="s">
        <v>1953</v>
      </c>
      <c r="C698" s="13" t="s">
        <v>1954</v>
      </c>
      <c r="D698" s="13">
        <v>64</v>
      </c>
      <c r="E698" s="13" t="s">
        <v>1955</v>
      </c>
      <c r="F698" s="13" t="s">
        <v>8869</v>
      </c>
      <c r="G698" s="13" t="s">
        <v>2</v>
      </c>
      <c r="H698" s="13" t="s">
        <v>11974</v>
      </c>
      <c r="I698" s="13" t="s">
        <v>1283</v>
      </c>
      <c r="J698" s="13" t="s">
        <v>8890</v>
      </c>
      <c r="K698" s="13" t="s">
        <v>8524</v>
      </c>
      <c r="L698" s="13" t="s">
        <v>8918</v>
      </c>
      <c r="M698" t="s">
        <v>11974</v>
      </c>
    </row>
    <row r="699" spans="1:13" ht="26.25" x14ac:dyDescent="0.25">
      <c r="A699" s="13" t="s">
        <v>1956</v>
      </c>
      <c r="B699" s="13" t="s">
        <v>1957</v>
      </c>
      <c r="C699" s="13" t="s">
        <v>1958</v>
      </c>
      <c r="D699" s="13">
        <v>0</v>
      </c>
      <c r="E699" s="13" t="s">
        <v>1959</v>
      </c>
      <c r="F699" s="13" t="s">
        <v>8860</v>
      </c>
      <c r="G699" s="13" t="s">
        <v>19</v>
      </c>
      <c r="H699" s="13" t="s">
        <v>3</v>
      </c>
      <c r="I699" s="13" t="s">
        <v>1960</v>
      </c>
      <c r="J699" s="13" t="s">
        <v>21</v>
      </c>
      <c r="K699" s="13" t="s">
        <v>8567</v>
      </c>
      <c r="L699" s="13" t="s">
        <v>18</v>
      </c>
      <c r="M699" t="s">
        <v>3</v>
      </c>
    </row>
    <row r="700" spans="1:13" ht="26.25" x14ac:dyDescent="0.25">
      <c r="A700" s="13" t="s">
        <v>1961</v>
      </c>
      <c r="B700" s="13" t="s">
        <v>1962</v>
      </c>
      <c r="C700" s="13" t="s">
        <v>1963</v>
      </c>
      <c r="D700" s="13">
        <v>0.2</v>
      </c>
      <c r="E700" s="13" t="s">
        <v>1964</v>
      </c>
      <c r="F700" s="13" t="s">
        <v>8860</v>
      </c>
      <c r="G700" s="13" t="s">
        <v>19</v>
      </c>
      <c r="H700" s="13" t="s">
        <v>3</v>
      </c>
      <c r="I700" s="13" t="s">
        <v>1965</v>
      </c>
      <c r="J700" s="13" t="s">
        <v>21</v>
      </c>
      <c r="K700" s="13" t="s">
        <v>8568</v>
      </c>
      <c r="L700" s="13" t="s">
        <v>18</v>
      </c>
      <c r="M700" t="s">
        <v>3</v>
      </c>
    </row>
    <row r="701" spans="1:13" x14ac:dyDescent="0.25">
      <c r="A701" s="13" t="s">
        <v>1966</v>
      </c>
      <c r="B701" s="13" t="s">
        <v>1966</v>
      </c>
      <c r="C701" s="13" t="s">
        <v>1967</v>
      </c>
      <c r="D701" s="13">
        <v>4.9000000000000004</v>
      </c>
      <c r="E701" s="13" t="s">
        <v>1967</v>
      </c>
      <c r="F701" s="13" t="s">
        <v>8869</v>
      </c>
      <c r="G701" s="13" t="s">
        <v>2</v>
      </c>
      <c r="H701" s="13" t="s">
        <v>3</v>
      </c>
      <c r="I701" s="13" t="s">
        <v>447</v>
      </c>
      <c r="J701" s="13" t="s">
        <v>8890</v>
      </c>
      <c r="K701" s="13" t="s">
        <v>8421</v>
      </c>
      <c r="L701" s="13" t="s">
        <v>8918</v>
      </c>
      <c r="M701" t="s">
        <v>3</v>
      </c>
    </row>
    <row r="702" spans="1:13" x14ac:dyDescent="0.25">
      <c r="A702" s="13" t="s">
        <v>1968</v>
      </c>
      <c r="B702" s="13" t="s">
        <v>1968</v>
      </c>
      <c r="C702" s="13" t="s">
        <v>1968</v>
      </c>
      <c r="D702" s="13">
        <v>12</v>
      </c>
      <c r="E702" s="13" t="s">
        <v>1969</v>
      </c>
      <c r="F702" s="13" t="s">
        <v>8869</v>
      </c>
      <c r="G702" s="13" t="s">
        <v>2</v>
      </c>
      <c r="H702" s="13" t="s">
        <v>3</v>
      </c>
      <c r="I702" s="13" t="s">
        <v>706</v>
      </c>
      <c r="J702" s="13" t="s">
        <v>8890</v>
      </c>
      <c r="K702" s="13" t="s">
        <v>8419</v>
      </c>
      <c r="L702" s="13" t="s">
        <v>8918</v>
      </c>
      <c r="M702" t="s">
        <v>3</v>
      </c>
    </row>
    <row r="703" spans="1:13" ht="26.25" x14ac:dyDescent="0.25">
      <c r="A703" s="13" t="s">
        <v>1970</v>
      </c>
      <c r="B703" s="13" t="s">
        <v>1971</v>
      </c>
      <c r="C703" s="13" t="s">
        <v>1972</v>
      </c>
      <c r="D703" s="13">
        <v>8.6999999999999993</v>
      </c>
      <c r="E703" s="13" t="s">
        <v>1973</v>
      </c>
      <c r="F703" s="13" t="s">
        <v>8860</v>
      </c>
      <c r="G703" s="13" t="s">
        <v>19</v>
      </c>
      <c r="H703" s="13" t="s">
        <v>3</v>
      </c>
      <c r="I703" s="13" t="s">
        <v>1971</v>
      </c>
      <c r="J703" s="13" t="s">
        <v>21</v>
      </c>
      <c r="K703" s="13" t="s">
        <v>8569</v>
      </c>
      <c r="L703" s="13" t="s">
        <v>18</v>
      </c>
      <c r="M703" t="s">
        <v>3</v>
      </c>
    </row>
    <row r="704" spans="1:13" ht="26.25" x14ac:dyDescent="0.25">
      <c r="A704" s="13" t="s">
        <v>1974</v>
      </c>
      <c r="B704" s="13" t="s">
        <v>1975</v>
      </c>
      <c r="C704" s="13" t="s">
        <v>1976</v>
      </c>
      <c r="D704" s="13">
        <v>48.5</v>
      </c>
      <c r="E704" s="13" t="s">
        <v>1977</v>
      </c>
      <c r="F704" s="13" t="s">
        <v>8869</v>
      </c>
      <c r="G704" s="13" t="s">
        <v>2</v>
      </c>
      <c r="H704" s="13" t="s">
        <v>3</v>
      </c>
      <c r="I704" s="13" t="s">
        <v>1978</v>
      </c>
      <c r="J704" s="13" t="s">
        <v>8890</v>
      </c>
      <c r="K704" s="13" t="s">
        <v>8570</v>
      </c>
      <c r="L704" s="13" t="s">
        <v>8918</v>
      </c>
      <c r="M704" t="s">
        <v>3</v>
      </c>
    </row>
    <row r="705" spans="1:13" ht="26.25" x14ac:dyDescent="0.25">
      <c r="A705" s="13" t="s">
        <v>1979</v>
      </c>
      <c r="B705" s="13" t="s">
        <v>1980</v>
      </c>
      <c r="C705" s="13" t="s">
        <v>1981</v>
      </c>
      <c r="D705" s="13">
        <v>1</v>
      </c>
      <c r="E705" s="13" t="s">
        <v>1982</v>
      </c>
      <c r="F705" s="13" t="s">
        <v>8860</v>
      </c>
      <c r="G705" s="13" t="s">
        <v>19</v>
      </c>
      <c r="H705" s="13" t="s">
        <v>3</v>
      </c>
      <c r="I705" s="13" t="s">
        <v>1980</v>
      </c>
      <c r="J705" s="13" t="s">
        <v>21</v>
      </c>
      <c r="K705" s="13" t="s">
        <v>1981</v>
      </c>
      <c r="L705" s="13" t="s">
        <v>18</v>
      </c>
      <c r="M705" t="s">
        <v>3</v>
      </c>
    </row>
    <row r="706" spans="1:13" ht="26.25" x14ac:dyDescent="0.25">
      <c r="A706" s="13" t="s">
        <v>1983</v>
      </c>
      <c r="B706" s="13" t="s">
        <v>1984</v>
      </c>
      <c r="C706" s="13" t="s">
        <v>1985</v>
      </c>
      <c r="D706" s="13">
        <v>1</v>
      </c>
      <c r="E706" s="13" t="s">
        <v>1986</v>
      </c>
      <c r="F706" s="13" t="s">
        <v>8860</v>
      </c>
      <c r="G706" s="13" t="s">
        <v>19</v>
      </c>
      <c r="H706" s="13" t="s">
        <v>3</v>
      </c>
      <c r="I706" s="13" t="s">
        <v>1987</v>
      </c>
      <c r="J706" s="13" t="s">
        <v>21</v>
      </c>
      <c r="K706" s="13" t="s">
        <v>8571</v>
      </c>
      <c r="L706" s="13" t="s">
        <v>18</v>
      </c>
      <c r="M706" t="s">
        <v>3</v>
      </c>
    </row>
    <row r="707" spans="1:13" ht="26.25" x14ac:dyDescent="0.25">
      <c r="A707" s="13" t="s">
        <v>1988</v>
      </c>
      <c r="B707" s="13" t="s">
        <v>1989</v>
      </c>
      <c r="C707" s="13" t="s">
        <v>1990</v>
      </c>
      <c r="D707" s="13">
        <v>0.4</v>
      </c>
      <c r="E707" s="13" t="s">
        <v>1991</v>
      </c>
      <c r="F707" s="13" t="s">
        <v>8860</v>
      </c>
      <c r="G707" s="13" t="s">
        <v>19</v>
      </c>
      <c r="H707" s="13" t="s">
        <v>3</v>
      </c>
      <c r="I707" s="13" t="s">
        <v>1992</v>
      </c>
      <c r="J707" s="13" t="s">
        <v>21</v>
      </c>
      <c r="K707" s="13" t="s">
        <v>8572</v>
      </c>
      <c r="L707" s="13" t="s">
        <v>18</v>
      </c>
      <c r="M707" t="s">
        <v>3</v>
      </c>
    </row>
    <row r="708" spans="1:13" ht="26.25" x14ac:dyDescent="0.25">
      <c r="A708" s="13" t="s">
        <v>1993</v>
      </c>
      <c r="B708" s="13" t="s">
        <v>1994</v>
      </c>
      <c r="C708" s="13" t="s">
        <v>1995</v>
      </c>
      <c r="D708" s="13">
        <v>0.4</v>
      </c>
      <c r="E708" s="13" t="s">
        <v>1996</v>
      </c>
      <c r="F708" s="13" t="s">
        <v>8860</v>
      </c>
      <c r="G708" s="13" t="s">
        <v>19</v>
      </c>
      <c r="H708" s="13" t="s">
        <v>3</v>
      </c>
      <c r="I708" s="13" t="s">
        <v>1997</v>
      </c>
      <c r="J708" s="13" t="s">
        <v>21</v>
      </c>
      <c r="K708" s="13" t="s">
        <v>8573</v>
      </c>
      <c r="L708" s="13" t="s">
        <v>18</v>
      </c>
      <c r="M708" t="s">
        <v>3</v>
      </c>
    </row>
    <row r="709" spans="1:13" ht="26.25" x14ac:dyDescent="0.25">
      <c r="A709" s="13" t="s">
        <v>1998</v>
      </c>
      <c r="B709" s="13" t="s">
        <v>1999</v>
      </c>
      <c r="C709" s="13" t="s">
        <v>2000</v>
      </c>
      <c r="D709" s="13">
        <v>49.5</v>
      </c>
      <c r="E709" s="13" t="s">
        <v>2001</v>
      </c>
      <c r="F709" s="13" t="s">
        <v>8869</v>
      </c>
      <c r="G709" s="13" t="s">
        <v>2</v>
      </c>
      <c r="H709" s="13" t="s">
        <v>3</v>
      </c>
      <c r="I709" s="13" t="s">
        <v>1283</v>
      </c>
      <c r="J709" s="13" t="s">
        <v>8890</v>
      </c>
      <c r="K709" s="13" t="s">
        <v>8524</v>
      </c>
      <c r="L709" s="13" t="s">
        <v>8918</v>
      </c>
      <c r="M709" t="s">
        <v>3</v>
      </c>
    </row>
    <row r="710" spans="1:13" x14ac:dyDescent="0.25">
      <c r="A710" s="13" t="s">
        <v>2002</v>
      </c>
      <c r="B710" s="13" t="s">
        <v>2002</v>
      </c>
      <c r="C710" s="13" t="s">
        <v>2003</v>
      </c>
      <c r="D710" s="13">
        <v>2.4</v>
      </c>
      <c r="E710" s="13" t="s">
        <v>2004</v>
      </c>
      <c r="F710" s="13" t="s">
        <v>8869</v>
      </c>
      <c r="G710" s="13" t="s">
        <v>2</v>
      </c>
      <c r="H710" s="13" t="s">
        <v>3</v>
      </c>
      <c r="I710" s="13" t="s">
        <v>447</v>
      </c>
      <c r="J710" s="13" t="s">
        <v>8890</v>
      </c>
      <c r="K710" s="13" t="s">
        <v>8421</v>
      </c>
      <c r="L710" s="13" t="s">
        <v>8918</v>
      </c>
      <c r="M710" t="s">
        <v>3</v>
      </c>
    </row>
    <row r="711" spans="1:13" ht="26.25" x14ac:dyDescent="0.25">
      <c r="A711" s="13" t="s">
        <v>2005</v>
      </c>
      <c r="B711" s="13" t="s">
        <v>2005</v>
      </c>
      <c r="C711" s="13" t="s">
        <v>2005</v>
      </c>
      <c r="D711" s="13">
        <v>41.2</v>
      </c>
      <c r="E711" s="13" t="s">
        <v>2006</v>
      </c>
      <c r="F711" s="13" t="s">
        <v>8869</v>
      </c>
      <c r="G711" s="13" t="s">
        <v>2</v>
      </c>
      <c r="H711" s="13" t="s">
        <v>3</v>
      </c>
      <c r="I711" s="13" t="s">
        <v>706</v>
      </c>
      <c r="J711" s="13" t="s">
        <v>8890</v>
      </c>
      <c r="K711" s="13" t="s">
        <v>8419</v>
      </c>
      <c r="L711" s="13" t="s">
        <v>8918</v>
      </c>
      <c r="M711" t="s">
        <v>3</v>
      </c>
    </row>
    <row r="712" spans="1:13" x14ac:dyDescent="0.25">
      <c r="A712" s="13" t="s">
        <v>2007</v>
      </c>
      <c r="B712" s="13" t="s">
        <v>2007</v>
      </c>
      <c r="C712" s="13" t="s">
        <v>2008</v>
      </c>
      <c r="D712" s="13">
        <v>49.5</v>
      </c>
      <c r="E712" s="13" t="s">
        <v>2008</v>
      </c>
      <c r="F712" s="13" t="s">
        <v>8869</v>
      </c>
      <c r="G712" s="13" t="s">
        <v>2</v>
      </c>
      <c r="H712" s="13" t="s">
        <v>3</v>
      </c>
      <c r="I712" s="13" t="s">
        <v>447</v>
      </c>
      <c r="J712" s="13" t="s">
        <v>8890</v>
      </c>
      <c r="K712" s="13" t="s">
        <v>8421</v>
      </c>
      <c r="L712" s="13" t="s">
        <v>8918</v>
      </c>
      <c r="M712" t="s">
        <v>3</v>
      </c>
    </row>
    <row r="713" spans="1:13" x14ac:dyDescent="0.25">
      <c r="A713" s="13" t="s">
        <v>10706</v>
      </c>
      <c r="B713" s="13" t="s">
        <v>10706</v>
      </c>
      <c r="C713" s="13" t="s">
        <v>10707</v>
      </c>
      <c r="D713" s="13">
        <v>144</v>
      </c>
      <c r="E713" s="13" t="s">
        <v>10708</v>
      </c>
      <c r="F713" s="13" t="s">
        <v>8869</v>
      </c>
      <c r="G713" s="13" t="s">
        <v>2</v>
      </c>
      <c r="H713" s="13" t="s">
        <v>3</v>
      </c>
      <c r="I713" s="13" t="s">
        <v>137</v>
      </c>
      <c r="J713" s="13" t="s">
        <v>8890</v>
      </c>
      <c r="K713" s="13" t="s">
        <v>8429</v>
      </c>
      <c r="L713" s="13" t="s">
        <v>8918</v>
      </c>
      <c r="M713" t="s">
        <v>3</v>
      </c>
    </row>
    <row r="714" spans="1:13" x14ac:dyDescent="0.25">
      <c r="A714" s="13" t="s">
        <v>2009</v>
      </c>
      <c r="B714" s="13" t="s">
        <v>2009</v>
      </c>
      <c r="C714" s="13" t="s">
        <v>2010</v>
      </c>
      <c r="D714" s="13">
        <v>3</v>
      </c>
      <c r="E714" s="13" t="s">
        <v>2010</v>
      </c>
      <c r="F714" s="13" t="s">
        <v>8869</v>
      </c>
      <c r="G714" s="13" t="s">
        <v>2</v>
      </c>
      <c r="H714" s="13" t="s">
        <v>3</v>
      </c>
      <c r="I714" s="13" t="s">
        <v>447</v>
      </c>
      <c r="J714" s="13" t="s">
        <v>8890</v>
      </c>
      <c r="K714" s="13" t="s">
        <v>8421</v>
      </c>
      <c r="L714" s="13" t="s">
        <v>8918</v>
      </c>
      <c r="M714" t="s">
        <v>3</v>
      </c>
    </row>
    <row r="715" spans="1:13" ht="26.25" x14ac:dyDescent="0.25">
      <c r="A715" s="13" t="s">
        <v>2011</v>
      </c>
      <c r="B715" s="13" t="s">
        <v>2011</v>
      </c>
      <c r="C715" s="13" t="s">
        <v>9036</v>
      </c>
      <c r="D715" s="13">
        <v>394.5</v>
      </c>
      <c r="E715" s="13" t="s">
        <v>2012</v>
      </c>
      <c r="F715" s="13" t="s">
        <v>8869</v>
      </c>
      <c r="G715" s="13" t="s">
        <v>2</v>
      </c>
      <c r="H715" s="13" t="s">
        <v>3</v>
      </c>
      <c r="I715" s="13" t="s">
        <v>2013</v>
      </c>
      <c r="J715" s="13" t="s">
        <v>8890</v>
      </c>
      <c r="K715" s="13" t="s">
        <v>8574</v>
      </c>
      <c r="L715" s="13" t="s">
        <v>8918</v>
      </c>
      <c r="M715" t="s">
        <v>3</v>
      </c>
    </row>
    <row r="716" spans="1:13" x14ac:dyDescent="0.25">
      <c r="A716" s="13" t="s">
        <v>2014</v>
      </c>
      <c r="B716" s="13" t="s">
        <v>2014</v>
      </c>
      <c r="C716" s="13" t="s">
        <v>2014</v>
      </c>
      <c r="D716" s="13">
        <v>99</v>
      </c>
      <c r="E716" s="13" t="s">
        <v>2015</v>
      </c>
      <c r="F716" s="13" t="s">
        <v>8869</v>
      </c>
      <c r="G716" s="13" t="s">
        <v>2</v>
      </c>
      <c r="H716" s="13" t="s">
        <v>3</v>
      </c>
      <c r="I716" s="13" t="s">
        <v>1254</v>
      </c>
      <c r="J716" s="13" t="s">
        <v>8890</v>
      </c>
      <c r="K716" s="13" t="s">
        <v>8508</v>
      </c>
      <c r="L716" s="13" t="s">
        <v>8918</v>
      </c>
      <c r="M716" t="s">
        <v>3</v>
      </c>
    </row>
    <row r="717" spans="1:13" ht="26.25" x14ac:dyDescent="0.25">
      <c r="A717" s="13" t="s">
        <v>2016</v>
      </c>
      <c r="B717" s="13" t="s">
        <v>2017</v>
      </c>
      <c r="C717" s="13" t="s">
        <v>2018</v>
      </c>
      <c r="D717" s="13">
        <v>2.5</v>
      </c>
      <c r="E717" s="13" t="s">
        <v>2019</v>
      </c>
      <c r="F717" s="13" t="s">
        <v>8860</v>
      </c>
      <c r="G717" s="13" t="s">
        <v>19</v>
      </c>
      <c r="H717" s="13" t="s">
        <v>3</v>
      </c>
      <c r="I717" s="13" t="s">
        <v>2020</v>
      </c>
      <c r="J717" s="13" t="s">
        <v>21</v>
      </c>
      <c r="K717" s="13" t="s">
        <v>2018</v>
      </c>
      <c r="L717" s="13" t="s">
        <v>18</v>
      </c>
      <c r="M717" t="s">
        <v>3</v>
      </c>
    </row>
    <row r="718" spans="1:13" ht="26.25" x14ac:dyDescent="0.25">
      <c r="A718" s="13" t="s">
        <v>2021</v>
      </c>
      <c r="B718" s="13" t="s">
        <v>2022</v>
      </c>
      <c r="C718" s="13" t="s">
        <v>2023</v>
      </c>
      <c r="D718" s="13">
        <v>0.9</v>
      </c>
      <c r="E718" s="13" t="s">
        <v>2024</v>
      </c>
      <c r="F718" s="13" t="s">
        <v>35</v>
      </c>
      <c r="G718" s="13" t="s">
        <v>19</v>
      </c>
      <c r="H718" s="13" t="s">
        <v>3</v>
      </c>
      <c r="I718" s="13" t="s">
        <v>2025</v>
      </c>
      <c r="J718" s="13" t="s">
        <v>37</v>
      </c>
      <c r="K718" s="13" t="s">
        <v>8575</v>
      </c>
      <c r="L718" s="13" t="s">
        <v>35</v>
      </c>
      <c r="M718" t="s">
        <v>3</v>
      </c>
    </row>
    <row r="719" spans="1:13" x14ac:dyDescent="0.25">
      <c r="A719" s="13" t="s">
        <v>2026</v>
      </c>
      <c r="B719" s="13" t="s">
        <v>2027</v>
      </c>
      <c r="C719" s="13" t="s">
        <v>2028</v>
      </c>
      <c r="D719" s="13">
        <v>11.6</v>
      </c>
      <c r="E719" s="13" t="s">
        <v>2029</v>
      </c>
      <c r="F719" s="13" t="s">
        <v>8869</v>
      </c>
      <c r="G719" s="13" t="s">
        <v>2</v>
      </c>
      <c r="H719" s="13" t="s">
        <v>3</v>
      </c>
      <c r="I719" s="13" t="s">
        <v>1834</v>
      </c>
      <c r="J719" s="13" t="s">
        <v>8890</v>
      </c>
      <c r="K719" s="13" t="s">
        <v>3164</v>
      </c>
      <c r="L719" s="13" t="s">
        <v>8918</v>
      </c>
      <c r="M719" t="s">
        <v>3</v>
      </c>
    </row>
    <row r="720" spans="1:13" x14ac:dyDescent="0.25">
      <c r="A720" s="13" t="s">
        <v>2030</v>
      </c>
      <c r="B720" s="13" t="s">
        <v>2030</v>
      </c>
      <c r="C720" s="13" t="s">
        <v>2031</v>
      </c>
      <c r="D720" s="13">
        <v>10</v>
      </c>
      <c r="E720" s="13" t="s">
        <v>2032</v>
      </c>
      <c r="F720" s="13" t="s">
        <v>8869</v>
      </c>
      <c r="G720" s="13" t="s">
        <v>2</v>
      </c>
      <c r="H720" s="13" t="s">
        <v>9000</v>
      </c>
      <c r="I720" s="13" t="s">
        <v>706</v>
      </c>
      <c r="J720" s="13" t="s">
        <v>8890</v>
      </c>
      <c r="K720" s="13" t="s">
        <v>8419</v>
      </c>
      <c r="L720" s="13" t="s">
        <v>8918</v>
      </c>
      <c r="M720" t="s">
        <v>10688</v>
      </c>
    </row>
    <row r="721" spans="1:13" ht="26.25" x14ac:dyDescent="0.25">
      <c r="A721" s="13" t="s">
        <v>2033</v>
      </c>
      <c r="B721" s="13" t="s">
        <v>2034</v>
      </c>
      <c r="C721" s="13" t="s">
        <v>2035</v>
      </c>
      <c r="D721" s="13">
        <v>0.1</v>
      </c>
      <c r="E721" s="13" t="s">
        <v>2036</v>
      </c>
      <c r="F721" s="13" t="s">
        <v>8860</v>
      </c>
      <c r="G721" s="13" t="s">
        <v>19</v>
      </c>
      <c r="H721" s="13" t="s">
        <v>3</v>
      </c>
      <c r="I721" s="13" t="s">
        <v>2037</v>
      </c>
      <c r="J721" s="13" t="s">
        <v>21</v>
      </c>
      <c r="K721" s="13" t="s">
        <v>8576</v>
      </c>
      <c r="L721" s="13" t="s">
        <v>18</v>
      </c>
      <c r="M721" t="s">
        <v>3</v>
      </c>
    </row>
    <row r="722" spans="1:13" x14ac:dyDescent="0.25">
      <c r="A722" s="13" t="s">
        <v>2038</v>
      </c>
      <c r="B722" s="13" t="s">
        <v>2038</v>
      </c>
      <c r="C722" s="13" t="s">
        <v>2039</v>
      </c>
      <c r="D722" s="13">
        <v>23.3</v>
      </c>
      <c r="E722" s="13" t="s">
        <v>2040</v>
      </c>
      <c r="F722" s="13" t="s">
        <v>8869</v>
      </c>
      <c r="G722" s="13" t="s">
        <v>2</v>
      </c>
      <c r="H722" s="13" t="s">
        <v>8422</v>
      </c>
      <c r="I722" s="13" t="s">
        <v>1263</v>
      </c>
      <c r="J722" s="13" t="s">
        <v>8890</v>
      </c>
      <c r="K722" s="13" t="s">
        <v>8422</v>
      </c>
      <c r="L722" s="13" t="s">
        <v>8918</v>
      </c>
      <c r="M722" t="s">
        <v>10689</v>
      </c>
    </row>
    <row r="723" spans="1:13" x14ac:dyDescent="0.25">
      <c r="A723" s="13" t="s">
        <v>2041</v>
      </c>
      <c r="B723" s="13" t="s">
        <v>2041</v>
      </c>
      <c r="C723" s="13" t="s">
        <v>2042</v>
      </c>
      <c r="D723" s="13">
        <v>40.9</v>
      </c>
      <c r="E723" s="13" t="s">
        <v>2043</v>
      </c>
      <c r="F723" s="13" t="s">
        <v>8869</v>
      </c>
      <c r="G723" s="13" t="s">
        <v>2</v>
      </c>
      <c r="H723" s="13" t="s">
        <v>3</v>
      </c>
      <c r="I723" s="13" t="s">
        <v>2044</v>
      </c>
      <c r="J723" s="13" t="s">
        <v>8890</v>
      </c>
      <c r="K723" s="13" t="s">
        <v>8577</v>
      </c>
      <c r="L723" s="13" t="s">
        <v>8918</v>
      </c>
      <c r="M723" t="s">
        <v>3</v>
      </c>
    </row>
    <row r="724" spans="1:13" x14ac:dyDescent="0.25">
      <c r="A724" s="13" t="s">
        <v>2045</v>
      </c>
      <c r="B724" s="13" t="s">
        <v>2045</v>
      </c>
      <c r="C724" s="13" t="s">
        <v>2046</v>
      </c>
      <c r="D724" s="13">
        <v>1.5</v>
      </c>
      <c r="E724" s="13" t="s">
        <v>2046</v>
      </c>
      <c r="F724" s="13" t="s">
        <v>8869</v>
      </c>
      <c r="G724" s="13" t="s">
        <v>2</v>
      </c>
      <c r="H724" s="13" t="s">
        <v>3</v>
      </c>
      <c r="I724" s="13" t="s">
        <v>447</v>
      </c>
      <c r="J724" s="13" t="s">
        <v>8890</v>
      </c>
      <c r="K724" s="13" t="s">
        <v>8421</v>
      </c>
      <c r="L724" s="13" t="s">
        <v>8918</v>
      </c>
      <c r="M724" t="s">
        <v>3</v>
      </c>
    </row>
    <row r="725" spans="1:13" x14ac:dyDescent="0.25">
      <c r="A725" s="13" t="s">
        <v>2047</v>
      </c>
      <c r="B725" s="13" t="s">
        <v>2048</v>
      </c>
      <c r="C725" s="13" t="s">
        <v>2049</v>
      </c>
      <c r="D725" s="13">
        <v>30</v>
      </c>
      <c r="E725" s="13" t="s">
        <v>2050</v>
      </c>
      <c r="F725" s="13" t="s">
        <v>8869</v>
      </c>
      <c r="G725" s="13" t="s">
        <v>2</v>
      </c>
      <c r="H725" s="13" t="s">
        <v>3</v>
      </c>
      <c r="I725" s="13" t="s">
        <v>1283</v>
      </c>
      <c r="J725" s="13" t="s">
        <v>8890</v>
      </c>
      <c r="K725" s="13" t="s">
        <v>8524</v>
      </c>
      <c r="L725" s="13" t="s">
        <v>8918</v>
      </c>
      <c r="M725" t="s">
        <v>3</v>
      </c>
    </row>
    <row r="726" spans="1:13" x14ac:dyDescent="0.25">
      <c r="A726" s="13" t="s">
        <v>2051</v>
      </c>
      <c r="B726" s="13" t="s">
        <v>2051</v>
      </c>
      <c r="C726" s="13" t="s">
        <v>2052</v>
      </c>
      <c r="D726" s="13">
        <v>34</v>
      </c>
      <c r="E726" s="13" t="s">
        <v>2053</v>
      </c>
      <c r="F726" s="13" t="s">
        <v>8869</v>
      </c>
      <c r="G726" s="13" t="s">
        <v>2</v>
      </c>
      <c r="H726" s="13" t="s">
        <v>3</v>
      </c>
      <c r="I726" s="13" t="s">
        <v>1263</v>
      </c>
      <c r="J726" s="13" t="s">
        <v>8890</v>
      </c>
      <c r="K726" s="13" t="s">
        <v>8422</v>
      </c>
      <c r="L726" s="13" t="s">
        <v>8918</v>
      </c>
      <c r="M726" t="s">
        <v>3</v>
      </c>
    </row>
    <row r="727" spans="1:13" x14ac:dyDescent="0.25">
      <c r="A727" s="13" t="s">
        <v>2054</v>
      </c>
      <c r="B727" s="13" t="s">
        <v>2054</v>
      </c>
      <c r="C727" s="13" t="s">
        <v>2055</v>
      </c>
      <c r="D727" s="13">
        <v>47.7</v>
      </c>
      <c r="E727" s="13" t="s">
        <v>2055</v>
      </c>
      <c r="F727" s="13" t="s">
        <v>8869</v>
      </c>
      <c r="G727" s="13" t="s">
        <v>2</v>
      </c>
      <c r="H727" s="13" t="s">
        <v>3</v>
      </c>
      <c r="I727" s="13" t="s">
        <v>447</v>
      </c>
      <c r="J727" s="13" t="s">
        <v>8890</v>
      </c>
      <c r="K727" s="13" t="s">
        <v>8421</v>
      </c>
      <c r="L727" s="13" t="s">
        <v>8918</v>
      </c>
      <c r="M727" t="s">
        <v>3</v>
      </c>
    </row>
    <row r="728" spans="1:13" x14ac:dyDescent="0.25">
      <c r="A728" s="13" t="s">
        <v>2056</v>
      </c>
      <c r="B728" s="13" t="s">
        <v>2057</v>
      </c>
      <c r="C728" s="13" t="s">
        <v>2058</v>
      </c>
      <c r="D728" s="13">
        <v>17</v>
      </c>
      <c r="E728" s="13" t="s">
        <v>2059</v>
      </c>
      <c r="F728" s="13" t="s">
        <v>8869</v>
      </c>
      <c r="G728" s="13" t="s">
        <v>2</v>
      </c>
      <c r="H728" s="13" t="s">
        <v>3</v>
      </c>
      <c r="I728" s="13" t="s">
        <v>1283</v>
      </c>
      <c r="J728" s="13" t="s">
        <v>8890</v>
      </c>
      <c r="K728" s="13" t="s">
        <v>8524</v>
      </c>
      <c r="L728" s="13" t="s">
        <v>8918</v>
      </c>
      <c r="M728" t="s">
        <v>3</v>
      </c>
    </row>
    <row r="729" spans="1:13" x14ac:dyDescent="0.25">
      <c r="A729" s="13" t="s">
        <v>2060</v>
      </c>
      <c r="B729" s="13" t="s">
        <v>2060</v>
      </c>
      <c r="C729" s="13" t="s">
        <v>2061</v>
      </c>
      <c r="D729" s="13">
        <v>39.1</v>
      </c>
      <c r="E729" s="13" t="s">
        <v>2062</v>
      </c>
      <c r="F729" s="13" t="s">
        <v>8865</v>
      </c>
      <c r="G729" s="13" t="s">
        <v>2</v>
      </c>
      <c r="H729" s="13" t="s">
        <v>3</v>
      </c>
      <c r="I729" s="13" t="s">
        <v>813</v>
      </c>
      <c r="J729" s="13" t="s">
        <v>8890</v>
      </c>
      <c r="K729" s="13" t="s">
        <v>8443</v>
      </c>
      <c r="L729" s="13" t="s">
        <v>8901</v>
      </c>
      <c r="M729" t="s">
        <v>3</v>
      </c>
    </row>
    <row r="730" spans="1:13" x14ac:dyDescent="0.25">
      <c r="A730" s="13" t="s">
        <v>2063</v>
      </c>
      <c r="B730" s="13" t="s">
        <v>2064</v>
      </c>
      <c r="C730" s="13" t="s">
        <v>2065</v>
      </c>
      <c r="D730" s="13">
        <v>4.2</v>
      </c>
      <c r="E730" s="13" t="s">
        <v>2066</v>
      </c>
      <c r="F730" s="13" t="s">
        <v>8865</v>
      </c>
      <c r="G730" s="13" t="s">
        <v>2</v>
      </c>
      <c r="H730" s="13" t="s">
        <v>3</v>
      </c>
      <c r="I730" s="13" t="s">
        <v>813</v>
      </c>
      <c r="J730" s="13" t="s">
        <v>8890</v>
      </c>
      <c r="K730" s="13" t="s">
        <v>8443</v>
      </c>
      <c r="L730" s="13" t="s">
        <v>8901</v>
      </c>
      <c r="M730" t="s">
        <v>3</v>
      </c>
    </row>
    <row r="731" spans="1:13" x14ac:dyDescent="0.25">
      <c r="A731" s="13" t="s">
        <v>2067</v>
      </c>
      <c r="B731" s="13" t="s">
        <v>2067</v>
      </c>
      <c r="C731" s="13" t="s">
        <v>2068</v>
      </c>
      <c r="D731" s="13">
        <v>86.7</v>
      </c>
      <c r="E731" s="13" t="s">
        <v>2069</v>
      </c>
      <c r="F731" s="13" t="s">
        <v>8865</v>
      </c>
      <c r="G731" s="13" t="s">
        <v>2</v>
      </c>
      <c r="H731" s="13" t="s">
        <v>3</v>
      </c>
      <c r="I731" s="13" t="s">
        <v>813</v>
      </c>
      <c r="J731" s="13" t="s">
        <v>8890</v>
      </c>
      <c r="K731" s="13" t="s">
        <v>8443</v>
      </c>
      <c r="L731" s="13" t="s">
        <v>8901</v>
      </c>
      <c r="M731" t="s">
        <v>3</v>
      </c>
    </row>
    <row r="732" spans="1:13" x14ac:dyDescent="0.25">
      <c r="A732" s="13" t="s">
        <v>2070</v>
      </c>
      <c r="B732" s="13" t="s">
        <v>2070</v>
      </c>
      <c r="C732" s="13" t="s">
        <v>2071</v>
      </c>
      <c r="D732" s="13">
        <v>13.2</v>
      </c>
      <c r="E732" s="13" t="s">
        <v>2071</v>
      </c>
      <c r="F732" s="13" t="s">
        <v>8869</v>
      </c>
      <c r="G732" s="13" t="s">
        <v>2</v>
      </c>
      <c r="H732" s="13" t="s">
        <v>3</v>
      </c>
      <c r="I732" s="13" t="s">
        <v>447</v>
      </c>
      <c r="J732" s="13" t="s">
        <v>8890</v>
      </c>
      <c r="K732" s="13" t="s">
        <v>8421</v>
      </c>
      <c r="L732" s="13" t="s">
        <v>8918</v>
      </c>
      <c r="M732" t="s">
        <v>3</v>
      </c>
    </row>
    <row r="733" spans="1:13" x14ac:dyDescent="0.25">
      <c r="A733" s="13" t="s">
        <v>2072</v>
      </c>
      <c r="B733" s="13" t="s">
        <v>2072</v>
      </c>
      <c r="C733" s="13" t="s">
        <v>2073</v>
      </c>
      <c r="D733" s="13">
        <v>18</v>
      </c>
      <c r="E733" s="13" t="s">
        <v>2074</v>
      </c>
      <c r="F733" s="13" t="s">
        <v>8869</v>
      </c>
      <c r="G733" s="13" t="s">
        <v>2</v>
      </c>
      <c r="H733" s="13" t="s">
        <v>3</v>
      </c>
      <c r="I733" s="13" t="s">
        <v>1263</v>
      </c>
      <c r="J733" s="13" t="s">
        <v>8890</v>
      </c>
      <c r="K733" s="13" t="s">
        <v>8422</v>
      </c>
      <c r="L733" s="13" t="s">
        <v>8918</v>
      </c>
      <c r="M733" t="s">
        <v>3</v>
      </c>
    </row>
    <row r="734" spans="1:13" x14ac:dyDescent="0.25">
      <c r="A734" s="13" t="s">
        <v>10709</v>
      </c>
      <c r="B734" s="13" t="s">
        <v>10709</v>
      </c>
      <c r="C734" s="13" t="s">
        <v>10710</v>
      </c>
      <c r="D734" s="13">
        <v>57.7</v>
      </c>
      <c r="E734" s="13" t="s">
        <v>10711</v>
      </c>
      <c r="F734" s="13" t="s">
        <v>8869</v>
      </c>
      <c r="G734" s="13" t="s">
        <v>2</v>
      </c>
      <c r="H734" s="13" t="s">
        <v>3</v>
      </c>
      <c r="I734" s="13" t="s">
        <v>137</v>
      </c>
      <c r="J734" s="13" t="s">
        <v>8890</v>
      </c>
      <c r="K734" s="13" t="s">
        <v>8429</v>
      </c>
      <c r="L734" s="13" t="s">
        <v>8918</v>
      </c>
      <c r="M734" t="s">
        <v>3</v>
      </c>
    </row>
    <row r="735" spans="1:13" x14ac:dyDescent="0.25">
      <c r="A735" s="13" t="s">
        <v>2075</v>
      </c>
      <c r="B735" s="13" t="s">
        <v>2075</v>
      </c>
      <c r="C735" s="13" t="s">
        <v>2076</v>
      </c>
      <c r="D735" s="13">
        <v>20.9</v>
      </c>
      <c r="E735" s="13" t="s">
        <v>2076</v>
      </c>
      <c r="F735" s="13" t="s">
        <v>8869</v>
      </c>
      <c r="G735" s="13" t="s">
        <v>2</v>
      </c>
      <c r="H735" s="13" t="s">
        <v>3</v>
      </c>
      <c r="I735" s="13" t="s">
        <v>447</v>
      </c>
      <c r="J735" s="13" t="s">
        <v>8890</v>
      </c>
      <c r="K735" s="13" t="s">
        <v>8421</v>
      </c>
      <c r="L735" s="13" t="s">
        <v>8918</v>
      </c>
      <c r="M735" t="s">
        <v>3</v>
      </c>
    </row>
    <row r="736" spans="1:13" ht="26.25" x14ac:dyDescent="0.25">
      <c r="A736" s="13" t="s">
        <v>2077</v>
      </c>
      <c r="B736" s="13" t="s">
        <v>2078</v>
      </c>
      <c r="C736" s="13" t="s">
        <v>2079</v>
      </c>
      <c r="D736" s="13">
        <v>10.3</v>
      </c>
      <c r="E736" s="13" t="s">
        <v>2080</v>
      </c>
      <c r="F736" s="13" t="s">
        <v>8869</v>
      </c>
      <c r="G736" s="13" t="s">
        <v>2</v>
      </c>
      <c r="H736" s="13" t="s">
        <v>8422</v>
      </c>
      <c r="I736" s="13" t="s">
        <v>1263</v>
      </c>
      <c r="J736" s="13" t="s">
        <v>8890</v>
      </c>
      <c r="K736" s="13" t="s">
        <v>8422</v>
      </c>
      <c r="L736" s="13" t="s">
        <v>8918</v>
      </c>
      <c r="M736" t="s">
        <v>10689</v>
      </c>
    </row>
    <row r="737" spans="1:13" x14ac:dyDescent="0.25">
      <c r="A737" s="13" t="s">
        <v>2081</v>
      </c>
      <c r="B737" s="13" t="s">
        <v>2081</v>
      </c>
      <c r="C737" s="13" t="s">
        <v>2082</v>
      </c>
      <c r="D737" s="13">
        <v>29.7</v>
      </c>
      <c r="E737" s="13" t="s">
        <v>2083</v>
      </c>
      <c r="F737" s="13" t="s">
        <v>8869</v>
      </c>
      <c r="G737" s="13" t="s">
        <v>2</v>
      </c>
      <c r="H737" s="13" t="s">
        <v>3</v>
      </c>
      <c r="I737" s="13" t="s">
        <v>1263</v>
      </c>
      <c r="J737" s="13" t="s">
        <v>8890</v>
      </c>
      <c r="K737" s="13" t="s">
        <v>8422</v>
      </c>
      <c r="L737" s="13" t="s">
        <v>8918</v>
      </c>
      <c r="M737" t="s">
        <v>3</v>
      </c>
    </row>
    <row r="738" spans="1:13" ht="26.25" x14ac:dyDescent="0.25">
      <c r="A738" s="13" t="s">
        <v>2084</v>
      </c>
      <c r="B738" s="13" t="s">
        <v>2084</v>
      </c>
      <c r="C738" s="13" t="s">
        <v>2085</v>
      </c>
      <c r="D738" s="13">
        <v>4.3</v>
      </c>
      <c r="E738" s="13" t="s">
        <v>2086</v>
      </c>
      <c r="F738" s="13" t="s">
        <v>8862</v>
      </c>
      <c r="G738" s="13" t="s">
        <v>2</v>
      </c>
      <c r="H738" s="13" t="s">
        <v>3</v>
      </c>
      <c r="I738" s="13" t="s">
        <v>4</v>
      </c>
      <c r="J738" s="13" t="s">
        <v>8890</v>
      </c>
      <c r="K738" s="13" t="s">
        <v>8424</v>
      </c>
      <c r="L738" s="13" t="s">
        <v>8892</v>
      </c>
      <c r="M738" t="s">
        <v>3</v>
      </c>
    </row>
    <row r="739" spans="1:13" ht="26.25" x14ac:dyDescent="0.25">
      <c r="A739" s="13" t="s">
        <v>2087</v>
      </c>
      <c r="B739" s="13" t="s">
        <v>2087</v>
      </c>
      <c r="C739" s="13" t="s">
        <v>9037</v>
      </c>
      <c r="D739" s="13">
        <v>0.2</v>
      </c>
      <c r="E739" s="13" t="s">
        <v>2088</v>
      </c>
      <c r="F739" s="13" t="s">
        <v>8860</v>
      </c>
      <c r="G739" s="13" t="s">
        <v>19</v>
      </c>
      <c r="H739" s="13" t="s">
        <v>3</v>
      </c>
      <c r="I739" s="13" t="s">
        <v>2089</v>
      </c>
      <c r="J739" s="13" t="s">
        <v>21</v>
      </c>
      <c r="K739" s="13" t="s">
        <v>8578</v>
      </c>
      <c r="L739" s="13" t="s">
        <v>18</v>
      </c>
      <c r="M739" t="s">
        <v>3</v>
      </c>
    </row>
    <row r="740" spans="1:13" x14ac:dyDescent="0.25">
      <c r="A740" s="13" t="s">
        <v>2090</v>
      </c>
      <c r="B740" s="13" t="s">
        <v>2091</v>
      </c>
      <c r="C740" s="13" t="s">
        <v>2092</v>
      </c>
      <c r="D740" s="13">
        <v>17.100000000000001</v>
      </c>
      <c r="E740" s="13" t="s">
        <v>2093</v>
      </c>
      <c r="F740" s="13" t="s">
        <v>8869</v>
      </c>
      <c r="G740" s="13" t="s">
        <v>2</v>
      </c>
      <c r="H740" s="13" t="s">
        <v>8422</v>
      </c>
      <c r="I740" s="13" t="s">
        <v>1263</v>
      </c>
      <c r="J740" s="13" t="s">
        <v>8890</v>
      </c>
      <c r="K740" s="13" t="s">
        <v>8422</v>
      </c>
      <c r="L740" s="13" t="s">
        <v>8918</v>
      </c>
      <c r="M740" t="s">
        <v>10689</v>
      </c>
    </row>
    <row r="741" spans="1:13" ht="26.25" x14ac:dyDescent="0.25">
      <c r="A741" s="13" t="s">
        <v>2094</v>
      </c>
      <c r="B741" s="13" t="s">
        <v>2095</v>
      </c>
      <c r="C741" s="13" t="s">
        <v>2096</v>
      </c>
      <c r="D741" s="13">
        <v>30</v>
      </c>
      <c r="E741" s="13" t="s">
        <v>2097</v>
      </c>
      <c r="F741" s="13" t="s">
        <v>8870</v>
      </c>
      <c r="G741" s="13" t="s">
        <v>19</v>
      </c>
      <c r="H741" s="13" t="s">
        <v>3</v>
      </c>
      <c r="I741" s="13" t="s">
        <v>1673</v>
      </c>
      <c r="J741" s="13" t="s">
        <v>410</v>
      </c>
      <c r="K741" s="13" t="s">
        <v>8420</v>
      </c>
      <c r="L741" s="13" t="s">
        <v>8942</v>
      </c>
      <c r="M741" t="s">
        <v>3</v>
      </c>
    </row>
    <row r="742" spans="1:13" x14ac:dyDescent="0.25">
      <c r="A742" s="13" t="s">
        <v>2098</v>
      </c>
      <c r="B742" s="13" t="s">
        <v>2099</v>
      </c>
      <c r="C742" s="13" t="s">
        <v>2100</v>
      </c>
      <c r="D742" s="13">
        <v>30</v>
      </c>
      <c r="E742" s="13" t="s">
        <v>2101</v>
      </c>
      <c r="F742" s="13" t="s">
        <v>8871</v>
      </c>
      <c r="G742" s="13" t="s">
        <v>2</v>
      </c>
      <c r="H742" s="13" t="s">
        <v>3</v>
      </c>
      <c r="I742" s="13" t="s">
        <v>1673</v>
      </c>
      <c r="J742" s="13" t="s">
        <v>410</v>
      </c>
      <c r="K742" s="13" t="s">
        <v>8420</v>
      </c>
      <c r="L742" s="13" t="s">
        <v>8943</v>
      </c>
      <c r="M742" t="s">
        <v>3</v>
      </c>
    </row>
    <row r="743" spans="1:13" ht="26.25" x14ac:dyDescent="0.25">
      <c r="A743" s="13" t="s">
        <v>2102</v>
      </c>
      <c r="B743" s="13" t="s">
        <v>2103</v>
      </c>
      <c r="C743" s="13" t="s">
        <v>2104</v>
      </c>
      <c r="D743" s="13">
        <v>1</v>
      </c>
      <c r="E743" s="13" t="s">
        <v>2105</v>
      </c>
      <c r="F743" s="13" t="s">
        <v>8860</v>
      </c>
      <c r="G743" s="13" t="s">
        <v>19</v>
      </c>
      <c r="H743" s="13" t="s">
        <v>3</v>
      </c>
      <c r="I743" s="13" t="s">
        <v>2106</v>
      </c>
      <c r="J743" s="13" t="s">
        <v>21</v>
      </c>
      <c r="K743" s="13" t="s">
        <v>8579</v>
      </c>
      <c r="L743" s="13" t="s">
        <v>18</v>
      </c>
      <c r="M743" t="s">
        <v>3</v>
      </c>
    </row>
    <row r="744" spans="1:13" ht="26.25" x14ac:dyDescent="0.25">
      <c r="A744" s="13" t="s">
        <v>2107</v>
      </c>
      <c r="B744" s="13" t="s">
        <v>2108</v>
      </c>
      <c r="C744" s="13" t="s">
        <v>2109</v>
      </c>
      <c r="D744" s="13">
        <v>999</v>
      </c>
      <c r="E744" s="13" t="s">
        <v>2110</v>
      </c>
      <c r="F744" s="13" t="s">
        <v>8860</v>
      </c>
      <c r="G744" s="13" t="s">
        <v>19</v>
      </c>
      <c r="H744" s="13" t="s">
        <v>3</v>
      </c>
      <c r="I744" s="13" t="s">
        <v>2111</v>
      </c>
      <c r="J744" s="13" t="s">
        <v>21</v>
      </c>
      <c r="K744" s="13" t="s">
        <v>8423</v>
      </c>
      <c r="L744" s="13" t="s">
        <v>18</v>
      </c>
      <c r="M744" t="s">
        <v>3</v>
      </c>
    </row>
    <row r="745" spans="1:13" ht="26.25" x14ac:dyDescent="0.25">
      <c r="A745" s="13" t="s">
        <v>2112</v>
      </c>
      <c r="B745" s="13" t="s">
        <v>2112</v>
      </c>
      <c r="C745" s="13" t="s">
        <v>2112</v>
      </c>
      <c r="D745" s="13">
        <v>1</v>
      </c>
      <c r="E745" s="13" t="s">
        <v>2113</v>
      </c>
      <c r="F745" s="13" t="s">
        <v>8860</v>
      </c>
      <c r="G745" s="13" t="s">
        <v>19</v>
      </c>
      <c r="H745" s="13" t="s">
        <v>3</v>
      </c>
      <c r="I745" s="13" t="s">
        <v>2114</v>
      </c>
      <c r="J745" s="13" t="s">
        <v>21</v>
      </c>
      <c r="K745" s="13" t="s">
        <v>8580</v>
      </c>
      <c r="L745" s="13" t="s">
        <v>18</v>
      </c>
      <c r="M745" t="s">
        <v>3</v>
      </c>
    </row>
    <row r="746" spans="1:13" ht="26.25" x14ac:dyDescent="0.25">
      <c r="A746" s="13" t="s">
        <v>2115</v>
      </c>
      <c r="B746" s="13" t="s">
        <v>2116</v>
      </c>
      <c r="C746" s="13" t="s">
        <v>2117</v>
      </c>
      <c r="D746" s="14">
        <v>0</v>
      </c>
      <c r="E746" s="13" t="s">
        <v>2118</v>
      </c>
      <c r="F746" s="13" t="s">
        <v>8874</v>
      </c>
      <c r="G746" s="13" t="s">
        <v>19</v>
      </c>
      <c r="H746" s="13" t="s">
        <v>3</v>
      </c>
      <c r="I746" s="13" t="s">
        <v>2111</v>
      </c>
      <c r="J746" s="13" t="s">
        <v>410</v>
      </c>
      <c r="K746" s="13" t="s">
        <v>8423</v>
      </c>
      <c r="L746" s="13" t="s">
        <v>9038</v>
      </c>
      <c r="M746" t="s">
        <v>3</v>
      </c>
    </row>
    <row r="747" spans="1:13" ht="26.25" x14ac:dyDescent="0.25">
      <c r="A747" s="13" t="s">
        <v>2119</v>
      </c>
      <c r="B747" s="13" t="s">
        <v>2120</v>
      </c>
      <c r="C747" s="13" t="s">
        <v>2121</v>
      </c>
      <c r="D747" s="13">
        <v>45</v>
      </c>
      <c r="E747" s="13" t="s">
        <v>2122</v>
      </c>
      <c r="F747" s="13" t="s">
        <v>8860</v>
      </c>
      <c r="G747" s="13" t="s">
        <v>19</v>
      </c>
      <c r="H747" s="13" t="s">
        <v>3</v>
      </c>
      <c r="I747" s="13" t="s">
        <v>2111</v>
      </c>
      <c r="J747" s="13" t="s">
        <v>21</v>
      </c>
      <c r="K747" s="13" t="s">
        <v>8423</v>
      </c>
      <c r="L747" s="13" t="s">
        <v>18</v>
      </c>
      <c r="M747" t="s">
        <v>3</v>
      </c>
    </row>
    <row r="748" spans="1:13" ht="26.25" x14ac:dyDescent="0.25">
      <c r="A748" s="13" t="s">
        <v>2123</v>
      </c>
      <c r="B748" s="13" t="s">
        <v>2123</v>
      </c>
      <c r="C748" s="13" t="s">
        <v>9039</v>
      </c>
      <c r="D748" s="13">
        <v>0</v>
      </c>
      <c r="E748" s="13" t="s">
        <v>2124</v>
      </c>
      <c r="F748" s="13" t="s">
        <v>8870</v>
      </c>
      <c r="G748" s="13" t="s">
        <v>19</v>
      </c>
      <c r="H748" s="13" t="s">
        <v>3</v>
      </c>
      <c r="I748" s="13" t="s">
        <v>390</v>
      </c>
      <c r="J748" s="13" t="s">
        <v>410</v>
      </c>
      <c r="K748" s="13" t="s">
        <v>8423</v>
      </c>
      <c r="L748" s="13" t="s">
        <v>8942</v>
      </c>
      <c r="M748" t="s">
        <v>3</v>
      </c>
    </row>
    <row r="749" spans="1:13" x14ac:dyDescent="0.25">
      <c r="A749" s="13" t="s">
        <v>2125</v>
      </c>
      <c r="B749" s="13" t="s">
        <v>2125</v>
      </c>
      <c r="C749" s="13" t="s">
        <v>2126</v>
      </c>
      <c r="D749" s="13">
        <v>1400</v>
      </c>
      <c r="E749" s="13" t="s">
        <v>2127</v>
      </c>
      <c r="F749" s="13" t="s">
        <v>8871</v>
      </c>
      <c r="G749" s="13" t="s">
        <v>2</v>
      </c>
      <c r="H749" s="13" t="s">
        <v>3</v>
      </c>
      <c r="I749" s="13" t="s">
        <v>390</v>
      </c>
      <c r="J749" s="13" t="s">
        <v>410</v>
      </c>
      <c r="K749" s="13" t="s">
        <v>8423</v>
      </c>
      <c r="L749" s="13" t="s">
        <v>8943</v>
      </c>
      <c r="M749" t="s">
        <v>3</v>
      </c>
    </row>
    <row r="750" spans="1:13" ht="26.25" x14ac:dyDescent="0.25">
      <c r="A750" s="13" t="s">
        <v>2128</v>
      </c>
      <c r="B750" s="13" t="s">
        <v>2129</v>
      </c>
      <c r="C750" s="13" t="s">
        <v>2130</v>
      </c>
      <c r="D750" s="13">
        <v>0.5</v>
      </c>
      <c r="E750" s="13" t="s">
        <v>2131</v>
      </c>
      <c r="F750" s="13" t="s">
        <v>8860</v>
      </c>
      <c r="G750" s="13" t="s">
        <v>19</v>
      </c>
      <c r="H750" s="13" t="s">
        <v>3</v>
      </c>
      <c r="I750" s="13" t="s">
        <v>2132</v>
      </c>
      <c r="J750" s="13" t="s">
        <v>21</v>
      </c>
      <c r="K750" s="13" t="s">
        <v>8581</v>
      </c>
      <c r="L750" s="13" t="s">
        <v>18</v>
      </c>
      <c r="M750" t="s">
        <v>3</v>
      </c>
    </row>
    <row r="751" spans="1:13" ht="26.25" x14ac:dyDescent="0.25">
      <c r="A751" s="13" t="s">
        <v>2133</v>
      </c>
      <c r="B751" s="13" t="s">
        <v>2133</v>
      </c>
      <c r="C751" s="13" t="s">
        <v>205</v>
      </c>
      <c r="D751" s="13">
        <v>1</v>
      </c>
      <c r="E751" s="13" t="s">
        <v>2134</v>
      </c>
      <c r="F751" s="13" t="s">
        <v>8860</v>
      </c>
      <c r="G751" s="13" t="s">
        <v>19</v>
      </c>
      <c r="H751" s="13" t="s">
        <v>3</v>
      </c>
      <c r="I751" s="13" t="s">
        <v>2135</v>
      </c>
      <c r="J751" s="13" t="s">
        <v>21</v>
      </c>
      <c r="K751" s="13" t="s">
        <v>8582</v>
      </c>
      <c r="L751" s="13" t="s">
        <v>18</v>
      </c>
      <c r="M751" t="s">
        <v>3</v>
      </c>
    </row>
    <row r="752" spans="1:13" ht="26.25" x14ac:dyDescent="0.25">
      <c r="A752" s="13" t="s">
        <v>2136</v>
      </c>
      <c r="B752" s="13" t="s">
        <v>2136</v>
      </c>
      <c r="C752" s="13" t="s">
        <v>2136</v>
      </c>
      <c r="D752" s="13">
        <v>1</v>
      </c>
      <c r="E752" s="13" t="s">
        <v>2137</v>
      </c>
      <c r="F752" s="13" t="s">
        <v>8860</v>
      </c>
      <c r="G752" s="13" t="s">
        <v>19</v>
      </c>
      <c r="H752" s="13" t="s">
        <v>3</v>
      </c>
      <c r="I752" s="13" t="s">
        <v>2138</v>
      </c>
      <c r="J752" s="13" t="s">
        <v>21</v>
      </c>
      <c r="K752" s="13" t="s">
        <v>8583</v>
      </c>
      <c r="L752" s="13" t="s">
        <v>18</v>
      </c>
      <c r="M752" t="s">
        <v>3</v>
      </c>
    </row>
    <row r="753" spans="1:13" ht="26.25" x14ac:dyDescent="0.25">
      <c r="A753" s="13" t="s">
        <v>2139</v>
      </c>
      <c r="B753" s="13" t="s">
        <v>2139</v>
      </c>
      <c r="C753" s="13" t="s">
        <v>2140</v>
      </c>
      <c r="D753" s="13">
        <v>100</v>
      </c>
      <c r="E753" s="13" t="s">
        <v>2141</v>
      </c>
      <c r="F753" s="13" t="s">
        <v>8907</v>
      </c>
      <c r="G753" s="13" t="s">
        <v>19</v>
      </c>
      <c r="H753" s="13" t="s">
        <v>3</v>
      </c>
      <c r="I753" s="13" t="s">
        <v>390</v>
      </c>
      <c r="J753" s="13" t="s">
        <v>144</v>
      </c>
      <c r="K753" s="13" t="s">
        <v>8423</v>
      </c>
      <c r="L753" s="13" t="s">
        <v>144</v>
      </c>
      <c r="M753" t="s">
        <v>3</v>
      </c>
    </row>
    <row r="754" spans="1:13" ht="26.25" x14ac:dyDescent="0.25">
      <c r="A754" s="13" t="s">
        <v>2142</v>
      </c>
      <c r="B754" s="13" t="s">
        <v>2143</v>
      </c>
      <c r="C754" s="13" t="s">
        <v>2144</v>
      </c>
      <c r="D754" s="13">
        <v>0.5</v>
      </c>
      <c r="E754" s="13" t="s">
        <v>2145</v>
      </c>
      <c r="F754" s="13" t="s">
        <v>8867</v>
      </c>
      <c r="G754" s="13" t="s">
        <v>2</v>
      </c>
      <c r="H754" s="13" t="s">
        <v>3</v>
      </c>
      <c r="I754" s="13" t="s">
        <v>2111</v>
      </c>
      <c r="J754" s="13" t="s">
        <v>8890</v>
      </c>
      <c r="K754" s="13" t="s">
        <v>8423</v>
      </c>
      <c r="L754" s="13" t="s">
        <v>158</v>
      </c>
      <c r="M754" t="s">
        <v>3</v>
      </c>
    </row>
    <row r="755" spans="1:13" ht="26.25" x14ac:dyDescent="0.25">
      <c r="A755" s="13" t="s">
        <v>9040</v>
      </c>
      <c r="B755" s="13" t="s">
        <v>9041</v>
      </c>
      <c r="C755" s="13" t="s">
        <v>9042</v>
      </c>
      <c r="D755" s="13">
        <v>5.2</v>
      </c>
      <c r="E755" s="13" t="s">
        <v>9043</v>
      </c>
      <c r="F755" s="13" t="s">
        <v>8867</v>
      </c>
      <c r="G755" s="13" t="s">
        <v>2</v>
      </c>
      <c r="H755" s="13" t="s">
        <v>3</v>
      </c>
      <c r="I755" s="13" t="s">
        <v>2111</v>
      </c>
      <c r="J755" s="13" t="s">
        <v>8890</v>
      </c>
      <c r="K755" s="13" t="s">
        <v>8423</v>
      </c>
      <c r="L755" s="13" t="s">
        <v>158</v>
      </c>
      <c r="M755" t="s">
        <v>3</v>
      </c>
    </row>
    <row r="756" spans="1:13" ht="26.25" x14ac:dyDescent="0.25">
      <c r="A756" s="13" t="s">
        <v>9044</v>
      </c>
      <c r="B756" s="13" t="s">
        <v>9045</v>
      </c>
      <c r="C756" s="13" t="s">
        <v>9046</v>
      </c>
      <c r="D756" s="13">
        <v>0.6</v>
      </c>
      <c r="E756" s="13" t="s">
        <v>9047</v>
      </c>
      <c r="F756" s="13" t="s">
        <v>8860</v>
      </c>
      <c r="G756" s="13" t="s">
        <v>19</v>
      </c>
      <c r="H756" s="13" t="s">
        <v>3</v>
      </c>
      <c r="I756" s="13" t="s">
        <v>9048</v>
      </c>
      <c r="J756" s="13" t="s">
        <v>21</v>
      </c>
      <c r="K756" s="13" t="s">
        <v>9049</v>
      </c>
      <c r="L756" s="13" t="s">
        <v>18</v>
      </c>
      <c r="M756" t="s">
        <v>3</v>
      </c>
    </row>
    <row r="757" spans="1:13" ht="26.25" x14ac:dyDescent="0.25">
      <c r="A757" s="13" t="s">
        <v>2146</v>
      </c>
      <c r="B757" s="13" t="s">
        <v>2146</v>
      </c>
      <c r="C757" s="13" t="s">
        <v>2147</v>
      </c>
      <c r="D757" s="13">
        <v>1</v>
      </c>
      <c r="E757" s="13" t="s">
        <v>2148</v>
      </c>
      <c r="F757" s="13" t="s">
        <v>8860</v>
      </c>
      <c r="G757" s="13" t="s">
        <v>19</v>
      </c>
      <c r="H757" s="13" t="s">
        <v>3</v>
      </c>
      <c r="I757" s="13" t="s">
        <v>2149</v>
      </c>
      <c r="J757" s="13" t="s">
        <v>21</v>
      </c>
      <c r="K757" s="13" t="s">
        <v>2147</v>
      </c>
      <c r="L757" s="13" t="s">
        <v>18</v>
      </c>
      <c r="M757" t="s">
        <v>3</v>
      </c>
    </row>
    <row r="758" spans="1:13" x14ac:dyDescent="0.25">
      <c r="A758" s="13" t="s">
        <v>2150</v>
      </c>
      <c r="B758" s="13" t="s">
        <v>2151</v>
      </c>
      <c r="C758" s="13" t="s">
        <v>2152</v>
      </c>
      <c r="D758" s="13">
        <v>18</v>
      </c>
      <c r="E758" s="13" t="s">
        <v>2153</v>
      </c>
      <c r="F758" s="13" t="s">
        <v>8869</v>
      </c>
      <c r="G758" s="13" t="s">
        <v>2</v>
      </c>
      <c r="H758" s="13" t="s">
        <v>3</v>
      </c>
      <c r="I758" s="13" t="s">
        <v>1283</v>
      </c>
      <c r="J758" s="13" t="s">
        <v>8890</v>
      </c>
      <c r="K758" s="13" t="s">
        <v>8524</v>
      </c>
      <c r="L758" s="13" t="s">
        <v>8918</v>
      </c>
      <c r="M758" t="s">
        <v>3</v>
      </c>
    </row>
    <row r="759" spans="1:13" ht="26.25" x14ac:dyDescent="0.25">
      <c r="A759" s="13" t="s">
        <v>2154</v>
      </c>
      <c r="B759" s="13" t="s">
        <v>2155</v>
      </c>
      <c r="C759" s="13" t="s">
        <v>2156</v>
      </c>
      <c r="D759" s="13">
        <v>0.1</v>
      </c>
      <c r="E759" s="13" t="s">
        <v>2157</v>
      </c>
      <c r="F759" s="13" t="s">
        <v>8860</v>
      </c>
      <c r="G759" s="13" t="s">
        <v>19</v>
      </c>
      <c r="H759" s="13" t="s">
        <v>3</v>
      </c>
      <c r="I759" s="13" t="s">
        <v>2158</v>
      </c>
      <c r="J759" s="13" t="s">
        <v>21</v>
      </c>
      <c r="K759" s="13" t="s">
        <v>2155</v>
      </c>
      <c r="L759" s="13" t="s">
        <v>18</v>
      </c>
      <c r="M759" t="s">
        <v>3</v>
      </c>
    </row>
    <row r="760" spans="1:13" ht="26.25" x14ac:dyDescent="0.25">
      <c r="A760" s="13" t="s">
        <v>2159</v>
      </c>
      <c r="B760" s="13" t="s">
        <v>2159</v>
      </c>
      <c r="C760" s="13" t="s">
        <v>2160</v>
      </c>
      <c r="D760" s="13">
        <v>0</v>
      </c>
      <c r="E760" s="13" t="s">
        <v>2161</v>
      </c>
      <c r="F760" s="13" t="s">
        <v>8860</v>
      </c>
      <c r="G760" s="13" t="s">
        <v>19</v>
      </c>
      <c r="H760" s="13" t="s">
        <v>3</v>
      </c>
      <c r="I760" s="13" t="s">
        <v>2162</v>
      </c>
      <c r="J760" s="13" t="s">
        <v>21</v>
      </c>
      <c r="K760" s="13" t="s">
        <v>2162</v>
      </c>
      <c r="L760" s="13" t="s">
        <v>18</v>
      </c>
      <c r="M760" t="s">
        <v>3</v>
      </c>
    </row>
    <row r="761" spans="1:13" x14ac:dyDescent="0.25">
      <c r="A761" s="13" t="s">
        <v>9050</v>
      </c>
      <c r="B761" s="13" t="s">
        <v>9051</v>
      </c>
      <c r="C761" s="13" t="s">
        <v>9052</v>
      </c>
      <c r="D761" s="13">
        <v>0.2</v>
      </c>
      <c r="E761" s="13" t="s">
        <v>9053</v>
      </c>
      <c r="F761" s="13" t="s">
        <v>8867</v>
      </c>
      <c r="G761" s="13" t="s">
        <v>2</v>
      </c>
      <c r="H761" s="13" t="s">
        <v>3</v>
      </c>
      <c r="I761" s="13" t="s">
        <v>2149</v>
      </c>
      <c r="J761" s="13" t="s">
        <v>8890</v>
      </c>
      <c r="K761" s="13" t="s">
        <v>2147</v>
      </c>
      <c r="L761" s="13" t="s">
        <v>158</v>
      </c>
      <c r="M761" t="s">
        <v>3</v>
      </c>
    </row>
    <row r="762" spans="1:13" ht="26.25" x14ac:dyDescent="0.25">
      <c r="A762" s="13" t="s">
        <v>2163</v>
      </c>
      <c r="B762" s="13" t="s">
        <v>2164</v>
      </c>
      <c r="C762" s="13" t="s">
        <v>2165</v>
      </c>
      <c r="D762" s="13">
        <v>0.1</v>
      </c>
      <c r="E762" s="13" t="s">
        <v>2166</v>
      </c>
      <c r="F762" s="13" t="s">
        <v>8860</v>
      </c>
      <c r="G762" s="13" t="s">
        <v>19</v>
      </c>
      <c r="H762" s="13" t="s">
        <v>3</v>
      </c>
      <c r="I762" s="13" t="s">
        <v>2167</v>
      </c>
      <c r="J762" s="13" t="s">
        <v>21</v>
      </c>
      <c r="K762" s="13" t="s">
        <v>8584</v>
      </c>
      <c r="L762" s="13" t="s">
        <v>18</v>
      </c>
      <c r="M762" t="s">
        <v>3</v>
      </c>
    </row>
    <row r="763" spans="1:13" ht="26.25" x14ac:dyDescent="0.25">
      <c r="A763" s="13" t="s">
        <v>2168</v>
      </c>
      <c r="B763" s="13" t="s">
        <v>2168</v>
      </c>
      <c r="C763" s="13" t="s">
        <v>2168</v>
      </c>
      <c r="D763" s="14">
        <v>1</v>
      </c>
      <c r="E763" s="13" t="s">
        <v>2169</v>
      </c>
      <c r="F763" s="13" t="s">
        <v>8860</v>
      </c>
      <c r="G763" s="13" t="s">
        <v>19</v>
      </c>
      <c r="H763" s="13" t="s">
        <v>3</v>
      </c>
      <c r="I763" s="13" t="s">
        <v>2170</v>
      </c>
      <c r="J763" s="13" t="s">
        <v>21</v>
      </c>
      <c r="K763" s="13" t="s">
        <v>9054</v>
      </c>
      <c r="L763" s="13" t="s">
        <v>18</v>
      </c>
      <c r="M763" t="s">
        <v>3</v>
      </c>
    </row>
    <row r="764" spans="1:13" ht="26.25" x14ac:dyDescent="0.25">
      <c r="A764" s="13" t="s">
        <v>2171</v>
      </c>
      <c r="B764" s="13" t="s">
        <v>2171</v>
      </c>
      <c r="C764" s="13" t="s">
        <v>205</v>
      </c>
      <c r="D764" s="13">
        <v>1</v>
      </c>
      <c r="E764" s="13" t="s">
        <v>2172</v>
      </c>
      <c r="F764" s="13" t="s">
        <v>8860</v>
      </c>
      <c r="G764" s="13" t="s">
        <v>19</v>
      </c>
      <c r="H764" s="13" t="s">
        <v>3</v>
      </c>
      <c r="I764" s="13" t="s">
        <v>2173</v>
      </c>
      <c r="J764" s="13" t="s">
        <v>21</v>
      </c>
      <c r="K764" s="13" t="s">
        <v>8585</v>
      </c>
      <c r="L764" s="13" t="s">
        <v>18</v>
      </c>
      <c r="M764" t="s">
        <v>3</v>
      </c>
    </row>
    <row r="765" spans="1:13" ht="26.25" x14ac:dyDescent="0.25">
      <c r="A765" s="13" t="s">
        <v>2174</v>
      </c>
      <c r="B765" s="13" t="s">
        <v>2175</v>
      </c>
      <c r="C765" s="13" t="s">
        <v>2176</v>
      </c>
      <c r="D765" s="13">
        <v>0.1</v>
      </c>
      <c r="E765" s="13" t="s">
        <v>2177</v>
      </c>
      <c r="F765" s="13" t="s">
        <v>8860</v>
      </c>
      <c r="G765" s="13" t="s">
        <v>19</v>
      </c>
      <c r="H765" s="13" t="s">
        <v>3</v>
      </c>
      <c r="I765" s="13" t="s">
        <v>2178</v>
      </c>
      <c r="J765" s="13" t="s">
        <v>21</v>
      </c>
      <c r="K765" s="13" t="s">
        <v>8586</v>
      </c>
      <c r="L765" s="13" t="s">
        <v>18</v>
      </c>
      <c r="M765" t="s">
        <v>3</v>
      </c>
    </row>
    <row r="766" spans="1:13" ht="26.25" x14ac:dyDescent="0.25">
      <c r="A766" s="13" t="s">
        <v>2179</v>
      </c>
      <c r="B766" s="13" t="s">
        <v>2179</v>
      </c>
      <c r="C766" s="13" t="s">
        <v>2179</v>
      </c>
      <c r="D766" s="13">
        <v>11743.7</v>
      </c>
      <c r="E766" s="13" t="s">
        <v>2180</v>
      </c>
      <c r="F766" s="13" t="s">
        <v>35</v>
      </c>
      <c r="G766" s="13" t="s">
        <v>19</v>
      </c>
      <c r="H766" s="13" t="s">
        <v>3</v>
      </c>
      <c r="I766" s="13" t="s">
        <v>2181</v>
      </c>
      <c r="J766" s="13" t="s">
        <v>37</v>
      </c>
      <c r="K766" s="13" t="s">
        <v>8587</v>
      </c>
      <c r="L766" s="13" t="s">
        <v>35</v>
      </c>
      <c r="M766" t="s">
        <v>3</v>
      </c>
    </row>
    <row r="767" spans="1:13" ht="26.25" x14ac:dyDescent="0.25">
      <c r="A767" s="13" t="s">
        <v>2182</v>
      </c>
      <c r="B767" s="13" t="s">
        <v>2182</v>
      </c>
      <c r="C767" s="13" t="s">
        <v>2183</v>
      </c>
      <c r="D767" s="13">
        <v>0.1</v>
      </c>
      <c r="E767" s="13" t="s">
        <v>2184</v>
      </c>
      <c r="F767" s="13" t="s">
        <v>8860</v>
      </c>
      <c r="G767" s="13" t="s">
        <v>19</v>
      </c>
      <c r="H767" s="13" t="s">
        <v>3</v>
      </c>
      <c r="I767" s="13" t="s">
        <v>2185</v>
      </c>
      <c r="J767" s="13" t="s">
        <v>21</v>
      </c>
      <c r="K767" s="13" t="s">
        <v>9055</v>
      </c>
      <c r="L767" s="13" t="s">
        <v>18</v>
      </c>
      <c r="M767" t="s">
        <v>3</v>
      </c>
    </row>
    <row r="768" spans="1:13" ht="26.25" x14ac:dyDescent="0.25">
      <c r="A768" s="13" t="s">
        <v>2186</v>
      </c>
      <c r="B768" s="13" t="s">
        <v>2187</v>
      </c>
      <c r="C768" s="13" t="s">
        <v>2188</v>
      </c>
      <c r="D768" s="13">
        <v>0.1</v>
      </c>
      <c r="E768" s="13" t="s">
        <v>2189</v>
      </c>
      <c r="F768" s="13" t="s">
        <v>8860</v>
      </c>
      <c r="G768" s="13" t="s">
        <v>19</v>
      </c>
      <c r="H768" s="13" t="s">
        <v>3</v>
      </c>
      <c r="I768" s="13" t="s">
        <v>2190</v>
      </c>
      <c r="J768" s="13" t="s">
        <v>21</v>
      </c>
      <c r="K768" s="13" t="s">
        <v>8588</v>
      </c>
      <c r="L768" s="13" t="s">
        <v>18</v>
      </c>
      <c r="M768" t="s">
        <v>3</v>
      </c>
    </row>
    <row r="769" spans="1:13" ht="26.25" x14ac:dyDescent="0.25">
      <c r="A769" s="13" t="s">
        <v>10137</v>
      </c>
      <c r="B769" s="13" t="s">
        <v>10137</v>
      </c>
      <c r="C769" s="13" t="s">
        <v>10138</v>
      </c>
      <c r="D769" s="13">
        <v>0.6</v>
      </c>
      <c r="E769" s="13" t="s">
        <v>10139</v>
      </c>
      <c r="F769" s="13" t="s">
        <v>8863</v>
      </c>
      <c r="G769" s="13" t="s">
        <v>2</v>
      </c>
      <c r="H769" s="13" t="s">
        <v>3</v>
      </c>
      <c r="I769" s="13" t="s">
        <v>2190</v>
      </c>
      <c r="J769" s="13" t="s">
        <v>8890</v>
      </c>
      <c r="K769" s="13" t="s">
        <v>8588</v>
      </c>
      <c r="L769" s="13" t="s">
        <v>8956</v>
      </c>
      <c r="M769" t="s">
        <v>3</v>
      </c>
    </row>
    <row r="770" spans="1:13" x14ac:dyDescent="0.25">
      <c r="A770" s="13" t="s">
        <v>2191</v>
      </c>
      <c r="B770" s="13" t="s">
        <v>2191</v>
      </c>
      <c r="C770" s="13" t="s">
        <v>2192</v>
      </c>
      <c r="D770" s="13">
        <v>45.1</v>
      </c>
      <c r="E770" s="13" t="s">
        <v>2193</v>
      </c>
      <c r="F770" s="13" t="s">
        <v>8869</v>
      </c>
      <c r="G770" s="13" t="s">
        <v>2</v>
      </c>
      <c r="H770" s="13" t="s">
        <v>3</v>
      </c>
      <c r="I770" s="13" t="s">
        <v>447</v>
      </c>
      <c r="J770" s="13" t="s">
        <v>8890</v>
      </c>
      <c r="K770" s="13" t="s">
        <v>8421</v>
      </c>
      <c r="L770" s="13" t="s">
        <v>8918</v>
      </c>
      <c r="M770" t="s">
        <v>3</v>
      </c>
    </row>
    <row r="771" spans="1:13" x14ac:dyDescent="0.25">
      <c r="A771" s="13" t="s">
        <v>2194</v>
      </c>
      <c r="B771" s="13" t="s">
        <v>2194</v>
      </c>
      <c r="C771" s="13" t="s">
        <v>2195</v>
      </c>
      <c r="D771" s="13">
        <v>5.9</v>
      </c>
      <c r="E771" s="13" t="s">
        <v>2196</v>
      </c>
      <c r="F771" s="13" t="s">
        <v>8869</v>
      </c>
      <c r="G771" s="13" t="s">
        <v>2</v>
      </c>
      <c r="H771" s="13" t="s">
        <v>3</v>
      </c>
      <c r="I771" s="13" t="s">
        <v>1263</v>
      </c>
      <c r="J771" s="13" t="s">
        <v>8890</v>
      </c>
      <c r="K771" s="13" t="s">
        <v>8422</v>
      </c>
      <c r="L771" s="13" t="s">
        <v>8918</v>
      </c>
      <c r="M771" t="s">
        <v>3</v>
      </c>
    </row>
    <row r="772" spans="1:13" ht="26.25" x14ac:dyDescent="0.25">
      <c r="A772" s="13" t="s">
        <v>2197</v>
      </c>
      <c r="B772" s="13" t="s">
        <v>2198</v>
      </c>
      <c r="C772" s="13" t="s">
        <v>2199</v>
      </c>
      <c r="D772" s="13">
        <v>0.1</v>
      </c>
      <c r="E772" s="13" t="s">
        <v>2200</v>
      </c>
      <c r="F772" s="13" t="s">
        <v>8860</v>
      </c>
      <c r="G772" s="13" t="s">
        <v>19</v>
      </c>
      <c r="H772" s="13" t="s">
        <v>3</v>
      </c>
      <c r="I772" s="13" t="s">
        <v>2201</v>
      </c>
      <c r="J772" s="13" t="s">
        <v>21</v>
      </c>
      <c r="K772" s="13" t="s">
        <v>8589</v>
      </c>
      <c r="L772" s="13" t="s">
        <v>18</v>
      </c>
      <c r="M772" t="s">
        <v>3</v>
      </c>
    </row>
    <row r="773" spans="1:13" ht="26.25" x14ac:dyDescent="0.25">
      <c r="A773" s="13" t="s">
        <v>2202</v>
      </c>
      <c r="B773" s="13" t="s">
        <v>2203</v>
      </c>
      <c r="C773" s="13" t="s">
        <v>2204</v>
      </c>
      <c r="D773" s="13">
        <v>0.2</v>
      </c>
      <c r="E773" s="13" t="s">
        <v>2205</v>
      </c>
      <c r="F773" s="13" t="s">
        <v>35</v>
      </c>
      <c r="G773" s="13" t="s">
        <v>19</v>
      </c>
      <c r="H773" s="13" t="s">
        <v>3</v>
      </c>
      <c r="I773" s="13" t="s">
        <v>2206</v>
      </c>
      <c r="J773" s="13" t="s">
        <v>37</v>
      </c>
      <c r="K773" s="13" t="s">
        <v>2204</v>
      </c>
      <c r="L773" s="13" t="s">
        <v>35</v>
      </c>
      <c r="M773" t="s">
        <v>3</v>
      </c>
    </row>
    <row r="774" spans="1:13" ht="26.25" x14ac:dyDescent="0.25">
      <c r="A774" s="13" t="s">
        <v>11767</v>
      </c>
      <c r="B774" s="13" t="s">
        <v>11768</v>
      </c>
      <c r="C774" s="13" t="s">
        <v>11768</v>
      </c>
      <c r="D774" s="13">
        <v>0.1</v>
      </c>
      <c r="E774" s="13" t="s">
        <v>11769</v>
      </c>
      <c r="F774" s="13" t="s">
        <v>8860</v>
      </c>
      <c r="G774" s="13" t="s">
        <v>19</v>
      </c>
      <c r="H774" s="13" t="s">
        <v>3</v>
      </c>
      <c r="I774" s="13" t="s">
        <v>11770</v>
      </c>
      <c r="J774" s="13" t="s">
        <v>21</v>
      </c>
      <c r="K774" s="13" t="s">
        <v>11771</v>
      </c>
      <c r="L774" s="13" t="s">
        <v>18</v>
      </c>
      <c r="M774" t="s">
        <v>3</v>
      </c>
    </row>
    <row r="775" spans="1:13" ht="26.25" x14ac:dyDescent="0.25">
      <c r="A775" s="13" t="s">
        <v>2207</v>
      </c>
      <c r="B775" s="13" t="s">
        <v>2207</v>
      </c>
      <c r="C775" s="13" t="s">
        <v>2207</v>
      </c>
      <c r="D775" s="13">
        <v>0.1</v>
      </c>
      <c r="E775" s="13" t="s">
        <v>2208</v>
      </c>
      <c r="F775" s="13" t="s">
        <v>8860</v>
      </c>
      <c r="G775" s="13" t="s">
        <v>19</v>
      </c>
      <c r="H775" s="13" t="s">
        <v>3</v>
      </c>
      <c r="I775" s="13" t="s">
        <v>2209</v>
      </c>
      <c r="J775" s="13" t="s">
        <v>21</v>
      </c>
      <c r="K775" s="13" t="s">
        <v>8590</v>
      </c>
      <c r="L775" s="13" t="s">
        <v>18</v>
      </c>
      <c r="M775" t="s">
        <v>3</v>
      </c>
    </row>
    <row r="776" spans="1:13" ht="26.25" x14ac:dyDescent="0.25">
      <c r="A776" s="13" t="s">
        <v>2210</v>
      </c>
      <c r="B776" s="13" t="s">
        <v>2210</v>
      </c>
      <c r="C776" s="13" t="s">
        <v>2211</v>
      </c>
      <c r="D776" s="13">
        <v>0.1</v>
      </c>
      <c r="E776" s="13" t="s">
        <v>2212</v>
      </c>
      <c r="F776" s="13" t="s">
        <v>8860</v>
      </c>
      <c r="G776" s="13" t="s">
        <v>19</v>
      </c>
      <c r="H776" s="13" t="s">
        <v>3</v>
      </c>
      <c r="I776" s="13" t="s">
        <v>2213</v>
      </c>
      <c r="J776" s="13" t="s">
        <v>21</v>
      </c>
      <c r="K776" s="13" t="s">
        <v>8591</v>
      </c>
      <c r="L776" s="13" t="s">
        <v>18</v>
      </c>
      <c r="M776" t="s">
        <v>3</v>
      </c>
    </row>
    <row r="777" spans="1:13" ht="26.25" x14ac:dyDescent="0.25">
      <c r="A777" s="13" t="s">
        <v>2214</v>
      </c>
      <c r="B777" s="13" t="s">
        <v>2215</v>
      </c>
      <c r="C777" s="13" t="s">
        <v>2216</v>
      </c>
      <c r="D777" s="13">
        <v>4</v>
      </c>
      <c r="E777" s="13" t="s">
        <v>2217</v>
      </c>
      <c r="F777" s="13" t="s">
        <v>8860</v>
      </c>
      <c r="G777" s="13" t="s">
        <v>19</v>
      </c>
      <c r="H777" s="13" t="s">
        <v>3</v>
      </c>
      <c r="I777" s="13" t="s">
        <v>2218</v>
      </c>
      <c r="J777" s="13" t="s">
        <v>21</v>
      </c>
      <c r="K777" s="13" t="s">
        <v>8592</v>
      </c>
      <c r="L777" s="13" t="s">
        <v>18</v>
      </c>
      <c r="M777" t="s">
        <v>3</v>
      </c>
    </row>
    <row r="778" spans="1:13" ht="26.25" x14ac:dyDescent="0.25">
      <c r="A778" s="13" t="s">
        <v>2219</v>
      </c>
      <c r="B778" s="13" t="s">
        <v>2220</v>
      </c>
      <c r="C778" s="13" t="s">
        <v>2221</v>
      </c>
      <c r="D778" s="13">
        <v>0.5</v>
      </c>
      <c r="E778" s="13" t="s">
        <v>2222</v>
      </c>
      <c r="F778" s="13" t="s">
        <v>35</v>
      </c>
      <c r="G778" s="13" t="s">
        <v>19</v>
      </c>
      <c r="H778" s="13" t="s">
        <v>3</v>
      </c>
      <c r="I778" s="13" t="s">
        <v>2223</v>
      </c>
      <c r="J778" s="13" t="s">
        <v>37</v>
      </c>
      <c r="K778" s="13" t="s">
        <v>8593</v>
      </c>
      <c r="L778" s="13" t="s">
        <v>35</v>
      </c>
      <c r="M778" t="s">
        <v>3</v>
      </c>
    </row>
    <row r="779" spans="1:13" ht="26.25" x14ac:dyDescent="0.25">
      <c r="A779" s="13" t="s">
        <v>2224</v>
      </c>
      <c r="B779" s="13" t="s">
        <v>2225</v>
      </c>
      <c r="C779" s="13" t="s">
        <v>2226</v>
      </c>
      <c r="D779" s="13">
        <v>0.5</v>
      </c>
      <c r="E779" s="13" t="s">
        <v>2227</v>
      </c>
      <c r="F779" s="13" t="s">
        <v>8860</v>
      </c>
      <c r="G779" s="13" t="s">
        <v>19</v>
      </c>
      <c r="H779" s="13" t="s">
        <v>3</v>
      </c>
      <c r="I779" s="13" t="s">
        <v>2181</v>
      </c>
      <c r="J779" s="13" t="s">
        <v>21</v>
      </c>
      <c r="K779" s="13" t="s">
        <v>8587</v>
      </c>
      <c r="L779" s="13" t="s">
        <v>18</v>
      </c>
      <c r="M779" t="s">
        <v>3</v>
      </c>
    </row>
    <row r="780" spans="1:13" x14ac:dyDescent="0.25">
      <c r="A780" s="13" t="s">
        <v>2228</v>
      </c>
      <c r="B780" s="13" t="s">
        <v>2228</v>
      </c>
      <c r="C780" s="13" t="s">
        <v>2228</v>
      </c>
      <c r="D780" s="13">
        <v>26.9</v>
      </c>
      <c r="E780" s="13" t="s">
        <v>2229</v>
      </c>
      <c r="F780" s="13" t="s">
        <v>8865</v>
      </c>
      <c r="G780" s="13" t="s">
        <v>2</v>
      </c>
      <c r="H780" s="13" t="s">
        <v>3</v>
      </c>
      <c r="I780" s="13" t="s">
        <v>2181</v>
      </c>
      <c r="J780" s="13" t="s">
        <v>8890</v>
      </c>
      <c r="K780" s="13" t="s">
        <v>8587</v>
      </c>
      <c r="L780" s="13" t="s">
        <v>8901</v>
      </c>
      <c r="M780" t="s">
        <v>3</v>
      </c>
    </row>
    <row r="781" spans="1:13" x14ac:dyDescent="0.25">
      <c r="A781" s="13" t="s">
        <v>2230</v>
      </c>
      <c r="B781" s="13" t="s">
        <v>2230</v>
      </c>
      <c r="C781" s="13" t="s">
        <v>2230</v>
      </c>
      <c r="D781" s="13">
        <v>0.3</v>
      </c>
      <c r="E781" s="13" t="s">
        <v>2231</v>
      </c>
      <c r="F781" s="13" t="s">
        <v>8863</v>
      </c>
      <c r="G781" s="13" t="s">
        <v>2</v>
      </c>
      <c r="H781" s="13" t="s">
        <v>3</v>
      </c>
      <c r="I781" s="13" t="s">
        <v>2181</v>
      </c>
      <c r="J781" s="13" t="s">
        <v>8890</v>
      </c>
      <c r="K781" s="13" t="s">
        <v>8587</v>
      </c>
      <c r="L781" s="13" t="s">
        <v>8956</v>
      </c>
      <c r="M781" t="s">
        <v>3</v>
      </c>
    </row>
    <row r="782" spans="1:13" x14ac:dyDescent="0.25">
      <c r="A782" s="13" t="s">
        <v>2232</v>
      </c>
      <c r="B782" s="13" t="s">
        <v>2232</v>
      </c>
      <c r="C782" s="13" t="s">
        <v>2232</v>
      </c>
      <c r="D782" s="13">
        <v>8</v>
      </c>
      <c r="E782" s="13" t="s">
        <v>2233</v>
      </c>
      <c r="F782" s="13" t="s">
        <v>8873</v>
      </c>
      <c r="G782" s="13" t="s">
        <v>2</v>
      </c>
      <c r="H782" s="13" t="s">
        <v>3</v>
      </c>
      <c r="I782" s="13" t="s">
        <v>2181</v>
      </c>
      <c r="J782" s="13" t="s">
        <v>8890</v>
      </c>
      <c r="K782" s="13" t="s">
        <v>8587</v>
      </c>
      <c r="L782" s="13" t="s">
        <v>8964</v>
      </c>
      <c r="M782" t="s">
        <v>3</v>
      </c>
    </row>
    <row r="783" spans="1:13" x14ac:dyDescent="0.25">
      <c r="A783" s="13" t="s">
        <v>2234</v>
      </c>
      <c r="B783" s="13" t="s">
        <v>2234</v>
      </c>
      <c r="C783" s="13" t="s">
        <v>2234</v>
      </c>
      <c r="D783" s="13">
        <v>2</v>
      </c>
      <c r="E783" s="13" t="s">
        <v>2235</v>
      </c>
      <c r="F783" s="13" t="s">
        <v>8872</v>
      </c>
      <c r="G783" s="13" t="s">
        <v>2</v>
      </c>
      <c r="H783" s="13" t="s">
        <v>3</v>
      </c>
      <c r="I783" s="13" t="s">
        <v>2181</v>
      </c>
      <c r="J783" s="13" t="s">
        <v>8890</v>
      </c>
      <c r="K783" s="13" t="s">
        <v>8587</v>
      </c>
      <c r="L783" s="13" t="s">
        <v>556</v>
      </c>
      <c r="M783" t="s">
        <v>3</v>
      </c>
    </row>
    <row r="784" spans="1:13" x14ac:dyDescent="0.25">
      <c r="A784" s="13" t="s">
        <v>2236</v>
      </c>
      <c r="B784" s="13" t="s">
        <v>2236</v>
      </c>
      <c r="C784" s="13" t="s">
        <v>2236</v>
      </c>
      <c r="D784" s="13">
        <v>9.6</v>
      </c>
      <c r="E784" s="13" t="s">
        <v>2237</v>
      </c>
      <c r="F784" s="13" t="s">
        <v>8865</v>
      </c>
      <c r="G784" s="13" t="s">
        <v>2</v>
      </c>
      <c r="H784" s="13" t="s">
        <v>3</v>
      </c>
      <c r="I784" s="13" t="s">
        <v>2181</v>
      </c>
      <c r="J784" s="13" t="s">
        <v>8890</v>
      </c>
      <c r="K784" s="13" t="s">
        <v>8587</v>
      </c>
      <c r="L784" s="13" t="s">
        <v>8901</v>
      </c>
      <c r="M784" t="s">
        <v>3</v>
      </c>
    </row>
    <row r="785" spans="1:13" x14ac:dyDescent="0.25">
      <c r="A785" s="13" t="s">
        <v>2238</v>
      </c>
      <c r="B785" s="13" t="s">
        <v>2238</v>
      </c>
      <c r="C785" s="13" t="s">
        <v>2238</v>
      </c>
      <c r="D785" s="13">
        <v>3.5</v>
      </c>
      <c r="E785" s="13" t="s">
        <v>2239</v>
      </c>
      <c r="F785" s="13" t="s">
        <v>8867</v>
      </c>
      <c r="G785" s="13" t="s">
        <v>2</v>
      </c>
      <c r="H785" s="13" t="s">
        <v>3</v>
      </c>
      <c r="I785" s="13" t="s">
        <v>2181</v>
      </c>
      <c r="J785" s="13" t="s">
        <v>8890</v>
      </c>
      <c r="K785" s="13" t="s">
        <v>8587</v>
      </c>
      <c r="L785" s="13" t="s">
        <v>158</v>
      </c>
      <c r="M785" t="s">
        <v>3</v>
      </c>
    </row>
    <row r="786" spans="1:13" x14ac:dyDescent="0.25">
      <c r="A786" s="13" t="s">
        <v>2240</v>
      </c>
      <c r="B786" s="13" t="s">
        <v>2241</v>
      </c>
      <c r="C786" s="13" t="s">
        <v>2241</v>
      </c>
      <c r="D786" s="13">
        <v>5.4</v>
      </c>
      <c r="E786" s="13" t="s">
        <v>2242</v>
      </c>
      <c r="F786" s="13" t="s">
        <v>8867</v>
      </c>
      <c r="G786" s="13" t="s">
        <v>2</v>
      </c>
      <c r="H786" s="13" t="s">
        <v>3</v>
      </c>
      <c r="I786" s="13" t="s">
        <v>2181</v>
      </c>
      <c r="J786" s="13" t="s">
        <v>8890</v>
      </c>
      <c r="K786" s="13" t="s">
        <v>8587</v>
      </c>
      <c r="L786" s="13" t="s">
        <v>158</v>
      </c>
      <c r="M786" t="s">
        <v>3</v>
      </c>
    </row>
    <row r="787" spans="1:13" ht="26.25" x14ac:dyDescent="0.25">
      <c r="A787" s="13" t="s">
        <v>2243</v>
      </c>
      <c r="B787" s="13" t="s">
        <v>2243</v>
      </c>
      <c r="C787" s="13" t="s">
        <v>2243</v>
      </c>
      <c r="D787" s="13">
        <v>10</v>
      </c>
      <c r="E787" s="13" t="s">
        <v>2244</v>
      </c>
      <c r="F787" s="13" t="s">
        <v>8865</v>
      </c>
      <c r="G787" s="13" t="s">
        <v>2</v>
      </c>
      <c r="H787" s="13" t="s">
        <v>3</v>
      </c>
      <c r="I787" s="13" t="s">
        <v>2181</v>
      </c>
      <c r="J787" s="13" t="s">
        <v>8890</v>
      </c>
      <c r="K787" s="13" t="s">
        <v>8587</v>
      </c>
      <c r="L787" s="13" t="s">
        <v>8901</v>
      </c>
      <c r="M787" t="s">
        <v>3</v>
      </c>
    </row>
    <row r="788" spans="1:13" ht="26.25" x14ac:dyDescent="0.25">
      <c r="A788" s="13" t="s">
        <v>2245</v>
      </c>
      <c r="B788" s="13" t="s">
        <v>2246</v>
      </c>
      <c r="C788" s="13" t="s">
        <v>2246</v>
      </c>
      <c r="D788" s="13">
        <v>5.3</v>
      </c>
      <c r="E788" s="13" t="s">
        <v>2247</v>
      </c>
      <c r="F788" s="13" t="s">
        <v>8867</v>
      </c>
      <c r="G788" s="13" t="s">
        <v>2</v>
      </c>
      <c r="H788" s="13" t="s">
        <v>3</v>
      </c>
      <c r="I788" s="13" t="s">
        <v>2181</v>
      </c>
      <c r="J788" s="13" t="s">
        <v>8890</v>
      </c>
      <c r="K788" s="13" t="s">
        <v>8587</v>
      </c>
      <c r="L788" s="13" t="s">
        <v>158</v>
      </c>
      <c r="M788" t="s">
        <v>3</v>
      </c>
    </row>
    <row r="789" spans="1:13" x14ac:dyDescent="0.25">
      <c r="A789" s="13" t="s">
        <v>2248</v>
      </c>
      <c r="B789" s="13" t="s">
        <v>2249</v>
      </c>
      <c r="C789" s="13" t="s">
        <v>2249</v>
      </c>
      <c r="D789" s="13">
        <v>1</v>
      </c>
      <c r="E789" s="13" t="s">
        <v>2250</v>
      </c>
      <c r="F789" s="13" t="s">
        <v>8867</v>
      </c>
      <c r="G789" s="13" t="s">
        <v>2</v>
      </c>
      <c r="H789" s="13" t="s">
        <v>3</v>
      </c>
      <c r="I789" s="13" t="s">
        <v>2181</v>
      </c>
      <c r="J789" s="13" t="s">
        <v>8890</v>
      </c>
      <c r="K789" s="13" t="s">
        <v>8587</v>
      </c>
      <c r="L789" s="13" t="s">
        <v>158</v>
      </c>
      <c r="M789" t="s">
        <v>3</v>
      </c>
    </row>
    <row r="790" spans="1:13" ht="26.25" x14ac:dyDescent="0.25">
      <c r="A790" s="13" t="s">
        <v>2251</v>
      </c>
      <c r="B790" s="13" t="s">
        <v>2251</v>
      </c>
      <c r="C790" s="13" t="s">
        <v>2252</v>
      </c>
      <c r="D790" s="13">
        <v>2</v>
      </c>
      <c r="E790" s="13" t="s">
        <v>2253</v>
      </c>
      <c r="F790" s="13" t="s">
        <v>8867</v>
      </c>
      <c r="G790" s="13" t="s">
        <v>2</v>
      </c>
      <c r="H790" s="13" t="s">
        <v>3</v>
      </c>
      <c r="I790" s="13" t="s">
        <v>2181</v>
      </c>
      <c r="J790" s="13" t="s">
        <v>8890</v>
      </c>
      <c r="K790" s="13" t="s">
        <v>8587</v>
      </c>
      <c r="L790" s="13" t="s">
        <v>158</v>
      </c>
      <c r="M790" t="s">
        <v>3</v>
      </c>
    </row>
    <row r="791" spans="1:13" ht="26.25" x14ac:dyDescent="0.25">
      <c r="A791" s="13" t="s">
        <v>2254</v>
      </c>
      <c r="B791" s="13" t="s">
        <v>2254</v>
      </c>
      <c r="C791" s="13" t="s">
        <v>2255</v>
      </c>
      <c r="D791" s="13">
        <v>1.8</v>
      </c>
      <c r="E791" s="13" t="s">
        <v>2256</v>
      </c>
      <c r="F791" s="13" t="s">
        <v>8867</v>
      </c>
      <c r="G791" s="13" t="s">
        <v>2</v>
      </c>
      <c r="H791" s="13" t="s">
        <v>3</v>
      </c>
      <c r="I791" s="13" t="s">
        <v>2181</v>
      </c>
      <c r="J791" s="13" t="s">
        <v>8890</v>
      </c>
      <c r="K791" s="13" t="s">
        <v>8587</v>
      </c>
      <c r="L791" s="13" t="s">
        <v>158</v>
      </c>
      <c r="M791" t="s">
        <v>3</v>
      </c>
    </row>
    <row r="792" spans="1:13" x14ac:dyDescent="0.25">
      <c r="A792" s="13" t="s">
        <v>9056</v>
      </c>
      <c r="B792" s="13" t="s">
        <v>9056</v>
      </c>
      <c r="C792" s="13" t="s">
        <v>9057</v>
      </c>
      <c r="D792" s="14">
        <v>3</v>
      </c>
      <c r="E792" s="13" t="s">
        <v>9058</v>
      </c>
      <c r="F792" s="13" t="s">
        <v>8867</v>
      </c>
      <c r="G792" s="13" t="s">
        <v>2</v>
      </c>
      <c r="H792" s="13" t="s">
        <v>3</v>
      </c>
      <c r="I792" s="13" t="s">
        <v>2181</v>
      </c>
      <c r="J792" s="13" t="s">
        <v>8890</v>
      </c>
      <c r="K792" s="13" t="s">
        <v>8587</v>
      </c>
      <c r="L792" s="13" t="s">
        <v>158</v>
      </c>
      <c r="M792" t="s">
        <v>3</v>
      </c>
    </row>
    <row r="793" spans="1:13" x14ac:dyDescent="0.25">
      <c r="A793" s="13" t="s">
        <v>10024</v>
      </c>
      <c r="B793" s="13" t="s">
        <v>10024</v>
      </c>
      <c r="C793" s="13" t="s">
        <v>10025</v>
      </c>
      <c r="D793" s="14">
        <v>5.4</v>
      </c>
      <c r="E793" s="13" t="s">
        <v>10026</v>
      </c>
      <c r="F793" s="13" t="s">
        <v>8867</v>
      </c>
      <c r="G793" s="13" t="s">
        <v>2</v>
      </c>
      <c r="H793" s="13" t="s">
        <v>3</v>
      </c>
      <c r="I793" s="13" t="s">
        <v>2181</v>
      </c>
      <c r="J793" s="13" t="s">
        <v>8890</v>
      </c>
      <c r="K793" s="13" t="s">
        <v>8587</v>
      </c>
      <c r="L793" s="13" t="s">
        <v>158</v>
      </c>
      <c r="M793" t="s">
        <v>3</v>
      </c>
    </row>
    <row r="794" spans="1:13" ht="26.25" x14ac:dyDescent="0.25">
      <c r="A794" s="13" t="s">
        <v>2257</v>
      </c>
      <c r="B794" s="13" t="s">
        <v>2257</v>
      </c>
      <c r="C794" s="13" t="s">
        <v>2257</v>
      </c>
      <c r="D794" s="13">
        <v>9999</v>
      </c>
      <c r="E794" s="13" t="s">
        <v>2258</v>
      </c>
      <c r="F794" s="13" t="s">
        <v>855</v>
      </c>
      <c r="G794" s="13" t="s">
        <v>19</v>
      </c>
      <c r="H794" s="13" t="s">
        <v>3</v>
      </c>
      <c r="I794" s="13" t="s">
        <v>2181</v>
      </c>
      <c r="J794" s="13" t="s">
        <v>856</v>
      </c>
      <c r="K794" s="13" t="s">
        <v>8587</v>
      </c>
      <c r="L794" s="13" t="s">
        <v>855</v>
      </c>
      <c r="M794" t="s">
        <v>3</v>
      </c>
    </row>
    <row r="795" spans="1:13" x14ac:dyDescent="0.25">
      <c r="A795" s="13" t="s">
        <v>2259</v>
      </c>
      <c r="B795" s="13" t="s">
        <v>2259</v>
      </c>
      <c r="C795" s="13" t="s">
        <v>2259</v>
      </c>
      <c r="D795" s="13">
        <v>9999</v>
      </c>
      <c r="E795" s="13" t="s">
        <v>2260</v>
      </c>
      <c r="F795" s="13" t="s">
        <v>855</v>
      </c>
      <c r="G795" s="13" t="s">
        <v>2</v>
      </c>
      <c r="H795" s="13" t="s">
        <v>3</v>
      </c>
      <c r="I795" s="13" t="s">
        <v>2181</v>
      </c>
      <c r="J795" s="13" t="s">
        <v>856</v>
      </c>
      <c r="K795" s="13" t="s">
        <v>8587</v>
      </c>
      <c r="L795" s="13" t="s">
        <v>855</v>
      </c>
      <c r="M795" t="s">
        <v>3</v>
      </c>
    </row>
    <row r="796" spans="1:13" ht="26.25" x14ac:dyDescent="0.25">
      <c r="A796" s="13" t="s">
        <v>2261</v>
      </c>
      <c r="B796" s="13" t="s">
        <v>2262</v>
      </c>
      <c r="C796" s="13" t="s">
        <v>2263</v>
      </c>
      <c r="D796" s="13">
        <v>1</v>
      </c>
      <c r="E796" s="13" t="s">
        <v>2264</v>
      </c>
      <c r="F796" s="13" t="s">
        <v>8860</v>
      </c>
      <c r="G796" s="13" t="s">
        <v>19</v>
      </c>
      <c r="H796" s="13" t="s">
        <v>3</v>
      </c>
      <c r="I796" s="13" t="s">
        <v>2265</v>
      </c>
      <c r="J796" s="13" t="s">
        <v>21</v>
      </c>
      <c r="K796" s="13" t="s">
        <v>2263</v>
      </c>
      <c r="L796" s="13" t="s">
        <v>18</v>
      </c>
      <c r="M796" t="s">
        <v>3</v>
      </c>
    </row>
    <row r="797" spans="1:13" ht="26.25" x14ac:dyDescent="0.25">
      <c r="A797" s="13" t="s">
        <v>2266</v>
      </c>
      <c r="B797" s="13" t="s">
        <v>2267</v>
      </c>
      <c r="C797" s="13" t="s">
        <v>2268</v>
      </c>
      <c r="D797" s="13">
        <v>0.3</v>
      </c>
      <c r="E797" s="13" t="s">
        <v>2269</v>
      </c>
      <c r="F797" s="13" t="s">
        <v>35</v>
      </c>
      <c r="G797" s="13" t="s">
        <v>19</v>
      </c>
      <c r="H797" s="13" t="s">
        <v>3</v>
      </c>
      <c r="I797" s="13" t="s">
        <v>2267</v>
      </c>
      <c r="J797" s="13" t="s">
        <v>37</v>
      </c>
      <c r="K797" s="13" t="s">
        <v>8594</v>
      </c>
      <c r="L797" s="13" t="s">
        <v>35</v>
      </c>
      <c r="M797" t="s">
        <v>3</v>
      </c>
    </row>
    <row r="798" spans="1:13" ht="26.25" x14ac:dyDescent="0.25">
      <c r="A798" s="13" t="s">
        <v>2270</v>
      </c>
      <c r="B798" s="13" t="s">
        <v>2271</v>
      </c>
      <c r="C798" s="13" t="s">
        <v>2272</v>
      </c>
      <c r="D798" s="13">
        <v>0.1</v>
      </c>
      <c r="E798" s="13" t="s">
        <v>2273</v>
      </c>
      <c r="F798" s="13" t="s">
        <v>8860</v>
      </c>
      <c r="G798" s="13" t="s">
        <v>19</v>
      </c>
      <c r="H798" s="13" t="s">
        <v>3</v>
      </c>
      <c r="I798" s="13" t="s">
        <v>2274</v>
      </c>
      <c r="J798" s="13" t="s">
        <v>21</v>
      </c>
      <c r="K798" s="13" t="s">
        <v>8595</v>
      </c>
      <c r="L798" s="13" t="s">
        <v>18</v>
      </c>
      <c r="M798" t="s">
        <v>3</v>
      </c>
    </row>
    <row r="799" spans="1:13" x14ac:dyDescent="0.25">
      <c r="A799" s="13" t="s">
        <v>2275</v>
      </c>
      <c r="B799" s="13" t="s">
        <v>2275</v>
      </c>
      <c r="C799" s="13" t="s">
        <v>2276</v>
      </c>
      <c r="D799" s="13">
        <v>2.5</v>
      </c>
      <c r="E799" s="13" t="s">
        <v>2276</v>
      </c>
      <c r="F799" s="13" t="s">
        <v>8869</v>
      </c>
      <c r="G799" s="13" t="s">
        <v>2</v>
      </c>
      <c r="H799" s="13" t="s">
        <v>3</v>
      </c>
      <c r="I799" s="13" t="s">
        <v>447</v>
      </c>
      <c r="J799" s="13" t="s">
        <v>8890</v>
      </c>
      <c r="K799" s="13" t="s">
        <v>8421</v>
      </c>
      <c r="L799" s="13" t="s">
        <v>8918</v>
      </c>
      <c r="M799" t="s">
        <v>3</v>
      </c>
    </row>
    <row r="800" spans="1:13" x14ac:dyDescent="0.25">
      <c r="A800" s="13" t="s">
        <v>11975</v>
      </c>
      <c r="B800" s="13" t="s">
        <v>11975</v>
      </c>
      <c r="C800" s="13" t="s">
        <v>11976</v>
      </c>
      <c r="D800" s="13">
        <v>16</v>
      </c>
      <c r="E800" s="13" t="s">
        <v>11977</v>
      </c>
      <c r="F800" s="13" t="s">
        <v>8869</v>
      </c>
      <c r="G800" s="13" t="s">
        <v>2</v>
      </c>
      <c r="H800" s="13" t="s">
        <v>3</v>
      </c>
      <c r="I800" s="13" t="s">
        <v>447</v>
      </c>
      <c r="J800" s="13" t="s">
        <v>8890</v>
      </c>
      <c r="K800" s="13" t="s">
        <v>8421</v>
      </c>
      <c r="L800" s="13" t="s">
        <v>8918</v>
      </c>
      <c r="M800" t="s">
        <v>3</v>
      </c>
    </row>
    <row r="801" spans="1:13" ht="26.25" x14ac:dyDescent="0.25">
      <c r="A801" s="13" t="s">
        <v>2277</v>
      </c>
      <c r="B801" s="13" t="s">
        <v>2277</v>
      </c>
      <c r="C801" s="13" t="s">
        <v>2278</v>
      </c>
      <c r="D801" s="13">
        <v>255</v>
      </c>
      <c r="E801" s="13" t="s">
        <v>2279</v>
      </c>
      <c r="F801" s="13" t="s">
        <v>8860</v>
      </c>
      <c r="G801" s="13" t="s">
        <v>19</v>
      </c>
      <c r="H801" s="13" t="s">
        <v>3</v>
      </c>
      <c r="I801" s="13" t="s">
        <v>2280</v>
      </c>
      <c r="J801" s="13" t="s">
        <v>1563</v>
      </c>
      <c r="K801" s="13" t="s">
        <v>8596</v>
      </c>
      <c r="L801" s="13" t="s">
        <v>9016</v>
      </c>
      <c r="M801" t="s">
        <v>3</v>
      </c>
    </row>
    <row r="802" spans="1:13" ht="26.25" x14ac:dyDescent="0.25">
      <c r="A802" s="13" t="s">
        <v>2281</v>
      </c>
      <c r="B802" s="13" t="s">
        <v>2282</v>
      </c>
      <c r="C802" s="13" t="s">
        <v>2283</v>
      </c>
      <c r="D802" s="13">
        <v>1.5</v>
      </c>
      <c r="E802" s="13" t="s">
        <v>2284</v>
      </c>
      <c r="F802" s="13" t="s">
        <v>8860</v>
      </c>
      <c r="G802" s="13" t="s">
        <v>19</v>
      </c>
      <c r="H802" s="13" t="s">
        <v>3</v>
      </c>
      <c r="I802" s="13" t="s">
        <v>2285</v>
      </c>
      <c r="J802" s="13" t="s">
        <v>21</v>
      </c>
      <c r="K802" s="13" t="s">
        <v>8597</v>
      </c>
      <c r="L802" s="13" t="s">
        <v>18</v>
      </c>
      <c r="M802" t="s">
        <v>3</v>
      </c>
    </row>
    <row r="803" spans="1:13" x14ac:dyDescent="0.25">
      <c r="A803" s="13" t="s">
        <v>2286</v>
      </c>
      <c r="B803" s="13" t="s">
        <v>2287</v>
      </c>
      <c r="C803" s="13" t="s">
        <v>2288</v>
      </c>
      <c r="D803" s="13">
        <v>5.7</v>
      </c>
      <c r="E803" s="13" t="s">
        <v>2289</v>
      </c>
      <c r="F803" s="13" t="s">
        <v>8869</v>
      </c>
      <c r="G803" s="13" t="s">
        <v>2</v>
      </c>
      <c r="H803" s="13" t="s">
        <v>3</v>
      </c>
      <c r="I803" s="13" t="s">
        <v>119</v>
      </c>
      <c r="J803" s="13" t="s">
        <v>8890</v>
      </c>
      <c r="K803" s="13" t="s">
        <v>8883</v>
      </c>
      <c r="L803" s="13" t="s">
        <v>8918</v>
      </c>
      <c r="M803" t="s">
        <v>3</v>
      </c>
    </row>
    <row r="804" spans="1:13" x14ac:dyDescent="0.25">
      <c r="A804" s="13" t="s">
        <v>2290</v>
      </c>
      <c r="B804" s="13" t="s">
        <v>2290</v>
      </c>
      <c r="C804" s="13" t="s">
        <v>2291</v>
      </c>
      <c r="D804" s="13">
        <v>2.9</v>
      </c>
      <c r="E804" s="13" t="s">
        <v>2291</v>
      </c>
      <c r="F804" s="13" t="s">
        <v>8869</v>
      </c>
      <c r="G804" s="13" t="s">
        <v>2</v>
      </c>
      <c r="H804" s="13" t="s">
        <v>3</v>
      </c>
      <c r="I804" s="13" t="s">
        <v>447</v>
      </c>
      <c r="J804" s="13" t="s">
        <v>8890</v>
      </c>
      <c r="K804" s="13" t="s">
        <v>8421</v>
      </c>
      <c r="L804" s="13" t="s">
        <v>8918</v>
      </c>
      <c r="M804" t="s">
        <v>3</v>
      </c>
    </row>
    <row r="805" spans="1:13" x14ac:dyDescent="0.25">
      <c r="A805" s="13" t="s">
        <v>2292</v>
      </c>
      <c r="B805" s="13" t="s">
        <v>2293</v>
      </c>
      <c r="C805" s="13" t="s">
        <v>2294</v>
      </c>
      <c r="D805" s="13">
        <v>87.6</v>
      </c>
      <c r="E805" s="13" t="s">
        <v>2295</v>
      </c>
      <c r="F805" s="13" t="s">
        <v>8869</v>
      </c>
      <c r="G805" s="13" t="s">
        <v>2</v>
      </c>
      <c r="H805" s="13" t="s">
        <v>3</v>
      </c>
      <c r="I805" s="13" t="s">
        <v>228</v>
      </c>
      <c r="J805" s="13" t="s">
        <v>8890</v>
      </c>
      <c r="K805" s="13" t="s">
        <v>8418</v>
      </c>
      <c r="L805" s="13" t="s">
        <v>8918</v>
      </c>
      <c r="M805" t="s">
        <v>3</v>
      </c>
    </row>
    <row r="806" spans="1:13" x14ac:dyDescent="0.25">
      <c r="A806" s="13" t="s">
        <v>2296</v>
      </c>
      <c r="B806" s="13" t="s">
        <v>2296</v>
      </c>
      <c r="C806" s="13" t="s">
        <v>2297</v>
      </c>
      <c r="D806" s="13">
        <v>18</v>
      </c>
      <c r="E806" s="13" t="s">
        <v>2297</v>
      </c>
      <c r="F806" s="13" t="s">
        <v>8869</v>
      </c>
      <c r="G806" s="13" t="s">
        <v>2</v>
      </c>
      <c r="H806" s="13" t="s">
        <v>3</v>
      </c>
      <c r="I806" s="13" t="s">
        <v>447</v>
      </c>
      <c r="J806" s="13" t="s">
        <v>8890</v>
      </c>
      <c r="K806" s="13" t="s">
        <v>8421</v>
      </c>
      <c r="L806" s="13" t="s">
        <v>8918</v>
      </c>
      <c r="M806" t="s">
        <v>3</v>
      </c>
    </row>
    <row r="807" spans="1:13" ht="26.25" x14ac:dyDescent="0.25">
      <c r="A807" s="13" t="s">
        <v>2298</v>
      </c>
      <c r="B807" s="13" t="s">
        <v>2298</v>
      </c>
      <c r="C807" s="13" t="s">
        <v>2298</v>
      </c>
      <c r="D807" s="13">
        <v>0.1</v>
      </c>
      <c r="E807" s="13" t="s">
        <v>2299</v>
      </c>
      <c r="F807" s="13" t="s">
        <v>8860</v>
      </c>
      <c r="G807" s="13" t="s">
        <v>19</v>
      </c>
      <c r="H807" s="13" t="s">
        <v>3</v>
      </c>
      <c r="I807" s="13" t="s">
        <v>2300</v>
      </c>
      <c r="J807" s="13" t="s">
        <v>21</v>
      </c>
      <c r="K807" s="13" t="s">
        <v>8598</v>
      </c>
      <c r="L807" s="13" t="s">
        <v>18</v>
      </c>
      <c r="M807" t="s">
        <v>3</v>
      </c>
    </row>
    <row r="808" spans="1:13" ht="26.25" x14ac:dyDescent="0.25">
      <c r="A808" s="13" t="s">
        <v>2301</v>
      </c>
      <c r="B808" s="13" t="s">
        <v>2302</v>
      </c>
      <c r="C808" s="13" t="s">
        <v>9059</v>
      </c>
      <c r="D808" s="13">
        <v>30</v>
      </c>
      <c r="E808" s="13" t="s">
        <v>2303</v>
      </c>
      <c r="F808" s="13" t="s">
        <v>8869</v>
      </c>
      <c r="G808" s="13" t="s">
        <v>2</v>
      </c>
      <c r="H808" s="13" t="s">
        <v>3</v>
      </c>
      <c r="I808" s="13" t="s">
        <v>809</v>
      </c>
      <c r="J808" s="13" t="s">
        <v>8890</v>
      </c>
      <c r="K808" s="13" t="s">
        <v>8512</v>
      </c>
      <c r="L808" s="13" t="s">
        <v>8918</v>
      </c>
      <c r="M808" t="s">
        <v>3</v>
      </c>
    </row>
    <row r="809" spans="1:13" ht="26.25" x14ac:dyDescent="0.25">
      <c r="A809" s="13" t="s">
        <v>2304</v>
      </c>
      <c r="B809" s="13" t="s">
        <v>2305</v>
      </c>
      <c r="C809" s="13" t="s">
        <v>2306</v>
      </c>
      <c r="D809" s="13">
        <v>23.1</v>
      </c>
      <c r="E809" s="13" t="s">
        <v>2307</v>
      </c>
      <c r="F809" s="13" t="s">
        <v>8869</v>
      </c>
      <c r="G809" s="13" t="s">
        <v>2</v>
      </c>
      <c r="H809" s="13" t="s">
        <v>11974</v>
      </c>
      <c r="I809" s="13" t="s">
        <v>1283</v>
      </c>
      <c r="J809" s="13" t="s">
        <v>8890</v>
      </c>
      <c r="K809" s="13" t="s">
        <v>8524</v>
      </c>
      <c r="L809" s="13" t="s">
        <v>8918</v>
      </c>
      <c r="M809" t="s">
        <v>11974</v>
      </c>
    </row>
    <row r="810" spans="1:13" ht="26.25" x14ac:dyDescent="0.25">
      <c r="A810" s="13" t="s">
        <v>11196</v>
      </c>
      <c r="B810" s="13" t="s">
        <v>11197</v>
      </c>
      <c r="C810" s="13" t="s">
        <v>11198</v>
      </c>
      <c r="D810" s="13">
        <v>24</v>
      </c>
      <c r="E810" s="13" t="s">
        <v>11199</v>
      </c>
      <c r="F810" s="13" t="s">
        <v>8869</v>
      </c>
      <c r="G810" s="13" t="s">
        <v>2</v>
      </c>
      <c r="H810" s="13" t="s">
        <v>3</v>
      </c>
      <c r="I810" s="13" t="s">
        <v>1283</v>
      </c>
      <c r="J810" s="13" t="s">
        <v>8890</v>
      </c>
      <c r="K810" s="13" t="s">
        <v>8524</v>
      </c>
      <c r="L810" s="13" t="s">
        <v>8918</v>
      </c>
      <c r="M810" t="s">
        <v>3</v>
      </c>
    </row>
    <row r="811" spans="1:13" x14ac:dyDescent="0.25">
      <c r="A811" s="13" t="s">
        <v>2308</v>
      </c>
      <c r="B811" s="13" t="s">
        <v>2308</v>
      </c>
      <c r="C811" s="13" t="s">
        <v>2309</v>
      </c>
      <c r="D811" s="13">
        <v>87.1</v>
      </c>
      <c r="E811" s="13" t="s">
        <v>2310</v>
      </c>
      <c r="F811" s="13" t="s">
        <v>8869</v>
      </c>
      <c r="G811" s="13" t="s">
        <v>2</v>
      </c>
      <c r="H811" s="13" t="s">
        <v>3</v>
      </c>
      <c r="I811" s="13" t="s">
        <v>1254</v>
      </c>
      <c r="J811" s="13" t="s">
        <v>8890</v>
      </c>
      <c r="K811" s="13" t="s">
        <v>8508</v>
      </c>
      <c r="L811" s="13" t="s">
        <v>8918</v>
      </c>
      <c r="M811" t="s">
        <v>3</v>
      </c>
    </row>
    <row r="812" spans="1:13" x14ac:dyDescent="0.25">
      <c r="A812" s="13" t="s">
        <v>2311</v>
      </c>
      <c r="B812" s="13" t="s">
        <v>2311</v>
      </c>
      <c r="C812" s="13" t="s">
        <v>2311</v>
      </c>
      <c r="D812" s="13">
        <v>93.6</v>
      </c>
      <c r="E812" s="13" t="s">
        <v>2312</v>
      </c>
      <c r="F812" s="13" t="s">
        <v>8869</v>
      </c>
      <c r="G812" s="13" t="s">
        <v>2</v>
      </c>
      <c r="H812" s="13" t="s">
        <v>3</v>
      </c>
      <c r="I812" s="13" t="s">
        <v>1254</v>
      </c>
      <c r="J812" s="13" t="s">
        <v>8890</v>
      </c>
      <c r="K812" s="13" t="s">
        <v>8508</v>
      </c>
      <c r="L812" s="13" t="s">
        <v>8918</v>
      </c>
      <c r="M812" t="s">
        <v>3</v>
      </c>
    </row>
    <row r="813" spans="1:13" ht="26.25" x14ac:dyDescent="0.25">
      <c r="A813" s="13" t="s">
        <v>2313</v>
      </c>
      <c r="B813" s="13" t="s">
        <v>2314</v>
      </c>
      <c r="C813" s="13" t="s">
        <v>2315</v>
      </c>
      <c r="D813" s="13">
        <v>45</v>
      </c>
      <c r="E813" s="13" t="s">
        <v>2316</v>
      </c>
      <c r="F813" s="13" t="s">
        <v>8869</v>
      </c>
      <c r="G813" s="13" t="s">
        <v>2</v>
      </c>
      <c r="H813" s="13" t="s">
        <v>3</v>
      </c>
      <c r="I813" s="13" t="s">
        <v>1978</v>
      </c>
      <c r="J813" s="13" t="s">
        <v>8890</v>
      </c>
      <c r="K813" s="13" t="s">
        <v>8570</v>
      </c>
      <c r="L813" s="13" t="s">
        <v>8918</v>
      </c>
      <c r="M813" t="s">
        <v>3</v>
      </c>
    </row>
    <row r="814" spans="1:13" x14ac:dyDescent="0.25">
      <c r="A814" s="13" t="s">
        <v>2317</v>
      </c>
      <c r="B814" s="13" t="s">
        <v>2317</v>
      </c>
      <c r="C814" s="13" t="s">
        <v>2318</v>
      </c>
      <c r="D814" s="13">
        <v>34.799999999999997</v>
      </c>
      <c r="E814" s="13" t="s">
        <v>2319</v>
      </c>
      <c r="F814" s="13" t="s">
        <v>8869</v>
      </c>
      <c r="G814" s="13" t="s">
        <v>2</v>
      </c>
      <c r="H814" s="13" t="s">
        <v>3</v>
      </c>
      <c r="I814" s="13" t="s">
        <v>1254</v>
      </c>
      <c r="J814" s="13" t="s">
        <v>8890</v>
      </c>
      <c r="K814" s="13" t="s">
        <v>8508</v>
      </c>
      <c r="L814" s="13" t="s">
        <v>8918</v>
      </c>
      <c r="M814" t="s">
        <v>3</v>
      </c>
    </row>
    <row r="815" spans="1:13" x14ac:dyDescent="0.25">
      <c r="A815" s="13" t="s">
        <v>2320</v>
      </c>
      <c r="B815" s="13" t="s">
        <v>2320</v>
      </c>
      <c r="C815" s="13" t="s">
        <v>2321</v>
      </c>
      <c r="D815" s="13">
        <v>36</v>
      </c>
      <c r="E815" s="13" t="s">
        <v>2321</v>
      </c>
      <c r="F815" s="13" t="s">
        <v>8869</v>
      </c>
      <c r="G815" s="13" t="s">
        <v>2</v>
      </c>
      <c r="H815" s="13" t="s">
        <v>3</v>
      </c>
      <c r="I815" s="13" t="s">
        <v>447</v>
      </c>
      <c r="J815" s="13" t="s">
        <v>8890</v>
      </c>
      <c r="K815" s="13" t="s">
        <v>8421</v>
      </c>
      <c r="L815" s="13" t="s">
        <v>8918</v>
      </c>
      <c r="M815" t="s">
        <v>3</v>
      </c>
    </row>
    <row r="816" spans="1:13" ht="26.25" x14ac:dyDescent="0.25">
      <c r="A816" s="13" t="s">
        <v>2322</v>
      </c>
      <c r="B816" s="13" t="s">
        <v>2322</v>
      </c>
      <c r="C816" s="13" t="s">
        <v>2322</v>
      </c>
      <c r="D816" s="13">
        <v>31</v>
      </c>
      <c r="E816" s="13" t="s">
        <v>2323</v>
      </c>
      <c r="F816" s="13" t="s">
        <v>8869</v>
      </c>
      <c r="G816" s="13" t="s">
        <v>2</v>
      </c>
      <c r="H816" s="13" t="s">
        <v>9060</v>
      </c>
      <c r="I816" s="13" t="s">
        <v>706</v>
      </c>
      <c r="J816" s="13" t="s">
        <v>8890</v>
      </c>
      <c r="K816" s="13" t="s">
        <v>8419</v>
      </c>
      <c r="L816" s="13" t="s">
        <v>8918</v>
      </c>
      <c r="M816" t="s">
        <v>9060</v>
      </c>
    </row>
    <row r="817" spans="1:13" x14ac:dyDescent="0.25">
      <c r="A817" s="13" t="s">
        <v>2324</v>
      </c>
      <c r="B817" s="13" t="s">
        <v>2325</v>
      </c>
      <c r="C817" s="13" t="s">
        <v>2326</v>
      </c>
      <c r="D817" s="13">
        <v>4</v>
      </c>
      <c r="E817" s="13" t="s">
        <v>2327</v>
      </c>
      <c r="F817" s="13" t="s">
        <v>8869</v>
      </c>
      <c r="G817" s="13" t="s">
        <v>2</v>
      </c>
      <c r="H817" s="13" t="s">
        <v>3</v>
      </c>
      <c r="I817" s="13" t="s">
        <v>1263</v>
      </c>
      <c r="J817" s="13" t="s">
        <v>8890</v>
      </c>
      <c r="K817" s="13" t="s">
        <v>8422</v>
      </c>
      <c r="L817" s="13" t="s">
        <v>8918</v>
      </c>
      <c r="M817" t="s">
        <v>3</v>
      </c>
    </row>
    <row r="818" spans="1:13" x14ac:dyDescent="0.25">
      <c r="A818" s="13" t="s">
        <v>2328</v>
      </c>
      <c r="B818" s="13" t="s">
        <v>2328</v>
      </c>
      <c r="C818" s="13" t="s">
        <v>2329</v>
      </c>
      <c r="D818" s="13">
        <v>18</v>
      </c>
      <c r="E818" s="13" t="s">
        <v>2330</v>
      </c>
      <c r="F818" s="13" t="s">
        <v>8869</v>
      </c>
      <c r="G818" s="13" t="s">
        <v>2</v>
      </c>
      <c r="H818" s="13" t="s">
        <v>9000</v>
      </c>
      <c r="I818" s="13" t="s">
        <v>706</v>
      </c>
      <c r="J818" s="13" t="s">
        <v>8890</v>
      </c>
      <c r="K818" s="13" t="s">
        <v>8419</v>
      </c>
      <c r="L818" s="13" t="s">
        <v>8918</v>
      </c>
      <c r="M818" t="s">
        <v>10688</v>
      </c>
    </row>
    <row r="819" spans="1:13" x14ac:dyDescent="0.25">
      <c r="A819" s="13" t="s">
        <v>2331</v>
      </c>
      <c r="B819" s="13" t="s">
        <v>2332</v>
      </c>
      <c r="C819" s="13" t="s">
        <v>2332</v>
      </c>
      <c r="D819" s="13">
        <v>20.7</v>
      </c>
      <c r="E819" s="13" t="s">
        <v>2333</v>
      </c>
      <c r="F819" s="13" t="s">
        <v>8869</v>
      </c>
      <c r="G819" s="13" t="s">
        <v>2</v>
      </c>
      <c r="H819" s="13" t="s">
        <v>8422</v>
      </c>
      <c r="I819" s="13" t="s">
        <v>1263</v>
      </c>
      <c r="J819" s="13" t="s">
        <v>8890</v>
      </c>
      <c r="K819" s="13" t="s">
        <v>8422</v>
      </c>
      <c r="L819" s="13" t="s">
        <v>8918</v>
      </c>
      <c r="M819" t="s">
        <v>10689</v>
      </c>
    </row>
    <row r="820" spans="1:13" x14ac:dyDescent="0.25">
      <c r="A820" s="13" t="s">
        <v>2334</v>
      </c>
      <c r="B820" s="13" t="s">
        <v>2334</v>
      </c>
      <c r="C820" s="13" t="s">
        <v>9061</v>
      </c>
      <c r="D820" s="13">
        <v>0</v>
      </c>
      <c r="E820" s="13" t="s">
        <v>2335</v>
      </c>
      <c r="F820" s="13" t="s">
        <v>8869</v>
      </c>
      <c r="G820" s="13" t="s">
        <v>2</v>
      </c>
      <c r="H820" s="13" t="s">
        <v>3</v>
      </c>
      <c r="I820" s="13" t="s">
        <v>1562</v>
      </c>
      <c r="J820" s="13" t="s">
        <v>8890</v>
      </c>
      <c r="K820" s="13" t="s">
        <v>8423</v>
      </c>
      <c r="L820" s="13" t="s">
        <v>8918</v>
      </c>
      <c r="M820" t="s">
        <v>3</v>
      </c>
    </row>
    <row r="821" spans="1:13" x14ac:dyDescent="0.25">
      <c r="A821" s="13" t="s">
        <v>2336</v>
      </c>
      <c r="B821" s="13" t="s">
        <v>2336</v>
      </c>
      <c r="C821" s="13" t="s">
        <v>2337</v>
      </c>
      <c r="D821" s="13">
        <v>9.9</v>
      </c>
      <c r="E821" s="13" t="s">
        <v>2337</v>
      </c>
      <c r="F821" s="13" t="s">
        <v>8869</v>
      </c>
      <c r="G821" s="13" t="s">
        <v>2</v>
      </c>
      <c r="H821" s="13" t="s">
        <v>3</v>
      </c>
      <c r="I821" s="13" t="s">
        <v>447</v>
      </c>
      <c r="J821" s="13" t="s">
        <v>8890</v>
      </c>
      <c r="K821" s="13" t="s">
        <v>8421</v>
      </c>
      <c r="L821" s="13" t="s">
        <v>8918</v>
      </c>
      <c r="M821" t="s">
        <v>3</v>
      </c>
    </row>
    <row r="822" spans="1:13" ht="26.25" x14ac:dyDescent="0.25">
      <c r="A822" s="13" t="s">
        <v>2338</v>
      </c>
      <c r="B822" s="13" t="s">
        <v>2338</v>
      </c>
      <c r="C822" s="13" t="s">
        <v>2338</v>
      </c>
      <c r="D822" s="13">
        <v>33</v>
      </c>
      <c r="E822" s="13" t="s">
        <v>2339</v>
      </c>
      <c r="F822" s="13" t="s">
        <v>8869</v>
      </c>
      <c r="G822" s="13" t="s">
        <v>2</v>
      </c>
      <c r="H822" s="13" t="s">
        <v>3</v>
      </c>
      <c r="I822" s="13" t="s">
        <v>706</v>
      </c>
      <c r="J822" s="13" t="s">
        <v>8890</v>
      </c>
      <c r="K822" s="13" t="s">
        <v>8419</v>
      </c>
      <c r="L822" s="13" t="s">
        <v>8918</v>
      </c>
      <c r="M822" t="s">
        <v>3</v>
      </c>
    </row>
    <row r="823" spans="1:13" x14ac:dyDescent="0.25">
      <c r="A823" s="13" t="s">
        <v>2340</v>
      </c>
      <c r="B823" s="13" t="s">
        <v>2340</v>
      </c>
      <c r="C823" s="13" t="s">
        <v>9062</v>
      </c>
      <c r="D823" s="13">
        <v>0</v>
      </c>
      <c r="E823" s="13" t="s">
        <v>2341</v>
      </c>
      <c r="F823" s="13" t="s">
        <v>8869</v>
      </c>
      <c r="G823" s="13" t="s">
        <v>2</v>
      </c>
      <c r="H823" s="13" t="s">
        <v>3</v>
      </c>
      <c r="I823" s="13" t="s">
        <v>2280</v>
      </c>
      <c r="J823" s="13" t="s">
        <v>8890</v>
      </c>
      <c r="K823" s="13" t="s">
        <v>8596</v>
      </c>
      <c r="L823" s="13" t="s">
        <v>8918</v>
      </c>
      <c r="M823" t="s">
        <v>3</v>
      </c>
    </row>
    <row r="824" spans="1:13" x14ac:dyDescent="0.25">
      <c r="A824" s="13" t="s">
        <v>2342</v>
      </c>
      <c r="B824" s="13" t="s">
        <v>2342</v>
      </c>
      <c r="C824" s="13" t="s">
        <v>2343</v>
      </c>
      <c r="D824" s="13">
        <v>42</v>
      </c>
      <c r="E824" s="13" t="s">
        <v>2343</v>
      </c>
      <c r="F824" s="13" t="s">
        <v>8869</v>
      </c>
      <c r="G824" s="13" t="s">
        <v>2</v>
      </c>
      <c r="H824" s="13" t="s">
        <v>3</v>
      </c>
      <c r="I824" s="13" t="s">
        <v>447</v>
      </c>
      <c r="J824" s="13" t="s">
        <v>8890</v>
      </c>
      <c r="K824" s="13" t="s">
        <v>8421</v>
      </c>
      <c r="L824" s="13" t="s">
        <v>8918</v>
      </c>
      <c r="M824" t="s">
        <v>3</v>
      </c>
    </row>
    <row r="825" spans="1:13" x14ac:dyDescent="0.25">
      <c r="A825" s="13" t="s">
        <v>9063</v>
      </c>
      <c r="B825" s="13" t="s">
        <v>9063</v>
      </c>
      <c r="C825" s="13" t="s">
        <v>9064</v>
      </c>
      <c r="D825" s="13">
        <v>5</v>
      </c>
      <c r="E825" s="13" t="s">
        <v>9065</v>
      </c>
      <c r="F825" s="13" t="s">
        <v>8869</v>
      </c>
      <c r="G825" s="13" t="s">
        <v>2</v>
      </c>
      <c r="H825" s="13" t="s">
        <v>3</v>
      </c>
      <c r="I825" s="13" t="s">
        <v>447</v>
      </c>
      <c r="J825" s="13" t="s">
        <v>8890</v>
      </c>
      <c r="K825" s="13" t="s">
        <v>8421</v>
      </c>
      <c r="L825" s="13" t="s">
        <v>8918</v>
      </c>
      <c r="M825" t="s">
        <v>3</v>
      </c>
    </row>
    <row r="826" spans="1:13" x14ac:dyDescent="0.25">
      <c r="A826" s="13" t="s">
        <v>2344</v>
      </c>
      <c r="B826" s="13" t="s">
        <v>2344</v>
      </c>
      <c r="C826" s="13" t="s">
        <v>2345</v>
      </c>
      <c r="D826" s="13">
        <v>24.6</v>
      </c>
      <c r="E826" s="13" t="s">
        <v>2346</v>
      </c>
      <c r="F826" s="13" t="s">
        <v>8869</v>
      </c>
      <c r="G826" s="13" t="s">
        <v>2</v>
      </c>
      <c r="H826" s="13" t="s">
        <v>3</v>
      </c>
      <c r="I826" s="13" t="s">
        <v>1254</v>
      </c>
      <c r="J826" s="13" t="s">
        <v>8890</v>
      </c>
      <c r="K826" s="13" t="s">
        <v>8508</v>
      </c>
      <c r="L826" s="13" t="s">
        <v>8918</v>
      </c>
      <c r="M826" t="s">
        <v>3</v>
      </c>
    </row>
    <row r="827" spans="1:13" ht="26.25" x14ac:dyDescent="0.25">
      <c r="A827" s="13" t="s">
        <v>2347</v>
      </c>
      <c r="B827" s="13" t="s">
        <v>2347</v>
      </c>
      <c r="C827" s="13" t="s">
        <v>9066</v>
      </c>
      <c r="D827" s="13">
        <v>0</v>
      </c>
      <c r="E827" s="13" t="s">
        <v>2348</v>
      </c>
      <c r="F827" s="13" t="s">
        <v>8869</v>
      </c>
      <c r="G827" s="13" t="s">
        <v>2</v>
      </c>
      <c r="H827" s="13" t="s">
        <v>3</v>
      </c>
      <c r="I827" s="13" t="s">
        <v>2349</v>
      </c>
      <c r="J827" s="13" t="s">
        <v>8890</v>
      </c>
      <c r="K827" s="13" t="s">
        <v>8599</v>
      </c>
      <c r="L827" s="13" t="s">
        <v>8918</v>
      </c>
      <c r="M827" t="s">
        <v>3</v>
      </c>
    </row>
    <row r="828" spans="1:13" x14ac:dyDescent="0.25">
      <c r="A828" s="13" t="s">
        <v>2350</v>
      </c>
      <c r="B828" s="13" t="s">
        <v>2351</v>
      </c>
      <c r="C828" s="13" t="s">
        <v>2352</v>
      </c>
      <c r="D828" s="13">
        <v>19.600000000000001</v>
      </c>
      <c r="E828" s="13" t="s">
        <v>2353</v>
      </c>
      <c r="F828" s="13" t="s">
        <v>8869</v>
      </c>
      <c r="G828" s="13" t="s">
        <v>2</v>
      </c>
      <c r="H828" s="13" t="s">
        <v>3</v>
      </c>
      <c r="I828" s="13" t="s">
        <v>164</v>
      </c>
      <c r="J828" s="13" t="s">
        <v>8890</v>
      </c>
      <c r="K828" s="13" t="s">
        <v>8443</v>
      </c>
      <c r="L828" s="13" t="s">
        <v>8918</v>
      </c>
      <c r="M828" t="s">
        <v>3</v>
      </c>
    </row>
    <row r="829" spans="1:13" x14ac:dyDescent="0.25">
      <c r="A829" s="13" t="s">
        <v>2354</v>
      </c>
      <c r="B829" s="13" t="s">
        <v>2354</v>
      </c>
      <c r="C829" s="13" t="s">
        <v>9067</v>
      </c>
      <c r="D829" s="13">
        <v>0</v>
      </c>
      <c r="E829" s="13" t="s">
        <v>2355</v>
      </c>
      <c r="F829" s="13" t="s">
        <v>8869</v>
      </c>
      <c r="G829" s="13" t="s">
        <v>2</v>
      </c>
      <c r="H829" s="13" t="s">
        <v>3</v>
      </c>
      <c r="I829" s="13" t="s">
        <v>2356</v>
      </c>
      <c r="J829" s="13" t="s">
        <v>8890</v>
      </c>
      <c r="K829" s="13" t="s">
        <v>8429</v>
      </c>
      <c r="L829" s="13" t="s">
        <v>8918</v>
      </c>
      <c r="M829" t="s">
        <v>3</v>
      </c>
    </row>
    <row r="830" spans="1:13" ht="26.25" x14ac:dyDescent="0.25">
      <c r="A830" s="13" t="s">
        <v>2357</v>
      </c>
      <c r="B830" s="13" t="s">
        <v>2358</v>
      </c>
      <c r="C830" s="13" t="s">
        <v>2358</v>
      </c>
      <c r="D830" s="13">
        <v>0.5</v>
      </c>
      <c r="E830" s="13" t="s">
        <v>2359</v>
      </c>
      <c r="F830" s="13" t="s">
        <v>35</v>
      </c>
      <c r="G830" s="13" t="s">
        <v>19</v>
      </c>
      <c r="H830" s="13" t="s">
        <v>3</v>
      </c>
      <c r="I830" s="13" t="s">
        <v>2358</v>
      </c>
      <c r="J830" s="13" t="s">
        <v>37</v>
      </c>
      <c r="K830" s="13" t="s">
        <v>8600</v>
      </c>
      <c r="L830" s="13" t="s">
        <v>35</v>
      </c>
      <c r="M830" t="s">
        <v>3</v>
      </c>
    </row>
    <row r="831" spans="1:13" x14ac:dyDescent="0.25">
      <c r="A831" s="13" t="s">
        <v>2360</v>
      </c>
      <c r="B831" s="13" t="s">
        <v>2360</v>
      </c>
      <c r="C831" s="13" t="s">
        <v>2361</v>
      </c>
      <c r="D831" s="13">
        <v>21.2</v>
      </c>
      <c r="E831" s="13" t="s">
        <v>2362</v>
      </c>
      <c r="F831" s="13" t="s">
        <v>8869</v>
      </c>
      <c r="G831" s="13" t="s">
        <v>2</v>
      </c>
      <c r="H831" s="13" t="s">
        <v>3</v>
      </c>
      <c r="I831" s="13" t="s">
        <v>1263</v>
      </c>
      <c r="J831" s="13" t="s">
        <v>8890</v>
      </c>
      <c r="K831" s="13" t="s">
        <v>8422</v>
      </c>
      <c r="L831" s="13" t="s">
        <v>8918</v>
      </c>
      <c r="M831" t="s">
        <v>3</v>
      </c>
    </row>
    <row r="832" spans="1:13" x14ac:dyDescent="0.25">
      <c r="A832" s="13" t="s">
        <v>2363</v>
      </c>
      <c r="B832" s="13" t="s">
        <v>2364</v>
      </c>
      <c r="C832" s="13" t="s">
        <v>2364</v>
      </c>
      <c r="D832" s="13">
        <v>48.1</v>
      </c>
      <c r="E832" s="13" t="s">
        <v>2365</v>
      </c>
      <c r="F832" s="13" t="s">
        <v>8869</v>
      </c>
      <c r="G832" s="13" t="s">
        <v>2</v>
      </c>
      <c r="H832" s="13" t="s">
        <v>3</v>
      </c>
      <c r="I832" s="13" t="s">
        <v>119</v>
      </c>
      <c r="J832" s="13" t="s">
        <v>8890</v>
      </c>
      <c r="K832" s="13" t="s">
        <v>8883</v>
      </c>
      <c r="L832" s="13" t="s">
        <v>8918</v>
      </c>
      <c r="M832" t="s">
        <v>3</v>
      </c>
    </row>
    <row r="833" spans="1:13" x14ac:dyDescent="0.25">
      <c r="A833" s="13" t="s">
        <v>2366</v>
      </c>
      <c r="B833" s="13" t="s">
        <v>2367</v>
      </c>
      <c r="C833" s="13" t="s">
        <v>2368</v>
      </c>
      <c r="D833" s="13">
        <v>15</v>
      </c>
      <c r="E833" s="13" t="s">
        <v>2369</v>
      </c>
      <c r="F833" s="13" t="s">
        <v>8869</v>
      </c>
      <c r="G833" s="13" t="s">
        <v>2</v>
      </c>
      <c r="H833" s="13" t="s">
        <v>3</v>
      </c>
      <c r="I833" s="13" t="s">
        <v>1263</v>
      </c>
      <c r="J833" s="13" t="s">
        <v>8890</v>
      </c>
      <c r="K833" s="13" t="s">
        <v>8422</v>
      </c>
      <c r="L833" s="13" t="s">
        <v>8918</v>
      </c>
      <c r="M833" t="s">
        <v>3</v>
      </c>
    </row>
    <row r="834" spans="1:13" x14ac:dyDescent="0.25">
      <c r="A834" s="13" t="s">
        <v>2370</v>
      </c>
      <c r="B834" s="13" t="s">
        <v>2370</v>
      </c>
      <c r="C834" s="13" t="s">
        <v>2370</v>
      </c>
      <c r="D834" s="13">
        <v>36</v>
      </c>
      <c r="E834" s="13" t="s">
        <v>2371</v>
      </c>
      <c r="F834" s="13" t="s">
        <v>8869</v>
      </c>
      <c r="G834" s="13" t="s">
        <v>2</v>
      </c>
      <c r="H834" s="13" t="s">
        <v>9060</v>
      </c>
      <c r="I834" s="13" t="s">
        <v>706</v>
      </c>
      <c r="J834" s="13" t="s">
        <v>8890</v>
      </c>
      <c r="K834" s="13" t="s">
        <v>8419</v>
      </c>
      <c r="L834" s="13" t="s">
        <v>8918</v>
      </c>
      <c r="M834" t="s">
        <v>9060</v>
      </c>
    </row>
    <row r="835" spans="1:13" x14ac:dyDescent="0.25">
      <c r="A835" s="13" t="s">
        <v>2372</v>
      </c>
      <c r="B835" s="13" t="s">
        <v>2373</v>
      </c>
      <c r="C835" s="13" t="s">
        <v>2374</v>
      </c>
      <c r="D835" s="13">
        <v>22.5</v>
      </c>
      <c r="E835" s="13" t="s">
        <v>2375</v>
      </c>
      <c r="F835" s="13" t="s">
        <v>8869</v>
      </c>
      <c r="G835" s="13" t="s">
        <v>2</v>
      </c>
      <c r="H835" s="13" t="s">
        <v>8422</v>
      </c>
      <c r="I835" s="13" t="s">
        <v>1263</v>
      </c>
      <c r="J835" s="13" t="s">
        <v>8890</v>
      </c>
      <c r="K835" s="13" t="s">
        <v>8422</v>
      </c>
      <c r="L835" s="13" t="s">
        <v>8918</v>
      </c>
      <c r="M835" t="s">
        <v>10689</v>
      </c>
    </row>
    <row r="836" spans="1:13" x14ac:dyDescent="0.25">
      <c r="A836" s="13" t="s">
        <v>2376</v>
      </c>
      <c r="B836" s="13" t="s">
        <v>2376</v>
      </c>
      <c r="C836" s="13" t="s">
        <v>2377</v>
      </c>
      <c r="D836" s="13">
        <v>1.5</v>
      </c>
      <c r="E836" s="13" t="s">
        <v>2377</v>
      </c>
      <c r="F836" s="13" t="s">
        <v>8869</v>
      </c>
      <c r="G836" s="13" t="s">
        <v>2</v>
      </c>
      <c r="H836" s="13" t="s">
        <v>3</v>
      </c>
      <c r="I836" s="13" t="s">
        <v>447</v>
      </c>
      <c r="J836" s="13" t="s">
        <v>8890</v>
      </c>
      <c r="K836" s="13" t="s">
        <v>8421</v>
      </c>
      <c r="L836" s="13" t="s">
        <v>8918</v>
      </c>
      <c r="M836" t="s">
        <v>3</v>
      </c>
    </row>
    <row r="837" spans="1:13" x14ac:dyDescent="0.25">
      <c r="A837" s="13" t="s">
        <v>2378</v>
      </c>
      <c r="B837" s="13" t="s">
        <v>2378</v>
      </c>
      <c r="C837" s="13" t="s">
        <v>2379</v>
      </c>
      <c r="D837" s="13">
        <v>49.5</v>
      </c>
      <c r="E837" s="13" t="s">
        <v>2379</v>
      </c>
      <c r="F837" s="13" t="s">
        <v>8869</v>
      </c>
      <c r="G837" s="13" t="s">
        <v>2</v>
      </c>
      <c r="H837" s="13" t="s">
        <v>3</v>
      </c>
      <c r="I837" s="13" t="s">
        <v>447</v>
      </c>
      <c r="J837" s="13" t="s">
        <v>8890</v>
      </c>
      <c r="K837" s="13" t="s">
        <v>8421</v>
      </c>
      <c r="L837" s="13" t="s">
        <v>8918</v>
      </c>
      <c r="M837" t="s">
        <v>3</v>
      </c>
    </row>
    <row r="838" spans="1:13" x14ac:dyDescent="0.25">
      <c r="A838" s="13" t="s">
        <v>2380</v>
      </c>
      <c r="B838" s="13" t="s">
        <v>2380</v>
      </c>
      <c r="C838" s="13" t="s">
        <v>2380</v>
      </c>
      <c r="D838" s="13">
        <v>97.6</v>
      </c>
      <c r="E838" s="13" t="s">
        <v>2381</v>
      </c>
      <c r="F838" s="13" t="s">
        <v>8869</v>
      </c>
      <c r="G838" s="13" t="s">
        <v>2</v>
      </c>
      <c r="H838" s="13" t="s">
        <v>3</v>
      </c>
      <c r="I838" s="13" t="s">
        <v>516</v>
      </c>
      <c r="J838" s="13" t="s">
        <v>8890</v>
      </c>
      <c r="K838" s="13" t="s">
        <v>516</v>
      </c>
      <c r="L838" s="13" t="s">
        <v>8918</v>
      </c>
      <c r="M838" t="s">
        <v>3</v>
      </c>
    </row>
    <row r="839" spans="1:13" x14ac:dyDescent="0.25">
      <c r="A839" s="13" t="s">
        <v>2382</v>
      </c>
      <c r="B839" s="13" t="s">
        <v>2382</v>
      </c>
      <c r="C839" s="13" t="s">
        <v>2383</v>
      </c>
      <c r="D839" s="13">
        <v>28.6</v>
      </c>
      <c r="E839" s="13" t="s">
        <v>2384</v>
      </c>
      <c r="F839" s="13" t="s">
        <v>8869</v>
      </c>
      <c r="G839" s="13" t="s">
        <v>2</v>
      </c>
      <c r="H839" s="13" t="s">
        <v>8421</v>
      </c>
      <c r="I839" s="13" t="s">
        <v>447</v>
      </c>
      <c r="J839" s="13" t="s">
        <v>8890</v>
      </c>
      <c r="K839" s="13" t="s">
        <v>8421</v>
      </c>
      <c r="L839" s="13" t="s">
        <v>8918</v>
      </c>
      <c r="M839" t="s">
        <v>10690</v>
      </c>
    </row>
    <row r="840" spans="1:13" x14ac:dyDescent="0.25">
      <c r="A840" s="13" t="s">
        <v>2385</v>
      </c>
      <c r="B840" s="13" t="s">
        <v>2385</v>
      </c>
      <c r="C840" s="13" t="s">
        <v>2386</v>
      </c>
      <c r="D840" s="13">
        <v>100</v>
      </c>
      <c r="E840" s="13" t="s">
        <v>2387</v>
      </c>
      <c r="F840" s="13" t="s">
        <v>8869</v>
      </c>
      <c r="G840" s="13" t="s">
        <v>2</v>
      </c>
      <c r="H840" s="13" t="s">
        <v>8421</v>
      </c>
      <c r="I840" s="13" t="s">
        <v>447</v>
      </c>
      <c r="J840" s="13" t="s">
        <v>8890</v>
      </c>
      <c r="K840" s="13" t="s">
        <v>8421</v>
      </c>
      <c r="L840" s="13" t="s">
        <v>8918</v>
      </c>
      <c r="M840" t="s">
        <v>10690</v>
      </c>
    </row>
    <row r="841" spans="1:13" x14ac:dyDescent="0.25">
      <c r="A841" s="13" t="s">
        <v>10411</v>
      </c>
      <c r="B841" s="13" t="s">
        <v>10411</v>
      </c>
      <c r="C841" s="13" t="s">
        <v>10412</v>
      </c>
      <c r="D841" s="13">
        <v>39.6</v>
      </c>
      <c r="E841" s="13" t="s">
        <v>10413</v>
      </c>
      <c r="F841" s="13" t="s">
        <v>8869</v>
      </c>
      <c r="G841" s="13" t="s">
        <v>2</v>
      </c>
      <c r="H841" s="13" t="s">
        <v>3</v>
      </c>
      <c r="I841" s="13" t="s">
        <v>447</v>
      </c>
      <c r="J841" s="13" t="s">
        <v>8890</v>
      </c>
      <c r="K841" s="13" t="s">
        <v>8421</v>
      </c>
      <c r="L841" s="13" t="s">
        <v>8918</v>
      </c>
      <c r="M841" t="s">
        <v>3</v>
      </c>
    </row>
    <row r="842" spans="1:13" x14ac:dyDescent="0.25">
      <c r="A842" s="13" t="s">
        <v>11200</v>
      </c>
      <c r="B842" s="13" t="s">
        <v>11200</v>
      </c>
      <c r="C842" s="13" t="s">
        <v>11201</v>
      </c>
      <c r="D842" s="13">
        <v>49.5</v>
      </c>
      <c r="E842" s="13" t="s">
        <v>11202</v>
      </c>
      <c r="F842" s="13" t="s">
        <v>8869</v>
      </c>
      <c r="G842" s="13" t="s">
        <v>2</v>
      </c>
      <c r="H842" s="13" t="s">
        <v>3</v>
      </c>
      <c r="I842" s="13" t="s">
        <v>447</v>
      </c>
      <c r="J842" s="13" t="s">
        <v>8890</v>
      </c>
      <c r="K842" s="13" t="s">
        <v>8421</v>
      </c>
      <c r="L842" s="13" t="s">
        <v>8918</v>
      </c>
      <c r="M842" t="s">
        <v>3</v>
      </c>
    </row>
    <row r="843" spans="1:13" x14ac:dyDescent="0.25">
      <c r="A843" s="13" t="s">
        <v>2388</v>
      </c>
      <c r="B843" s="13" t="s">
        <v>2388</v>
      </c>
      <c r="C843" s="13" t="s">
        <v>2389</v>
      </c>
      <c r="D843" s="13">
        <v>3</v>
      </c>
      <c r="E843" s="13" t="s">
        <v>2389</v>
      </c>
      <c r="F843" s="13" t="s">
        <v>8869</v>
      </c>
      <c r="G843" s="13" t="s">
        <v>2</v>
      </c>
      <c r="H843" s="13" t="s">
        <v>3</v>
      </c>
      <c r="I843" s="13" t="s">
        <v>447</v>
      </c>
      <c r="J843" s="13" t="s">
        <v>8890</v>
      </c>
      <c r="K843" s="13" t="s">
        <v>8421</v>
      </c>
      <c r="L843" s="13" t="s">
        <v>8918</v>
      </c>
      <c r="M843" t="s">
        <v>3</v>
      </c>
    </row>
    <row r="844" spans="1:13" ht="26.25" x14ac:dyDescent="0.25">
      <c r="A844" s="13" t="s">
        <v>2390</v>
      </c>
      <c r="B844" s="13" t="s">
        <v>2391</v>
      </c>
      <c r="C844" s="13" t="s">
        <v>2392</v>
      </c>
      <c r="D844" s="14">
        <v>9999</v>
      </c>
      <c r="E844" s="13" t="s">
        <v>2393</v>
      </c>
      <c r="F844" s="13" t="s">
        <v>8860</v>
      </c>
      <c r="G844" s="13" t="s">
        <v>19</v>
      </c>
      <c r="H844" s="13" t="s">
        <v>3</v>
      </c>
      <c r="I844" s="13" t="s">
        <v>2394</v>
      </c>
      <c r="J844" s="13" t="s">
        <v>21</v>
      </c>
      <c r="K844" s="13" t="s">
        <v>8601</v>
      </c>
      <c r="L844" s="13" t="s">
        <v>18</v>
      </c>
      <c r="M844" t="s">
        <v>3</v>
      </c>
    </row>
    <row r="845" spans="1:13" x14ac:dyDescent="0.25">
      <c r="A845" s="13" t="s">
        <v>2395</v>
      </c>
      <c r="B845" s="13" t="s">
        <v>2395</v>
      </c>
      <c r="C845" s="13" t="s">
        <v>2396</v>
      </c>
      <c r="D845" s="13">
        <v>49.9</v>
      </c>
      <c r="E845" s="13" t="s">
        <v>2396</v>
      </c>
      <c r="F845" s="13" t="s">
        <v>8869</v>
      </c>
      <c r="G845" s="13" t="s">
        <v>2</v>
      </c>
      <c r="H845" s="13" t="s">
        <v>3</v>
      </c>
      <c r="I845" s="13" t="s">
        <v>447</v>
      </c>
      <c r="J845" s="13" t="s">
        <v>8890</v>
      </c>
      <c r="K845" s="13" t="s">
        <v>8421</v>
      </c>
      <c r="L845" s="13" t="s">
        <v>8918</v>
      </c>
      <c r="M845" t="s">
        <v>3</v>
      </c>
    </row>
    <row r="846" spans="1:13" x14ac:dyDescent="0.25">
      <c r="A846" s="13" t="s">
        <v>2397</v>
      </c>
      <c r="B846" s="13" t="s">
        <v>2397</v>
      </c>
      <c r="C846" s="13" t="s">
        <v>2398</v>
      </c>
      <c r="D846" s="13">
        <v>50</v>
      </c>
      <c r="E846" s="13" t="s">
        <v>2399</v>
      </c>
      <c r="F846" s="13" t="s">
        <v>8872</v>
      </c>
      <c r="G846" s="13" t="s">
        <v>2</v>
      </c>
      <c r="H846" s="13" t="s">
        <v>8420</v>
      </c>
      <c r="I846" s="13" t="s">
        <v>2400</v>
      </c>
      <c r="J846" s="13" t="s">
        <v>8890</v>
      </c>
      <c r="K846" s="13" t="s">
        <v>8420</v>
      </c>
      <c r="L846" s="13" t="s">
        <v>556</v>
      </c>
      <c r="M846" t="s">
        <v>10704</v>
      </c>
    </row>
    <row r="847" spans="1:13" x14ac:dyDescent="0.25">
      <c r="A847" s="13" t="s">
        <v>2401</v>
      </c>
      <c r="B847" s="13" t="s">
        <v>2401</v>
      </c>
      <c r="C847" s="13" t="s">
        <v>2402</v>
      </c>
      <c r="D847" s="13">
        <v>4.9000000000000004</v>
      </c>
      <c r="E847" s="13" t="s">
        <v>2402</v>
      </c>
      <c r="F847" s="13" t="s">
        <v>8869</v>
      </c>
      <c r="G847" s="13" t="s">
        <v>2</v>
      </c>
      <c r="H847" s="13" t="s">
        <v>3</v>
      </c>
      <c r="I847" s="13" t="s">
        <v>447</v>
      </c>
      <c r="J847" s="13" t="s">
        <v>8890</v>
      </c>
      <c r="K847" s="13" t="s">
        <v>8421</v>
      </c>
      <c r="L847" s="13" t="s">
        <v>8918</v>
      </c>
      <c r="M847" t="s">
        <v>3</v>
      </c>
    </row>
    <row r="848" spans="1:13" x14ac:dyDescent="0.25">
      <c r="A848" s="13" t="s">
        <v>2403</v>
      </c>
      <c r="B848" s="13" t="s">
        <v>2403</v>
      </c>
      <c r="C848" s="13" t="s">
        <v>2404</v>
      </c>
      <c r="D848" s="13">
        <v>34</v>
      </c>
      <c r="E848" s="13" t="s">
        <v>2404</v>
      </c>
      <c r="F848" s="13" t="s">
        <v>8869</v>
      </c>
      <c r="G848" s="13" t="s">
        <v>2</v>
      </c>
      <c r="H848" s="13" t="s">
        <v>3</v>
      </c>
      <c r="I848" s="13" t="s">
        <v>447</v>
      </c>
      <c r="J848" s="13" t="s">
        <v>8890</v>
      </c>
      <c r="K848" s="13" t="s">
        <v>8421</v>
      </c>
      <c r="L848" s="13" t="s">
        <v>8918</v>
      </c>
      <c r="M848" t="s">
        <v>3</v>
      </c>
    </row>
    <row r="849" spans="1:13" x14ac:dyDescent="0.25">
      <c r="A849" s="13" t="s">
        <v>2405</v>
      </c>
      <c r="B849" s="13" t="s">
        <v>2405</v>
      </c>
      <c r="C849" s="13" t="s">
        <v>2406</v>
      </c>
      <c r="D849" s="13">
        <v>14.4</v>
      </c>
      <c r="E849" s="13" t="s">
        <v>2407</v>
      </c>
      <c r="F849" s="13" t="s">
        <v>8869</v>
      </c>
      <c r="G849" s="13" t="s">
        <v>2</v>
      </c>
      <c r="H849" s="13" t="s">
        <v>3</v>
      </c>
      <c r="I849" s="13" t="s">
        <v>1263</v>
      </c>
      <c r="J849" s="13" t="s">
        <v>8890</v>
      </c>
      <c r="K849" s="13" t="s">
        <v>8422</v>
      </c>
      <c r="L849" s="13" t="s">
        <v>8918</v>
      </c>
      <c r="M849" t="s">
        <v>3</v>
      </c>
    </row>
    <row r="850" spans="1:13" x14ac:dyDescent="0.25">
      <c r="A850" s="13" t="s">
        <v>11978</v>
      </c>
      <c r="B850" s="13" t="s">
        <v>11978</v>
      </c>
      <c r="C850" s="13" t="s">
        <v>11978</v>
      </c>
      <c r="D850" s="13">
        <v>40.700000000000003</v>
      </c>
      <c r="E850" s="13" t="s">
        <v>11979</v>
      </c>
      <c r="F850" s="13" t="s">
        <v>8869</v>
      </c>
      <c r="G850" s="13" t="s">
        <v>2</v>
      </c>
      <c r="H850" s="13" t="s">
        <v>3</v>
      </c>
      <c r="I850" s="13" t="s">
        <v>119</v>
      </c>
      <c r="J850" s="13" t="s">
        <v>8890</v>
      </c>
      <c r="K850" s="13" t="s">
        <v>8883</v>
      </c>
      <c r="L850" s="13" t="s">
        <v>8918</v>
      </c>
      <c r="M850" t="s">
        <v>3</v>
      </c>
    </row>
    <row r="851" spans="1:13" x14ac:dyDescent="0.25">
      <c r="A851" s="13" t="s">
        <v>2408</v>
      </c>
      <c r="B851" s="13" t="s">
        <v>2408</v>
      </c>
      <c r="C851" s="13" t="s">
        <v>2409</v>
      </c>
      <c r="D851" s="13">
        <v>30.6</v>
      </c>
      <c r="E851" s="13" t="s">
        <v>2410</v>
      </c>
      <c r="F851" s="13" t="s">
        <v>8869</v>
      </c>
      <c r="G851" s="13" t="s">
        <v>2</v>
      </c>
      <c r="H851" s="13" t="s">
        <v>3</v>
      </c>
      <c r="I851" s="13" t="s">
        <v>1263</v>
      </c>
      <c r="J851" s="13" t="s">
        <v>8890</v>
      </c>
      <c r="K851" s="13" t="s">
        <v>8422</v>
      </c>
      <c r="L851" s="13" t="s">
        <v>8918</v>
      </c>
      <c r="M851" t="s">
        <v>3</v>
      </c>
    </row>
    <row r="852" spans="1:13" x14ac:dyDescent="0.25">
      <c r="A852" s="13" t="s">
        <v>2411</v>
      </c>
      <c r="B852" s="13" t="s">
        <v>2411</v>
      </c>
      <c r="C852" s="13" t="s">
        <v>2412</v>
      </c>
      <c r="D852" s="13">
        <v>603.6</v>
      </c>
      <c r="E852" s="13" t="s">
        <v>2413</v>
      </c>
      <c r="F852" s="13" t="s">
        <v>8869</v>
      </c>
      <c r="G852" s="13" t="s">
        <v>2</v>
      </c>
      <c r="H852" s="13" t="s">
        <v>3</v>
      </c>
      <c r="I852" s="13" t="s">
        <v>1514</v>
      </c>
      <c r="J852" s="13" t="s">
        <v>8890</v>
      </c>
      <c r="K852" s="13" t="s">
        <v>8423</v>
      </c>
      <c r="L852" s="13" t="s">
        <v>8918</v>
      </c>
      <c r="M852" t="s">
        <v>3</v>
      </c>
    </row>
    <row r="853" spans="1:13" x14ac:dyDescent="0.25">
      <c r="A853" s="13" t="s">
        <v>9867</v>
      </c>
      <c r="B853" s="13" t="s">
        <v>9867</v>
      </c>
      <c r="C853" s="13" t="s">
        <v>9868</v>
      </c>
      <c r="D853" s="13">
        <v>245.7</v>
      </c>
      <c r="E853" s="13" t="s">
        <v>9869</v>
      </c>
      <c r="F853" s="13" t="s">
        <v>8869</v>
      </c>
      <c r="G853" s="13" t="s">
        <v>2</v>
      </c>
      <c r="H853" s="13" t="s">
        <v>8923</v>
      </c>
      <c r="I853" s="13" t="s">
        <v>1514</v>
      </c>
      <c r="J853" s="13" t="s">
        <v>8890</v>
      </c>
      <c r="K853" s="13" t="s">
        <v>8423</v>
      </c>
      <c r="L853" s="13" t="s">
        <v>8918</v>
      </c>
      <c r="M853" t="s">
        <v>8923</v>
      </c>
    </row>
    <row r="854" spans="1:13" ht="26.25" x14ac:dyDescent="0.25">
      <c r="A854" s="13" t="s">
        <v>2414</v>
      </c>
      <c r="B854" s="13" t="s">
        <v>2414</v>
      </c>
      <c r="C854" s="13" t="s">
        <v>2415</v>
      </c>
      <c r="D854" s="13">
        <v>0</v>
      </c>
      <c r="E854" s="13" t="s">
        <v>2416</v>
      </c>
      <c r="F854" s="13" t="s">
        <v>8860</v>
      </c>
      <c r="G854" s="13" t="s">
        <v>19</v>
      </c>
      <c r="H854" s="13" t="s">
        <v>3</v>
      </c>
      <c r="I854" s="13" t="s">
        <v>2417</v>
      </c>
      <c r="J854" s="13" t="s">
        <v>21</v>
      </c>
      <c r="K854" s="13" t="s">
        <v>8423</v>
      </c>
      <c r="L854" s="13" t="s">
        <v>18</v>
      </c>
      <c r="M854" t="s">
        <v>3</v>
      </c>
    </row>
    <row r="855" spans="1:13" x14ac:dyDescent="0.25">
      <c r="A855" s="13" t="s">
        <v>2418</v>
      </c>
      <c r="B855" s="13" t="s">
        <v>2418</v>
      </c>
      <c r="C855" s="13" t="s">
        <v>2418</v>
      </c>
      <c r="D855" s="13">
        <v>334.8</v>
      </c>
      <c r="E855" s="13" t="s">
        <v>2419</v>
      </c>
      <c r="F855" s="13" t="s">
        <v>8869</v>
      </c>
      <c r="G855" s="13" t="s">
        <v>2</v>
      </c>
      <c r="H855" s="13" t="s">
        <v>3</v>
      </c>
      <c r="I855" s="13" t="s">
        <v>164</v>
      </c>
      <c r="J855" s="13" t="s">
        <v>8890</v>
      </c>
      <c r="K855" s="13" t="s">
        <v>8443</v>
      </c>
      <c r="L855" s="13" t="s">
        <v>8918</v>
      </c>
      <c r="M855" t="s">
        <v>3</v>
      </c>
    </row>
    <row r="856" spans="1:13" x14ac:dyDescent="0.25">
      <c r="A856" s="13" t="s">
        <v>2420</v>
      </c>
      <c r="B856" s="13" t="s">
        <v>2420</v>
      </c>
      <c r="C856" s="13" t="s">
        <v>2421</v>
      </c>
      <c r="D856" s="13">
        <v>17.3</v>
      </c>
      <c r="E856" s="13" t="s">
        <v>2422</v>
      </c>
      <c r="F856" s="13" t="s">
        <v>8869</v>
      </c>
      <c r="G856" s="13" t="s">
        <v>2</v>
      </c>
      <c r="H856" s="13" t="s">
        <v>3</v>
      </c>
      <c r="I856" s="13" t="s">
        <v>1283</v>
      </c>
      <c r="J856" s="13" t="s">
        <v>8890</v>
      </c>
      <c r="K856" s="13" t="s">
        <v>8524</v>
      </c>
      <c r="L856" s="13" t="s">
        <v>8918</v>
      </c>
      <c r="M856" t="s">
        <v>3</v>
      </c>
    </row>
    <row r="857" spans="1:13" x14ac:dyDescent="0.25">
      <c r="A857" s="13" t="s">
        <v>9068</v>
      </c>
      <c r="B857" s="13" t="s">
        <v>9069</v>
      </c>
      <c r="C857" s="13" t="s">
        <v>9069</v>
      </c>
      <c r="D857" s="13">
        <v>80</v>
      </c>
      <c r="E857" s="13" t="s">
        <v>9070</v>
      </c>
      <c r="F857" s="13" t="s">
        <v>8869</v>
      </c>
      <c r="G857" s="13" t="s">
        <v>2</v>
      </c>
      <c r="H857" s="13" t="s">
        <v>3</v>
      </c>
      <c r="I857" s="13" t="s">
        <v>164</v>
      </c>
      <c r="J857" s="13" t="s">
        <v>8890</v>
      </c>
      <c r="K857" s="13" t="s">
        <v>8443</v>
      </c>
      <c r="L857" s="13" t="s">
        <v>8918</v>
      </c>
      <c r="M857" t="s">
        <v>3</v>
      </c>
    </row>
    <row r="858" spans="1:13" x14ac:dyDescent="0.25">
      <c r="A858" s="13" t="s">
        <v>10859</v>
      </c>
      <c r="B858" s="13" t="s">
        <v>10859</v>
      </c>
      <c r="C858" s="13" t="s">
        <v>10859</v>
      </c>
      <c r="D858" s="13">
        <v>14.4</v>
      </c>
      <c r="E858" s="13" t="s">
        <v>10860</v>
      </c>
      <c r="F858" s="13" t="s">
        <v>8869</v>
      </c>
      <c r="G858" s="13" t="s">
        <v>2</v>
      </c>
      <c r="H858" s="13" t="s">
        <v>3</v>
      </c>
      <c r="I858" s="13" t="s">
        <v>164</v>
      </c>
      <c r="J858" s="13" t="s">
        <v>8890</v>
      </c>
      <c r="K858" s="13" t="s">
        <v>8443</v>
      </c>
      <c r="L858" s="13" t="s">
        <v>8918</v>
      </c>
      <c r="M858" t="s">
        <v>3</v>
      </c>
    </row>
    <row r="859" spans="1:13" x14ac:dyDescent="0.25">
      <c r="A859" s="13" t="s">
        <v>2423</v>
      </c>
      <c r="B859" s="13" t="s">
        <v>2423</v>
      </c>
      <c r="C859" s="13" t="s">
        <v>2424</v>
      </c>
      <c r="D859" s="13">
        <v>2</v>
      </c>
      <c r="E859" s="13" t="s">
        <v>2425</v>
      </c>
      <c r="F859" s="13" t="s">
        <v>8869</v>
      </c>
      <c r="G859" s="13" t="s">
        <v>2</v>
      </c>
      <c r="H859" s="13" t="s">
        <v>3</v>
      </c>
      <c r="I859" s="13" t="s">
        <v>809</v>
      </c>
      <c r="J859" s="13" t="s">
        <v>8890</v>
      </c>
      <c r="K859" s="13" t="s">
        <v>8512</v>
      </c>
      <c r="L859" s="13" t="s">
        <v>8918</v>
      </c>
      <c r="M859" t="s">
        <v>3</v>
      </c>
    </row>
    <row r="860" spans="1:13" ht="26.25" x14ac:dyDescent="0.25">
      <c r="A860" s="13" t="s">
        <v>2426</v>
      </c>
      <c r="B860" s="13" t="s">
        <v>2427</v>
      </c>
      <c r="C860" s="13" t="s">
        <v>2428</v>
      </c>
      <c r="D860" s="13">
        <v>50</v>
      </c>
      <c r="E860" s="13" t="s">
        <v>2429</v>
      </c>
      <c r="F860" s="13" t="s">
        <v>8870</v>
      </c>
      <c r="G860" s="13" t="s">
        <v>19</v>
      </c>
      <c r="H860" s="13" t="s">
        <v>3</v>
      </c>
      <c r="I860" s="13" t="s">
        <v>2430</v>
      </c>
      <c r="J860" s="13" t="s">
        <v>410</v>
      </c>
      <c r="K860" s="13" t="s">
        <v>8602</v>
      </c>
      <c r="L860" s="13" t="s">
        <v>8942</v>
      </c>
      <c r="M860" t="s">
        <v>3</v>
      </c>
    </row>
    <row r="861" spans="1:13" ht="26.25" x14ac:dyDescent="0.25">
      <c r="A861" s="13" t="s">
        <v>2431</v>
      </c>
      <c r="B861" s="13" t="s">
        <v>2430</v>
      </c>
      <c r="C861" s="13" t="s">
        <v>2428</v>
      </c>
      <c r="D861" s="13">
        <v>50</v>
      </c>
      <c r="E861" s="13" t="s">
        <v>2432</v>
      </c>
      <c r="F861" s="13" t="s">
        <v>8871</v>
      </c>
      <c r="G861" s="13" t="s">
        <v>2</v>
      </c>
      <c r="H861" s="13" t="s">
        <v>3</v>
      </c>
      <c r="I861" s="13" t="s">
        <v>2430</v>
      </c>
      <c r="J861" s="13" t="s">
        <v>410</v>
      </c>
      <c r="K861" s="13" t="s">
        <v>8602</v>
      </c>
      <c r="L861" s="13" t="s">
        <v>8943</v>
      </c>
      <c r="M861" t="s">
        <v>3</v>
      </c>
    </row>
    <row r="862" spans="1:13" ht="26.25" x14ac:dyDescent="0.25">
      <c r="A862" s="13" t="s">
        <v>2433</v>
      </c>
      <c r="B862" s="13" t="s">
        <v>73</v>
      </c>
      <c r="C862" s="13" t="s">
        <v>2434</v>
      </c>
      <c r="D862" s="13">
        <v>5</v>
      </c>
      <c r="E862" s="13" t="s">
        <v>2435</v>
      </c>
      <c r="F862" s="13" t="s">
        <v>8860</v>
      </c>
      <c r="G862" s="13" t="s">
        <v>19</v>
      </c>
      <c r="H862" s="13" t="s">
        <v>3</v>
      </c>
      <c r="I862" s="13" t="s">
        <v>2436</v>
      </c>
      <c r="J862" s="13" t="s">
        <v>21</v>
      </c>
      <c r="K862" s="13" t="s">
        <v>2436</v>
      </c>
      <c r="L862" s="13" t="s">
        <v>18</v>
      </c>
      <c r="M862" t="s">
        <v>3</v>
      </c>
    </row>
    <row r="863" spans="1:13" ht="26.25" x14ac:dyDescent="0.25">
      <c r="A863" s="13" t="s">
        <v>2437</v>
      </c>
      <c r="B863" s="13" t="s">
        <v>2438</v>
      </c>
      <c r="C863" s="13" t="s">
        <v>2439</v>
      </c>
      <c r="D863" s="13">
        <v>10.5</v>
      </c>
      <c r="E863" s="13" t="s">
        <v>2440</v>
      </c>
      <c r="F863" s="13" t="s">
        <v>8867</v>
      </c>
      <c r="G863" s="13" t="s">
        <v>2</v>
      </c>
      <c r="H863" s="13" t="s">
        <v>3</v>
      </c>
      <c r="I863" s="13" t="s">
        <v>2436</v>
      </c>
      <c r="J863" s="13" t="s">
        <v>8890</v>
      </c>
      <c r="K863" s="13" t="s">
        <v>2436</v>
      </c>
      <c r="L863" s="13" t="s">
        <v>158</v>
      </c>
      <c r="M863" t="s">
        <v>3</v>
      </c>
    </row>
    <row r="864" spans="1:13" x14ac:dyDescent="0.25">
      <c r="A864" s="13" t="s">
        <v>2441</v>
      </c>
      <c r="B864" s="13" t="s">
        <v>2442</v>
      </c>
      <c r="C864" s="13" t="s">
        <v>2443</v>
      </c>
      <c r="D864" s="13">
        <v>2</v>
      </c>
      <c r="E864" s="13" t="s">
        <v>2444</v>
      </c>
      <c r="F864" s="13" t="s">
        <v>8867</v>
      </c>
      <c r="G864" s="13" t="s">
        <v>2</v>
      </c>
      <c r="H864" s="13" t="s">
        <v>3</v>
      </c>
      <c r="I864" s="13" t="s">
        <v>2436</v>
      </c>
      <c r="J864" s="13" t="s">
        <v>8890</v>
      </c>
      <c r="K864" s="13" t="s">
        <v>2436</v>
      </c>
      <c r="L864" s="13" t="s">
        <v>158</v>
      </c>
      <c r="M864" t="s">
        <v>3</v>
      </c>
    </row>
    <row r="865" spans="1:13" ht="26.25" x14ac:dyDescent="0.25">
      <c r="A865" s="13" t="s">
        <v>2445</v>
      </c>
      <c r="B865" s="13" t="s">
        <v>2446</v>
      </c>
      <c r="C865" s="13" t="s">
        <v>2447</v>
      </c>
      <c r="D865" s="13">
        <v>1.9</v>
      </c>
      <c r="E865" s="13" t="s">
        <v>2448</v>
      </c>
      <c r="F865" s="13" t="s">
        <v>8863</v>
      </c>
      <c r="G865" s="13" t="s">
        <v>2</v>
      </c>
      <c r="H865" s="13" t="s">
        <v>3</v>
      </c>
      <c r="I865" s="13" t="s">
        <v>2436</v>
      </c>
      <c r="J865" s="13" t="s">
        <v>8890</v>
      </c>
      <c r="K865" s="13" t="s">
        <v>2436</v>
      </c>
      <c r="L865" s="13" t="s">
        <v>8956</v>
      </c>
      <c r="M865" t="s">
        <v>3</v>
      </c>
    </row>
    <row r="866" spans="1:13" x14ac:dyDescent="0.25">
      <c r="A866" s="13" t="s">
        <v>10467</v>
      </c>
      <c r="B866" s="13" t="s">
        <v>10468</v>
      </c>
      <c r="C866" s="13" t="s">
        <v>10469</v>
      </c>
      <c r="D866" s="13">
        <v>0.8</v>
      </c>
      <c r="E866" s="13" t="s">
        <v>10470</v>
      </c>
      <c r="F866" s="13" t="s">
        <v>8863</v>
      </c>
      <c r="G866" s="13" t="s">
        <v>2</v>
      </c>
      <c r="H866" s="13" t="s">
        <v>3</v>
      </c>
      <c r="I866" s="13" t="s">
        <v>2436</v>
      </c>
      <c r="J866" s="13" t="s">
        <v>8890</v>
      </c>
      <c r="K866" s="13" t="s">
        <v>2436</v>
      </c>
      <c r="L866" s="13" t="s">
        <v>8956</v>
      </c>
      <c r="M866" t="s">
        <v>3</v>
      </c>
    </row>
    <row r="867" spans="1:13" x14ac:dyDescent="0.25">
      <c r="A867" s="13" t="s">
        <v>10712</v>
      </c>
      <c r="B867" s="13" t="s">
        <v>10712</v>
      </c>
      <c r="C867" s="13" t="s">
        <v>10713</v>
      </c>
      <c r="D867" s="13">
        <v>106.8</v>
      </c>
      <c r="E867" s="13" t="s">
        <v>10714</v>
      </c>
      <c r="F867" s="13" t="s">
        <v>8869</v>
      </c>
      <c r="G867" s="13" t="s">
        <v>2</v>
      </c>
      <c r="H867" s="13" t="s">
        <v>3</v>
      </c>
      <c r="I867" s="13" t="s">
        <v>137</v>
      </c>
      <c r="J867" s="13" t="s">
        <v>8890</v>
      </c>
      <c r="K867" s="13" t="s">
        <v>8429</v>
      </c>
      <c r="L867" s="13" t="s">
        <v>8918</v>
      </c>
      <c r="M867" t="s">
        <v>3</v>
      </c>
    </row>
    <row r="868" spans="1:13" x14ac:dyDescent="0.25">
      <c r="A868" s="13" t="s">
        <v>2449</v>
      </c>
      <c r="B868" s="13" t="s">
        <v>2449</v>
      </c>
      <c r="C868" s="13" t="s">
        <v>9071</v>
      </c>
      <c r="D868" s="13">
        <v>24.6</v>
      </c>
      <c r="E868" s="13" t="s">
        <v>2450</v>
      </c>
      <c r="F868" s="13" t="s">
        <v>8869</v>
      </c>
      <c r="G868" s="13" t="s">
        <v>2</v>
      </c>
      <c r="H868" s="13" t="s">
        <v>3</v>
      </c>
      <c r="I868" s="13" t="s">
        <v>1254</v>
      </c>
      <c r="J868" s="13" t="s">
        <v>8890</v>
      </c>
      <c r="K868" s="13" t="s">
        <v>8508</v>
      </c>
      <c r="L868" s="13" t="s">
        <v>8918</v>
      </c>
      <c r="M868" t="s">
        <v>3</v>
      </c>
    </row>
    <row r="869" spans="1:13" ht="26.25" x14ac:dyDescent="0.25">
      <c r="A869" s="13" t="s">
        <v>2451</v>
      </c>
      <c r="B869" s="13" t="s">
        <v>9072</v>
      </c>
      <c r="C869" s="13" t="s">
        <v>9073</v>
      </c>
      <c r="D869" s="13">
        <v>4.4000000000000004</v>
      </c>
      <c r="E869" s="13" t="s">
        <v>2452</v>
      </c>
      <c r="F869" s="13" t="s">
        <v>8867</v>
      </c>
      <c r="G869" s="13" t="s">
        <v>2</v>
      </c>
      <c r="H869" s="13" t="s">
        <v>3</v>
      </c>
      <c r="I869" s="13" t="s">
        <v>2453</v>
      </c>
      <c r="J869" s="13" t="s">
        <v>8890</v>
      </c>
      <c r="K869" s="13" t="s">
        <v>8603</v>
      </c>
      <c r="L869" s="13" t="s">
        <v>158</v>
      </c>
      <c r="M869" t="s">
        <v>3</v>
      </c>
    </row>
    <row r="870" spans="1:13" ht="26.25" x14ac:dyDescent="0.25">
      <c r="A870" s="13" t="s">
        <v>2454</v>
      </c>
      <c r="B870" s="13" t="s">
        <v>2455</v>
      </c>
      <c r="C870" s="13" t="s">
        <v>2456</v>
      </c>
      <c r="D870" s="13">
        <v>4.5</v>
      </c>
      <c r="E870" s="13" t="s">
        <v>2457</v>
      </c>
      <c r="F870" s="13" t="s">
        <v>8867</v>
      </c>
      <c r="G870" s="13" t="s">
        <v>2</v>
      </c>
      <c r="H870" s="13" t="s">
        <v>3</v>
      </c>
      <c r="I870" s="13" t="s">
        <v>2458</v>
      </c>
      <c r="J870" s="13" t="s">
        <v>8890</v>
      </c>
      <c r="K870" s="13" t="s">
        <v>8604</v>
      </c>
      <c r="L870" s="13" t="s">
        <v>158</v>
      </c>
      <c r="M870" t="s">
        <v>3</v>
      </c>
    </row>
    <row r="871" spans="1:13" ht="26.25" x14ac:dyDescent="0.25">
      <c r="A871" s="13" t="s">
        <v>2459</v>
      </c>
      <c r="B871" s="13" t="s">
        <v>2460</v>
      </c>
      <c r="C871" s="13" t="s">
        <v>2460</v>
      </c>
      <c r="D871" s="13">
        <v>2.7</v>
      </c>
      <c r="E871" s="13" t="s">
        <v>2461</v>
      </c>
      <c r="F871" s="13" t="s">
        <v>8867</v>
      </c>
      <c r="G871" s="13" t="s">
        <v>2</v>
      </c>
      <c r="H871" s="13" t="s">
        <v>3</v>
      </c>
      <c r="I871" s="13" t="s">
        <v>2458</v>
      </c>
      <c r="J871" s="13" t="s">
        <v>8890</v>
      </c>
      <c r="K871" s="13" t="s">
        <v>8604</v>
      </c>
      <c r="L871" s="13" t="s">
        <v>158</v>
      </c>
      <c r="M871" t="s">
        <v>3</v>
      </c>
    </row>
    <row r="872" spans="1:13" ht="26.25" x14ac:dyDescent="0.25">
      <c r="A872" s="13" t="s">
        <v>2462</v>
      </c>
      <c r="B872" s="13" t="s">
        <v>2463</v>
      </c>
      <c r="C872" s="13" t="s">
        <v>2463</v>
      </c>
      <c r="D872" s="13">
        <v>6.7</v>
      </c>
      <c r="E872" s="13" t="s">
        <v>2464</v>
      </c>
      <c r="F872" s="13" t="s">
        <v>8863</v>
      </c>
      <c r="G872" s="13" t="s">
        <v>2</v>
      </c>
      <c r="H872" s="13" t="s">
        <v>3</v>
      </c>
      <c r="I872" s="13" t="s">
        <v>2465</v>
      </c>
      <c r="J872" s="13" t="s">
        <v>8890</v>
      </c>
      <c r="K872" s="13" t="s">
        <v>8605</v>
      </c>
      <c r="L872" s="13" t="s">
        <v>8956</v>
      </c>
      <c r="M872" t="s">
        <v>3</v>
      </c>
    </row>
    <row r="873" spans="1:13" ht="26.25" x14ac:dyDescent="0.25">
      <c r="A873" s="13" t="s">
        <v>2466</v>
      </c>
      <c r="B873" s="13" t="s">
        <v>2467</v>
      </c>
      <c r="C873" s="13" t="s">
        <v>2467</v>
      </c>
      <c r="D873" s="13">
        <v>3.3</v>
      </c>
      <c r="E873" s="13" t="s">
        <v>2468</v>
      </c>
      <c r="F873" s="13" t="s">
        <v>8873</v>
      </c>
      <c r="G873" s="13" t="s">
        <v>2</v>
      </c>
      <c r="H873" s="13" t="s">
        <v>3</v>
      </c>
      <c r="I873" s="13" t="s">
        <v>2465</v>
      </c>
      <c r="J873" s="13" t="s">
        <v>8890</v>
      </c>
      <c r="K873" s="13" t="s">
        <v>8605</v>
      </c>
      <c r="L873" s="13" t="s">
        <v>8964</v>
      </c>
      <c r="M873" t="s">
        <v>3</v>
      </c>
    </row>
    <row r="874" spans="1:13" ht="26.25" x14ac:dyDescent="0.25">
      <c r="A874" s="13" t="s">
        <v>2469</v>
      </c>
      <c r="B874" s="13" t="s">
        <v>2470</v>
      </c>
      <c r="C874" s="13" t="s">
        <v>2471</v>
      </c>
      <c r="D874" s="13">
        <v>46</v>
      </c>
      <c r="E874" s="13" t="s">
        <v>2472</v>
      </c>
      <c r="F874" s="13" t="s">
        <v>8867</v>
      </c>
      <c r="G874" s="13" t="s">
        <v>2</v>
      </c>
      <c r="H874" s="13" t="s">
        <v>8958</v>
      </c>
      <c r="I874" s="13" t="s">
        <v>516</v>
      </c>
      <c r="J874" s="13" t="s">
        <v>8890</v>
      </c>
      <c r="K874" s="13" t="s">
        <v>516</v>
      </c>
      <c r="L874" s="13" t="s">
        <v>158</v>
      </c>
      <c r="M874" t="s">
        <v>8958</v>
      </c>
    </row>
    <row r="875" spans="1:13" ht="26.25" x14ac:dyDescent="0.25">
      <c r="A875" s="13" t="s">
        <v>2473</v>
      </c>
      <c r="B875" s="13" t="s">
        <v>2474</v>
      </c>
      <c r="C875" s="13" t="s">
        <v>2474</v>
      </c>
      <c r="D875" s="13">
        <v>10.199999999999999</v>
      </c>
      <c r="E875" s="13" t="s">
        <v>2475</v>
      </c>
      <c r="F875" s="13" t="s">
        <v>8869</v>
      </c>
      <c r="G875" s="13" t="s">
        <v>2</v>
      </c>
      <c r="H875" s="13" t="s">
        <v>3</v>
      </c>
      <c r="I875" s="13" t="s">
        <v>1263</v>
      </c>
      <c r="J875" s="13" t="s">
        <v>8890</v>
      </c>
      <c r="K875" s="13" t="s">
        <v>8422</v>
      </c>
      <c r="L875" s="13" t="s">
        <v>8918</v>
      </c>
      <c r="M875" t="s">
        <v>3</v>
      </c>
    </row>
    <row r="876" spans="1:13" x14ac:dyDescent="0.25">
      <c r="A876" s="13" t="s">
        <v>2476</v>
      </c>
      <c r="B876" s="13" t="s">
        <v>2476</v>
      </c>
      <c r="C876" s="13" t="s">
        <v>2477</v>
      </c>
      <c r="D876" s="13">
        <v>25.5</v>
      </c>
      <c r="E876" s="13" t="s">
        <v>2478</v>
      </c>
      <c r="F876" s="13" t="s">
        <v>8869</v>
      </c>
      <c r="G876" s="13" t="s">
        <v>2</v>
      </c>
      <c r="H876" s="13" t="s">
        <v>3</v>
      </c>
      <c r="I876" s="13" t="s">
        <v>1263</v>
      </c>
      <c r="J876" s="13" t="s">
        <v>8890</v>
      </c>
      <c r="K876" s="13" t="s">
        <v>8422</v>
      </c>
      <c r="L876" s="13" t="s">
        <v>8918</v>
      </c>
      <c r="M876" t="s">
        <v>3</v>
      </c>
    </row>
    <row r="877" spans="1:13" x14ac:dyDescent="0.25">
      <c r="A877" s="13" t="s">
        <v>2479</v>
      </c>
      <c r="B877" s="13" t="s">
        <v>2480</v>
      </c>
      <c r="C877" s="13" t="s">
        <v>2481</v>
      </c>
      <c r="D877" s="13">
        <v>18</v>
      </c>
      <c r="E877" s="13" t="s">
        <v>2482</v>
      </c>
      <c r="F877" s="13" t="s">
        <v>8869</v>
      </c>
      <c r="G877" s="13" t="s">
        <v>2</v>
      </c>
      <c r="H877" s="13" t="s">
        <v>3</v>
      </c>
      <c r="I877" s="13" t="s">
        <v>119</v>
      </c>
      <c r="J877" s="13" t="s">
        <v>8890</v>
      </c>
      <c r="K877" s="13" t="s">
        <v>8883</v>
      </c>
      <c r="L877" s="13" t="s">
        <v>8918</v>
      </c>
      <c r="M877" t="s">
        <v>3</v>
      </c>
    </row>
    <row r="878" spans="1:13" x14ac:dyDescent="0.25">
      <c r="A878" s="13" t="s">
        <v>2483</v>
      </c>
      <c r="B878" s="13" t="s">
        <v>2484</v>
      </c>
      <c r="C878" s="13" t="s">
        <v>2485</v>
      </c>
      <c r="D878" s="13">
        <v>68.2</v>
      </c>
      <c r="E878" s="13" t="s">
        <v>2486</v>
      </c>
      <c r="F878" s="13" t="s">
        <v>8869</v>
      </c>
      <c r="G878" s="13" t="s">
        <v>2</v>
      </c>
      <c r="H878" s="13" t="s">
        <v>3</v>
      </c>
      <c r="I878" s="13" t="s">
        <v>516</v>
      </c>
      <c r="J878" s="13" t="s">
        <v>8890</v>
      </c>
      <c r="K878" s="13" t="s">
        <v>516</v>
      </c>
      <c r="L878" s="13" t="s">
        <v>8918</v>
      </c>
      <c r="M878" t="s">
        <v>3</v>
      </c>
    </row>
    <row r="879" spans="1:13" ht="26.25" x14ac:dyDescent="0.25">
      <c r="A879" s="13" t="s">
        <v>2487</v>
      </c>
      <c r="B879" s="13" t="s">
        <v>2488</v>
      </c>
      <c r="C879" s="13" t="s">
        <v>2489</v>
      </c>
      <c r="D879" s="13">
        <v>0.1</v>
      </c>
      <c r="E879" s="13" t="s">
        <v>2490</v>
      </c>
      <c r="F879" s="13" t="s">
        <v>35</v>
      </c>
      <c r="G879" s="13" t="s">
        <v>19</v>
      </c>
      <c r="H879" s="13" t="s">
        <v>3</v>
      </c>
      <c r="I879" s="13" t="s">
        <v>2488</v>
      </c>
      <c r="J879" s="13" t="s">
        <v>37</v>
      </c>
      <c r="K879" s="13" t="s">
        <v>8606</v>
      </c>
      <c r="L879" s="13" t="s">
        <v>35</v>
      </c>
      <c r="M879" t="s">
        <v>3</v>
      </c>
    </row>
    <row r="880" spans="1:13" x14ac:dyDescent="0.25">
      <c r="A880" s="13" t="s">
        <v>2491</v>
      </c>
      <c r="B880" s="13" t="s">
        <v>2492</v>
      </c>
      <c r="C880" s="13" t="s">
        <v>2493</v>
      </c>
      <c r="D880" s="13">
        <v>815.6</v>
      </c>
      <c r="E880" s="13" t="s">
        <v>2494</v>
      </c>
      <c r="F880" s="13" t="s">
        <v>8864</v>
      </c>
      <c r="G880" s="13" t="s">
        <v>2</v>
      </c>
      <c r="H880" s="13" t="s">
        <v>1224</v>
      </c>
      <c r="I880" s="13" t="s">
        <v>57</v>
      </c>
      <c r="J880" s="13" t="s">
        <v>8890</v>
      </c>
      <c r="K880" s="13" t="s">
        <v>8429</v>
      </c>
      <c r="L880" s="13" t="s">
        <v>56</v>
      </c>
      <c r="M880" t="s">
        <v>10682</v>
      </c>
    </row>
    <row r="881" spans="1:13" x14ac:dyDescent="0.25">
      <c r="A881" s="13" t="s">
        <v>2495</v>
      </c>
      <c r="B881" s="13" t="s">
        <v>2496</v>
      </c>
      <c r="C881" s="13" t="s">
        <v>2497</v>
      </c>
      <c r="D881" s="13">
        <v>6.5</v>
      </c>
      <c r="E881" s="13" t="s">
        <v>2498</v>
      </c>
      <c r="F881" s="13" t="s">
        <v>8865</v>
      </c>
      <c r="G881" s="13" t="s">
        <v>2</v>
      </c>
      <c r="H881" s="13" t="s">
        <v>3</v>
      </c>
      <c r="I881" s="13" t="s">
        <v>497</v>
      </c>
      <c r="J881" s="13" t="s">
        <v>8890</v>
      </c>
      <c r="K881" s="13" t="s">
        <v>8475</v>
      </c>
      <c r="L881" s="13" t="s">
        <v>8901</v>
      </c>
      <c r="M881" t="s">
        <v>3</v>
      </c>
    </row>
    <row r="882" spans="1:13" ht="26.25" x14ac:dyDescent="0.25">
      <c r="A882" s="13" t="s">
        <v>2499</v>
      </c>
      <c r="B882" s="13" t="s">
        <v>2499</v>
      </c>
      <c r="C882" s="13" t="s">
        <v>9074</v>
      </c>
      <c r="D882" s="13">
        <v>402.6</v>
      </c>
      <c r="E882" s="13" t="s">
        <v>2500</v>
      </c>
      <c r="F882" s="13" t="s">
        <v>8864</v>
      </c>
      <c r="G882" s="13" t="s">
        <v>2</v>
      </c>
      <c r="H882" s="13" t="s">
        <v>9075</v>
      </c>
      <c r="I882" s="13" t="s">
        <v>2501</v>
      </c>
      <c r="J882" s="13" t="s">
        <v>8890</v>
      </c>
      <c r="K882" s="13" t="s">
        <v>8524</v>
      </c>
      <c r="L882" s="13" t="s">
        <v>56</v>
      </c>
      <c r="M882" t="s">
        <v>9075</v>
      </c>
    </row>
    <row r="883" spans="1:13" ht="26.25" x14ac:dyDescent="0.25">
      <c r="A883" s="13" t="s">
        <v>2502</v>
      </c>
      <c r="B883" s="13" t="s">
        <v>2502</v>
      </c>
      <c r="C883" s="13" t="s">
        <v>9076</v>
      </c>
      <c r="D883" s="13">
        <v>8</v>
      </c>
      <c r="E883" s="13" t="s">
        <v>2503</v>
      </c>
      <c r="F883" s="13" t="s">
        <v>275</v>
      </c>
      <c r="G883" s="13" t="s">
        <v>19</v>
      </c>
      <c r="H883" s="13" t="s">
        <v>3</v>
      </c>
      <c r="I883" s="13" t="s">
        <v>2501</v>
      </c>
      <c r="J883" s="13" t="s">
        <v>276</v>
      </c>
      <c r="K883" s="13" t="s">
        <v>8524</v>
      </c>
      <c r="L883" s="13" t="s">
        <v>275</v>
      </c>
      <c r="M883" t="s">
        <v>3</v>
      </c>
    </row>
    <row r="884" spans="1:13" ht="26.25" x14ac:dyDescent="0.25">
      <c r="A884" s="13" t="s">
        <v>2504</v>
      </c>
      <c r="B884" s="13" t="s">
        <v>2505</v>
      </c>
      <c r="C884" s="13" t="s">
        <v>9077</v>
      </c>
      <c r="D884" s="13">
        <v>401.3</v>
      </c>
      <c r="E884" s="13" t="s">
        <v>2506</v>
      </c>
      <c r="F884" s="13" t="s">
        <v>8864</v>
      </c>
      <c r="G884" s="13" t="s">
        <v>2</v>
      </c>
      <c r="H884" s="13" t="s">
        <v>3</v>
      </c>
      <c r="I884" s="13" t="s">
        <v>2501</v>
      </c>
      <c r="J884" s="13" t="s">
        <v>8890</v>
      </c>
      <c r="K884" s="13" t="s">
        <v>8524</v>
      </c>
      <c r="L884" s="13" t="s">
        <v>56</v>
      </c>
      <c r="M884" t="s">
        <v>3</v>
      </c>
    </row>
    <row r="885" spans="1:13" ht="26.25" x14ac:dyDescent="0.25">
      <c r="A885" s="13" t="s">
        <v>2507</v>
      </c>
      <c r="B885" s="13" t="s">
        <v>2507</v>
      </c>
      <c r="C885" s="13" t="s">
        <v>9078</v>
      </c>
      <c r="D885" s="13">
        <v>8</v>
      </c>
      <c r="E885" s="13" t="s">
        <v>2508</v>
      </c>
      <c r="F885" s="13" t="s">
        <v>275</v>
      </c>
      <c r="G885" s="13" t="s">
        <v>19</v>
      </c>
      <c r="H885" s="13" t="s">
        <v>3</v>
      </c>
      <c r="I885" s="13" t="s">
        <v>2501</v>
      </c>
      <c r="J885" s="13" t="s">
        <v>276</v>
      </c>
      <c r="K885" s="13" t="s">
        <v>8524</v>
      </c>
      <c r="L885" s="13" t="s">
        <v>275</v>
      </c>
      <c r="M885" t="s">
        <v>3</v>
      </c>
    </row>
    <row r="886" spans="1:13" ht="26.25" x14ac:dyDescent="0.25">
      <c r="A886" s="13" t="s">
        <v>2509</v>
      </c>
      <c r="B886" s="13" t="s">
        <v>2510</v>
      </c>
      <c r="C886" s="13" t="s">
        <v>9079</v>
      </c>
      <c r="D886" s="13">
        <v>395.2</v>
      </c>
      <c r="E886" s="13" t="s">
        <v>2511</v>
      </c>
      <c r="F886" s="13" t="s">
        <v>8864</v>
      </c>
      <c r="G886" s="13" t="s">
        <v>2</v>
      </c>
      <c r="H886" s="13" t="s">
        <v>9075</v>
      </c>
      <c r="I886" s="13" t="s">
        <v>2501</v>
      </c>
      <c r="J886" s="13" t="s">
        <v>8890</v>
      </c>
      <c r="K886" s="13" t="s">
        <v>8524</v>
      </c>
      <c r="L886" s="13" t="s">
        <v>56</v>
      </c>
      <c r="M886" t="s">
        <v>9075</v>
      </c>
    </row>
    <row r="887" spans="1:13" ht="26.25" x14ac:dyDescent="0.25">
      <c r="A887" s="13" t="s">
        <v>2512</v>
      </c>
      <c r="B887" s="13" t="s">
        <v>2512</v>
      </c>
      <c r="C887" s="13" t="s">
        <v>9080</v>
      </c>
      <c r="D887" s="13">
        <v>8</v>
      </c>
      <c r="E887" s="13" t="s">
        <v>2513</v>
      </c>
      <c r="F887" s="13" t="s">
        <v>275</v>
      </c>
      <c r="G887" s="13" t="s">
        <v>19</v>
      </c>
      <c r="H887" s="13" t="s">
        <v>3</v>
      </c>
      <c r="I887" s="13" t="s">
        <v>2501</v>
      </c>
      <c r="J887" s="13" t="s">
        <v>276</v>
      </c>
      <c r="K887" s="13" t="s">
        <v>8524</v>
      </c>
      <c r="L887" s="13" t="s">
        <v>275</v>
      </c>
      <c r="M887" t="s">
        <v>3</v>
      </c>
    </row>
    <row r="888" spans="1:13" x14ac:dyDescent="0.25">
      <c r="A888" s="13" t="s">
        <v>2514</v>
      </c>
      <c r="B888" s="13" t="s">
        <v>2515</v>
      </c>
      <c r="C888" s="13" t="s">
        <v>2516</v>
      </c>
      <c r="D888" s="13">
        <v>44.3</v>
      </c>
      <c r="E888" s="13" t="s">
        <v>2517</v>
      </c>
      <c r="F888" s="13" t="s">
        <v>8867</v>
      </c>
      <c r="G888" s="13" t="s">
        <v>2</v>
      </c>
      <c r="H888" s="13" t="s">
        <v>8958</v>
      </c>
      <c r="I888" s="13" t="s">
        <v>516</v>
      </c>
      <c r="J888" s="13" t="s">
        <v>8890</v>
      </c>
      <c r="K888" s="13" t="s">
        <v>516</v>
      </c>
      <c r="L888" s="13" t="s">
        <v>158</v>
      </c>
      <c r="M888" t="s">
        <v>8958</v>
      </c>
    </row>
    <row r="889" spans="1:13" x14ac:dyDescent="0.25">
      <c r="A889" s="13" t="s">
        <v>2518</v>
      </c>
      <c r="B889" s="13" t="s">
        <v>2518</v>
      </c>
      <c r="C889" s="13" t="s">
        <v>2519</v>
      </c>
      <c r="D889" s="13">
        <v>29.2</v>
      </c>
      <c r="E889" s="13" t="s">
        <v>2520</v>
      </c>
      <c r="F889" s="13" t="s">
        <v>8869</v>
      </c>
      <c r="G889" s="13" t="s">
        <v>2</v>
      </c>
      <c r="H889" s="13" t="s">
        <v>3</v>
      </c>
      <c r="I889" s="13" t="s">
        <v>1263</v>
      </c>
      <c r="J889" s="13" t="s">
        <v>8890</v>
      </c>
      <c r="K889" s="13" t="s">
        <v>8422</v>
      </c>
      <c r="L889" s="13" t="s">
        <v>8918</v>
      </c>
      <c r="M889" t="s">
        <v>3</v>
      </c>
    </row>
    <row r="890" spans="1:13" ht="26.25" x14ac:dyDescent="0.25">
      <c r="A890" s="13" t="s">
        <v>2521</v>
      </c>
      <c r="B890" s="13" t="s">
        <v>2522</v>
      </c>
      <c r="C890" s="13" t="s">
        <v>2523</v>
      </c>
      <c r="D890" s="13">
        <v>1</v>
      </c>
      <c r="E890" s="13" t="s">
        <v>2524</v>
      </c>
      <c r="F890" s="13" t="s">
        <v>8860</v>
      </c>
      <c r="G890" s="13" t="s">
        <v>19</v>
      </c>
      <c r="H890" s="13" t="s">
        <v>3</v>
      </c>
      <c r="I890" s="13" t="s">
        <v>2525</v>
      </c>
      <c r="J890" s="13" t="s">
        <v>21</v>
      </c>
      <c r="K890" s="13" t="s">
        <v>8607</v>
      </c>
      <c r="L890" s="13" t="s">
        <v>18</v>
      </c>
      <c r="M890" t="s">
        <v>3</v>
      </c>
    </row>
    <row r="891" spans="1:13" x14ac:dyDescent="0.25">
      <c r="A891" s="13" t="s">
        <v>9718</v>
      </c>
      <c r="B891" s="13" t="s">
        <v>9719</v>
      </c>
      <c r="C891" s="13" t="s">
        <v>9719</v>
      </c>
      <c r="D891" s="13">
        <v>77.5</v>
      </c>
      <c r="E891" s="13" t="s">
        <v>9720</v>
      </c>
      <c r="F891" s="13" t="s">
        <v>8869</v>
      </c>
      <c r="G891" s="13" t="s">
        <v>2</v>
      </c>
      <c r="H891" s="13" t="s">
        <v>3</v>
      </c>
      <c r="I891" s="13" t="s">
        <v>164</v>
      </c>
      <c r="J891" s="13" t="s">
        <v>8890</v>
      </c>
      <c r="K891" s="13" t="s">
        <v>8443</v>
      </c>
      <c r="L891" s="13" t="s">
        <v>8918</v>
      </c>
      <c r="M891" t="s">
        <v>3</v>
      </c>
    </row>
    <row r="892" spans="1:13" ht="26.25" x14ac:dyDescent="0.25">
      <c r="A892" s="13" t="s">
        <v>11584</v>
      </c>
      <c r="B892" s="13" t="s">
        <v>11585</v>
      </c>
      <c r="C892" s="13" t="s">
        <v>11585</v>
      </c>
      <c r="D892" s="13">
        <v>1</v>
      </c>
      <c r="E892" s="13" t="s">
        <v>11586</v>
      </c>
      <c r="F892" s="13" t="s">
        <v>8860</v>
      </c>
      <c r="G892" s="13" t="s">
        <v>19</v>
      </c>
      <c r="H892" s="13" t="s">
        <v>3</v>
      </c>
      <c r="I892" s="13" t="s">
        <v>11587</v>
      </c>
      <c r="J892" s="13" t="s">
        <v>21</v>
      </c>
      <c r="K892" s="13" t="s">
        <v>11588</v>
      </c>
      <c r="L892" s="13" t="s">
        <v>18</v>
      </c>
      <c r="M892" t="s">
        <v>3</v>
      </c>
    </row>
    <row r="893" spans="1:13" x14ac:dyDescent="0.25">
      <c r="A893" s="13" t="s">
        <v>2526</v>
      </c>
      <c r="B893" s="13" t="s">
        <v>2526</v>
      </c>
      <c r="C893" s="13" t="s">
        <v>2527</v>
      </c>
      <c r="D893" s="13">
        <v>34.9</v>
      </c>
      <c r="E893" s="13" t="s">
        <v>2528</v>
      </c>
      <c r="F893" s="13" t="s">
        <v>8869</v>
      </c>
      <c r="G893" s="13" t="s">
        <v>2</v>
      </c>
      <c r="H893" s="13" t="s">
        <v>3</v>
      </c>
      <c r="I893" s="13" t="s">
        <v>1263</v>
      </c>
      <c r="J893" s="13" t="s">
        <v>8890</v>
      </c>
      <c r="K893" s="13" t="s">
        <v>8422</v>
      </c>
      <c r="L893" s="13" t="s">
        <v>8918</v>
      </c>
      <c r="M893" t="s">
        <v>3</v>
      </c>
    </row>
    <row r="894" spans="1:13" x14ac:dyDescent="0.25">
      <c r="A894" s="13" t="s">
        <v>2529</v>
      </c>
      <c r="B894" s="13" t="s">
        <v>2529</v>
      </c>
      <c r="C894" s="13" t="s">
        <v>2530</v>
      </c>
      <c r="D894" s="13">
        <v>7.8</v>
      </c>
      <c r="E894" s="13" t="s">
        <v>2530</v>
      </c>
      <c r="F894" s="13" t="s">
        <v>8869</v>
      </c>
      <c r="G894" s="13" t="s">
        <v>2</v>
      </c>
      <c r="H894" s="13" t="s">
        <v>3</v>
      </c>
      <c r="I894" s="13" t="s">
        <v>447</v>
      </c>
      <c r="J894" s="13" t="s">
        <v>8890</v>
      </c>
      <c r="K894" s="13" t="s">
        <v>8421</v>
      </c>
      <c r="L894" s="13" t="s">
        <v>8918</v>
      </c>
      <c r="M894" t="s">
        <v>3</v>
      </c>
    </row>
    <row r="895" spans="1:13" ht="26.25" x14ac:dyDescent="0.25">
      <c r="A895" s="13" t="s">
        <v>2531</v>
      </c>
      <c r="B895" s="13" t="s">
        <v>2532</v>
      </c>
      <c r="C895" s="13" t="s">
        <v>2533</v>
      </c>
      <c r="D895" s="13">
        <v>0</v>
      </c>
      <c r="E895" s="13" t="s">
        <v>2534</v>
      </c>
      <c r="F895" s="13" t="s">
        <v>8860</v>
      </c>
      <c r="G895" s="13" t="s">
        <v>19</v>
      </c>
      <c r="H895" s="13" t="s">
        <v>3</v>
      </c>
      <c r="I895" s="13" t="s">
        <v>2535</v>
      </c>
      <c r="J895" s="13" t="s">
        <v>21</v>
      </c>
      <c r="K895" s="13" t="s">
        <v>8608</v>
      </c>
      <c r="L895" s="13" t="s">
        <v>18</v>
      </c>
      <c r="M895" t="s">
        <v>3</v>
      </c>
    </row>
    <row r="896" spans="1:13" ht="26.25" x14ac:dyDescent="0.25">
      <c r="A896" s="13" t="s">
        <v>2536</v>
      </c>
      <c r="B896" s="13" t="s">
        <v>2537</v>
      </c>
      <c r="C896" s="13" t="s">
        <v>2538</v>
      </c>
      <c r="D896" s="13">
        <v>1</v>
      </c>
      <c r="E896" s="13" t="s">
        <v>2539</v>
      </c>
      <c r="F896" s="13" t="s">
        <v>8860</v>
      </c>
      <c r="G896" s="13" t="s">
        <v>19</v>
      </c>
      <c r="H896" s="13" t="s">
        <v>3</v>
      </c>
      <c r="I896" s="13" t="s">
        <v>2540</v>
      </c>
      <c r="J896" s="13" t="s">
        <v>21</v>
      </c>
      <c r="K896" s="13" t="s">
        <v>2537</v>
      </c>
      <c r="L896" s="13" t="s">
        <v>18</v>
      </c>
      <c r="M896" t="s">
        <v>3</v>
      </c>
    </row>
    <row r="897" spans="1:13" ht="26.25" x14ac:dyDescent="0.25">
      <c r="A897" s="13" t="s">
        <v>2541</v>
      </c>
      <c r="B897" s="13" t="s">
        <v>2541</v>
      </c>
      <c r="C897" s="13" t="s">
        <v>2542</v>
      </c>
      <c r="D897" s="13">
        <v>1</v>
      </c>
      <c r="E897" s="13" t="s">
        <v>2543</v>
      </c>
      <c r="F897" s="13" t="s">
        <v>8860</v>
      </c>
      <c r="G897" s="13" t="s">
        <v>19</v>
      </c>
      <c r="H897" s="13" t="s">
        <v>3</v>
      </c>
      <c r="I897" s="13" t="s">
        <v>2544</v>
      </c>
      <c r="J897" s="13" t="s">
        <v>21</v>
      </c>
      <c r="K897" s="13" t="s">
        <v>8609</v>
      </c>
      <c r="L897" s="13" t="s">
        <v>18</v>
      </c>
      <c r="M897" t="s">
        <v>3</v>
      </c>
    </row>
    <row r="898" spans="1:13" x14ac:dyDescent="0.25">
      <c r="A898" s="13" t="s">
        <v>2545</v>
      </c>
      <c r="B898" s="13" t="s">
        <v>2545</v>
      </c>
      <c r="C898" s="13" t="s">
        <v>9081</v>
      </c>
      <c r="D898" s="13">
        <v>4</v>
      </c>
      <c r="E898" s="13" t="s">
        <v>2546</v>
      </c>
      <c r="F898" s="13" t="s">
        <v>8869</v>
      </c>
      <c r="G898" s="13" t="s">
        <v>2</v>
      </c>
      <c r="H898" s="13" t="s">
        <v>3</v>
      </c>
      <c r="I898" s="13" t="s">
        <v>809</v>
      </c>
      <c r="J898" s="13" t="s">
        <v>8890</v>
      </c>
      <c r="K898" s="13" t="s">
        <v>8512</v>
      </c>
      <c r="L898" s="13" t="s">
        <v>8918</v>
      </c>
      <c r="M898" t="s">
        <v>3</v>
      </c>
    </row>
    <row r="899" spans="1:13" x14ac:dyDescent="0.25">
      <c r="A899" s="13" t="s">
        <v>2547</v>
      </c>
      <c r="B899" s="13" t="s">
        <v>2547</v>
      </c>
      <c r="C899" s="13" t="s">
        <v>2548</v>
      </c>
      <c r="D899" s="13">
        <v>42</v>
      </c>
      <c r="E899" s="13" t="s">
        <v>2548</v>
      </c>
      <c r="F899" s="13" t="s">
        <v>8869</v>
      </c>
      <c r="G899" s="13" t="s">
        <v>2</v>
      </c>
      <c r="H899" s="13" t="s">
        <v>3</v>
      </c>
      <c r="I899" s="13" t="s">
        <v>447</v>
      </c>
      <c r="J899" s="13" t="s">
        <v>8890</v>
      </c>
      <c r="K899" s="13" t="s">
        <v>8421</v>
      </c>
      <c r="L899" s="13" t="s">
        <v>8918</v>
      </c>
      <c r="M899" t="s">
        <v>3</v>
      </c>
    </row>
    <row r="900" spans="1:13" x14ac:dyDescent="0.25">
      <c r="A900" s="13" t="s">
        <v>2549</v>
      </c>
      <c r="B900" s="13" t="s">
        <v>2550</v>
      </c>
      <c r="C900" s="13" t="s">
        <v>2550</v>
      </c>
      <c r="D900" s="13">
        <v>22</v>
      </c>
      <c r="E900" s="13" t="s">
        <v>2551</v>
      </c>
      <c r="F900" s="13" t="s">
        <v>8869</v>
      </c>
      <c r="G900" s="13" t="s">
        <v>2</v>
      </c>
      <c r="H900" s="13" t="s">
        <v>3</v>
      </c>
      <c r="I900" s="13" t="s">
        <v>119</v>
      </c>
      <c r="J900" s="13" t="s">
        <v>8890</v>
      </c>
      <c r="K900" s="13" t="s">
        <v>8883</v>
      </c>
      <c r="L900" s="13" t="s">
        <v>8918</v>
      </c>
      <c r="M900" t="s">
        <v>3</v>
      </c>
    </row>
    <row r="901" spans="1:13" x14ac:dyDescent="0.25">
      <c r="A901" s="13" t="s">
        <v>2552</v>
      </c>
      <c r="B901" s="13" t="s">
        <v>2552</v>
      </c>
      <c r="C901" s="13" t="s">
        <v>2553</v>
      </c>
      <c r="D901" s="13">
        <v>3.8</v>
      </c>
      <c r="E901" s="13" t="s">
        <v>2554</v>
      </c>
      <c r="F901" s="13" t="s">
        <v>8865</v>
      </c>
      <c r="G901" s="13" t="s">
        <v>2</v>
      </c>
      <c r="H901" s="13" t="s">
        <v>3</v>
      </c>
      <c r="I901" s="13" t="s">
        <v>497</v>
      </c>
      <c r="J901" s="13" t="s">
        <v>8890</v>
      </c>
      <c r="K901" s="13" t="s">
        <v>8475</v>
      </c>
      <c r="L901" s="13" t="s">
        <v>8901</v>
      </c>
      <c r="M901" t="s">
        <v>3</v>
      </c>
    </row>
    <row r="902" spans="1:13" x14ac:dyDescent="0.25">
      <c r="A902" s="13" t="s">
        <v>2555</v>
      </c>
      <c r="B902" s="13" t="s">
        <v>2556</v>
      </c>
      <c r="C902" s="13" t="s">
        <v>2557</v>
      </c>
      <c r="D902" s="13">
        <v>44</v>
      </c>
      <c r="E902" s="13" t="s">
        <v>2558</v>
      </c>
      <c r="F902" s="13" t="s">
        <v>8869</v>
      </c>
      <c r="G902" s="13" t="s">
        <v>2</v>
      </c>
      <c r="H902" s="13" t="s">
        <v>3</v>
      </c>
      <c r="I902" s="13" t="s">
        <v>1283</v>
      </c>
      <c r="J902" s="13" t="s">
        <v>8890</v>
      </c>
      <c r="K902" s="13" t="s">
        <v>8524</v>
      </c>
      <c r="L902" s="13" t="s">
        <v>8918</v>
      </c>
      <c r="M902" t="s">
        <v>3</v>
      </c>
    </row>
    <row r="903" spans="1:13" x14ac:dyDescent="0.25">
      <c r="A903" s="13" t="s">
        <v>2559</v>
      </c>
      <c r="B903" s="13" t="s">
        <v>2559</v>
      </c>
      <c r="C903" s="13" t="s">
        <v>2560</v>
      </c>
      <c r="D903" s="13">
        <v>10.5</v>
      </c>
      <c r="E903" s="13" t="s">
        <v>2560</v>
      </c>
      <c r="F903" s="13" t="s">
        <v>8869</v>
      </c>
      <c r="G903" s="13" t="s">
        <v>2</v>
      </c>
      <c r="H903" s="13" t="s">
        <v>3</v>
      </c>
      <c r="I903" s="13" t="s">
        <v>447</v>
      </c>
      <c r="J903" s="13" t="s">
        <v>8890</v>
      </c>
      <c r="K903" s="13" t="s">
        <v>8421</v>
      </c>
      <c r="L903" s="13" t="s">
        <v>8918</v>
      </c>
      <c r="M903" t="s">
        <v>3</v>
      </c>
    </row>
    <row r="904" spans="1:13" x14ac:dyDescent="0.25">
      <c r="A904" s="13" t="s">
        <v>10140</v>
      </c>
      <c r="B904" s="13" t="s">
        <v>10140</v>
      </c>
      <c r="C904" s="13" t="s">
        <v>10140</v>
      </c>
      <c r="D904" s="13">
        <v>61.8</v>
      </c>
      <c r="E904" s="13" t="s">
        <v>10141</v>
      </c>
      <c r="F904" s="13" t="s">
        <v>8869</v>
      </c>
      <c r="G904" s="13" t="s">
        <v>2</v>
      </c>
      <c r="H904" s="13" t="s">
        <v>3</v>
      </c>
      <c r="I904" s="13" t="s">
        <v>164</v>
      </c>
      <c r="J904" s="13" t="s">
        <v>8890</v>
      </c>
      <c r="K904" s="13" t="s">
        <v>8443</v>
      </c>
      <c r="L904" s="13" t="s">
        <v>8918</v>
      </c>
      <c r="M904" t="s">
        <v>3</v>
      </c>
    </row>
    <row r="905" spans="1:13" ht="26.25" x14ac:dyDescent="0.25">
      <c r="A905" s="13" t="s">
        <v>2561</v>
      </c>
      <c r="B905" s="13" t="s">
        <v>2562</v>
      </c>
      <c r="C905" s="13" t="s">
        <v>2563</v>
      </c>
      <c r="D905" s="13">
        <v>1</v>
      </c>
      <c r="E905" s="13" t="s">
        <v>2564</v>
      </c>
      <c r="F905" s="13" t="s">
        <v>8860</v>
      </c>
      <c r="G905" s="13" t="s">
        <v>19</v>
      </c>
      <c r="H905" s="13" t="s">
        <v>3</v>
      </c>
      <c r="I905" s="13" t="s">
        <v>2565</v>
      </c>
      <c r="J905" s="13" t="s">
        <v>21</v>
      </c>
      <c r="K905" s="13" t="s">
        <v>2565</v>
      </c>
      <c r="L905" s="13" t="s">
        <v>18</v>
      </c>
      <c r="M905" t="s">
        <v>3</v>
      </c>
    </row>
    <row r="906" spans="1:13" x14ac:dyDescent="0.25">
      <c r="A906" s="13" t="s">
        <v>10142</v>
      </c>
      <c r="B906" s="13" t="s">
        <v>10142</v>
      </c>
      <c r="C906" s="13" t="s">
        <v>10142</v>
      </c>
      <c r="D906" s="13">
        <v>31</v>
      </c>
      <c r="E906" s="13" t="s">
        <v>10143</v>
      </c>
      <c r="F906" s="13" t="s">
        <v>8869</v>
      </c>
      <c r="G906" s="13" t="s">
        <v>2</v>
      </c>
      <c r="H906" s="13" t="s">
        <v>3</v>
      </c>
      <c r="I906" s="13" t="s">
        <v>164</v>
      </c>
      <c r="J906" s="13" t="s">
        <v>8890</v>
      </c>
      <c r="K906" s="13" t="s">
        <v>8443</v>
      </c>
      <c r="L906" s="13" t="s">
        <v>8918</v>
      </c>
      <c r="M906" t="s">
        <v>3</v>
      </c>
    </row>
    <row r="907" spans="1:13" x14ac:dyDescent="0.25">
      <c r="A907" s="13" t="s">
        <v>2566</v>
      </c>
      <c r="B907" s="13" t="s">
        <v>2566</v>
      </c>
      <c r="C907" s="13" t="s">
        <v>2566</v>
      </c>
      <c r="D907" s="13">
        <v>1.9</v>
      </c>
      <c r="E907" s="13" t="s">
        <v>2567</v>
      </c>
      <c r="F907" s="13" t="s">
        <v>8865</v>
      </c>
      <c r="G907" s="13" t="s">
        <v>2</v>
      </c>
      <c r="H907" s="13" t="s">
        <v>3</v>
      </c>
      <c r="I907" s="13" t="s">
        <v>497</v>
      </c>
      <c r="J907" s="13" t="s">
        <v>8890</v>
      </c>
      <c r="K907" s="13" t="s">
        <v>8475</v>
      </c>
      <c r="L907" s="13" t="s">
        <v>8901</v>
      </c>
      <c r="M907" t="s">
        <v>3</v>
      </c>
    </row>
    <row r="908" spans="1:13" x14ac:dyDescent="0.25">
      <c r="A908" s="13" t="s">
        <v>10144</v>
      </c>
      <c r="B908" s="13" t="s">
        <v>10144</v>
      </c>
      <c r="C908" s="13" t="s">
        <v>10145</v>
      </c>
      <c r="D908" s="13">
        <v>17.600000000000001</v>
      </c>
      <c r="E908" s="13" t="s">
        <v>10146</v>
      </c>
      <c r="F908" s="13" t="s">
        <v>8869</v>
      </c>
      <c r="G908" s="13" t="s">
        <v>2</v>
      </c>
      <c r="H908" s="13" t="s">
        <v>3</v>
      </c>
      <c r="I908" s="13" t="s">
        <v>1263</v>
      </c>
      <c r="J908" s="13" t="s">
        <v>8890</v>
      </c>
      <c r="K908" s="13" t="s">
        <v>8422</v>
      </c>
      <c r="L908" s="13" t="s">
        <v>8918</v>
      </c>
      <c r="M908" t="s">
        <v>3</v>
      </c>
    </row>
    <row r="909" spans="1:13" x14ac:dyDescent="0.25">
      <c r="A909" s="13" t="s">
        <v>2568</v>
      </c>
      <c r="B909" s="13" t="s">
        <v>2568</v>
      </c>
      <c r="C909" s="13" t="s">
        <v>2569</v>
      </c>
      <c r="D909" s="13">
        <v>98.8</v>
      </c>
      <c r="E909" s="13" t="s">
        <v>2569</v>
      </c>
      <c r="F909" s="13" t="s">
        <v>8869</v>
      </c>
      <c r="G909" s="13" t="s">
        <v>2</v>
      </c>
      <c r="H909" s="13" t="s">
        <v>3</v>
      </c>
      <c r="I909" s="13" t="s">
        <v>447</v>
      </c>
      <c r="J909" s="13" t="s">
        <v>8890</v>
      </c>
      <c r="K909" s="13" t="s">
        <v>8421</v>
      </c>
      <c r="L909" s="13" t="s">
        <v>8918</v>
      </c>
      <c r="M909" t="s">
        <v>3</v>
      </c>
    </row>
    <row r="910" spans="1:13" x14ac:dyDescent="0.25">
      <c r="A910" s="13" t="s">
        <v>9626</v>
      </c>
      <c r="B910" s="13" t="s">
        <v>9626</v>
      </c>
      <c r="C910" s="13" t="s">
        <v>9627</v>
      </c>
      <c r="D910" s="13">
        <v>0.8</v>
      </c>
      <c r="E910" s="13" t="s">
        <v>9628</v>
      </c>
      <c r="F910" s="13" t="s">
        <v>8869</v>
      </c>
      <c r="G910" s="13" t="s">
        <v>2</v>
      </c>
      <c r="H910" s="13" t="s">
        <v>3</v>
      </c>
      <c r="I910" s="13" t="s">
        <v>1263</v>
      </c>
      <c r="J910" s="13" t="s">
        <v>8890</v>
      </c>
      <c r="K910" s="13" t="s">
        <v>8422</v>
      </c>
      <c r="L910" s="13" t="s">
        <v>8918</v>
      </c>
      <c r="M910" t="s">
        <v>3</v>
      </c>
    </row>
    <row r="911" spans="1:13" x14ac:dyDescent="0.25">
      <c r="A911" s="13" t="s">
        <v>2570</v>
      </c>
      <c r="B911" s="13" t="s">
        <v>2570</v>
      </c>
      <c r="C911" s="13" t="s">
        <v>2571</v>
      </c>
      <c r="D911" s="13">
        <v>32</v>
      </c>
      <c r="E911" s="13" t="s">
        <v>2572</v>
      </c>
      <c r="F911" s="13" t="s">
        <v>8869</v>
      </c>
      <c r="G911" s="13" t="s">
        <v>2</v>
      </c>
      <c r="H911" s="13" t="s">
        <v>3</v>
      </c>
      <c r="I911" s="13" t="s">
        <v>1263</v>
      </c>
      <c r="J911" s="13" t="s">
        <v>8890</v>
      </c>
      <c r="K911" s="13" t="s">
        <v>8422</v>
      </c>
      <c r="L911" s="13" t="s">
        <v>8918</v>
      </c>
      <c r="M911" t="s">
        <v>3</v>
      </c>
    </row>
    <row r="912" spans="1:13" x14ac:dyDescent="0.25">
      <c r="A912" s="13" t="s">
        <v>2573</v>
      </c>
      <c r="B912" s="13" t="s">
        <v>2574</v>
      </c>
      <c r="C912" s="13" t="s">
        <v>2575</v>
      </c>
      <c r="D912" s="13">
        <v>50</v>
      </c>
      <c r="E912" s="13" t="s">
        <v>2576</v>
      </c>
      <c r="F912" s="13" t="s">
        <v>8869</v>
      </c>
      <c r="G912" s="13" t="s">
        <v>2</v>
      </c>
      <c r="H912" s="13" t="s">
        <v>10022</v>
      </c>
      <c r="I912" s="13" t="s">
        <v>516</v>
      </c>
      <c r="J912" s="13" t="s">
        <v>8890</v>
      </c>
      <c r="K912" s="13" t="s">
        <v>516</v>
      </c>
      <c r="L912" s="13" t="s">
        <v>8918</v>
      </c>
      <c r="M912" t="s">
        <v>10022</v>
      </c>
    </row>
    <row r="913" spans="1:13" ht="26.25" x14ac:dyDescent="0.25">
      <c r="A913" s="13" t="s">
        <v>2577</v>
      </c>
      <c r="B913" s="13" t="s">
        <v>2578</v>
      </c>
      <c r="C913" s="13" t="s">
        <v>2579</v>
      </c>
      <c r="D913" s="13">
        <v>1</v>
      </c>
      <c r="E913" s="13" t="s">
        <v>2580</v>
      </c>
      <c r="F913" s="13" t="s">
        <v>8860</v>
      </c>
      <c r="G913" s="13" t="s">
        <v>19</v>
      </c>
      <c r="H913" s="13" t="s">
        <v>3</v>
      </c>
      <c r="I913" s="13" t="s">
        <v>2578</v>
      </c>
      <c r="J913" s="13" t="s">
        <v>21</v>
      </c>
      <c r="K913" s="13" t="s">
        <v>8610</v>
      </c>
      <c r="L913" s="13" t="s">
        <v>18</v>
      </c>
      <c r="M913" t="s">
        <v>3</v>
      </c>
    </row>
    <row r="914" spans="1:13" ht="26.25" x14ac:dyDescent="0.25">
      <c r="A914" s="13" t="s">
        <v>2581</v>
      </c>
      <c r="B914" s="13" t="s">
        <v>2581</v>
      </c>
      <c r="C914" s="13" t="s">
        <v>2582</v>
      </c>
      <c r="D914" s="13">
        <v>0.7</v>
      </c>
      <c r="E914" s="13" t="s">
        <v>2583</v>
      </c>
      <c r="F914" s="13" t="s">
        <v>8863</v>
      </c>
      <c r="G914" s="13" t="s">
        <v>2</v>
      </c>
      <c r="H914" s="13" t="s">
        <v>3</v>
      </c>
      <c r="I914" s="13" t="s">
        <v>10</v>
      </c>
      <c r="J914" s="13" t="s">
        <v>8890</v>
      </c>
      <c r="K914" s="13" t="s">
        <v>8425</v>
      </c>
      <c r="L914" s="13" t="s">
        <v>8893</v>
      </c>
      <c r="M914" t="s">
        <v>3</v>
      </c>
    </row>
    <row r="915" spans="1:13" ht="26.25" x14ac:dyDescent="0.25">
      <c r="A915" s="13" t="s">
        <v>2584</v>
      </c>
      <c r="B915" s="13" t="s">
        <v>2584</v>
      </c>
      <c r="C915" s="13" t="s">
        <v>2585</v>
      </c>
      <c r="D915" s="13">
        <v>15.1</v>
      </c>
      <c r="E915" s="13" t="s">
        <v>2586</v>
      </c>
      <c r="F915" s="13" t="s">
        <v>8869</v>
      </c>
      <c r="G915" s="13" t="s">
        <v>2</v>
      </c>
      <c r="H915" s="13" t="s">
        <v>3</v>
      </c>
      <c r="I915" s="13" t="s">
        <v>1263</v>
      </c>
      <c r="J915" s="13" t="s">
        <v>8890</v>
      </c>
      <c r="K915" s="13" t="s">
        <v>8422</v>
      </c>
      <c r="L915" s="13" t="s">
        <v>8918</v>
      </c>
      <c r="M915" t="s">
        <v>3</v>
      </c>
    </row>
    <row r="916" spans="1:13" ht="26.25" x14ac:dyDescent="0.25">
      <c r="A916" s="13" t="s">
        <v>2587</v>
      </c>
      <c r="B916" s="13" t="s">
        <v>2587</v>
      </c>
      <c r="C916" s="13" t="s">
        <v>2588</v>
      </c>
      <c r="D916" s="13">
        <v>0.1</v>
      </c>
      <c r="E916" s="13" t="s">
        <v>2589</v>
      </c>
      <c r="F916" s="13" t="s">
        <v>8860</v>
      </c>
      <c r="G916" s="13" t="s">
        <v>19</v>
      </c>
      <c r="H916" s="13" t="s">
        <v>3</v>
      </c>
      <c r="I916" s="13" t="s">
        <v>2590</v>
      </c>
      <c r="J916" s="13" t="s">
        <v>21</v>
      </c>
      <c r="K916" s="13" t="s">
        <v>8611</v>
      </c>
      <c r="L916" s="13" t="s">
        <v>18</v>
      </c>
      <c r="M916" t="s">
        <v>3</v>
      </c>
    </row>
    <row r="917" spans="1:13" ht="26.25" x14ac:dyDescent="0.25">
      <c r="A917" s="13" t="s">
        <v>2591</v>
      </c>
      <c r="B917" s="13" t="s">
        <v>2591</v>
      </c>
      <c r="C917" s="13" t="s">
        <v>2591</v>
      </c>
      <c r="D917" s="13">
        <v>15</v>
      </c>
      <c r="E917" s="13" t="s">
        <v>2592</v>
      </c>
      <c r="F917" s="13" t="s">
        <v>35</v>
      </c>
      <c r="G917" s="13" t="s">
        <v>19</v>
      </c>
      <c r="H917" s="13" t="s">
        <v>3</v>
      </c>
      <c r="I917" s="13" t="s">
        <v>809</v>
      </c>
      <c r="J917" s="13" t="s">
        <v>37</v>
      </c>
      <c r="K917" s="13" t="s">
        <v>8512</v>
      </c>
      <c r="L917" s="13" t="s">
        <v>35</v>
      </c>
      <c r="M917" t="s">
        <v>3</v>
      </c>
    </row>
    <row r="918" spans="1:13" x14ac:dyDescent="0.25">
      <c r="A918" s="13" t="s">
        <v>2593</v>
      </c>
      <c r="B918" s="13" t="s">
        <v>2593</v>
      </c>
      <c r="C918" s="13" t="s">
        <v>2594</v>
      </c>
      <c r="D918" s="13">
        <v>4.5</v>
      </c>
      <c r="E918" s="13" t="s">
        <v>2594</v>
      </c>
      <c r="F918" s="13" t="s">
        <v>8869</v>
      </c>
      <c r="G918" s="13" t="s">
        <v>2</v>
      </c>
      <c r="H918" s="13" t="s">
        <v>3</v>
      </c>
      <c r="I918" s="13" t="s">
        <v>447</v>
      </c>
      <c r="J918" s="13" t="s">
        <v>8890</v>
      </c>
      <c r="K918" s="13" t="s">
        <v>8421</v>
      </c>
      <c r="L918" s="13" t="s">
        <v>8918</v>
      </c>
      <c r="M918" t="s">
        <v>3</v>
      </c>
    </row>
    <row r="919" spans="1:13" x14ac:dyDescent="0.25">
      <c r="A919" s="13" t="s">
        <v>2595</v>
      </c>
      <c r="B919" s="13" t="s">
        <v>2595</v>
      </c>
      <c r="C919" s="13" t="s">
        <v>2596</v>
      </c>
      <c r="D919" s="13">
        <v>16.5</v>
      </c>
      <c r="E919" s="13" t="s">
        <v>2597</v>
      </c>
      <c r="F919" s="13" t="s">
        <v>8869</v>
      </c>
      <c r="G919" s="13" t="s">
        <v>2</v>
      </c>
      <c r="H919" s="13" t="s">
        <v>3</v>
      </c>
      <c r="I919" s="13" t="s">
        <v>706</v>
      </c>
      <c r="J919" s="13" t="s">
        <v>8890</v>
      </c>
      <c r="K919" s="13" t="s">
        <v>8419</v>
      </c>
      <c r="L919" s="13" t="s">
        <v>8918</v>
      </c>
      <c r="M919" t="s">
        <v>3</v>
      </c>
    </row>
    <row r="920" spans="1:13" x14ac:dyDescent="0.25">
      <c r="A920" s="13" t="s">
        <v>2598</v>
      </c>
      <c r="B920" s="13" t="s">
        <v>2598</v>
      </c>
      <c r="C920" s="13" t="s">
        <v>2599</v>
      </c>
      <c r="D920" s="13">
        <v>19.5</v>
      </c>
      <c r="E920" s="13" t="s">
        <v>2600</v>
      </c>
      <c r="F920" s="13" t="s">
        <v>8869</v>
      </c>
      <c r="G920" s="13" t="s">
        <v>2</v>
      </c>
      <c r="H920" s="13" t="s">
        <v>3</v>
      </c>
      <c r="I920" s="13" t="s">
        <v>706</v>
      </c>
      <c r="J920" s="13" t="s">
        <v>8890</v>
      </c>
      <c r="K920" s="13" t="s">
        <v>8419</v>
      </c>
      <c r="L920" s="13" t="s">
        <v>8918</v>
      </c>
      <c r="M920" t="s">
        <v>3</v>
      </c>
    </row>
    <row r="921" spans="1:13" x14ac:dyDescent="0.25">
      <c r="A921" s="13" t="s">
        <v>2601</v>
      </c>
      <c r="B921" s="13" t="s">
        <v>2601</v>
      </c>
      <c r="C921" s="13" t="s">
        <v>2601</v>
      </c>
      <c r="D921" s="13">
        <v>5.2</v>
      </c>
      <c r="E921" s="13" t="s">
        <v>2602</v>
      </c>
      <c r="F921" s="13" t="s">
        <v>8869</v>
      </c>
      <c r="G921" s="13" t="s">
        <v>2</v>
      </c>
      <c r="H921" s="13" t="s">
        <v>3</v>
      </c>
      <c r="I921" s="13" t="s">
        <v>164</v>
      </c>
      <c r="J921" s="13" t="s">
        <v>8890</v>
      </c>
      <c r="K921" s="13" t="s">
        <v>8443</v>
      </c>
      <c r="L921" s="13" t="s">
        <v>8918</v>
      </c>
      <c r="M921" t="s">
        <v>3</v>
      </c>
    </row>
    <row r="922" spans="1:13" x14ac:dyDescent="0.25">
      <c r="A922" s="13" t="s">
        <v>2603</v>
      </c>
      <c r="B922" s="13" t="s">
        <v>2603</v>
      </c>
      <c r="C922" s="13" t="s">
        <v>2604</v>
      </c>
      <c r="D922" s="13">
        <v>26</v>
      </c>
      <c r="E922" s="13" t="s">
        <v>2604</v>
      </c>
      <c r="F922" s="13" t="s">
        <v>8869</v>
      </c>
      <c r="G922" s="13" t="s">
        <v>2</v>
      </c>
      <c r="H922" s="13" t="s">
        <v>3</v>
      </c>
      <c r="I922" s="13" t="s">
        <v>447</v>
      </c>
      <c r="J922" s="13" t="s">
        <v>8890</v>
      </c>
      <c r="K922" s="13" t="s">
        <v>8421</v>
      </c>
      <c r="L922" s="13" t="s">
        <v>8918</v>
      </c>
      <c r="M922" t="s">
        <v>3</v>
      </c>
    </row>
    <row r="923" spans="1:13" x14ac:dyDescent="0.25">
      <c r="A923" s="13" t="s">
        <v>2605</v>
      </c>
      <c r="B923" s="13" t="s">
        <v>2605</v>
      </c>
      <c r="C923" s="13" t="s">
        <v>2606</v>
      </c>
      <c r="D923" s="13">
        <v>4.5</v>
      </c>
      <c r="E923" s="13" t="s">
        <v>2606</v>
      </c>
      <c r="F923" s="13" t="s">
        <v>8869</v>
      </c>
      <c r="G923" s="13" t="s">
        <v>2</v>
      </c>
      <c r="H923" s="13" t="s">
        <v>3</v>
      </c>
      <c r="I923" s="13" t="s">
        <v>447</v>
      </c>
      <c r="J923" s="13" t="s">
        <v>8890</v>
      </c>
      <c r="K923" s="13" t="s">
        <v>8421</v>
      </c>
      <c r="L923" s="13" t="s">
        <v>8918</v>
      </c>
      <c r="M923" t="s">
        <v>3</v>
      </c>
    </row>
    <row r="924" spans="1:13" ht="26.25" x14ac:dyDescent="0.25">
      <c r="A924" s="13" t="s">
        <v>2607</v>
      </c>
      <c r="B924" s="13" t="s">
        <v>2608</v>
      </c>
      <c r="C924" s="13" t="s">
        <v>2609</v>
      </c>
      <c r="D924" s="13">
        <v>4</v>
      </c>
      <c r="E924" s="13" t="s">
        <v>2610</v>
      </c>
      <c r="F924" s="13" t="s">
        <v>8860</v>
      </c>
      <c r="G924" s="13" t="s">
        <v>19</v>
      </c>
      <c r="H924" s="13" t="s">
        <v>3</v>
      </c>
      <c r="I924" s="13" t="s">
        <v>2611</v>
      </c>
      <c r="J924" s="13" t="s">
        <v>21</v>
      </c>
      <c r="K924" s="13" t="s">
        <v>8612</v>
      </c>
      <c r="L924" s="13" t="s">
        <v>18</v>
      </c>
      <c r="M924" t="s">
        <v>3</v>
      </c>
    </row>
    <row r="925" spans="1:13" x14ac:dyDescent="0.25">
      <c r="A925" s="13" t="s">
        <v>2612</v>
      </c>
      <c r="B925" s="13" t="s">
        <v>2612</v>
      </c>
      <c r="C925" s="13" t="s">
        <v>2613</v>
      </c>
      <c r="D925" s="13">
        <v>49.5</v>
      </c>
      <c r="E925" s="13" t="s">
        <v>2614</v>
      </c>
      <c r="F925" s="13" t="s">
        <v>8869</v>
      </c>
      <c r="G925" s="13" t="s">
        <v>2</v>
      </c>
      <c r="H925" s="13" t="s">
        <v>3</v>
      </c>
      <c r="I925" s="13" t="s">
        <v>706</v>
      </c>
      <c r="J925" s="13" t="s">
        <v>8890</v>
      </c>
      <c r="K925" s="13" t="s">
        <v>8419</v>
      </c>
      <c r="L925" s="13" t="s">
        <v>8918</v>
      </c>
      <c r="M925" t="s">
        <v>3</v>
      </c>
    </row>
    <row r="926" spans="1:13" x14ac:dyDescent="0.25">
      <c r="A926" s="13" t="s">
        <v>2615</v>
      </c>
      <c r="B926" s="13" t="s">
        <v>2615</v>
      </c>
      <c r="C926" s="13" t="s">
        <v>2616</v>
      </c>
      <c r="D926" s="13">
        <v>49.9</v>
      </c>
      <c r="E926" s="13" t="s">
        <v>2617</v>
      </c>
      <c r="F926" s="13" t="s">
        <v>8869</v>
      </c>
      <c r="G926" s="13" t="s">
        <v>2</v>
      </c>
      <c r="H926" s="13" t="s">
        <v>3</v>
      </c>
      <c r="I926" s="13" t="s">
        <v>706</v>
      </c>
      <c r="J926" s="13" t="s">
        <v>8890</v>
      </c>
      <c r="K926" s="13" t="s">
        <v>8419</v>
      </c>
      <c r="L926" s="13" t="s">
        <v>8918</v>
      </c>
      <c r="M926" t="s">
        <v>3</v>
      </c>
    </row>
    <row r="927" spans="1:13" x14ac:dyDescent="0.25">
      <c r="A927" s="13" t="s">
        <v>2618</v>
      </c>
      <c r="B927" s="13" t="s">
        <v>2618</v>
      </c>
      <c r="C927" s="13" t="s">
        <v>2618</v>
      </c>
      <c r="D927" s="13">
        <v>18</v>
      </c>
      <c r="E927" s="13" t="s">
        <v>2619</v>
      </c>
      <c r="F927" s="13" t="s">
        <v>8869</v>
      </c>
      <c r="G927" s="13" t="s">
        <v>2</v>
      </c>
      <c r="H927" s="13" t="s">
        <v>9060</v>
      </c>
      <c r="I927" s="13" t="s">
        <v>706</v>
      </c>
      <c r="J927" s="13" t="s">
        <v>8890</v>
      </c>
      <c r="K927" s="13" t="s">
        <v>8419</v>
      </c>
      <c r="L927" s="13" t="s">
        <v>8918</v>
      </c>
      <c r="M927" t="s">
        <v>9060</v>
      </c>
    </row>
    <row r="928" spans="1:13" ht="26.25" x14ac:dyDescent="0.25">
      <c r="A928" s="13" t="s">
        <v>2620</v>
      </c>
      <c r="B928" s="13" t="s">
        <v>2621</v>
      </c>
      <c r="C928" s="13" t="s">
        <v>2622</v>
      </c>
      <c r="D928" s="13">
        <v>48.5</v>
      </c>
      <c r="E928" s="13" t="s">
        <v>2623</v>
      </c>
      <c r="F928" s="13" t="s">
        <v>8869</v>
      </c>
      <c r="G928" s="13" t="s">
        <v>2</v>
      </c>
      <c r="H928" s="13" t="s">
        <v>11974</v>
      </c>
      <c r="I928" s="13" t="s">
        <v>1283</v>
      </c>
      <c r="J928" s="13" t="s">
        <v>8890</v>
      </c>
      <c r="K928" s="13" t="s">
        <v>8524</v>
      </c>
      <c r="L928" s="13" t="s">
        <v>8918</v>
      </c>
      <c r="M928" t="s">
        <v>11974</v>
      </c>
    </row>
    <row r="929" spans="1:13" x14ac:dyDescent="0.25">
      <c r="A929" s="13" t="s">
        <v>2624</v>
      </c>
      <c r="B929" s="13" t="s">
        <v>2625</v>
      </c>
      <c r="C929" s="13" t="s">
        <v>2626</v>
      </c>
      <c r="D929" s="13">
        <v>25</v>
      </c>
      <c r="E929" s="13" t="s">
        <v>2627</v>
      </c>
      <c r="F929" s="13" t="s">
        <v>8869</v>
      </c>
      <c r="G929" s="13" t="s">
        <v>2</v>
      </c>
      <c r="H929" s="13" t="s">
        <v>10022</v>
      </c>
      <c r="I929" s="13" t="s">
        <v>516</v>
      </c>
      <c r="J929" s="13" t="s">
        <v>8890</v>
      </c>
      <c r="K929" s="13" t="s">
        <v>516</v>
      </c>
      <c r="L929" s="13" t="s">
        <v>8918</v>
      </c>
      <c r="M929" t="s">
        <v>10022</v>
      </c>
    </row>
    <row r="930" spans="1:13" x14ac:dyDescent="0.25">
      <c r="A930" s="13" t="s">
        <v>2628</v>
      </c>
      <c r="B930" s="13" t="s">
        <v>2628</v>
      </c>
      <c r="C930" s="13" t="s">
        <v>2629</v>
      </c>
      <c r="D930" s="13">
        <v>32.299999999999997</v>
      </c>
      <c r="E930" s="13" t="s">
        <v>2630</v>
      </c>
      <c r="F930" s="13" t="s">
        <v>8869</v>
      </c>
      <c r="G930" s="13" t="s">
        <v>2</v>
      </c>
      <c r="H930" s="13" t="s">
        <v>3</v>
      </c>
      <c r="I930" s="13" t="s">
        <v>1263</v>
      </c>
      <c r="J930" s="13" t="s">
        <v>8890</v>
      </c>
      <c r="K930" s="13" t="s">
        <v>8422</v>
      </c>
      <c r="L930" s="13" t="s">
        <v>8918</v>
      </c>
      <c r="M930" t="s">
        <v>3</v>
      </c>
    </row>
    <row r="931" spans="1:13" ht="26.25" x14ac:dyDescent="0.25">
      <c r="A931" s="13" t="s">
        <v>2631</v>
      </c>
      <c r="B931" s="13" t="s">
        <v>2631</v>
      </c>
      <c r="C931" s="13" t="s">
        <v>2632</v>
      </c>
      <c r="D931" s="13">
        <v>19.2</v>
      </c>
      <c r="E931" s="13" t="s">
        <v>2633</v>
      </c>
      <c r="F931" s="13" t="s">
        <v>8869</v>
      </c>
      <c r="G931" s="13" t="s">
        <v>2</v>
      </c>
      <c r="H931" s="13" t="s">
        <v>3</v>
      </c>
      <c r="I931" s="13" t="s">
        <v>1254</v>
      </c>
      <c r="J931" s="13" t="s">
        <v>8890</v>
      </c>
      <c r="K931" s="13" t="s">
        <v>8508</v>
      </c>
      <c r="L931" s="13" t="s">
        <v>8918</v>
      </c>
      <c r="M931" t="s">
        <v>3</v>
      </c>
    </row>
    <row r="932" spans="1:13" x14ac:dyDescent="0.25">
      <c r="A932" s="13" t="s">
        <v>2634</v>
      </c>
      <c r="B932" s="13" t="s">
        <v>2634</v>
      </c>
      <c r="C932" s="13" t="s">
        <v>2635</v>
      </c>
      <c r="D932" s="13">
        <v>30</v>
      </c>
      <c r="E932" s="13" t="s">
        <v>2635</v>
      </c>
      <c r="F932" s="13" t="s">
        <v>8869</v>
      </c>
      <c r="G932" s="13" t="s">
        <v>2</v>
      </c>
      <c r="H932" s="13" t="s">
        <v>3</v>
      </c>
      <c r="I932" s="13" t="s">
        <v>447</v>
      </c>
      <c r="J932" s="13" t="s">
        <v>8890</v>
      </c>
      <c r="K932" s="13" t="s">
        <v>8421</v>
      </c>
      <c r="L932" s="13" t="s">
        <v>8918</v>
      </c>
      <c r="M932" t="s">
        <v>3</v>
      </c>
    </row>
    <row r="933" spans="1:13" x14ac:dyDescent="0.25">
      <c r="A933" s="13" t="s">
        <v>2636</v>
      </c>
      <c r="B933" s="13" t="s">
        <v>2636</v>
      </c>
      <c r="C933" s="13" t="s">
        <v>2637</v>
      </c>
      <c r="D933" s="13">
        <v>2.1</v>
      </c>
      <c r="E933" s="13" t="s">
        <v>2637</v>
      </c>
      <c r="F933" s="13" t="s">
        <v>8869</v>
      </c>
      <c r="G933" s="13" t="s">
        <v>2</v>
      </c>
      <c r="H933" s="13" t="s">
        <v>3</v>
      </c>
      <c r="I933" s="13" t="s">
        <v>447</v>
      </c>
      <c r="J933" s="13" t="s">
        <v>8890</v>
      </c>
      <c r="K933" s="13" t="s">
        <v>8421</v>
      </c>
      <c r="L933" s="13" t="s">
        <v>8918</v>
      </c>
      <c r="M933" t="s">
        <v>3</v>
      </c>
    </row>
    <row r="934" spans="1:13" x14ac:dyDescent="0.25">
      <c r="A934" s="13" t="s">
        <v>2638</v>
      </c>
      <c r="B934" s="13" t="s">
        <v>2638</v>
      </c>
      <c r="C934" s="13" t="s">
        <v>2639</v>
      </c>
      <c r="D934" s="13">
        <v>7.6</v>
      </c>
      <c r="E934" s="13" t="s">
        <v>2640</v>
      </c>
      <c r="F934" s="13" t="s">
        <v>8869</v>
      </c>
      <c r="G934" s="13" t="s">
        <v>2</v>
      </c>
      <c r="H934" s="13" t="s">
        <v>3</v>
      </c>
      <c r="I934" s="13" t="s">
        <v>164</v>
      </c>
      <c r="J934" s="13" t="s">
        <v>8890</v>
      </c>
      <c r="K934" s="13" t="s">
        <v>8443</v>
      </c>
      <c r="L934" s="13" t="s">
        <v>8918</v>
      </c>
      <c r="M934" t="s">
        <v>3</v>
      </c>
    </row>
    <row r="935" spans="1:13" x14ac:dyDescent="0.25">
      <c r="A935" s="13" t="s">
        <v>2641</v>
      </c>
      <c r="B935" s="13" t="s">
        <v>2641</v>
      </c>
      <c r="C935" s="13" t="s">
        <v>2642</v>
      </c>
      <c r="D935" s="13">
        <v>19.8</v>
      </c>
      <c r="E935" s="13" t="s">
        <v>2643</v>
      </c>
      <c r="F935" s="13" t="s">
        <v>8869</v>
      </c>
      <c r="G935" s="13" t="s">
        <v>2</v>
      </c>
      <c r="H935" s="13" t="s">
        <v>3</v>
      </c>
      <c r="I935" s="13" t="s">
        <v>1254</v>
      </c>
      <c r="J935" s="13" t="s">
        <v>8890</v>
      </c>
      <c r="K935" s="13" t="s">
        <v>8508</v>
      </c>
      <c r="L935" s="13" t="s">
        <v>8918</v>
      </c>
      <c r="M935" t="s">
        <v>3</v>
      </c>
    </row>
    <row r="936" spans="1:13" ht="26.25" x14ac:dyDescent="0.25">
      <c r="A936" s="13" t="s">
        <v>2644</v>
      </c>
      <c r="B936" s="13" t="s">
        <v>2645</v>
      </c>
      <c r="C936" s="13" t="s">
        <v>2646</v>
      </c>
      <c r="D936" s="13">
        <v>0.5</v>
      </c>
      <c r="E936" s="13" t="s">
        <v>2647</v>
      </c>
      <c r="F936" s="13" t="s">
        <v>8860</v>
      </c>
      <c r="G936" s="13" t="s">
        <v>19</v>
      </c>
      <c r="H936" s="13" t="s">
        <v>3</v>
      </c>
      <c r="I936" s="13" t="s">
        <v>2648</v>
      </c>
      <c r="J936" s="13" t="s">
        <v>21</v>
      </c>
      <c r="K936" s="13" t="s">
        <v>8613</v>
      </c>
      <c r="L936" s="13" t="s">
        <v>18</v>
      </c>
      <c r="M936" t="s">
        <v>3</v>
      </c>
    </row>
    <row r="937" spans="1:13" x14ac:dyDescent="0.25">
      <c r="A937" s="13" t="s">
        <v>2649</v>
      </c>
      <c r="B937" s="13" t="s">
        <v>2649</v>
      </c>
      <c r="C937" s="13" t="s">
        <v>2650</v>
      </c>
      <c r="D937" s="13">
        <v>0.1</v>
      </c>
      <c r="E937" s="13" t="s">
        <v>2651</v>
      </c>
      <c r="F937" s="13" t="s">
        <v>8867</v>
      </c>
      <c r="G937" s="13" t="s">
        <v>2</v>
      </c>
      <c r="H937" s="13" t="s">
        <v>3</v>
      </c>
      <c r="I937" s="13" t="s">
        <v>2648</v>
      </c>
      <c r="J937" s="13" t="s">
        <v>8890</v>
      </c>
      <c r="K937" s="13" t="s">
        <v>8613</v>
      </c>
      <c r="L937" s="13" t="s">
        <v>158</v>
      </c>
      <c r="M937" t="s">
        <v>3</v>
      </c>
    </row>
    <row r="938" spans="1:13" ht="26.25" x14ac:dyDescent="0.25">
      <c r="A938" s="13" t="s">
        <v>2652</v>
      </c>
      <c r="B938" s="13" t="s">
        <v>2652</v>
      </c>
      <c r="C938" s="13" t="s">
        <v>2653</v>
      </c>
      <c r="D938" s="13">
        <v>3</v>
      </c>
      <c r="E938" s="13" t="s">
        <v>2654</v>
      </c>
      <c r="F938" s="13" t="s">
        <v>8860</v>
      </c>
      <c r="G938" s="13" t="s">
        <v>19</v>
      </c>
      <c r="H938" s="13" t="s">
        <v>3</v>
      </c>
      <c r="I938" s="13" t="s">
        <v>728</v>
      </c>
      <c r="J938" s="13" t="s">
        <v>21</v>
      </c>
      <c r="K938" s="13" t="s">
        <v>8419</v>
      </c>
      <c r="L938" s="13" t="s">
        <v>18</v>
      </c>
      <c r="M938" t="s">
        <v>3</v>
      </c>
    </row>
    <row r="939" spans="1:13" x14ac:dyDescent="0.25">
      <c r="A939" s="13" t="s">
        <v>2655</v>
      </c>
      <c r="B939" s="13" t="s">
        <v>2655</v>
      </c>
      <c r="C939" s="13" t="s">
        <v>2656</v>
      </c>
      <c r="D939" s="13">
        <v>16</v>
      </c>
      <c r="E939" s="13" t="s">
        <v>2657</v>
      </c>
      <c r="F939" s="13" t="s">
        <v>8869</v>
      </c>
      <c r="G939" s="13" t="s">
        <v>2</v>
      </c>
      <c r="H939" s="13" t="s">
        <v>3</v>
      </c>
      <c r="I939" s="13" t="s">
        <v>1263</v>
      </c>
      <c r="J939" s="13" t="s">
        <v>8890</v>
      </c>
      <c r="K939" s="13" t="s">
        <v>8422</v>
      </c>
      <c r="L939" s="13" t="s">
        <v>8918</v>
      </c>
      <c r="M939" t="s">
        <v>3</v>
      </c>
    </row>
    <row r="940" spans="1:13" x14ac:dyDescent="0.25">
      <c r="A940" s="13" t="s">
        <v>2658</v>
      </c>
      <c r="B940" s="13" t="s">
        <v>2658</v>
      </c>
      <c r="C940" s="13" t="s">
        <v>2659</v>
      </c>
      <c r="D940" s="13">
        <v>21</v>
      </c>
      <c r="E940" s="13" t="s">
        <v>2660</v>
      </c>
      <c r="F940" s="13" t="s">
        <v>8869</v>
      </c>
      <c r="G940" s="13" t="s">
        <v>2</v>
      </c>
      <c r="H940" s="13" t="s">
        <v>3</v>
      </c>
      <c r="I940" s="13" t="s">
        <v>1263</v>
      </c>
      <c r="J940" s="13" t="s">
        <v>8890</v>
      </c>
      <c r="K940" s="13" t="s">
        <v>8422</v>
      </c>
      <c r="L940" s="13" t="s">
        <v>8918</v>
      </c>
      <c r="M940" t="s">
        <v>3</v>
      </c>
    </row>
    <row r="941" spans="1:13" ht="26.25" x14ac:dyDescent="0.25">
      <c r="A941" s="13" t="s">
        <v>2661</v>
      </c>
      <c r="B941" s="13" t="s">
        <v>2662</v>
      </c>
      <c r="C941" s="13" t="s">
        <v>2663</v>
      </c>
      <c r="D941" s="13">
        <v>0.6</v>
      </c>
      <c r="E941" s="13" t="s">
        <v>2664</v>
      </c>
      <c r="F941" s="13" t="s">
        <v>35</v>
      </c>
      <c r="G941" s="13" t="s">
        <v>19</v>
      </c>
      <c r="H941" s="13" t="s">
        <v>3</v>
      </c>
      <c r="I941" s="13" t="s">
        <v>2665</v>
      </c>
      <c r="J941" s="13" t="s">
        <v>37</v>
      </c>
      <c r="K941" s="13" t="s">
        <v>9082</v>
      </c>
      <c r="L941" s="13" t="s">
        <v>35</v>
      </c>
      <c r="M941" t="s">
        <v>3</v>
      </c>
    </row>
    <row r="942" spans="1:13" x14ac:dyDescent="0.25">
      <c r="A942" s="13" t="s">
        <v>2666</v>
      </c>
      <c r="B942" s="13" t="s">
        <v>2667</v>
      </c>
      <c r="C942" s="13" t="s">
        <v>2668</v>
      </c>
      <c r="D942" s="13">
        <v>9</v>
      </c>
      <c r="E942" s="13" t="s">
        <v>2669</v>
      </c>
      <c r="F942" s="13" t="s">
        <v>8869</v>
      </c>
      <c r="G942" s="13" t="s">
        <v>2</v>
      </c>
      <c r="H942" s="13" t="s">
        <v>3</v>
      </c>
      <c r="I942" s="13" t="s">
        <v>1283</v>
      </c>
      <c r="J942" s="13" t="s">
        <v>8890</v>
      </c>
      <c r="K942" s="13" t="s">
        <v>8524</v>
      </c>
      <c r="L942" s="13" t="s">
        <v>8918</v>
      </c>
      <c r="M942" t="s">
        <v>3</v>
      </c>
    </row>
    <row r="943" spans="1:13" ht="26.25" x14ac:dyDescent="0.25">
      <c r="A943" s="13" t="s">
        <v>2670</v>
      </c>
      <c r="B943" s="13" t="s">
        <v>2670</v>
      </c>
      <c r="C943" s="13" t="s">
        <v>2670</v>
      </c>
      <c r="D943" s="13">
        <v>0.1</v>
      </c>
      <c r="E943" s="13" t="s">
        <v>2671</v>
      </c>
      <c r="F943" s="13" t="s">
        <v>8860</v>
      </c>
      <c r="G943" s="13" t="s">
        <v>19</v>
      </c>
      <c r="H943" s="13" t="s">
        <v>3</v>
      </c>
      <c r="I943" s="13" t="s">
        <v>2672</v>
      </c>
      <c r="J943" s="13" t="s">
        <v>21</v>
      </c>
      <c r="K943" s="13" t="s">
        <v>8614</v>
      </c>
      <c r="L943" s="13" t="s">
        <v>18</v>
      </c>
      <c r="M943" t="s">
        <v>3</v>
      </c>
    </row>
    <row r="944" spans="1:13" x14ac:dyDescent="0.25">
      <c r="A944" s="13" t="s">
        <v>2673</v>
      </c>
      <c r="B944" s="13" t="s">
        <v>2673</v>
      </c>
      <c r="C944" s="13" t="s">
        <v>2673</v>
      </c>
      <c r="D944" s="13">
        <v>2.6</v>
      </c>
      <c r="E944" s="13" t="s">
        <v>2674</v>
      </c>
      <c r="F944" s="13" t="s">
        <v>8869</v>
      </c>
      <c r="G944" s="13" t="s">
        <v>2</v>
      </c>
      <c r="H944" s="13" t="s">
        <v>3</v>
      </c>
      <c r="I944" s="13" t="s">
        <v>429</v>
      </c>
      <c r="J944" s="13" t="s">
        <v>8890</v>
      </c>
      <c r="K944" s="13" t="s">
        <v>6051</v>
      </c>
      <c r="L944" s="13" t="s">
        <v>8918</v>
      </c>
      <c r="M944" t="s">
        <v>3</v>
      </c>
    </row>
    <row r="945" spans="1:13" x14ac:dyDescent="0.25">
      <c r="A945" s="13" t="s">
        <v>2675</v>
      </c>
      <c r="B945" s="13" t="s">
        <v>2675</v>
      </c>
      <c r="C945" s="13" t="s">
        <v>9083</v>
      </c>
      <c r="D945" s="13">
        <v>0</v>
      </c>
      <c r="E945" s="13" t="s">
        <v>2676</v>
      </c>
      <c r="F945" s="13" t="s">
        <v>8869</v>
      </c>
      <c r="G945" s="13" t="s">
        <v>2</v>
      </c>
      <c r="H945" s="13" t="s">
        <v>3</v>
      </c>
      <c r="I945" s="13" t="s">
        <v>1562</v>
      </c>
      <c r="J945" s="13" t="s">
        <v>8890</v>
      </c>
      <c r="K945" s="13" t="s">
        <v>8423</v>
      </c>
      <c r="L945" s="13" t="s">
        <v>8918</v>
      </c>
      <c r="M945" t="s">
        <v>3</v>
      </c>
    </row>
    <row r="946" spans="1:13" x14ac:dyDescent="0.25">
      <c r="A946" s="13" t="s">
        <v>2677</v>
      </c>
      <c r="B946" s="13" t="s">
        <v>2677</v>
      </c>
      <c r="C946" s="13" t="s">
        <v>2678</v>
      </c>
      <c r="D946" s="13">
        <v>0.2</v>
      </c>
      <c r="E946" s="13" t="s">
        <v>2679</v>
      </c>
      <c r="F946" s="13" t="s">
        <v>8869</v>
      </c>
      <c r="G946" s="13" t="s">
        <v>2</v>
      </c>
      <c r="H946" s="13" t="s">
        <v>3</v>
      </c>
      <c r="I946" s="13" t="s">
        <v>159</v>
      </c>
      <c r="J946" s="13" t="s">
        <v>8890</v>
      </c>
      <c r="K946" s="13" t="s">
        <v>8442</v>
      </c>
      <c r="L946" s="13" t="s">
        <v>8918</v>
      </c>
      <c r="M946" t="s">
        <v>3</v>
      </c>
    </row>
    <row r="947" spans="1:13" x14ac:dyDescent="0.25">
      <c r="A947" s="13" t="s">
        <v>2680</v>
      </c>
      <c r="B947" s="13" t="s">
        <v>2680</v>
      </c>
      <c r="C947" s="13" t="s">
        <v>9084</v>
      </c>
      <c r="D947" s="13">
        <v>1.5</v>
      </c>
      <c r="E947" s="13" t="s">
        <v>2681</v>
      </c>
      <c r="F947" s="13" t="s">
        <v>8869</v>
      </c>
      <c r="G947" s="13" t="s">
        <v>2</v>
      </c>
      <c r="H947" s="13" t="s">
        <v>3</v>
      </c>
      <c r="I947" s="13" t="s">
        <v>447</v>
      </c>
      <c r="J947" s="13" t="s">
        <v>8890</v>
      </c>
      <c r="K947" s="13" t="s">
        <v>8421</v>
      </c>
      <c r="L947" s="13" t="s">
        <v>8918</v>
      </c>
      <c r="M947" t="s">
        <v>3</v>
      </c>
    </row>
    <row r="948" spans="1:13" x14ac:dyDescent="0.25">
      <c r="A948" s="13" t="s">
        <v>2682</v>
      </c>
      <c r="B948" s="13" t="s">
        <v>2682</v>
      </c>
      <c r="C948" s="13" t="s">
        <v>9085</v>
      </c>
      <c r="D948" s="13">
        <v>0</v>
      </c>
      <c r="E948" s="13" t="s">
        <v>2683</v>
      </c>
      <c r="F948" s="13" t="s">
        <v>8869</v>
      </c>
      <c r="G948" s="13" t="s">
        <v>2</v>
      </c>
      <c r="H948" s="13" t="s">
        <v>3</v>
      </c>
      <c r="I948" s="13" t="s">
        <v>2280</v>
      </c>
      <c r="J948" s="13" t="s">
        <v>8890</v>
      </c>
      <c r="K948" s="13" t="s">
        <v>8596</v>
      </c>
      <c r="L948" s="13" t="s">
        <v>8918</v>
      </c>
      <c r="M948" t="s">
        <v>3</v>
      </c>
    </row>
    <row r="949" spans="1:13" x14ac:dyDescent="0.25">
      <c r="A949" s="13" t="s">
        <v>2684</v>
      </c>
      <c r="B949" s="13" t="s">
        <v>2684</v>
      </c>
      <c r="C949" s="13" t="s">
        <v>2684</v>
      </c>
      <c r="D949" s="13">
        <v>0.7</v>
      </c>
      <c r="E949" s="13" t="s">
        <v>2685</v>
      </c>
      <c r="F949" s="13" t="s">
        <v>8869</v>
      </c>
      <c r="G949" s="13" t="s">
        <v>2</v>
      </c>
      <c r="H949" s="13" t="s">
        <v>3</v>
      </c>
      <c r="I949" s="13" t="s">
        <v>1978</v>
      </c>
      <c r="J949" s="13" t="s">
        <v>8890</v>
      </c>
      <c r="K949" s="13" t="s">
        <v>8570</v>
      </c>
      <c r="L949" s="13" t="s">
        <v>8918</v>
      </c>
      <c r="M949" t="s">
        <v>3</v>
      </c>
    </row>
    <row r="950" spans="1:13" ht="26.25" x14ac:dyDescent="0.25">
      <c r="A950" s="13" t="s">
        <v>2686</v>
      </c>
      <c r="B950" s="13" t="s">
        <v>2686</v>
      </c>
      <c r="C950" s="13" t="s">
        <v>9086</v>
      </c>
      <c r="D950" s="13">
        <v>1.7</v>
      </c>
      <c r="E950" s="13" t="s">
        <v>2687</v>
      </c>
      <c r="F950" s="13" t="s">
        <v>8869</v>
      </c>
      <c r="G950" s="13" t="s">
        <v>2</v>
      </c>
      <c r="H950" s="13" t="s">
        <v>3</v>
      </c>
      <c r="I950" s="13" t="s">
        <v>2688</v>
      </c>
      <c r="J950" s="13" t="s">
        <v>8890</v>
      </c>
      <c r="K950" s="13" t="s">
        <v>8430</v>
      </c>
      <c r="L950" s="13" t="s">
        <v>8918</v>
      </c>
      <c r="M950" t="s">
        <v>3</v>
      </c>
    </row>
    <row r="951" spans="1:13" ht="26.25" x14ac:dyDescent="0.25">
      <c r="A951" s="13" t="s">
        <v>2689</v>
      </c>
      <c r="B951" s="13" t="s">
        <v>2689</v>
      </c>
      <c r="C951" s="13" t="s">
        <v>9087</v>
      </c>
      <c r="D951" s="13">
        <v>0</v>
      </c>
      <c r="E951" s="13" t="s">
        <v>2690</v>
      </c>
      <c r="F951" s="13" t="s">
        <v>8869</v>
      </c>
      <c r="G951" s="13" t="s">
        <v>2</v>
      </c>
      <c r="H951" s="13" t="s">
        <v>3</v>
      </c>
      <c r="I951" s="13" t="s">
        <v>2349</v>
      </c>
      <c r="J951" s="13" t="s">
        <v>8890</v>
      </c>
      <c r="K951" s="13" t="s">
        <v>8599</v>
      </c>
      <c r="L951" s="13" t="s">
        <v>8918</v>
      </c>
      <c r="M951" t="s">
        <v>3</v>
      </c>
    </row>
    <row r="952" spans="1:13" ht="26.25" x14ac:dyDescent="0.25">
      <c r="A952" s="13" t="s">
        <v>2691</v>
      </c>
      <c r="B952" s="13" t="s">
        <v>2691</v>
      </c>
      <c r="C952" s="13" t="s">
        <v>9088</v>
      </c>
      <c r="D952" s="13">
        <v>64.400000000000006</v>
      </c>
      <c r="E952" s="13" t="s">
        <v>2692</v>
      </c>
      <c r="F952" s="13" t="s">
        <v>8869</v>
      </c>
      <c r="G952" s="13" t="s">
        <v>2</v>
      </c>
      <c r="H952" s="13" t="s">
        <v>3</v>
      </c>
      <c r="I952" s="13" t="s">
        <v>2356</v>
      </c>
      <c r="J952" s="13" t="s">
        <v>8890</v>
      </c>
      <c r="K952" s="13" t="s">
        <v>8429</v>
      </c>
      <c r="L952" s="13" t="s">
        <v>8918</v>
      </c>
      <c r="M952" t="s">
        <v>3</v>
      </c>
    </row>
    <row r="953" spans="1:13" x14ac:dyDescent="0.25">
      <c r="A953" s="13" t="s">
        <v>2693</v>
      </c>
      <c r="B953" s="13" t="s">
        <v>2693</v>
      </c>
      <c r="C953" s="13" t="s">
        <v>2694</v>
      </c>
      <c r="D953" s="13">
        <v>1</v>
      </c>
      <c r="E953" s="13" t="s">
        <v>2695</v>
      </c>
      <c r="F953" s="13" t="s">
        <v>8869</v>
      </c>
      <c r="G953" s="13" t="s">
        <v>2</v>
      </c>
      <c r="H953" s="13" t="s">
        <v>3</v>
      </c>
      <c r="I953" s="13" t="s">
        <v>1263</v>
      </c>
      <c r="J953" s="13" t="s">
        <v>8890</v>
      </c>
      <c r="K953" s="13" t="s">
        <v>8422</v>
      </c>
      <c r="L953" s="13" t="s">
        <v>8918</v>
      </c>
      <c r="M953" t="s">
        <v>3</v>
      </c>
    </row>
    <row r="954" spans="1:13" x14ac:dyDescent="0.25">
      <c r="A954" s="13" t="s">
        <v>2696</v>
      </c>
      <c r="B954" s="13" t="s">
        <v>2697</v>
      </c>
      <c r="C954" s="13" t="s">
        <v>2698</v>
      </c>
      <c r="D954" s="13">
        <v>2.7</v>
      </c>
      <c r="E954" s="13" t="s">
        <v>2699</v>
      </c>
      <c r="F954" s="13" t="s">
        <v>8869</v>
      </c>
      <c r="G954" s="13" t="s">
        <v>2</v>
      </c>
      <c r="H954" s="13" t="s">
        <v>3</v>
      </c>
      <c r="I954" s="13" t="s">
        <v>1978</v>
      </c>
      <c r="J954" s="13" t="s">
        <v>8890</v>
      </c>
      <c r="K954" s="13" t="s">
        <v>8570</v>
      </c>
      <c r="L954" s="13" t="s">
        <v>8918</v>
      </c>
      <c r="M954" t="s">
        <v>3</v>
      </c>
    </row>
    <row r="955" spans="1:13" ht="26.25" x14ac:dyDescent="0.25">
      <c r="A955" s="13" t="s">
        <v>2700</v>
      </c>
      <c r="B955" s="13" t="s">
        <v>2701</v>
      </c>
      <c r="C955" s="13" t="s">
        <v>2702</v>
      </c>
      <c r="D955" s="13">
        <v>0</v>
      </c>
      <c r="E955" s="13" t="s">
        <v>2703</v>
      </c>
      <c r="F955" s="13" t="s">
        <v>8860</v>
      </c>
      <c r="G955" s="13" t="s">
        <v>19</v>
      </c>
      <c r="H955" s="13" t="s">
        <v>3</v>
      </c>
      <c r="I955" s="13" t="s">
        <v>2453</v>
      </c>
      <c r="J955" s="13" t="s">
        <v>21</v>
      </c>
      <c r="K955" s="13" t="s">
        <v>8603</v>
      </c>
      <c r="L955" s="13" t="s">
        <v>18</v>
      </c>
      <c r="M955" t="s">
        <v>3</v>
      </c>
    </row>
    <row r="956" spans="1:13" ht="26.25" x14ac:dyDescent="0.25">
      <c r="A956" s="13" t="s">
        <v>2704</v>
      </c>
      <c r="B956" s="13" t="s">
        <v>2705</v>
      </c>
      <c r="C956" s="13" t="s">
        <v>2706</v>
      </c>
      <c r="D956" s="13">
        <v>1.4</v>
      </c>
      <c r="E956" s="13" t="s">
        <v>2707</v>
      </c>
      <c r="F956" s="13" t="s">
        <v>8867</v>
      </c>
      <c r="G956" s="13" t="s">
        <v>2</v>
      </c>
      <c r="H956" s="13" t="s">
        <v>3</v>
      </c>
      <c r="I956" s="13" t="s">
        <v>2453</v>
      </c>
      <c r="J956" s="13" t="s">
        <v>8890</v>
      </c>
      <c r="K956" s="13" t="s">
        <v>8603</v>
      </c>
      <c r="L956" s="13" t="s">
        <v>158</v>
      </c>
      <c r="M956" t="s">
        <v>3</v>
      </c>
    </row>
    <row r="957" spans="1:13" x14ac:dyDescent="0.25">
      <c r="A957" s="13" t="s">
        <v>2708</v>
      </c>
      <c r="B957" s="13" t="s">
        <v>2708</v>
      </c>
      <c r="C957" s="13" t="s">
        <v>2709</v>
      </c>
      <c r="D957" s="13">
        <v>0.4</v>
      </c>
      <c r="E957" s="13" t="s">
        <v>2710</v>
      </c>
      <c r="F957" s="13" t="s">
        <v>8869</v>
      </c>
      <c r="G957" s="13" t="s">
        <v>2</v>
      </c>
      <c r="H957" s="13" t="s">
        <v>3</v>
      </c>
      <c r="I957" s="13" t="s">
        <v>809</v>
      </c>
      <c r="J957" s="13" t="s">
        <v>8890</v>
      </c>
      <c r="K957" s="13" t="s">
        <v>8512</v>
      </c>
      <c r="L957" s="13" t="s">
        <v>8918</v>
      </c>
      <c r="M957" t="s">
        <v>3</v>
      </c>
    </row>
    <row r="958" spans="1:13" x14ac:dyDescent="0.25">
      <c r="A958" s="13" t="s">
        <v>2711</v>
      </c>
      <c r="B958" s="13" t="s">
        <v>2711</v>
      </c>
      <c r="C958" s="13" t="s">
        <v>2712</v>
      </c>
      <c r="D958" s="13">
        <v>1.5</v>
      </c>
      <c r="E958" s="13" t="s">
        <v>2713</v>
      </c>
      <c r="F958" s="13" t="s">
        <v>8869</v>
      </c>
      <c r="G958" s="13" t="s">
        <v>2</v>
      </c>
      <c r="H958" s="13" t="s">
        <v>3</v>
      </c>
      <c r="I958" s="13" t="s">
        <v>447</v>
      </c>
      <c r="J958" s="13" t="s">
        <v>8890</v>
      </c>
      <c r="K958" s="13" t="s">
        <v>8421</v>
      </c>
      <c r="L958" s="13" t="s">
        <v>8918</v>
      </c>
      <c r="M958" t="s">
        <v>3</v>
      </c>
    </row>
    <row r="959" spans="1:13" ht="26.25" x14ac:dyDescent="0.25">
      <c r="A959" s="13" t="s">
        <v>2714</v>
      </c>
      <c r="B959" s="13" t="s">
        <v>2714</v>
      </c>
      <c r="C959" s="13" t="s">
        <v>2714</v>
      </c>
      <c r="D959" s="13">
        <v>1</v>
      </c>
      <c r="E959" s="13" t="s">
        <v>2715</v>
      </c>
      <c r="F959" s="13" t="s">
        <v>8860</v>
      </c>
      <c r="G959" s="13" t="s">
        <v>19</v>
      </c>
      <c r="H959" s="13" t="s">
        <v>3</v>
      </c>
      <c r="I959" s="13" t="s">
        <v>2716</v>
      </c>
      <c r="J959" s="13" t="s">
        <v>21</v>
      </c>
      <c r="K959" s="13" t="s">
        <v>8615</v>
      </c>
      <c r="L959" s="13" t="s">
        <v>18</v>
      </c>
      <c r="M959" t="s">
        <v>3</v>
      </c>
    </row>
    <row r="960" spans="1:13" x14ac:dyDescent="0.25">
      <c r="A960" s="13" t="s">
        <v>2717</v>
      </c>
      <c r="B960" s="13" t="s">
        <v>2717</v>
      </c>
      <c r="C960" s="13" t="s">
        <v>2718</v>
      </c>
      <c r="D960" s="13">
        <v>14</v>
      </c>
      <c r="E960" s="13" t="s">
        <v>2719</v>
      </c>
      <c r="F960" s="13" t="s">
        <v>8867</v>
      </c>
      <c r="G960" s="13" t="s">
        <v>2</v>
      </c>
      <c r="H960" s="13" t="s">
        <v>3</v>
      </c>
      <c r="I960" s="13" t="s">
        <v>706</v>
      </c>
      <c r="J960" s="13" t="s">
        <v>8890</v>
      </c>
      <c r="K960" s="13" t="s">
        <v>8419</v>
      </c>
      <c r="L960" s="13" t="s">
        <v>158</v>
      </c>
      <c r="M960" t="s">
        <v>3</v>
      </c>
    </row>
    <row r="961" spans="1:13" x14ac:dyDescent="0.25">
      <c r="A961" s="13" t="s">
        <v>2720</v>
      </c>
      <c r="B961" s="13" t="s">
        <v>2720</v>
      </c>
      <c r="C961" s="13" t="s">
        <v>2721</v>
      </c>
      <c r="D961" s="13">
        <v>1.7</v>
      </c>
      <c r="E961" s="13" t="s">
        <v>2722</v>
      </c>
      <c r="F961" s="13" t="s">
        <v>8867</v>
      </c>
      <c r="G961" s="13" t="s">
        <v>2</v>
      </c>
      <c r="H961" s="13" t="s">
        <v>3</v>
      </c>
      <c r="I961" s="13" t="s">
        <v>1205</v>
      </c>
      <c r="J961" s="13" t="s">
        <v>8890</v>
      </c>
      <c r="K961" s="13" t="s">
        <v>8536</v>
      </c>
      <c r="L961" s="13" t="s">
        <v>158</v>
      </c>
      <c r="M961" t="s">
        <v>3</v>
      </c>
    </row>
    <row r="962" spans="1:13" x14ac:dyDescent="0.25">
      <c r="A962" s="13" t="s">
        <v>2723</v>
      </c>
      <c r="B962" s="13" t="s">
        <v>2723</v>
      </c>
      <c r="C962" s="13" t="s">
        <v>2724</v>
      </c>
      <c r="D962" s="13">
        <v>10.6</v>
      </c>
      <c r="E962" s="13" t="s">
        <v>2725</v>
      </c>
      <c r="F962" s="13" t="s">
        <v>8867</v>
      </c>
      <c r="G962" s="13" t="s">
        <v>2</v>
      </c>
      <c r="H962" s="13" t="s">
        <v>3</v>
      </c>
      <c r="I962" s="13" t="s">
        <v>1263</v>
      </c>
      <c r="J962" s="13" t="s">
        <v>8890</v>
      </c>
      <c r="K962" s="13" t="s">
        <v>8422</v>
      </c>
      <c r="L962" s="13" t="s">
        <v>158</v>
      </c>
      <c r="M962" t="s">
        <v>3</v>
      </c>
    </row>
    <row r="963" spans="1:13" x14ac:dyDescent="0.25">
      <c r="A963" s="13" t="s">
        <v>11203</v>
      </c>
      <c r="B963" s="13" t="s">
        <v>11203</v>
      </c>
      <c r="C963" s="13" t="s">
        <v>11204</v>
      </c>
      <c r="D963" s="13">
        <v>1.5</v>
      </c>
      <c r="E963" s="13" t="s">
        <v>11205</v>
      </c>
      <c r="F963" s="13" t="s">
        <v>8867</v>
      </c>
      <c r="G963" s="13" t="s">
        <v>2</v>
      </c>
      <c r="H963" s="13" t="s">
        <v>3</v>
      </c>
      <c r="I963" s="13" t="s">
        <v>1263</v>
      </c>
      <c r="J963" s="13" t="s">
        <v>8890</v>
      </c>
      <c r="K963" s="13" t="s">
        <v>8422</v>
      </c>
      <c r="L963" s="13" t="s">
        <v>158</v>
      </c>
      <c r="M963" t="s">
        <v>3</v>
      </c>
    </row>
    <row r="964" spans="1:13" x14ac:dyDescent="0.25">
      <c r="A964" s="13" t="s">
        <v>2726</v>
      </c>
      <c r="B964" s="13" t="s">
        <v>2726</v>
      </c>
      <c r="C964" s="13" t="s">
        <v>2727</v>
      </c>
      <c r="D964" s="13">
        <v>5</v>
      </c>
      <c r="E964" s="13" t="s">
        <v>2728</v>
      </c>
      <c r="F964" s="13" t="s">
        <v>8867</v>
      </c>
      <c r="G964" s="13" t="s">
        <v>2</v>
      </c>
      <c r="H964" s="13" t="s">
        <v>3</v>
      </c>
      <c r="I964" s="13" t="s">
        <v>1263</v>
      </c>
      <c r="J964" s="13" t="s">
        <v>8890</v>
      </c>
      <c r="K964" s="13" t="s">
        <v>8422</v>
      </c>
      <c r="L964" s="13" t="s">
        <v>158</v>
      </c>
      <c r="M964" t="s">
        <v>3</v>
      </c>
    </row>
    <row r="965" spans="1:13" x14ac:dyDescent="0.25">
      <c r="A965" s="13" t="s">
        <v>2729</v>
      </c>
      <c r="B965" s="13" t="s">
        <v>2730</v>
      </c>
      <c r="C965" s="13" t="s">
        <v>2731</v>
      </c>
      <c r="D965" s="13">
        <v>14</v>
      </c>
      <c r="E965" s="13" t="s">
        <v>2732</v>
      </c>
      <c r="F965" s="13" t="s">
        <v>8867</v>
      </c>
      <c r="G965" s="13" t="s">
        <v>2</v>
      </c>
      <c r="H965" s="13" t="s">
        <v>3</v>
      </c>
      <c r="I965" s="13" t="s">
        <v>1263</v>
      </c>
      <c r="J965" s="13" t="s">
        <v>8890</v>
      </c>
      <c r="K965" s="13" t="s">
        <v>8422</v>
      </c>
      <c r="L965" s="13" t="s">
        <v>158</v>
      </c>
      <c r="M965" t="s">
        <v>3</v>
      </c>
    </row>
    <row r="966" spans="1:13" x14ac:dyDescent="0.25">
      <c r="A966" s="13" t="s">
        <v>2733</v>
      </c>
      <c r="B966" s="13" t="s">
        <v>2733</v>
      </c>
      <c r="C966" s="13" t="s">
        <v>2734</v>
      </c>
      <c r="D966" s="13">
        <v>1.9</v>
      </c>
      <c r="E966" s="13" t="s">
        <v>2735</v>
      </c>
      <c r="F966" s="13" t="s">
        <v>8867</v>
      </c>
      <c r="G966" s="13" t="s">
        <v>2</v>
      </c>
      <c r="H966" s="13" t="s">
        <v>3</v>
      </c>
      <c r="I966" s="13" t="s">
        <v>2736</v>
      </c>
      <c r="J966" s="13" t="s">
        <v>8890</v>
      </c>
      <c r="K966" s="13" t="s">
        <v>8616</v>
      </c>
      <c r="L966" s="13" t="s">
        <v>158</v>
      </c>
      <c r="M966" t="s">
        <v>3</v>
      </c>
    </row>
    <row r="967" spans="1:13" x14ac:dyDescent="0.25">
      <c r="A967" s="13" t="s">
        <v>2737</v>
      </c>
      <c r="B967" s="13" t="s">
        <v>2738</v>
      </c>
      <c r="C967" s="13" t="s">
        <v>2739</v>
      </c>
      <c r="D967" s="13">
        <v>40</v>
      </c>
      <c r="E967" s="13" t="s">
        <v>2740</v>
      </c>
      <c r="F967" s="13" t="s">
        <v>8867</v>
      </c>
      <c r="G967" s="13" t="s">
        <v>2</v>
      </c>
      <c r="H967" s="13" t="s">
        <v>3</v>
      </c>
      <c r="I967" s="13" t="s">
        <v>228</v>
      </c>
      <c r="J967" s="13" t="s">
        <v>8890</v>
      </c>
      <c r="K967" s="13" t="s">
        <v>8418</v>
      </c>
      <c r="L967" s="13" t="s">
        <v>158</v>
      </c>
      <c r="M967" t="s">
        <v>3</v>
      </c>
    </row>
    <row r="968" spans="1:13" ht="26.25" x14ac:dyDescent="0.25">
      <c r="A968" s="13" t="s">
        <v>2741</v>
      </c>
      <c r="B968" s="13" t="s">
        <v>2741</v>
      </c>
      <c r="C968" s="13" t="s">
        <v>2742</v>
      </c>
      <c r="D968" s="13">
        <v>1.8</v>
      </c>
      <c r="E968" s="13" t="s">
        <v>2743</v>
      </c>
      <c r="F968" s="13" t="s">
        <v>8867</v>
      </c>
      <c r="G968" s="13" t="s">
        <v>2</v>
      </c>
      <c r="H968" s="13" t="s">
        <v>3</v>
      </c>
      <c r="I968" s="13" t="s">
        <v>1263</v>
      </c>
      <c r="J968" s="13" t="s">
        <v>8890</v>
      </c>
      <c r="K968" s="13" t="s">
        <v>8422</v>
      </c>
      <c r="L968" s="13" t="s">
        <v>158</v>
      </c>
      <c r="M968" t="s">
        <v>3</v>
      </c>
    </row>
    <row r="969" spans="1:13" ht="26.25" x14ac:dyDescent="0.25">
      <c r="A969" s="13" t="s">
        <v>2744</v>
      </c>
      <c r="B969" s="13" t="s">
        <v>2744</v>
      </c>
      <c r="C969" s="13" t="s">
        <v>2745</v>
      </c>
      <c r="D969" s="13">
        <v>1.8</v>
      </c>
      <c r="E969" s="13" t="s">
        <v>2746</v>
      </c>
      <c r="F969" s="13" t="s">
        <v>8867</v>
      </c>
      <c r="G969" s="13" t="s">
        <v>2</v>
      </c>
      <c r="H969" s="13" t="s">
        <v>3</v>
      </c>
      <c r="I969" s="13" t="s">
        <v>1263</v>
      </c>
      <c r="J969" s="13" t="s">
        <v>8890</v>
      </c>
      <c r="K969" s="13" t="s">
        <v>8422</v>
      </c>
      <c r="L969" s="13" t="s">
        <v>158</v>
      </c>
      <c r="M969" t="s">
        <v>3</v>
      </c>
    </row>
    <row r="970" spans="1:13" ht="26.25" x14ac:dyDescent="0.25">
      <c r="A970" s="13" t="s">
        <v>2747</v>
      </c>
      <c r="B970" s="13" t="s">
        <v>2747</v>
      </c>
      <c r="C970" s="13" t="s">
        <v>2748</v>
      </c>
      <c r="D970" s="13">
        <v>1.7</v>
      </c>
      <c r="E970" s="13" t="s">
        <v>2749</v>
      </c>
      <c r="F970" s="13" t="s">
        <v>8867</v>
      </c>
      <c r="G970" s="13" t="s">
        <v>2</v>
      </c>
      <c r="H970" s="13" t="s">
        <v>3</v>
      </c>
      <c r="I970" s="13" t="s">
        <v>1263</v>
      </c>
      <c r="J970" s="13" t="s">
        <v>8890</v>
      </c>
      <c r="K970" s="13" t="s">
        <v>8422</v>
      </c>
      <c r="L970" s="13" t="s">
        <v>158</v>
      </c>
      <c r="M970" t="s">
        <v>3</v>
      </c>
    </row>
    <row r="971" spans="1:13" ht="26.25" x14ac:dyDescent="0.25">
      <c r="A971" s="13" t="s">
        <v>2750</v>
      </c>
      <c r="B971" s="13" t="s">
        <v>2750</v>
      </c>
      <c r="C971" s="13" t="s">
        <v>2751</v>
      </c>
      <c r="D971" s="13">
        <v>1</v>
      </c>
      <c r="E971" s="13" t="s">
        <v>2752</v>
      </c>
      <c r="F971" s="13" t="s">
        <v>8867</v>
      </c>
      <c r="G971" s="13" t="s">
        <v>2</v>
      </c>
      <c r="H971" s="13" t="s">
        <v>3</v>
      </c>
      <c r="I971" s="13" t="s">
        <v>1263</v>
      </c>
      <c r="J971" s="13" t="s">
        <v>8890</v>
      </c>
      <c r="K971" s="13" t="s">
        <v>8422</v>
      </c>
      <c r="L971" s="13" t="s">
        <v>158</v>
      </c>
      <c r="M971" t="s">
        <v>3</v>
      </c>
    </row>
    <row r="972" spans="1:13" x14ac:dyDescent="0.25">
      <c r="A972" s="13" t="s">
        <v>2753</v>
      </c>
      <c r="B972" s="13" t="s">
        <v>2753</v>
      </c>
      <c r="C972" s="13" t="s">
        <v>2754</v>
      </c>
      <c r="D972" s="13">
        <v>1.5</v>
      </c>
      <c r="E972" s="13" t="s">
        <v>2755</v>
      </c>
      <c r="F972" s="13" t="s">
        <v>8867</v>
      </c>
      <c r="G972" s="13" t="s">
        <v>2</v>
      </c>
      <c r="H972" s="13" t="s">
        <v>3</v>
      </c>
      <c r="I972" s="13" t="s">
        <v>1263</v>
      </c>
      <c r="J972" s="13" t="s">
        <v>8890</v>
      </c>
      <c r="K972" s="13" t="s">
        <v>8422</v>
      </c>
      <c r="L972" s="13" t="s">
        <v>158</v>
      </c>
      <c r="M972" t="s">
        <v>3</v>
      </c>
    </row>
    <row r="973" spans="1:13" x14ac:dyDescent="0.25">
      <c r="A973" s="13" t="s">
        <v>9089</v>
      </c>
      <c r="B973" s="13" t="s">
        <v>9089</v>
      </c>
      <c r="C973" s="13" t="s">
        <v>9090</v>
      </c>
      <c r="D973" s="13">
        <v>2</v>
      </c>
      <c r="E973" s="13" t="s">
        <v>9091</v>
      </c>
      <c r="F973" s="13" t="s">
        <v>8867</v>
      </c>
      <c r="G973" s="13" t="s">
        <v>2</v>
      </c>
      <c r="H973" s="13" t="s">
        <v>3</v>
      </c>
      <c r="I973" s="13" t="s">
        <v>1263</v>
      </c>
      <c r="J973" s="13" t="s">
        <v>8890</v>
      </c>
      <c r="K973" s="13" t="s">
        <v>8422</v>
      </c>
      <c r="L973" s="13" t="s">
        <v>158</v>
      </c>
      <c r="M973" t="s">
        <v>3</v>
      </c>
    </row>
    <row r="974" spans="1:13" x14ac:dyDescent="0.25">
      <c r="A974" s="13" t="s">
        <v>9092</v>
      </c>
      <c r="B974" s="13" t="s">
        <v>9092</v>
      </c>
      <c r="C974" s="13" t="s">
        <v>9093</v>
      </c>
      <c r="D974" s="13">
        <v>2</v>
      </c>
      <c r="E974" s="13" t="s">
        <v>9094</v>
      </c>
      <c r="F974" s="13" t="s">
        <v>8867</v>
      </c>
      <c r="G974" s="13" t="s">
        <v>2</v>
      </c>
      <c r="H974" s="13" t="s">
        <v>3</v>
      </c>
      <c r="I974" s="13" t="s">
        <v>1263</v>
      </c>
      <c r="J974" s="13" t="s">
        <v>8890</v>
      </c>
      <c r="K974" s="13" t="s">
        <v>8422</v>
      </c>
      <c r="L974" s="13" t="s">
        <v>158</v>
      </c>
      <c r="M974" t="s">
        <v>3</v>
      </c>
    </row>
    <row r="975" spans="1:13" ht="26.25" x14ac:dyDescent="0.25">
      <c r="A975" s="13" t="s">
        <v>2756</v>
      </c>
      <c r="B975" s="13" t="s">
        <v>2756</v>
      </c>
      <c r="C975" s="13" t="s">
        <v>2756</v>
      </c>
      <c r="D975" s="13">
        <v>8</v>
      </c>
      <c r="E975" s="13" t="s">
        <v>2757</v>
      </c>
      <c r="F975" s="13" t="s">
        <v>8867</v>
      </c>
      <c r="G975" s="13" t="s">
        <v>2</v>
      </c>
      <c r="H975" s="13" t="s">
        <v>3</v>
      </c>
      <c r="I975" s="13" t="s">
        <v>228</v>
      </c>
      <c r="J975" s="13" t="s">
        <v>8890</v>
      </c>
      <c r="K975" s="13" t="s">
        <v>8418</v>
      </c>
      <c r="L975" s="13" t="s">
        <v>158</v>
      </c>
      <c r="M975" t="s">
        <v>3</v>
      </c>
    </row>
    <row r="976" spans="1:13" ht="26.25" x14ac:dyDescent="0.25">
      <c r="A976" s="13" t="s">
        <v>2758</v>
      </c>
      <c r="B976" s="13" t="s">
        <v>2758</v>
      </c>
      <c r="C976" s="13" t="s">
        <v>2759</v>
      </c>
      <c r="D976" s="13">
        <v>2.4</v>
      </c>
      <c r="E976" s="13" t="s">
        <v>2760</v>
      </c>
      <c r="F976" s="13" t="s">
        <v>8867</v>
      </c>
      <c r="G976" s="13" t="s">
        <v>2</v>
      </c>
      <c r="H976" s="13" t="s">
        <v>3</v>
      </c>
      <c r="I976" s="13" t="s">
        <v>1263</v>
      </c>
      <c r="J976" s="13" t="s">
        <v>8890</v>
      </c>
      <c r="K976" s="13" t="s">
        <v>8422</v>
      </c>
      <c r="L976" s="13" t="s">
        <v>158</v>
      </c>
      <c r="M976" t="s">
        <v>3</v>
      </c>
    </row>
    <row r="977" spans="1:13" x14ac:dyDescent="0.25">
      <c r="A977" s="13" t="s">
        <v>2761</v>
      </c>
      <c r="B977" s="13" t="s">
        <v>2761</v>
      </c>
      <c r="C977" s="13" t="s">
        <v>2762</v>
      </c>
      <c r="D977" s="13">
        <v>43.7</v>
      </c>
      <c r="E977" s="13" t="s">
        <v>2763</v>
      </c>
      <c r="F977" s="13" t="s">
        <v>8867</v>
      </c>
      <c r="G977" s="13" t="s">
        <v>2</v>
      </c>
      <c r="H977" s="13" t="s">
        <v>8422</v>
      </c>
      <c r="I977" s="13" t="s">
        <v>1263</v>
      </c>
      <c r="J977" s="13" t="s">
        <v>8890</v>
      </c>
      <c r="K977" s="13" t="s">
        <v>8422</v>
      </c>
      <c r="L977" s="13" t="s">
        <v>158</v>
      </c>
      <c r="M977" t="s">
        <v>10689</v>
      </c>
    </row>
    <row r="978" spans="1:13" x14ac:dyDescent="0.25">
      <c r="A978" s="13" t="s">
        <v>11206</v>
      </c>
      <c r="B978" s="13" t="s">
        <v>11206</v>
      </c>
      <c r="C978" s="13" t="s">
        <v>11207</v>
      </c>
      <c r="D978" s="13">
        <v>2.2000000000000002</v>
      </c>
      <c r="E978" s="13" t="s">
        <v>11208</v>
      </c>
      <c r="F978" s="13" t="s">
        <v>8867</v>
      </c>
      <c r="G978" s="13" t="s">
        <v>2</v>
      </c>
      <c r="H978" s="13" t="s">
        <v>3</v>
      </c>
      <c r="I978" s="13" t="s">
        <v>1263</v>
      </c>
      <c r="J978" s="13" t="s">
        <v>8890</v>
      </c>
      <c r="K978" s="13" t="s">
        <v>8422</v>
      </c>
      <c r="L978" s="13" t="s">
        <v>158</v>
      </c>
      <c r="M978" t="s">
        <v>3</v>
      </c>
    </row>
    <row r="979" spans="1:13" x14ac:dyDescent="0.25">
      <c r="A979" s="13" t="s">
        <v>9870</v>
      </c>
      <c r="B979" s="13" t="s">
        <v>9870</v>
      </c>
      <c r="C979" s="13" t="s">
        <v>9871</v>
      </c>
      <c r="D979" s="13">
        <v>1.9</v>
      </c>
      <c r="E979" s="13" t="s">
        <v>9872</v>
      </c>
      <c r="F979" s="13" t="s">
        <v>8867</v>
      </c>
      <c r="G979" s="13" t="s">
        <v>2</v>
      </c>
      <c r="H979" s="13" t="s">
        <v>3</v>
      </c>
      <c r="I979" s="13" t="s">
        <v>1263</v>
      </c>
      <c r="J979" s="13" t="s">
        <v>8890</v>
      </c>
      <c r="K979" s="13" t="s">
        <v>8422</v>
      </c>
      <c r="L979" s="13" t="s">
        <v>158</v>
      </c>
      <c r="M979" t="s">
        <v>3</v>
      </c>
    </row>
    <row r="980" spans="1:13" ht="26.25" x14ac:dyDescent="0.25">
      <c r="A980" s="13" t="s">
        <v>9873</v>
      </c>
      <c r="B980" s="13" t="s">
        <v>9874</v>
      </c>
      <c r="C980" s="13" t="s">
        <v>9875</v>
      </c>
      <c r="D980" s="13">
        <v>1.9</v>
      </c>
      <c r="E980" s="13" t="s">
        <v>9876</v>
      </c>
      <c r="F980" s="13" t="s">
        <v>8867</v>
      </c>
      <c r="G980" s="13" t="s">
        <v>2</v>
      </c>
      <c r="H980" s="13" t="s">
        <v>3</v>
      </c>
      <c r="I980" s="13" t="s">
        <v>1263</v>
      </c>
      <c r="J980" s="13" t="s">
        <v>8890</v>
      </c>
      <c r="K980" s="13" t="s">
        <v>8422</v>
      </c>
      <c r="L980" s="13" t="s">
        <v>158</v>
      </c>
      <c r="M980" t="s">
        <v>3</v>
      </c>
    </row>
    <row r="981" spans="1:13" x14ac:dyDescent="0.25">
      <c r="A981" s="13" t="s">
        <v>10861</v>
      </c>
      <c r="B981" s="13" t="s">
        <v>10861</v>
      </c>
      <c r="C981" s="13" t="s">
        <v>10862</v>
      </c>
      <c r="D981" s="13">
        <v>6.4</v>
      </c>
      <c r="E981" s="13" t="s">
        <v>10863</v>
      </c>
      <c r="F981" s="13" t="s">
        <v>8867</v>
      </c>
      <c r="G981" s="13" t="s">
        <v>2</v>
      </c>
      <c r="H981" s="13" t="s">
        <v>3</v>
      </c>
      <c r="I981" s="13" t="s">
        <v>1263</v>
      </c>
      <c r="J981" s="13" t="s">
        <v>8890</v>
      </c>
      <c r="K981" s="13" t="s">
        <v>8422</v>
      </c>
      <c r="L981" s="13" t="s">
        <v>158</v>
      </c>
      <c r="M981" t="s">
        <v>3</v>
      </c>
    </row>
    <row r="982" spans="1:13" x14ac:dyDescent="0.25">
      <c r="A982" s="13" t="s">
        <v>2764</v>
      </c>
      <c r="B982" s="13" t="s">
        <v>2765</v>
      </c>
      <c r="C982" s="13" t="s">
        <v>2766</v>
      </c>
      <c r="D982" s="13">
        <v>4.7</v>
      </c>
      <c r="E982" s="13" t="s">
        <v>2767</v>
      </c>
      <c r="F982" s="13" t="s">
        <v>8867</v>
      </c>
      <c r="G982" s="13" t="s">
        <v>2</v>
      </c>
      <c r="H982" s="13" t="s">
        <v>3</v>
      </c>
      <c r="I982" s="13" t="s">
        <v>1978</v>
      </c>
      <c r="J982" s="13" t="s">
        <v>8890</v>
      </c>
      <c r="K982" s="13" t="s">
        <v>8570</v>
      </c>
      <c r="L982" s="13" t="s">
        <v>158</v>
      </c>
      <c r="M982" t="s">
        <v>3</v>
      </c>
    </row>
    <row r="983" spans="1:13" ht="26.25" x14ac:dyDescent="0.25">
      <c r="A983" s="13" t="s">
        <v>2768</v>
      </c>
      <c r="B983" s="13" t="s">
        <v>2769</v>
      </c>
      <c r="C983" s="13" t="s">
        <v>2770</v>
      </c>
      <c r="D983" s="13">
        <v>1.9</v>
      </c>
      <c r="E983" s="13" t="s">
        <v>2771</v>
      </c>
      <c r="F983" s="13" t="s">
        <v>8867</v>
      </c>
      <c r="G983" s="13" t="s">
        <v>2</v>
      </c>
      <c r="H983" s="13" t="s">
        <v>3</v>
      </c>
      <c r="I983" s="13" t="s">
        <v>1978</v>
      </c>
      <c r="J983" s="13" t="s">
        <v>8890</v>
      </c>
      <c r="K983" s="13" t="s">
        <v>8570</v>
      </c>
      <c r="L983" s="13" t="s">
        <v>158</v>
      </c>
      <c r="M983" t="s">
        <v>3</v>
      </c>
    </row>
    <row r="984" spans="1:13" ht="26.25" x14ac:dyDescent="0.25">
      <c r="A984" s="13" t="s">
        <v>2772</v>
      </c>
      <c r="B984" s="13" t="s">
        <v>2772</v>
      </c>
      <c r="C984" s="13" t="s">
        <v>2773</v>
      </c>
      <c r="D984" s="13">
        <v>23.1</v>
      </c>
      <c r="E984" s="13" t="s">
        <v>2774</v>
      </c>
      <c r="F984" s="13" t="s">
        <v>8867</v>
      </c>
      <c r="G984" s="13" t="s">
        <v>2</v>
      </c>
      <c r="H984" s="13" t="s">
        <v>3</v>
      </c>
      <c r="I984" s="13" t="s">
        <v>1263</v>
      </c>
      <c r="J984" s="13" t="s">
        <v>8890</v>
      </c>
      <c r="K984" s="13" t="s">
        <v>8422</v>
      </c>
      <c r="L984" s="13" t="s">
        <v>158</v>
      </c>
      <c r="M984" t="s">
        <v>3</v>
      </c>
    </row>
    <row r="985" spans="1:13" x14ac:dyDescent="0.25">
      <c r="A985" s="13" t="s">
        <v>2775</v>
      </c>
      <c r="B985" s="13" t="s">
        <v>2776</v>
      </c>
      <c r="C985" s="13" t="s">
        <v>2777</v>
      </c>
      <c r="D985" s="13">
        <v>10</v>
      </c>
      <c r="E985" s="13" t="s">
        <v>2778</v>
      </c>
      <c r="F985" s="13" t="s">
        <v>8867</v>
      </c>
      <c r="G985" s="13" t="s">
        <v>2</v>
      </c>
      <c r="H985" s="13" t="s">
        <v>3</v>
      </c>
      <c r="I985" s="13" t="s">
        <v>1283</v>
      </c>
      <c r="J985" s="13" t="s">
        <v>8890</v>
      </c>
      <c r="K985" s="13" t="s">
        <v>8524</v>
      </c>
      <c r="L985" s="13" t="s">
        <v>158</v>
      </c>
      <c r="M985" t="s">
        <v>3</v>
      </c>
    </row>
    <row r="986" spans="1:13" x14ac:dyDescent="0.25">
      <c r="A986" s="13" t="s">
        <v>2779</v>
      </c>
      <c r="B986" s="13" t="s">
        <v>2779</v>
      </c>
      <c r="C986" s="13" t="s">
        <v>2780</v>
      </c>
      <c r="D986" s="13">
        <v>33.200000000000003</v>
      </c>
      <c r="E986" s="13" t="s">
        <v>2781</v>
      </c>
      <c r="F986" s="13" t="s">
        <v>8867</v>
      </c>
      <c r="G986" s="13" t="s">
        <v>2</v>
      </c>
      <c r="H986" s="13" t="s">
        <v>8422</v>
      </c>
      <c r="I986" s="13" t="s">
        <v>1263</v>
      </c>
      <c r="J986" s="13" t="s">
        <v>8890</v>
      </c>
      <c r="K986" s="13" t="s">
        <v>8422</v>
      </c>
      <c r="L986" s="13" t="s">
        <v>158</v>
      </c>
      <c r="M986" t="s">
        <v>10689</v>
      </c>
    </row>
    <row r="987" spans="1:13" x14ac:dyDescent="0.25">
      <c r="A987" s="13" t="s">
        <v>2782</v>
      </c>
      <c r="B987" s="13" t="s">
        <v>2783</v>
      </c>
      <c r="C987" s="13" t="s">
        <v>2784</v>
      </c>
      <c r="D987" s="13">
        <v>4.7</v>
      </c>
      <c r="E987" s="13" t="s">
        <v>2785</v>
      </c>
      <c r="F987" s="13" t="s">
        <v>8867</v>
      </c>
      <c r="G987" s="13" t="s">
        <v>2</v>
      </c>
      <c r="H987" s="13" t="s">
        <v>3</v>
      </c>
      <c r="I987" s="13" t="s">
        <v>1978</v>
      </c>
      <c r="J987" s="13" t="s">
        <v>8890</v>
      </c>
      <c r="K987" s="13" t="s">
        <v>8570</v>
      </c>
      <c r="L987" s="13" t="s">
        <v>158</v>
      </c>
      <c r="M987" t="s">
        <v>3</v>
      </c>
    </row>
    <row r="988" spans="1:13" x14ac:dyDescent="0.25">
      <c r="A988" s="13" t="s">
        <v>10715</v>
      </c>
      <c r="B988" s="13" t="s">
        <v>10715</v>
      </c>
      <c r="C988" s="13" t="s">
        <v>10716</v>
      </c>
      <c r="D988" s="13">
        <v>94.8</v>
      </c>
      <c r="E988" s="13" t="s">
        <v>10717</v>
      </c>
      <c r="F988" s="13" t="s">
        <v>8867</v>
      </c>
      <c r="G988" s="13" t="s">
        <v>2</v>
      </c>
      <c r="H988" s="13" t="s">
        <v>3</v>
      </c>
      <c r="I988" s="13" t="s">
        <v>447</v>
      </c>
      <c r="J988" s="13" t="s">
        <v>8890</v>
      </c>
      <c r="K988" s="13" t="s">
        <v>8421</v>
      </c>
      <c r="L988" s="13" t="s">
        <v>158</v>
      </c>
      <c r="M988" t="s">
        <v>3</v>
      </c>
    </row>
    <row r="989" spans="1:13" x14ac:dyDescent="0.25">
      <c r="A989" s="13" t="s">
        <v>10147</v>
      </c>
      <c r="B989" s="13" t="s">
        <v>10148</v>
      </c>
      <c r="C989" s="13" t="s">
        <v>10148</v>
      </c>
      <c r="D989" s="13">
        <v>45</v>
      </c>
      <c r="E989" s="13" t="s">
        <v>10149</v>
      </c>
      <c r="F989" s="13" t="s">
        <v>8867</v>
      </c>
      <c r="G989" s="13" t="s">
        <v>2</v>
      </c>
      <c r="H989" s="13" t="s">
        <v>11195</v>
      </c>
      <c r="I989" s="13" t="s">
        <v>809</v>
      </c>
      <c r="J989" s="13" t="s">
        <v>8890</v>
      </c>
      <c r="K989" s="13" t="s">
        <v>8512</v>
      </c>
      <c r="L989" s="13" t="s">
        <v>158</v>
      </c>
      <c r="M989" t="s">
        <v>11195</v>
      </c>
    </row>
    <row r="990" spans="1:13" x14ac:dyDescent="0.25">
      <c r="A990" s="13" t="s">
        <v>2786</v>
      </c>
      <c r="B990" s="13" t="s">
        <v>2787</v>
      </c>
      <c r="C990" s="13" t="s">
        <v>2788</v>
      </c>
      <c r="D990" s="13">
        <v>19.899999999999999</v>
      </c>
      <c r="E990" s="13" t="s">
        <v>2789</v>
      </c>
      <c r="F990" s="13" t="s">
        <v>8867</v>
      </c>
      <c r="G990" s="13" t="s">
        <v>2</v>
      </c>
      <c r="H990" s="13" t="s">
        <v>3</v>
      </c>
      <c r="I990" s="13" t="s">
        <v>1263</v>
      </c>
      <c r="J990" s="13" t="s">
        <v>8890</v>
      </c>
      <c r="K990" s="13" t="s">
        <v>8422</v>
      </c>
      <c r="L990" s="13" t="s">
        <v>158</v>
      </c>
      <c r="M990" t="s">
        <v>3</v>
      </c>
    </row>
    <row r="991" spans="1:13" x14ac:dyDescent="0.25">
      <c r="A991" s="13" t="s">
        <v>2790</v>
      </c>
      <c r="B991" s="13" t="s">
        <v>2791</v>
      </c>
      <c r="C991" s="13" t="s">
        <v>2791</v>
      </c>
      <c r="D991" s="13">
        <v>41.5</v>
      </c>
      <c r="E991" s="13" t="s">
        <v>2792</v>
      </c>
      <c r="F991" s="13" t="s">
        <v>8867</v>
      </c>
      <c r="G991" s="13" t="s">
        <v>2</v>
      </c>
      <c r="H991" s="13" t="s">
        <v>9243</v>
      </c>
      <c r="I991" s="13" t="s">
        <v>119</v>
      </c>
      <c r="J991" s="13" t="s">
        <v>8890</v>
      </c>
      <c r="K991" s="13" t="s">
        <v>8883</v>
      </c>
      <c r="L991" s="13" t="s">
        <v>158</v>
      </c>
      <c r="M991" t="s">
        <v>9243</v>
      </c>
    </row>
    <row r="992" spans="1:13" x14ac:dyDescent="0.25">
      <c r="A992" s="13" t="s">
        <v>2793</v>
      </c>
      <c r="B992" s="13" t="s">
        <v>2794</v>
      </c>
      <c r="C992" s="13" t="s">
        <v>2795</v>
      </c>
      <c r="D992" s="13">
        <v>27.1</v>
      </c>
      <c r="E992" s="13" t="s">
        <v>2796</v>
      </c>
      <c r="F992" s="13" t="s">
        <v>8867</v>
      </c>
      <c r="G992" s="13" t="s">
        <v>2</v>
      </c>
      <c r="H992" s="13" t="s">
        <v>8422</v>
      </c>
      <c r="I992" s="13" t="s">
        <v>1263</v>
      </c>
      <c r="J992" s="13" t="s">
        <v>8890</v>
      </c>
      <c r="K992" s="13" t="s">
        <v>8422</v>
      </c>
      <c r="L992" s="13" t="s">
        <v>158</v>
      </c>
      <c r="M992" t="s">
        <v>10689</v>
      </c>
    </row>
    <row r="993" spans="1:13" x14ac:dyDescent="0.25">
      <c r="A993" s="13" t="s">
        <v>2797</v>
      </c>
      <c r="B993" s="13" t="s">
        <v>2797</v>
      </c>
      <c r="C993" s="13" t="s">
        <v>2798</v>
      </c>
      <c r="D993" s="13">
        <v>45.1</v>
      </c>
      <c r="E993" s="13" t="s">
        <v>2799</v>
      </c>
      <c r="F993" s="13" t="s">
        <v>8867</v>
      </c>
      <c r="G993" s="13" t="s">
        <v>2</v>
      </c>
      <c r="H993" s="13" t="s">
        <v>8422</v>
      </c>
      <c r="I993" s="13" t="s">
        <v>1263</v>
      </c>
      <c r="J993" s="13" t="s">
        <v>8890</v>
      </c>
      <c r="K993" s="13" t="s">
        <v>8422</v>
      </c>
      <c r="L993" s="13" t="s">
        <v>158</v>
      </c>
      <c r="M993" t="s">
        <v>10689</v>
      </c>
    </row>
    <row r="994" spans="1:13" x14ac:dyDescent="0.25">
      <c r="A994" s="13" t="s">
        <v>11589</v>
      </c>
      <c r="B994" s="13" t="s">
        <v>11589</v>
      </c>
      <c r="C994" s="13" t="s">
        <v>11589</v>
      </c>
      <c r="D994" s="13">
        <v>38.200000000000003</v>
      </c>
      <c r="E994" s="13" t="s">
        <v>11590</v>
      </c>
      <c r="F994" s="13" t="s">
        <v>8867</v>
      </c>
      <c r="G994" s="13" t="s">
        <v>2</v>
      </c>
      <c r="H994" s="13" t="s">
        <v>3</v>
      </c>
      <c r="I994" s="13" t="s">
        <v>706</v>
      </c>
      <c r="J994" s="13" t="s">
        <v>8890</v>
      </c>
      <c r="K994" s="13" t="s">
        <v>8419</v>
      </c>
      <c r="L994" s="13" t="s">
        <v>158</v>
      </c>
      <c r="M994" t="s">
        <v>3</v>
      </c>
    </row>
    <row r="995" spans="1:13" x14ac:dyDescent="0.25">
      <c r="A995" s="13" t="s">
        <v>11591</v>
      </c>
      <c r="B995" s="13" t="s">
        <v>11591</v>
      </c>
      <c r="C995" s="13" t="s">
        <v>11592</v>
      </c>
      <c r="D995" s="13">
        <v>1</v>
      </c>
      <c r="E995" s="13" t="s">
        <v>11593</v>
      </c>
      <c r="F995" s="13" t="s">
        <v>8867</v>
      </c>
      <c r="G995" s="13" t="s">
        <v>2</v>
      </c>
      <c r="H995" s="13" t="s">
        <v>3</v>
      </c>
      <c r="I995" s="13" t="s">
        <v>1263</v>
      </c>
      <c r="J995" s="13" t="s">
        <v>8890</v>
      </c>
      <c r="K995" s="13" t="s">
        <v>8422</v>
      </c>
      <c r="L995" s="13" t="s">
        <v>158</v>
      </c>
      <c r="M995" t="s">
        <v>3</v>
      </c>
    </row>
    <row r="996" spans="1:13" x14ac:dyDescent="0.25">
      <c r="A996" s="13" t="s">
        <v>2800</v>
      </c>
      <c r="B996" s="13" t="s">
        <v>2800</v>
      </c>
      <c r="C996" s="13" t="s">
        <v>2801</v>
      </c>
      <c r="D996" s="13">
        <v>7.2</v>
      </c>
      <c r="E996" s="13" t="s">
        <v>2802</v>
      </c>
      <c r="F996" s="13" t="s">
        <v>8867</v>
      </c>
      <c r="G996" s="13" t="s">
        <v>2</v>
      </c>
      <c r="H996" s="13" t="s">
        <v>3</v>
      </c>
      <c r="I996" s="13" t="s">
        <v>1263</v>
      </c>
      <c r="J996" s="13" t="s">
        <v>8890</v>
      </c>
      <c r="K996" s="13" t="s">
        <v>8422</v>
      </c>
      <c r="L996" s="13" t="s">
        <v>158</v>
      </c>
      <c r="M996" t="s">
        <v>3</v>
      </c>
    </row>
    <row r="997" spans="1:13" x14ac:dyDescent="0.25">
      <c r="A997" s="13" t="s">
        <v>2803</v>
      </c>
      <c r="B997" s="13" t="s">
        <v>2803</v>
      </c>
      <c r="C997" s="13" t="s">
        <v>2804</v>
      </c>
      <c r="D997" s="13">
        <v>8</v>
      </c>
      <c r="E997" s="13" t="s">
        <v>2805</v>
      </c>
      <c r="F997" s="13" t="s">
        <v>8867</v>
      </c>
      <c r="G997" s="13" t="s">
        <v>2</v>
      </c>
      <c r="H997" s="13" t="s">
        <v>3</v>
      </c>
      <c r="I997" s="13" t="s">
        <v>1263</v>
      </c>
      <c r="J997" s="13" t="s">
        <v>8890</v>
      </c>
      <c r="K997" s="13" t="s">
        <v>8422</v>
      </c>
      <c r="L997" s="13" t="s">
        <v>158</v>
      </c>
      <c r="M997" t="s">
        <v>3</v>
      </c>
    </row>
    <row r="998" spans="1:13" x14ac:dyDescent="0.25">
      <c r="A998" s="13" t="s">
        <v>11209</v>
      </c>
      <c r="B998" s="13" t="s">
        <v>11209</v>
      </c>
      <c r="C998" s="13" t="s">
        <v>11210</v>
      </c>
      <c r="D998" s="13">
        <v>1.2</v>
      </c>
      <c r="E998" s="13" t="s">
        <v>11211</v>
      </c>
      <c r="F998" s="13" t="s">
        <v>8867</v>
      </c>
      <c r="G998" s="13" t="s">
        <v>2</v>
      </c>
      <c r="H998" s="13" t="s">
        <v>3</v>
      </c>
      <c r="I998" s="13" t="s">
        <v>1263</v>
      </c>
      <c r="J998" s="13" t="s">
        <v>8890</v>
      </c>
      <c r="K998" s="13" t="s">
        <v>8422</v>
      </c>
      <c r="L998" s="13" t="s">
        <v>158</v>
      </c>
      <c r="M998" t="s">
        <v>3</v>
      </c>
    </row>
    <row r="999" spans="1:13" x14ac:dyDescent="0.25">
      <c r="A999" s="13" t="s">
        <v>10150</v>
      </c>
      <c r="B999" s="13" t="s">
        <v>10150</v>
      </c>
      <c r="C999" s="13" t="s">
        <v>10150</v>
      </c>
      <c r="D999" s="13">
        <v>24.9</v>
      </c>
      <c r="E999" s="13" t="s">
        <v>10151</v>
      </c>
      <c r="F999" s="13" t="s">
        <v>8867</v>
      </c>
      <c r="G999" s="13" t="s">
        <v>2</v>
      </c>
      <c r="H999" s="13" t="s">
        <v>9243</v>
      </c>
      <c r="I999" s="13" t="s">
        <v>119</v>
      </c>
      <c r="J999" s="13" t="s">
        <v>8890</v>
      </c>
      <c r="K999" s="13" t="s">
        <v>8883</v>
      </c>
      <c r="L999" s="13" t="s">
        <v>158</v>
      </c>
      <c r="M999" t="s">
        <v>9243</v>
      </c>
    </row>
    <row r="1000" spans="1:13" x14ac:dyDescent="0.25">
      <c r="A1000" s="13" t="s">
        <v>10152</v>
      </c>
      <c r="B1000" s="13" t="s">
        <v>10152</v>
      </c>
      <c r="C1000" s="13" t="s">
        <v>10152</v>
      </c>
      <c r="D1000" s="13">
        <v>67</v>
      </c>
      <c r="E1000" s="13" t="s">
        <v>10153</v>
      </c>
      <c r="F1000" s="13" t="s">
        <v>8867</v>
      </c>
      <c r="G1000" s="13" t="s">
        <v>2</v>
      </c>
      <c r="H1000" s="13" t="s">
        <v>9243</v>
      </c>
      <c r="I1000" s="13" t="s">
        <v>119</v>
      </c>
      <c r="J1000" s="13" t="s">
        <v>8890</v>
      </c>
      <c r="K1000" s="13" t="s">
        <v>8883</v>
      </c>
      <c r="L1000" s="13" t="s">
        <v>158</v>
      </c>
      <c r="M1000" t="s">
        <v>9243</v>
      </c>
    </row>
    <row r="1001" spans="1:13" ht="26.25" x14ac:dyDescent="0.25">
      <c r="A1001" s="13" t="s">
        <v>10864</v>
      </c>
      <c r="B1001" s="13" t="s">
        <v>10864</v>
      </c>
      <c r="C1001" s="13" t="s">
        <v>10864</v>
      </c>
      <c r="D1001" s="13">
        <v>23</v>
      </c>
      <c r="E1001" s="13" t="s">
        <v>10865</v>
      </c>
      <c r="F1001" s="13" t="s">
        <v>8867</v>
      </c>
      <c r="G1001" s="13" t="s">
        <v>2</v>
      </c>
      <c r="H1001" s="13" t="s">
        <v>3</v>
      </c>
      <c r="I1001" s="13" t="s">
        <v>119</v>
      </c>
      <c r="J1001" s="13" t="s">
        <v>8890</v>
      </c>
      <c r="K1001" s="13" t="s">
        <v>8883</v>
      </c>
      <c r="L1001" s="13" t="s">
        <v>158</v>
      </c>
      <c r="M1001" t="s">
        <v>3</v>
      </c>
    </row>
    <row r="1002" spans="1:13" x14ac:dyDescent="0.25">
      <c r="A1002" s="13" t="s">
        <v>11212</v>
      </c>
      <c r="B1002" s="13" t="s">
        <v>11212</v>
      </c>
      <c r="C1002" s="13" t="s">
        <v>11212</v>
      </c>
      <c r="D1002" s="13">
        <v>7.2</v>
      </c>
      <c r="E1002" s="13" t="s">
        <v>11213</v>
      </c>
      <c r="F1002" s="13" t="s">
        <v>8867</v>
      </c>
      <c r="G1002" s="13" t="s">
        <v>2</v>
      </c>
      <c r="H1002" s="13" t="s">
        <v>3</v>
      </c>
      <c r="I1002" s="13" t="s">
        <v>119</v>
      </c>
      <c r="J1002" s="13" t="s">
        <v>8890</v>
      </c>
      <c r="K1002" s="13" t="s">
        <v>8883</v>
      </c>
      <c r="L1002" s="13" t="s">
        <v>158</v>
      </c>
      <c r="M1002" t="s">
        <v>3</v>
      </c>
    </row>
    <row r="1003" spans="1:13" x14ac:dyDescent="0.25">
      <c r="A1003" s="13" t="s">
        <v>11214</v>
      </c>
      <c r="B1003" s="13" t="s">
        <v>11214</v>
      </c>
      <c r="C1003" s="13" t="s">
        <v>11214</v>
      </c>
      <c r="D1003" s="13">
        <v>9</v>
      </c>
      <c r="E1003" s="13" t="s">
        <v>11215</v>
      </c>
      <c r="F1003" s="13" t="s">
        <v>8867</v>
      </c>
      <c r="G1003" s="13" t="s">
        <v>2</v>
      </c>
      <c r="H1003" s="13" t="s">
        <v>3</v>
      </c>
      <c r="I1003" s="13" t="s">
        <v>119</v>
      </c>
      <c r="J1003" s="13" t="s">
        <v>8890</v>
      </c>
      <c r="K1003" s="13" t="s">
        <v>8883</v>
      </c>
      <c r="L1003" s="13" t="s">
        <v>158</v>
      </c>
      <c r="M1003" t="s">
        <v>3</v>
      </c>
    </row>
    <row r="1004" spans="1:13" x14ac:dyDescent="0.25">
      <c r="A1004" s="13" t="s">
        <v>11518</v>
      </c>
      <c r="B1004" s="13" t="s">
        <v>11518</v>
      </c>
      <c r="C1004" s="13" t="s">
        <v>11518</v>
      </c>
      <c r="D1004" s="13">
        <v>8</v>
      </c>
      <c r="E1004" s="13" t="s">
        <v>11519</v>
      </c>
      <c r="F1004" s="13" t="s">
        <v>8867</v>
      </c>
      <c r="G1004" s="13" t="s">
        <v>2</v>
      </c>
      <c r="H1004" s="13" t="s">
        <v>3</v>
      </c>
      <c r="I1004" s="13" t="s">
        <v>119</v>
      </c>
      <c r="J1004" s="13" t="s">
        <v>8890</v>
      </c>
      <c r="K1004" s="13" t="s">
        <v>8883</v>
      </c>
      <c r="L1004" s="13" t="s">
        <v>158</v>
      </c>
      <c r="M1004" t="s">
        <v>3</v>
      </c>
    </row>
    <row r="1005" spans="1:13" x14ac:dyDescent="0.25">
      <c r="A1005" s="13" t="s">
        <v>11520</v>
      </c>
      <c r="B1005" s="13" t="s">
        <v>11520</v>
      </c>
      <c r="C1005" s="13" t="s">
        <v>11520</v>
      </c>
      <c r="D1005" s="13">
        <v>8</v>
      </c>
      <c r="E1005" s="13" t="s">
        <v>11521</v>
      </c>
      <c r="F1005" s="13" t="s">
        <v>8867</v>
      </c>
      <c r="G1005" s="13" t="s">
        <v>2</v>
      </c>
      <c r="H1005" s="13" t="s">
        <v>3</v>
      </c>
      <c r="I1005" s="13" t="s">
        <v>119</v>
      </c>
      <c r="J1005" s="13" t="s">
        <v>8890</v>
      </c>
      <c r="K1005" s="13" t="s">
        <v>8883</v>
      </c>
      <c r="L1005" s="13" t="s">
        <v>158</v>
      </c>
      <c r="M1005" t="s">
        <v>3</v>
      </c>
    </row>
    <row r="1006" spans="1:13" x14ac:dyDescent="0.25">
      <c r="A1006" s="13" t="s">
        <v>11772</v>
      </c>
      <c r="B1006" s="13" t="s">
        <v>11772</v>
      </c>
      <c r="C1006" s="13" t="s">
        <v>11772</v>
      </c>
      <c r="D1006" s="13">
        <v>45</v>
      </c>
      <c r="E1006" s="13" t="s">
        <v>11773</v>
      </c>
      <c r="F1006" s="13" t="s">
        <v>8867</v>
      </c>
      <c r="G1006" s="13" t="s">
        <v>2</v>
      </c>
      <c r="H1006" s="13" t="s">
        <v>3</v>
      </c>
      <c r="I1006" s="13" t="s">
        <v>119</v>
      </c>
      <c r="J1006" s="13" t="s">
        <v>8890</v>
      </c>
      <c r="K1006" s="13" t="s">
        <v>8883</v>
      </c>
      <c r="L1006" s="13" t="s">
        <v>158</v>
      </c>
      <c r="M1006" t="s">
        <v>3</v>
      </c>
    </row>
    <row r="1007" spans="1:13" x14ac:dyDescent="0.25">
      <c r="A1007" s="13" t="s">
        <v>11774</v>
      </c>
      <c r="B1007" s="13" t="s">
        <v>11774</v>
      </c>
      <c r="C1007" s="13" t="s">
        <v>11774</v>
      </c>
      <c r="D1007" s="13">
        <v>40</v>
      </c>
      <c r="E1007" s="13" t="s">
        <v>11775</v>
      </c>
      <c r="F1007" s="13" t="s">
        <v>8867</v>
      </c>
      <c r="G1007" s="13" t="s">
        <v>2</v>
      </c>
      <c r="H1007" s="13" t="s">
        <v>3</v>
      </c>
      <c r="I1007" s="13" t="s">
        <v>119</v>
      </c>
      <c r="J1007" s="13" t="s">
        <v>8890</v>
      </c>
      <c r="K1007" s="13" t="s">
        <v>8883</v>
      </c>
      <c r="L1007" s="13" t="s">
        <v>158</v>
      </c>
      <c r="M1007" t="s">
        <v>3</v>
      </c>
    </row>
    <row r="1008" spans="1:13" x14ac:dyDescent="0.25">
      <c r="A1008" s="13" t="s">
        <v>10154</v>
      </c>
      <c r="B1008" s="13" t="s">
        <v>10154</v>
      </c>
      <c r="C1008" s="13" t="s">
        <v>10154</v>
      </c>
      <c r="D1008" s="13">
        <v>40</v>
      </c>
      <c r="E1008" s="13" t="s">
        <v>10155</v>
      </c>
      <c r="F1008" s="13" t="s">
        <v>8867</v>
      </c>
      <c r="G1008" s="13" t="s">
        <v>2</v>
      </c>
      <c r="H1008" s="13" t="s">
        <v>9243</v>
      </c>
      <c r="I1008" s="13" t="s">
        <v>119</v>
      </c>
      <c r="J1008" s="13" t="s">
        <v>8890</v>
      </c>
      <c r="K1008" s="13" t="s">
        <v>8883</v>
      </c>
      <c r="L1008" s="13" t="s">
        <v>158</v>
      </c>
      <c r="M1008" t="s">
        <v>9243</v>
      </c>
    </row>
    <row r="1009" spans="1:13" x14ac:dyDescent="0.25">
      <c r="A1009" s="13" t="s">
        <v>11776</v>
      </c>
      <c r="B1009" s="13" t="s">
        <v>11776</v>
      </c>
      <c r="C1009" s="13" t="s">
        <v>11776</v>
      </c>
      <c r="D1009" s="13">
        <v>40</v>
      </c>
      <c r="E1009" s="13" t="s">
        <v>11777</v>
      </c>
      <c r="F1009" s="13" t="s">
        <v>8867</v>
      </c>
      <c r="G1009" s="13" t="s">
        <v>2</v>
      </c>
      <c r="H1009" s="13" t="s">
        <v>3</v>
      </c>
      <c r="I1009" s="13" t="s">
        <v>119</v>
      </c>
      <c r="J1009" s="13" t="s">
        <v>8890</v>
      </c>
      <c r="K1009" s="13" t="s">
        <v>8883</v>
      </c>
      <c r="L1009" s="13" t="s">
        <v>158</v>
      </c>
      <c r="M1009" t="s">
        <v>3</v>
      </c>
    </row>
    <row r="1010" spans="1:13" x14ac:dyDescent="0.25">
      <c r="A1010" s="13" t="s">
        <v>11980</v>
      </c>
      <c r="B1010" s="13" t="s">
        <v>11980</v>
      </c>
      <c r="C1010" s="13" t="s">
        <v>11980</v>
      </c>
      <c r="D1010" s="13">
        <v>19.600000000000001</v>
      </c>
      <c r="E1010" s="13" t="s">
        <v>11981</v>
      </c>
      <c r="F1010" s="13" t="s">
        <v>8867</v>
      </c>
      <c r="G1010" s="13" t="s">
        <v>2</v>
      </c>
      <c r="H1010" s="13" t="s">
        <v>3</v>
      </c>
      <c r="I1010" s="13" t="s">
        <v>119</v>
      </c>
      <c r="J1010" s="13" t="s">
        <v>8890</v>
      </c>
      <c r="K1010" s="13" t="s">
        <v>8883</v>
      </c>
      <c r="L1010" s="13" t="s">
        <v>158</v>
      </c>
      <c r="M1010" t="s">
        <v>3</v>
      </c>
    </row>
    <row r="1011" spans="1:13" x14ac:dyDescent="0.25">
      <c r="A1011" s="13" t="s">
        <v>10156</v>
      </c>
      <c r="B1011" s="13" t="s">
        <v>10156</v>
      </c>
      <c r="C1011" s="13" t="s">
        <v>10156</v>
      </c>
      <c r="D1011" s="13">
        <v>42.1</v>
      </c>
      <c r="E1011" s="13" t="s">
        <v>10157</v>
      </c>
      <c r="F1011" s="13" t="s">
        <v>8867</v>
      </c>
      <c r="G1011" s="13" t="s">
        <v>2</v>
      </c>
      <c r="H1011" s="13" t="s">
        <v>9243</v>
      </c>
      <c r="I1011" s="13" t="s">
        <v>119</v>
      </c>
      <c r="J1011" s="13" t="s">
        <v>8890</v>
      </c>
      <c r="K1011" s="13" t="s">
        <v>8883</v>
      </c>
      <c r="L1011" s="13" t="s">
        <v>158</v>
      </c>
      <c r="M1011" t="s">
        <v>9243</v>
      </c>
    </row>
    <row r="1012" spans="1:13" x14ac:dyDescent="0.25">
      <c r="A1012" s="13" t="s">
        <v>10158</v>
      </c>
      <c r="B1012" s="13" t="s">
        <v>10158</v>
      </c>
      <c r="C1012" s="13" t="s">
        <v>10158</v>
      </c>
      <c r="D1012" s="13">
        <v>24.9</v>
      </c>
      <c r="E1012" s="13" t="s">
        <v>10159</v>
      </c>
      <c r="F1012" s="13" t="s">
        <v>8867</v>
      </c>
      <c r="G1012" s="13" t="s">
        <v>2</v>
      </c>
      <c r="H1012" s="13" t="s">
        <v>9243</v>
      </c>
      <c r="I1012" s="13" t="s">
        <v>119</v>
      </c>
      <c r="J1012" s="13" t="s">
        <v>8890</v>
      </c>
      <c r="K1012" s="13" t="s">
        <v>8883</v>
      </c>
      <c r="L1012" s="13" t="s">
        <v>158</v>
      </c>
      <c r="M1012" t="s">
        <v>9243</v>
      </c>
    </row>
    <row r="1013" spans="1:13" x14ac:dyDescent="0.25">
      <c r="A1013" s="13" t="s">
        <v>10160</v>
      </c>
      <c r="B1013" s="13" t="s">
        <v>10160</v>
      </c>
      <c r="C1013" s="13" t="s">
        <v>10160</v>
      </c>
      <c r="D1013" s="13">
        <v>40</v>
      </c>
      <c r="E1013" s="13" t="s">
        <v>10161</v>
      </c>
      <c r="F1013" s="13" t="s">
        <v>8867</v>
      </c>
      <c r="G1013" s="13" t="s">
        <v>2</v>
      </c>
      <c r="H1013" s="13" t="s">
        <v>9243</v>
      </c>
      <c r="I1013" s="13" t="s">
        <v>119</v>
      </c>
      <c r="J1013" s="13" t="s">
        <v>8890</v>
      </c>
      <c r="K1013" s="13" t="s">
        <v>8883</v>
      </c>
      <c r="L1013" s="13" t="s">
        <v>158</v>
      </c>
      <c r="M1013" t="s">
        <v>9243</v>
      </c>
    </row>
    <row r="1014" spans="1:13" x14ac:dyDescent="0.25">
      <c r="A1014" s="13" t="s">
        <v>10162</v>
      </c>
      <c r="B1014" s="13" t="s">
        <v>10162</v>
      </c>
      <c r="C1014" s="13" t="s">
        <v>10162</v>
      </c>
      <c r="D1014" s="13">
        <v>40</v>
      </c>
      <c r="E1014" s="13" t="s">
        <v>10163</v>
      </c>
      <c r="F1014" s="13" t="s">
        <v>8867</v>
      </c>
      <c r="G1014" s="13" t="s">
        <v>2</v>
      </c>
      <c r="H1014" s="13" t="s">
        <v>9243</v>
      </c>
      <c r="I1014" s="13" t="s">
        <v>119</v>
      </c>
      <c r="J1014" s="13" t="s">
        <v>8890</v>
      </c>
      <c r="K1014" s="13" t="s">
        <v>8883</v>
      </c>
      <c r="L1014" s="13" t="s">
        <v>158</v>
      </c>
      <c r="M1014" t="s">
        <v>9243</v>
      </c>
    </row>
    <row r="1015" spans="1:13" x14ac:dyDescent="0.25">
      <c r="A1015" s="13" t="s">
        <v>10164</v>
      </c>
      <c r="B1015" s="13" t="s">
        <v>10164</v>
      </c>
      <c r="C1015" s="13" t="s">
        <v>10164</v>
      </c>
      <c r="D1015" s="13">
        <v>29.6</v>
      </c>
      <c r="E1015" s="13" t="s">
        <v>10165</v>
      </c>
      <c r="F1015" s="13" t="s">
        <v>8867</v>
      </c>
      <c r="G1015" s="13" t="s">
        <v>2</v>
      </c>
      <c r="H1015" s="13" t="s">
        <v>9243</v>
      </c>
      <c r="I1015" s="13" t="s">
        <v>119</v>
      </c>
      <c r="J1015" s="13" t="s">
        <v>8890</v>
      </c>
      <c r="K1015" s="13" t="s">
        <v>8883</v>
      </c>
      <c r="L1015" s="13" t="s">
        <v>158</v>
      </c>
      <c r="M1015" t="s">
        <v>9243</v>
      </c>
    </row>
    <row r="1016" spans="1:13" x14ac:dyDescent="0.25">
      <c r="A1016" s="13" t="s">
        <v>10166</v>
      </c>
      <c r="B1016" s="13" t="s">
        <v>10166</v>
      </c>
      <c r="C1016" s="13" t="s">
        <v>10166</v>
      </c>
      <c r="D1016" s="13">
        <v>29.6</v>
      </c>
      <c r="E1016" s="13" t="s">
        <v>10167</v>
      </c>
      <c r="F1016" s="13" t="s">
        <v>8867</v>
      </c>
      <c r="G1016" s="13" t="s">
        <v>2</v>
      </c>
      <c r="H1016" s="13" t="s">
        <v>9243</v>
      </c>
      <c r="I1016" s="13" t="s">
        <v>119</v>
      </c>
      <c r="J1016" s="13" t="s">
        <v>8890</v>
      </c>
      <c r="K1016" s="13" t="s">
        <v>8883</v>
      </c>
      <c r="L1016" s="13" t="s">
        <v>158</v>
      </c>
      <c r="M1016" t="s">
        <v>9243</v>
      </c>
    </row>
    <row r="1017" spans="1:13" x14ac:dyDescent="0.25">
      <c r="A1017" s="13" t="s">
        <v>10168</v>
      </c>
      <c r="B1017" s="13" t="s">
        <v>10168</v>
      </c>
      <c r="C1017" s="13" t="s">
        <v>10168</v>
      </c>
      <c r="D1017" s="13">
        <v>35.1</v>
      </c>
      <c r="E1017" s="13" t="s">
        <v>10169</v>
      </c>
      <c r="F1017" s="13" t="s">
        <v>8867</v>
      </c>
      <c r="G1017" s="13" t="s">
        <v>2</v>
      </c>
      <c r="H1017" s="13" t="s">
        <v>9243</v>
      </c>
      <c r="I1017" s="13" t="s">
        <v>119</v>
      </c>
      <c r="J1017" s="13" t="s">
        <v>8890</v>
      </c>
      <c r="K1017" s="13" t="s">
        <v>8883</v>
      </c>
      <c r="L1017" s="13" t="s">
        <v>158</v>
      </c>
      <c r="M1017" t="s">
        <v>9243</v>
      </c>
    </row>
    <row r="1018" spans="1:13" x14ac:dyDescent="0.25">
      <c r="A1018" s="13" t="s">
        <v>2806</v>
      </c>
      <c r="B1018" s="13" t="s">
        <v>2806</v>
      </c>
      <c r="C1018" s="13" t="s">
        <v>2807</v>
      </c>
      <c r="D1018" s="13">
        <v>3.1</v>
      </c>
      <c r="E1018" s="13" t="s">
        <v>2808</v>
      </c>
      <c r="F1018" s="13" t="s">
        <v>8867</v>
      </c>
      <c r="G1018" s="13" t="s">
        <v>2</v>
      </c>
      <c r="H1018" s="13" t="s">
        <v>3</v>
      </c>
      <c r="I1018" s="13" t="s">
        <v>1978</v>
      </c>
      <c r="J1018" s="13" t="s">
        <v>8890</v>
      </c>
      <c r="K1018" s="13" t="s">
        <v>8570</v>
      </c>
      <c r="L1018" s="13" t="s">
        <v>158</v>
      </c>
      <c r="M1018" t="s">
        <v>3</v>
      </c>
    </row>
    <row r="1019" spans="1:13" x14ac:dyDescent="0.25">
      <c r="A1019" s="13" t="s">
        <v>2809</v>
      </c>
      <c r="B1019" s="13" t="s">
        <v>2810</v>
      </c>
      <c r="C1019" s="13" t="s">
        <v>2811</v>
      </c>
      <c r="D1019" s="13">
        <v>7.8</v>
      </c>
      <c r="E1019" s="13" t="s">
        <v>2812</v>
      </c>
      <c r="F1019" s="13" t="s">
        <v>8867</v>
      </c>
      <c r="G1019" s="13" t="s">
        <v>2</v>
      </c>
      <c r="H1019" s="13" t="s">
        <v>3</v>
      </c>
      <c r="I1019" s="13" t="s">
        <v>1263</v>
      </c>
      <c r="J1019" s="13" t="s">
        <v>8890</v>
      </c>
      <c r="K1019" s="13" t="s">
        <v>8422</v>
      </c>
      <c r="L1019" s="13" t="s">
        <v>158</v>
      </c>
      <c r="M1019" t="s">
        <v>3</v>
      </c>
    </row>
    <row r="1020" spans="1:13" x14ac:dyDescent="0.25">
      <c r="A1020" s="13" t="s">
        <v>10170</v>
      </c>
      <c r="B1020" s="13" t="s">
        <v>10171</v>
      </c>
      <c r="C1020" s="13" t="s">
        <v>10172</v>
      </c>
      <c r="D1020" s="13">
        <v>10</v>
      </c>
      <c r="E1020" s="13" t="s">
        <v>10173</v>
      </c>
      <c r="F1020" s="13" t="s">
        <v>8867</v>
      </c>
      <c r="G1020" s="13" t="s">
        <v>2</v>
      </c>
      <c r="H1020" s="13" t="s">
        <v>11195</v>
      </c>
      <c r="I1020" s="13" t="s">
        <v>809</v>
      </c>
      <c r="J1020" s="13" t="s">
        <v>8890</v>
      </c>
      <c r="K1020" s="13" t="s">
        <v>8512</v>
      </c>
      <c r="L1020" s="13" t="s">
        <v>158</v>
      </c>
      <c r="M1020" t="s">
        <v>11195</v>
      </c>
    </row>
    <row r="1021" spans="1:13" x14ac:dyDescent="0.25">
      <c r="A1021" s="13" t="s">
        <v>2813</v>
      </c>
      <c r="B1021" s="13" t="s">
        <v>2813</v>
      </c>
      <c r="C1021" s="13" t="s">
        <v>2814</v>
      </c>
      <c r="D1021" s="13">
        <v>12</v>
      </c>
      <c r="E1021" s="13" t="s">
        <v>2815</v>
      </c>
      <c r="F1021" s="13" t="s">
        <v>8867</v>
      </c>
      <c r="G1021" s="13" t="s">
        <v>2</v>
      </c>
      <c r="H1021" s="13" t="s">
        <v>3</v>
      </c>
      <c r="I1021" s="13" t="s">
        <v>706</v>
      </c>
      <c r="J1021" s="13" t="s">
        <v>8890</v>
      </c>
      <c r="K1021" s="13" t="s">
        <v>8419</v>
      </c>
      <c r="L1021" s="13" t="s">
        <v>158</v>
      </c>
      <c r="M1021" t="s">
        <v>3</v>
      </c>
    </row>
    <row r="1022" spans="1:13" x14ac:dyDescent="0.25">
      <c r="A1022" s="13" t="s">
        <v>2816</v>
      </c>
      <c r="B1022" s="13" t="s">
        <v>2817</v>
      </c>
      <c r="C1022" s="13" t="s">
        <v>2818</v>
      </c>
      <c r="D1022" s="13">
        <v>46.2</v>
      </c>
      <c r="E1022" s="13" t="s">
        <v>2819</v>
      </c>
      <c r="F1022" s="13" t="s">
        <v>8867</v>
      </c>
      <c r="G1022" s="13" t="s">
        <v>2</v>
      </c>
      <c r="H1022" s="13" t="s">
        <v>3</v>
      </c>
      <c r="I1022" s="13" t="s">
        <v>1978</v>
      </c>
      <c r="J1022" s="13" t="s">
        <v>8890</v>
      </c>
      <c r="K1022" s="13" t="s">
        <v>8570</v>
      </c>
      <c r="L1022" s="13" t="s">
        <v>158</v>
      </c>
      <c r="M1022" t="s">
        <v>3</v>
      </c>
    </row>
    <row r="1023" spans="1:13" ht="26.25" x14ac:dyDescent="0.25">
      <c r="A1023" s="13" t="s">
        <v>2820</v>
      </c>
      <c r="B1023" s="13" t="s">
        <v>2820</v>
      </c>
      <c r="C1023" s="13" t="s">
        <v>2821</v>
      </c>
      <c r="D1023" s="13">
        <v>14</v>
      </c>
      <c r="E1023" s="13" t="s">
        <v>2822</v>
      </c>
      <c r="F1023" s="13" t="s">
        <v>8867</v>
      </c>
      <c r="G1023" s="13" t="s">
        <v>2</v>
      </c>
      <c r="H1023" s="13" t="s">
        <v>3</v>
      </c>
      <c r="I1023" s="13" t="s">
        <v>447</v>
      </c>
      <c r="J1023" s="13" t="s">
        <v>8890</v>
      </c>
      <c r="K1023" s="13" t="s">
        <v>8421</v>
      </c>
      <c r="L1023" s="13" t="s">
        <v>158</v>
      </c>
      <c r="M1023" t="s">
        <v>3</v>
      </c>
    </row>
    <row r="1024" spans="1:13" x14ac:dyDescent="0.25">
      <c r="A1024" s="13" t="s">
        <v>9877</v>
      </c>
      <c r="B1024" s="13" t="s">
        <v>9877</v>
      </c>
      <c r="C1024" s="13" t="s">
        <v>9878</v>
      </c>
      <c r="D1024" s="13">
        <v>2.4</v>
      </c>
      <c r="E1024" s="13" t="s">
        <v>9879</v>
      </c>
      <c r="F1024" s="13" t="s">
        <v>8867</v>
      </c>
      <c r="G1024" s="13" t="s">
        <v>2</v>
      </c>
      <c r="H1024" s="13" t="s">
        <v>3</v>
      </c>
      <c r="I1024" s="13" t="s">
        <v>447</v>
      </c>
      <c r="J1024" s="13" t="s">
        <v>8890</v>
      </c>
      <c r="K1024" s="13" t="s">
        <v>8421</v>
      </c>
      <c r="L1024" s="13" t="s">
        <v>158</v>
      </c>
      <c r="M1024" t="s">
        <v>3</v>
      </c>
    </row>
    <row r="1025" spans="1:13" x14ac:dyDescent="0.25">
      <c r="A1025" s="13" t="s">
        <v>2823</v>
      </c>
      <c r="B1025" s="13" t="s">
        <v>2823</v>
      </c>
      <c r="C1025" s="13" t="s">
        <v>2824</v>
      </c>
      <c r="D1025" s="13">
        <v>9</v>
      </c>
      <c r="E1025" s="13" t="s">
        <v>2825</v>
      </c>
      <c r="F1025" s="13" t="s">
        <v>8867</v>
      </c>
      <c r="G1025" s="13" t="s">
        <v>2</v>
      </c>
      <c r="H1025" s="13" t="s">
        <v>3</v>
      </c>
      <c r="I1025" s="13" t="s">
        <v>447</v>
      </c>
      <c r="J1025" s="13" t="s">
        <v>8890</v>
      </c>
      <c r="K1025" s="13" t="s">
        <v>8421</v>
      </c>
      <c r="L1025" s="13" t="s">
        <v>158</v>
      </c>
      <c r="M1025" t="s">
        <v>3</v>
      </c>
    </row>
    <row r="1026" spans="1:13" x14ac:dyDescent="0.25">
      <c r="A1026" s="13" t="s">
        <v>10866</v>
      </c>
      <c r="B1026" s="13" t="s">
        <v>10867</v>
      </c>
      <c r="C1026" s="13" t="s">
        <v>10868</v>
      </c>
      <c r="D1026" s="13">
        <v>10</v>
      </c>
      <c r="E1026" s="13" t="s">
        <v>10869</v>
      </c>
      <c r="F1026" s="13" t="s">
        <v>8867</v>
      </c>
      <c r="G1026" s="13" t="s">
        <v>2</v>
      </c>
      <c r="H1026" s="13" t="s">
        <v>11195</v>
      </c>
      <c r="I1026" s="13" t="s">
        <v>809</v>
      </c>
      <c r="J1026" s="13" t="s">
        <v>8890</v>
      </c>
      <c r="K1026" s="13" t="s">
        <v>8512</v>
      </c>
      <c r="L1026" s="13" t="s">
        <v>158</v>
      </c>
      <c r="M1026" t="s">
        <v>11195</v>
      </c>
    </row>
    <row r="1027" spans="1:13" x14ac:dyDescent="0.25">
      <c r="A1027" s="13" t="s">
        <v>10870</v>
      </c>
      <c r="B1027" s="13" t="s">
        <v>10867</v>
      </c>
      <c r="C1027" s="13" t="s">
        <v>10871</v>
      </c>
      <c r="D1027" s="13">
        <v>10</v>
      </c>
      <c r="E1027" s="13" t="s">
        <v>10872</v>
      </c>
      <c r="F1027" s="13" t="s">
        <v>8867</v>
      </c>
      <c r="G1027" s="13" t="s">
        <v>2</v>
      </c>
      <c r="H1027" s="13" t="s">
        <v>11195</v>
      </c>
      <c r="I1027" s="13" t="s">
        <v>809</v>
      </c>
      <c r="J1027" s="13" t="s">
        <v>8890</v>
      </c>
      <c r="K1027" s="13" t="s">
        <v>8512</v>
      </c>
      <c r="L1027" s="13" t="s">
        <v>158</v>
      </c>
      <c r="M1027" t="s">
        <v>11195</v>
      </c>
    </row>
    <row r="1028" spans="1:13" x14ac:dyDescent="0.25">
      <c r="A1028" s="13" t="s">
        <v>9880</v>
      </c>
      <c r="B1028" s="13" t="s">
        <v>9880</v>
      </c>
      <c r="C1028" s="13" t="s">
        <v>9881</v>
      </c>
      <c r="D1028" s="13">
        <v>5</v>
      </c>
      <c r="E1028" s="13" t="s">
        <v>9882</v>
      </c>
      <c r="F1028" s="13" t="s">
        <v>8867</v>
      </c>
      <c r="G1028" s="13" t="s">
        <v>2</v>
      </c>
      <c r="H1028" s="13" t="s">
        <v>3</v>
      </c>
      <c r="I1028" s="13" t="s">
        <v>1263</v>
      </c>
      <c r="J1028" s="13" t="s">
        <v>8890</v>
      </c>
      <c r="K1028" s="13" t="s">
        <v>8422</v>
      </c>
      <c r="L1028" s="13" t="s">
        <v>158</v>
      </c>
      <c r="M1028" t="s">
        <v>3</v>
      </c>
    </row>
    <row r="1029" spans="1:13" x14ac:dyDescent="0.25">
      <c r="A1029" s="13" t="s">
        <v>2826</v>
      </c>
      <c r="B1029" s="13" t="s">
        <v>2826</v>
      </c>
      <c r="C1029" s="13" t="s">
        <v>2827</v>
      </c>
      <c r="D1029" s="13">
        <v>3.5</v>
      </c>
      <c r="E1029" s="13" t="s">
        <v>2828</v>
      </c>
      <c r="F1029" s="13" t="s">
        <v>8867</v>
      </c>
      <c r="G1029" s="13" t="s">
        <v>2</v>
      </c>
      <c r="H1029" s="13" t="s">
        <v>3</v>
      </c>
      <c r="I1029" s="13" t="s">
        <v>1263</v>
      </c>
      <c r="J1029" s="13" t="s">
        <v>8890</v>
      </c>
      <c r="K1029" s="13" t="s">
        <v>8422</v>
      </c>
      <c r="L1029" s="13" t="s">
        <v>158</v>
      </c>
      <c r="M1029" t="s">
        <v>3</v>
      </c>
    </row>
    <row r="1030" spans="1:13" x14ac:dyDescent="0.25">
      <c r="A1030" s="13" t="s">
        <v>10174</v>
      </c>
      <c r="B1030" s="13" t="s">
        <v>10174</v>
      </c>
      <c r="C1030" s="13" t="s">
        <v>10175</v>
      </c>
      <c r="D1030" s="13">
        <v>1</v>
      </c>
      <c r="E1030" s="13" t="s">
        <v>10176</v>
      </c>
      <c r="F1030" s="13" t="s">
        <v>8867</v>
      </c>
      <c r="G1030" s="13" t="s">
        <v>2</v>
      </c>
      <c r="H1030" s="13" t="s">
        <v>3</v>
      </c>
      <c r="I1030" s="13" t="s">
        <v>1263</v>
      </c>
      <c r="J1030" s="13" t="s">
        <v>8890</v>
      </c>
      <c r="K1030" s="13" t="s">
        <v>8422</v>
      </c>
      <c r="L1030" s="13" t="s">
        <v>158</v>
      </c>
      <c r="M1030" t="s">
        <v>3</v>
      </c>
    </row>
    <row r="1031" spans="1:13" x14ac:dyDescent="0.25">
      <c r="A1031" s="13" t="s">
        <v>2829</v>
      </c>
      <c r="B1031" s="13" t="s">
        <v>2830</v>
      </c>
      <c r="C1031" s="13" t="s">
        <v>2831</v>
      </c>
      <c r="D1031" s="13">
        <v>14.5</v>
      </c>
      <c r="E1031" s="13" t="s">
        <v>2832</v>
      </c>
      <c r="F1031" s="13" t="s">
        <v>8867</v>
      </c>
      <c r="G1031" s="13" t="s">
        <v>2</v>
      </c>
      <c r="H1031" s="13" t="s">
        <v>9886</v>
      </c>
      <c r="I1031" s="13" t="s">
        <v>1978</v>
      </c>
      <c r="J1031" s="13" t="s">
        <v>8890</v>
      </c>
      <c r="K1031" s="13" t="s">
        <v>8570</v>
      </c>
      <c r="L1031" s="13" t="s">
        <v>158</v>
      </c>
      <c r="M1031" t="s">
        <v>4305</v>
      </c>
    </row>
    <row r="1032" spans="1:13" x14ac:dyDescent="0.25">
      <c r="A1032" s="13" t="s">
        <v>2833</v>
      </c>
      <c r="B1032" s="13" t="s">
        <v>2833</v>
      </c>
      <c r="C1032" s="13" t="s">
        <v>2834</v>
      </c>
      <c r="D1032" s="13">
        <v>40</v>
      </c>
      <c r="E1032" s="13" t="s">
        <v>2835</v>
      </c>
      <c r="F1032" s="13" t="s">
        <v>8867</v>
      </c>
      <c r="G1032" s="13" t="s">
        <v>2</v>
      </c>
      <c r="H1032" s="13" t="s">
        <v>8422</v>
      </c>
      <c r="I1032" s="13" t="s">
        <v>1263</v>
      </c>
      <c r="J1032" s="13" t="s">
        <v>8890</v>
      </c>
      <c r="K1032" s="13" t="s">
        <v>8422</v>
      </c>
      <c r="L1032" s="13" t="s">
        <v>158</v>
      </c>
      <c r="M1032" t="s">
        <v>10689</v>
      </c>
    </row>
    <row r="1033" spans="1:13" x14ac:dyDescent="0.25">
      <c r="A1033" s="13" t="s">
        <v>2836</v>
      </c>
      <c r="B1033" s="13" t="s">
        <v>2837</v>
      </c>
      <c r="C1033" s="13" t="s">
        <v>2838</v>
      </c>
      <c r="D1033" s="13">
        <v>10</v>
      </c>
      <c r="E1033" s="13" t="s">
        <v>2839</v>
      </c>
      <c r="F1033" s="13" t="s">
        <v>8867</v>
      </c>
      <c r="G1033" s="13" t="s">
        <v>2</v>
      </c>
      <c r="H1033" s="13" t="s">
        <v>3</v>
      </c>
      <c r="I1033" s="13" t="s">
        <v>1283</v>
      </c>
      <c r="J1033" s="13" t="s">
        <v>8890</v>
      </c>
      <c r="K1033" s="13" t="s">
        <v>8524</v>
      </c>
      <c r="L1033" s="13" t="s">
        <v>158</v>
      </c>
      <c r="M1033" t="s">
        <v>3</v>
      </c>
    </row>
    <row r="1034" spans="1:13" x14ac:dyDescent="0.25">
      <c r="A1034" s="13" t="s">
        <v>2840</v>
      </c>
      <c r="B1034" s="13" t="s">
        <v>2840</v>
      </c>
      <c r="C1034" s="13" t="s">
        <v>2841</v>
      </c>
      <c r="D1034" s="13">
        <v>1.8</v>
      </c>
      <c r="E1034" s="13" t="s">
        <v>2842</v>
      </c>
      <c r="F1034" s="13" t="s">
        <v>8867</v>
      </c>
      <c r="G1034" s="13" t="s">
        <v>2</v>
      </c>
      <c r="H1034" s="13" t="s">
        <v>3</v>
      </c>
      <c r="I1034" s="13" t="s">
        <v>1263</v>
      </c>
      <c r="J1034" s="13" t="s">
        <v>8890</v>
      </c>
      <c r="K1034" s="13" t="s">
        <v>8422</v>
      </c>
      <c r="L1034" s="13" t="s">
        <v>158</v>
      </c>
      <c r="M1034" t="s">
        <v>3</v>
      </c>
    </row>
    <row r="1035" spans="1:13" x14ac:dyDescent="0.25">
      <c r="A1035" s="13" t="s">
        <v>11216</v>
      </c>
      <c r="B1035" s="13" t="s">
        <v>11216</v>
      </c>
      <c r="C1035" s="13" t="s">
        <v>11217</v>
      </c>
      <c r="D1035" s="13">
        <v>8.5</v>
      </c>
      <c r="E1035" s="13" t="s">
        <v>11218</v>
      </c>
      <c r="F1035" s="13" t="s">
        <v>8867</v>
      </c>
      <c r="G1035" s="13" t="s">
        <v>2</v>
      </c>
      <c r="H1035" s="13" t="s">
        <v>3</v>
      </c>
      <c r="I1035" s="13" t="s">
        <v>1263</v>
      </c>
      <c r="J1035" s="13" t="s">
        <v>8890</v>
      </c>
      <c r="K1035" s="13" t="s">
        <v>8422</v>
      </c>
      <c r="L1035" s="13" t="s">
        <v>158</v>
      </c>
      <c r="M1035" t="s">
        <v>3</v>
      </c>
    </row>
    <row r="1036" spans="1:13" x14ac:dyDescent="0.25">
      <c r="A1036" s="13" t="s">
        <v>2843</v>
      </c>
      <c r="B1036" s="13" t="s">
        <v>2844</v>
      </c>
      <c r="C1036" s="13" t="s">
        <v>2845</v>
      </c>
      <c r="D1036" s="13">
        <v>3.5</v>
      </c>
      <c r="E1036" s="13" t="s">
        <v>2846</v>
      </c>
      <c r="F1036" s="13" t="s">
        <v>8867</v>
      </c>
      <c r="G1036" s="13" t="s">
        <v>2</v>
      </c>
      <c r="H1036" s="13" t="s">
        <v>3</v>
      </c>
      <c r="I1036" s="13" t="s">
        <v>1283</v>
      </c>
      <c r="J1036" s="13" t="s">
        <v>8890</v>
      </c>
      <c r="K1036" s="13" t="s">
        <v>8524</v>
      </c>
      <c r="L1036" s="13" t="s">
        <v>158</v>
      </c>
      <c r="M1036" t="s">
        <v>3</v>
      </c>
    </row>
    <row r="1037" spans="1:13" x14ac:dyDescent="0.25">
      <c r="A1037" s="13" t="s">
        <v>2847</v>
      </c>
      <c r="B1037" s="13" t="s">
        <v>2847</v>
      </c>
      <c r="C1037" s="13" t="s">
        <v>2848</v>
      </c>
      <c r="D1037" s="13">
        <v>7</v>
      </c>
      <c r="E1037" s="13" t="s">
        <v>2849</v>
      </c>
      <c r="F1037" s="13" t="s">
        <v>8867</v>
      </c>
      <c r="G1037" s="13" t="s">
        <v>2</v>
      </c>
      <c r="H1037" s="13" t="s">
        <v>3</v>
      </c>
      <c r="I1037" s="13" t="s">
        <v>1263</v>
      </c>
      <c r="J1037" s="13" t="s">
        <v>8890</v>
      </c>
      <c r="K1037" s="13" t="s">
        <v>8422</v>
      </c>
      <c r="L1037" s="13" t="s">
        <v>158</v>
      </c>
      <c r="M1037" t="s">
        <v>3</v>
      </c>
    </row>
    <row r="1038" spans="1:13" x14ac:dyDescent="0.25">
      <c r="A1038" s="13" t="s">
        <v>2850</v>
      </c>
      <c r="B1038" s="13" t="s">
        <v>2850</v>
      </c>
      <c r="C1038" s="13" t="s">
        <v>2851</v>
      </c>
      <c r="D1038" s="13">
        <v>7.5</v>
      </c>
      <c r="E1038" s="13" t="s">
        <v>2852</v>
      </c>
      <c r="F1038" s="13" t="s">
        <v>8867</v>
      </c>
      <c r="G1038" s="13" t="s">
        <v>2</v>
      </c>
      <c r="H1038" s="13" t="s">
        <v>3</v>
      </c>
      <c r="I1038" s="13" t="s">
        <v>1263</v>
      </c>
      <c r="J1038" s="13" t="s">
        <v>8890</v>
      </c>
      <c r="K1038" s="13" t="s">
        <v>8422</v>
      </c>
      <c r="L1038" s="13" t="s">
        <v>158</v>
      </c>
      <c r="M1038" t="s">
        <v>3</v>
      </c>
    </row>
    <row r="1039" spans="1:13" x14ac:dyDescent="0.25">
      <c r="A1039" s="13" t="s">
        <v>2853</v>
      </c>
      <c r="B1039" s="13" t="s">
        <v>2853</v>
      </c>
      <c r="C1039" s="13" t="s">
        <v>2854</v>
      </c>
      <c r="D1039" s="13">
        <v>7</v>
      </c>
      <c r="E1039" s="13" t="s">
        <v>2855</v>
      </c>
      <c r="F1039" s="13" t="s">
        <v>8867</v>
      </c>
      <c r="G1039" s="13" t="s">
        <v>2</v>
      </c>
      <c r="H1039" s="13" t="s">
        <v>3</v>
      </c>
      <c r="I1039" s="13" t="s">
        <v>1263</v>
      </c>
      <c r="J1039" s="13" t="s">
        <v>8890</v>
      </c>
      <c r="K1039" s="13" t="s">
        <v>8422</v>
      </c>
      <c r="L1039" s="13" t="s">
        <v>158</v>
      </c>
      <c r="M1039" t="s">
        <v>3</v>
      </c>
    </row>
    <row r="1040" spans="1:13" ht="26.25" x14ac:dyDescent="0.25">
      <c r="A1040" s="13" t="s">
        <v>10471</v>
      </c>
      <c r="B1040" s="13" t="s">
        <v>10471</v>
      </c>
      <c r="C1040" s="13" t="s">
        <v>10472</v>
      </c>
      <c r="D1040" s="13">
        <v>500</v>
      </c>
      <c r="E1040" s="13" t="s">
        <v>10473</v>
      </c>
      <c r="F1040" s="13" t="s">
        <v>8860</v>
      </c>
      <c r="G1040" s="13" t="s">
        <v>19</v>
      </c>
      <c r="H1040" s="13" t="s">
        <v>3</v>
      </c>
      <c r="I1040" s="13" t="s">
        <v>10474</v>
      </c>
      <c r="J1040" s="13" t="s">
        <v>21</v>
      </c>
      <c r="K1040" s="13" t="s">
        <v>10475</v>
      </c>
      <c r="L1040" s="13" t="s">
        <v>18</v>
      </c>
      <c r="M1040" t="s">
        <v>3</v>
      </c>
    </row>
    <row r="1041" spans="1:13" x14ac:dyDescent="0.25">
      <c r="A1041" s="13" t="s">
        <v>2856</v>
      </c>
      <c r="B1041" s="13" t="s">
        <v>2856</v>
      </c>
      <c r="C1041" s="13" t="s">
        <v>2857</v>
      </c>
      <c r="D1041" s="13">
        <v>1.2</v>
      </c>
      <c r="E1041" s="13" t="s">
        <v>2858</v>
      </c>
      <c r="F1041" s="13" t="s">
        <v>8867</v>
      </c>
      <c r="G1041" s="13" t="s">
        <v>2</v>
      </c>
      <c r="H1041" s="13" t="s">
        <v>3</v>
      </c>
      <c r="I1041" s="13" t="s">
        <v>1263</v>
      </c>
      <c r="J1041" s="13" t="s">
        <v>8890</v>
      </c>
      <c r="K1041" s="13" t="s">
        <v>8422</v>
      </c>
      <c r="L1041" s="13" t="s">
        <v>158</v>
      </c>
      <c r="M1041" t="s">
        <v>3</v>
      </c>
    </row>
    <row r="1042" spans="1:13" x14ac:dyDescent="0.25">
      <c r="A1042" s="13" t="s">
        <v>11036</v>
      </c>
      <c r="B1042" s="13" t="s">
        <v>11036</v>
      </c>
      <c r="C1042" s="13" t="s">
        <v>11037</v>
      </c>
      <c r="D1042" s="13">
        <v>1.8</v>
      </c>
      <c r="E1042" s="13" t="s">
        <v>11038</v>
      </c>
      <c r="F1042" s="13" t="s">
        <v>8867</v>
      </c>
      <c r="G1042" s="13" t="s">
        <v>2</v>
      </c>
      <c r="H1042" s="13" t="s">
        <v>3</v>
      </c>
      <c r="I1042" s="13" t="s">
        <v>1263</v>
      </c>
      <c r="J1042" s="13" t="s">
        <v>8890</v>
      </c>
      <c r="K1042" s="13" t="s">
        <v>8422</v>
      </c>
      <c r="L1042" s="13" t="s">
        <v>158</v>
      </c>
      <c r="M1042" t="s">
        <v>3</v>
      </c>
    </row>
    <row r="1043" spans="1:13" x14ac:dyDescent="0.25">
      <c r="A1043" s="13" t="s">
        <v>2859</v>
      </c>
      <c r="B1043" s="13" t="s">
        <v>2860</v>
      </c>
      <c r="C1043" s="13" t="s">
        <v>2860</v>
      </c>
      <c r="D1043" s="13">
        <v>121.8</v>
      </c>
      <c r="E1043" s="13" t="s">
        <v>2861</v>
      </c>
      <c r="F1043" s="13" t="s">
        <v>8867</v>
      </c>
      <c r="G1043" s="13" t="s">
        <v>2</v>
      </c>
      <c r="H1043" s="13" t="s">
        <v>3</v>
      </c>
      <c r="I1043" s="13" t="s">
        <v>435</v>
      </c>
      <c r="J1043" s="13" t="s">
        <v>8890</v>
      </c>
      <c r="K1043" s="13" t="s">
        <v>8469</v>
      </c>
      <c r="L1043" s="13" t="s">
        <v>158</v>
      </c>
      <c r="M1043" t="s">
        <v>3</v>
      </c>
    </row>
    <row r="1044" spans="1:13" x14ac:dyDescent="0.25">
      <c r="A1044" s="13" t="s">
        <v>2862</v>
      </c>
      <c r="B1044" s="13" t="s">
        <v>2863</v>
      </c>
      <c r="C1044" s="13" t="s">
        <v>9095</v>
      </c>
      <c r="D1044" s="13">
        <v>9.8000000000000007</v>
      </c>
      <c r="E1044" s="13" t="s">
        <v>2864</v>
      </c>
      <c r="F1044" s="13" t="s">
        <v>8867</v>
      </c>
      <c r="G1044" s="13" t="s">
        <v>2</v>
      </c>
      <c r="H1044" s="13" t="s">
        <v>3</v>
      </c>
      <c r="I1044" s="13" t="s">
        <v>1263</v>
      </c>
      <c r="J1044" s="13" t="s">
        <v>8890</v>
      </c>
      <c r="K1044" s="13" t="s">
        <v>8422</v>
      </c>
      <c r="L1044" s="13" t="s">
        <v>158</v>
      </c>
      <c r="M1044" t="s">
        <v>3</v>
      </c>
    </row>
    <row r="1045" spans="1:13" x14ac:dyDescent="0.25">
      <c r="A1045" s="13" t="s">
        <v>2865</v>
      </c>
      <c r="B1045" s="13" t="s">
        <v>2865</v>
      </c>
      <c r="C1045" s="13" t="s">
        <v>2866</v>
      </c>
      <c r="D1045" s="13">
        <v>41</v>
      </c>
      <c r="E1045" s="13" t="s">
        <v>2867</v>
      </c>
      <c r="F1045" s="13" t="s">
        <v>8867</v>
      </c>
      <c r="G1045" s="13" t="s">
        <v>2</v>
      </c>
      <c r="H1045" s="13" t="s">
        <v>8422</v>
      </c>
      <c r="I1045" s="13" t="s">
        <v>1263</v>
      </c>
      <c r="J1045" s="13" t="s">
        <v>8890</v>
      </c>
      <c r="K1045" s="13" t="s">
        <v>8422</v>
      </c>
      <c r="L1045" s="13" t="s">
        <v>158</v>
      </c>
      <c r="M1045" t="s">
        <v>10689</v>
      </c>
    </row>
    <row r="1046" spans="1:13" x14ac:dyDescent="0.25">
      <c r="A1046" s="13" t="s">
        <v>2868</v>
      </c>
      <c r="B1046" s="13" t="s">
        <v>2868</v>
      </c>
      <c r="C1046" s="13" t="s">
        <v>2869</v>
      </c>
      <c r="D1046" s="13">
        <v>32</v>
      </c>
      <c r="E1046" s="13" t="s">
        <v>2870</v>
      </c>
      <c r="F1046" s="13" t="s">
        <v>8867</v>
      </c>
      <c r="G1046" s="13" t="s">
        <v>2</v>
      </c>
      <c r="H1046" s="13" t="s">
        <v>8422</v>
      </c>
      <c r="I1046" s="13" t="s">
        <v>1263</v>
      </c>
      <c r="J1046" s="13" t="s">
        <v>8890</v>
      </c>
      <c r="K1046" s="13" t="s">
        <v>8422</v>
      </c>
      <c r="L1046" s="13" t="s">
        <v>158</v>
      </c>
      <c r="M1046" t="s">
        <v>10689</v>
      </c>
    </row>
    <row r="1047" spans="1:13" x14ac:dyDescent="0.25">
      <c r="A1047" s="13" t="s">
        <v>9883</v>
      </c>
      <c r="B1047" s="13" t="s">
        <v>9883</v>
      </c>
      <c r="C1047" s="13" t="s">
        <v>9884</v>
      </c>
      <c r="D1047" s="13">
        <v>5</v>
      </c>
      <c r="E1047" s="13" t="s">
        <v>9885</v>
      </c>
      <c r="F1047" s="13" t="s">
        <v>8867</v>
      </c>
      <c r="G1047" s="13" t="s">
        <v>2</v>
      </c>
      <c r="H1047" s="13" t="s">
        <v>3</v>
      </c>
      <c r="I1047" s="13" t="s">
        <v>1263</v>
      </c>
      <c r="J1047" s="13" t="s">
        <v>8890</v>
      </c>
      <c r="K1047" s="13" t="s">
        <v>8422</v>
      </c>
      <c r="L1047" s="13" t="s">
        <v>158</v>
      </c>
      <c r="M1047" t="s">
        <v>3</v>
      </c>
    </row>
    <row r="1048" spans="1:13" x14ac:dyDescent="0.25">
      <c r="A1048" s="13" t="s">
        <v>2871</v>
      </c>
      <c r="B1048" s="13" t="s">
        <v>2872</v>
      </c>
      <c r="C1048" s="13" t="s">
        <v>2873</v>
      </c>
      <c r="D1048" s="13">
        <v>1.2</v>
      </c>
      <c r="E1048" s="13" t="s">
        <v>2874</v>
      </c>
      <c r="F1048" s="13" t="s">
        <v>8867</v>
      </c>
      <c r="G1048" s="13" t="s">
        <v>2</v>
      </c>
      <c r="H1048" s="13" t="s">
        <v>3</v>
      </c>
      <c r="I1048" s="13" t="s">
        <v>1978</v>
      </c>
      <c r="J1048" s="13" t="s">
        <v>8890</v>
      </c>
      <c r="K1048" s="13" t="s">
        <v>8570</v>
      </c>
      <c r="L1048" s="13" t="s">
        <v>158</v>
      </c>
      <c r="M1048" t="s">
        <v>3</v>
      </c>
    </row>
    <row r="1049" spans="1:13" x14ac:dyDescent="0.25">
      <c r="A1049" s="13" t="s">
        <v>2875</v>
      </c>
      <c r="B1049" s="13" t="s">
        <v>2875</v>
      </c>
      <c r="C1049" s="13" t="s">
        <v>2876</v>
      </c>
      <c r="D1049" s="13">
        <v>30</v>
      </c>
      <c r="E1049" s="13" t="s">
        <v>2877</v>
      </c>
      <c r="F1049" s="13" t="s">
        <v>8867</v>
      </c>
      <c r="G1049" s="13" t="s">
        <v>2</v>
      </c>
      <c r="H1049" s="13" t="s">
        <v>3</v>
      </c>
      <c r="I1049" s="13" t="s">
        <v>447</v>
      </c>
      <c r="J1049" s="13" t="s">
        <v>8890</v>
      </c>
      <c r="K1049" s="13" t="s">
        <v>8421</v>
      </c>
      <c r="L1049" s="13" t="s">
        <v>158</v>
      </c>
      <c r="M1049" t="s">
        <v>3</v>
      </c>
    </row>
    <row r="1050" spans="1:13" x14ac:dyDescent="0.25">
      <c r="A1050" s="13" t="s">
        <v>2878</v>
      </c>
      <c r="B1050" s="13" t="s">
        <v>2879</v>
      </c>
      <c r="C1050" s="13" t="s">
        <v>2880</v>
      </c>
      <c r="D1050" s="13">
        <v>4.7</v>
      </c>
      <c r="E1050" s="13" t="s">
        <v>2881</v>
      </c>
      <c r="F1050" s="13" t="s">
        <v>8867</v>
      </c>
      <c r="G1050" s="13" t="s">
        <v>2</v>
      </c>
      <c r="H1050" s="13" t="s">
        <v>3</v>
      </c>
      <c r="I1050" s="13" t="s">
        <v>1978</v>
      </c>
      <c r="J1050" s="13" t="s">
        <v>8890</v>
      </c>
      <c r="K1050" s="13" t="s">
        <v>8570</v>
      </c>
      <c r="L1050" s="13" t="s">
        <v>158</v>
      </c>
      <c r="M1050" t="s">
        <v>3</v>
      </c>
    </row>
    <row r="1051" spans="1:13" x14ac:dyDescent="0.25">
      <c r="A1051" s="13" t="s">
        <v>2882</v>
      </c>
      <c r="B1051" s="13" t="s">
        <v>2883</v>
      </c>
      <c r="C1051" s="13" t="s">
        <v>2884</v>
      </c>
      <c r="D1051" s="13">
        <v>4.7</v>
      </c>
      <c r="E1051" s="13" t="s">
        <v>2885</v>
      </c>
      <c r="F1051" s="13" t="s">
        <v>8867</v>
      </c>
      <c r="G1051" s="13" t="s">
        <v>2</v>
      </c>
      <c r="H1051" s="13" t="s">
        <v>3</v>
      </c>
      <c r="I1051" s="13" t="s">
        <v>1978</v>
      </c>
      <c r="J1051" s="13" t="s">
        <v>8890</v>
      </c>
      <c r="K1051" s="13" t="s">
        <v>8570</v>
      </c>
      <c r="L1051" s="13" t="s">
        <v>158</v>
      </c>
      <c r="M1051" t="s">
        <v>3</v>
      </c>
    </row>
    <row r="1052" spans="1:13" x14ac:dyDescent="0.25">
      <c r="A1052" s="13" t="s">
        <v>10873</v>
      </c>
      <c r="B1052" s="13" t="s">
        <v>10873</v>
      </c>
      <c r="C1052" s="13" t="s">
        <v>10874</v>
      </c>
      <c r="D1052" s="13">
        <v>15.5</v>
      </c>
      <c r="E1052" s="13" t="s">
        <v>10875</v>
      </c>
      <c r="F1052" s="13" t="s">
        <v>8867</v>
      </c>
      <c r="G1052" s="13" t="s">
        <v>2</v>
      </c>
      <c r="H1052" s="13" t="s">
        <v>3</v>
      </c>
      <c r="I1052" s="13" t="s">
        <v>1263</v>
      </c>
      <c r="J1052" s="13" t="s">
        <v>8890</v>
      </c>
      <c r="K1052" s="13" t="s">
        <v>8422</v>
      </c>
      <c r="L1052" s="13" t="s">
        <v>158</v>
      </c>
      <c r="M1052" t="s">
        <v>3</v>
      </c>
    </row>
    <row r="1053" spans="1:13" x14ac:dyDescent="0.25">
      <c r="A1053" s="13" t="s">
        <v>2886</v>
      </c>
      <c r="B1053" s="13" t="s">
        <v>2886</v>
      </c>
      <c r="C1053" s="13" t="s">
        <v>2887</v>
      </c>
      <c r="D1053" s="13">
        <v>44</v>
      </c>
      <c r="E1053" s="13" t="s">
        <v>2888</v>
      </c>
      <c r="F1053" s="13" t="s">
        <v>8867</v>
      </c>
      <c r="G1053" s="13" t="s">
        <v>2</v>
      </c>
      <c r="H1053" s="13" t="s">
        <v>9060</v>
      </c>
      <c r="I1053" s="13" t="s">
        <v>706</v>
      </c>
      <c r="J1053" s="13" t="s">
        <v>8890</v>
      </c>
      <c r="K1053" s="13" t="s">
        <v>8419</v>
      </c>
      <c r="L1053" s="13" t="s">
        <v>158</v>
      </c>
      <c r="M1053" t="s">
        <v>9060</v>
      </c>
    </row>
    <row r="1054" spans="1:13" x14ac:dyDescent="0.25">
      <c r="A1054" s="13" t="s">
        <v>2889</v>
      </c>
      <c r="B1054" s="13" t="s">
        <v>2889</v>
      </c>
      <c r="C1054" s="13" t="s">
        <v>2889</v>
      </c>
      <c r="D1054" s="13">
        <v>44</v>
      </c>
      <c r="E1054" s="13" t="s">
        <v>2890</v>
      </c>
      <c r="F1054" s="13" t="s">
        <v>8867</v>
      </c>
      <c r="G1054" s="13" t="s">
        <v>2</v>
      </c>
      <c r="H1054" s="13" t="s">
        <v>9060</v>
      </c>
      <c r="I1054" s="13" t="s">
        <v>706</v>
      </c>
      <c r="J1054" s="13" t="s">
        <v>8890</v>
      </c>
      <c r="K1054" s="13" t="s">
        <v>8419</v>
      </c>
      <c r="L1054" s="13" t="s">
        <v>158</v>
      </c>
      <c r="M1054" t="s">
        <v>9060</v>
      </c>
    </row>
    <row r="1055" spans="1:13" ht="26.25" x14ac:dyDescent="0.25">
      <c r="A1055" s="13" t="s">
        <v>2891</v>
      </c>
      <c r="B1055" s="13" t="s">
        <v>2891</v>
      </c>
      <c r="C1055" s="13" t="s">
        <v>2891</v>
      </c>
      <c r="D1055" s="13">
        <v>44</v>
      </c>
      <c r="E1055" s="13" t="s">
        <v>2892</v>
      </c>
      <c r="F1055" s="13" t="s">
        <v>8867</v>
      </c>
      <c r="G1055" s="13" t="s">
        <v>2</v>
      </c>
      <c r="H1055" s="13" t="s">
        <v>9060</v>
      </c>
      <c r="I1055" s="13" t="s">
        <v>706</v>
      </c>
      <c r="J1055" s="13" t="s">
        <v>8890</v>
      </c>
      <c r="K1055" s="13" t="s">
        <v>8419</v>
      </c>
      <c r="L1055" s="13" t="s">
        <v>158</v>
      </c>
      <c r="M1055" t="s">
        <v>9060</v>
      </c>
    </row>
    <row r="1056" spans="1:13" x14ac:dyDescent="0.25">
      <c r="A1056" s="13" t="s">
        <v>9096</v>
      </c>
      <c r="B1056" s="13" t="s">
        <v>9096</v>
      </c>
      <c r="C1056" s="13" t="s">
        <v>9097</v>
      </c>
      <c r="D1056" s="13">
        <v>0.9</v>
      </c>
      <c r="E1056" s="13" t="s">
        <v>9098</v>
      </c>
      <c r="F1056" s="13" t="s">
        <v>8867</v>
      </c>
      <c r="G1056" s="13" t="s">
        <v>2</v>
      </c>
      <c r="H1056" s="13" t="s">
        <v>3</v>
      </c>
      <c r="I1056" s="13" t="s">
        <v>1263</v>
      </c>
      <c r="J1056" s="13" t="s">
        <v>8890</v>
      </c>
      <c r="K1056" s="13" t="s">
        <v>8422</v>
      </c>
      <c r="L1056" s="13" t="s">
        <v>158</v>
      </c>
      <c r="M1056" t="s">
        <v>3</v>
      </c>
    </row>
    <row r="1057" spans="1:13" x14ac:dyDescent="0.25">
      <c r="A1057" s="13" t="s">
        <v>9099</v>
      </c>
      <c r="B1057" s="13" t="s">
        <v>9099</v>
      </c>
      <c r="C1057" s="13" t="s">
        <v>9100</v>
      </c>
      <c r="D1057" s="13">
        <v>0.9</v>
      </c>
      <c r="E1057" s="13" t="s">
        <v>9101</v>
      </c>
      <c r="F1057" s="13" t="s">
        <v>8867</v>
      </c>
      <c r="G1057" s="13" t="s">
        <v>2</v>
      </c>
      <c r="H1057" s="13" t="s">
        <v>3</v>
      </c>
      <c r="I1057" s="13" t="s">
        <v>1263</v>
      </c>
      <c r="J1057" s="13" t="s">
        <v>8890</v>
      </c>
      <c r="K1057" s="13" t="s">
        <v>8422</v>
      </c>
      <c r="L1057" s="13" t="s">
        <v>158</v>
      </c>
      <c r="M1057" t="s">
        <v>3</v>
      </c>
    </row>
    <row r="1058" spans="1:13" x14ac:dyDescent="0.25">
      <c r="A1058" s="13" t="s">
        <v>2893</v>
      </c>
      <c r="B1058" s="13" t="s">
        <v>2893</v>
      </c>
      <c r="C1058" s="13" t="s">
        <v>2894</v>
      </c>
      <c r="D1058" s="13">
        <v>40</v>
      </c>
      <c r="E1058" s="13" t="s">
        <v>2895</v>
      </c>
      <c r="F1058" s="13" t="s">
        <v>8867</v>
      </c>
      <c r="G1058" s="13" t="s">
        <v>2</v>
      </c>
      <c r="H1058" s="13" t="s">
        <v>8422</v>
      </c>
      <c r="I1058" s="13" t="s">
        <v>1263</v>
      </c>
      <c r="J1058" s="13" t="s">
        <v>8890</v>
      </c>
      <c r="K1058" s="13" t="s">
        <v>8422</v>
      </c>
      <c r="L1058" s="13" t="s">
        <v>158</v>
      </c>
      <c r="M1058" t="s">
        <v>10689</v>
      </c>
    </row>
    <row r="1059" spans="1:13" x14ac:dyDescent="0.25">
      <c r="A1059" s="13" t="s">
        <v>9721</v>
      </c>
      <c r="B1059" s="13" t="s">
        <v>9722</v>
      </c>
      <c r="C1059" s="13" t="s">
        <v>9723</v>
      </c>
      <c r="D1059" s="13">
        <v>19</v>
      </c>
      <c r="E1059" s="13" t="s">
        <v>9724</v>
      </c>
      <c r="F1059" s="13" t="s">
        <v>8867</v>
      </c>
      <c r="G1059" s="13" t="s">
        <v>2</v>
      </c>
      <c r="H1059" s="13" t="s">
        <v>3</v>
      </c>
      <c r="I1059" s="13" t="s">
        <v>1283</v>
      </c>
      <c r="J1059" s="13" t="s">
        <v>8890</v>
      </c>
      <c r="K1059" s="13" t="s">
        <v>8524</v>
      </c>
      <c r="L1059" s="13" t="s">
        <v>158</v>
      </c>
      <c r="M1059" t="s">
        <v>3</v>
      </c>
    </row>
    <row r="1060" spans="1:13" x14ac:dyDescent="0.25">
      <c r="A1060" s="13" t="s">
        <v>11039</v>
      </c>
      <c r="B1060" s="13" t="s">
        <v>11039</v>
      </c>
      <c r="C1060" s="13" t="s">
        <v>11040</v>
      </c>
      <c r="D1060" s="13">
        <v>7.4</v>
      </c>
      <c r="E1060" s="13" t="s">
        <v>11041</v>
      </c>
      <c r="F1060" s="13" t="s">
        <v>8867</v>
      </c>
      <c r="G1060" s="13" t="s">
        <v>2</v>
      </c>
      <c r="H1060" s="13" t="s">
        <v>3</v>
      </c>
      <c r="I1060" s="13" t="s">
        <v>1263</v>
      </c>
      <c r="J1060" s="13" t="s">
        <v>8890</v>
      </c>
      <c r="K1060" s="13" t="s">
        <v>8422</v>
      </c>
      <c r="L1060" s="13" t="s">
        <v>158</v>
      </c>
      <c r="M1060" t="s">
        <v>3</v>
      </c>
    </row>
    <row r="1061" spans="1:13" ht="26.25" x14ac:dyDescent="0.25">
      <c r="A1061" s="13" t="s">
        <v>2896</v>
      </c>
      <c r="B1061" s="13" t="s">
        <v>2896</v>
      </c>
      <c r="C1061" s="13" t="s">
        <v>2897</v>
      </c>
      <c r="D1061" s="13">
        <v>85</v>
      </c>
      <c r="E1061" s="13" t="s">
        <v>2898</v>
      </c>
      <c r="F1061" s="13" t="s">
        <v>9717</v>
      </c>
      <c r="G1061" s="13" t="s">
        <v>2</v>
      </c>
      <c r="H1061" s="13" t="s">
        <v>3</v>
      </c>
      <c r="I1061" s="13" t="s">
        <v>137</v>
      </c>
      <c r="J1061" s="13" t="s">
        <v>9004</v>
      </c>
      <c r="K1061" s="13" t="s">
        <v>8429</v>
      </c>
      <c r="L1061" s="13" t="s">
        <v>10021</v>
      </c>
      <c r="M1061" t="s">
        <v>3</v>
      </c>
    </row>
    <row r="1062" spans="1:13" x14ac:dyDescent="0.25">
      <c r="A1062" s="13" t="s">
        <v>2899</v>
      </c>
      <c r="B1062" s="13" t="s">
        <v>2900</v>
      </c>
      <c r="C1062" s="13" t="s">
        <v>2901</v>
      </c>
      <c r="D1062" s="13">
        <v>2.1</v>
      </c>
      <c r="E1062" s="13" t="s">
        <v>2902</v>
      </c>
      <c r="F1062" s="13" t="s">
        <v>8867</v>
      </c>
      <c r="G1062" s="13" t="s">
        <v>2</v>
      </c>
      <c r="H1062" s="13" t="s">
        <v>3</v>
      </c>
      <c r="I1062" s="13" t="s">
        <v>1978</v>
      </c>
      <c r="J1062" s="13" t="s">
        <v>8890</v>
      </c>
      <c r="K1062" s="13" t="s">
        <v>8570</v>
      </c>
      <c r="L1062" s="13" t="s">
        <v>158</v>
      </c>
      <c r="M1062" t="s">
        <v>3</v>
      </c>
    </row>
    <row r="1063" spans="1:13" ht="26.25" x14ac:dyDescent="0.25">
      <c r="A1063" s="13" t="s">
        <v>2903</v>
      </c>
      <c r="B1063" s="13" t="s">
        <v>2903</v>
      </c>
      <c r="C1063" s="13" t="s">
        <v>2904</v>
      </c>
      <c r="D1063" s="13">
        <v>41.2</v>
      </c>
      <c r="E1063" s="13" t="s">
        <v>2905</v>
      </c>
      <c r="F1063" s="13" t="s">
        <v>8867</v>
      </c>
      <c r="G1063" s="13" t="s">
        <v>2</v>
      </c>
      <c r="H1063" s="13" t="s">
        <v>8422</v>
      </c>
      <c r="I1063" s="13" t="s">
        <v>1263</v>
      </c>
      <c r="J1063" s="13" t="s">
        <v>8890</v>
      </c>
      <c r="K1063" s="13" t="s">
        <v>8422</v>
      </c>
      <c r="L1063" s="13" t="s">
        <v>158</v>
      </c>
      <c r="M1063" t="s">
        <v>10689</v>
      </c>
    </row>
    <row r="1064" spans="1:13" x14ac:dyDescent="0.25">
      <c r="A1064" s="13" t="s">
        <v>2906</v>
      </c>
      <c r="B1064" s="13" t="s">
        <v>2906</v>
      </c>
      <c r="C1064" s="13" t="s">
        <v>2907</v>
      </c>
      <c r="D1064" s="13">
        <v>41.2</v>
      </c>
      <c r="E1064" s="13" t="s">
        <v>2908</v>
      </c>
      <c r="F1064" s="13" t="s">
        <v>8867</v>
      </c>
      <c r="G1064" s="13" t="s">
        <v>2</v>
      </c>
      <c r="H1064" s="13" t="s">
        <v>8422</v>
      </c>
      <c r="I1064" s="13" t="s">
        <v>1263</v>
      </c>
      <c r="J1064" s="13" t="s">
        <v>8890</v>
      </c>
      <c r="K1064" s="13" t="s">
        <v>8422</v>
      </c>
      <c r="L1064" s="13" t="s">
        <v>158</v>
      </c>
      <c r="M1064" t="s">
        <v>10689</v>
      </c>
    </row>
    <row r="1065" spans="1:13" x14ac:dyDescent="0.25">
      <c r="A1065" s="13" t="s">
        <v>2909</v>
      </c>
      <c r="B1065" s="13" t="s">
        <v>2909</v>
      </c>
      <c r="C1065" s="13" t="s">
        <v>2910</v>
      </c>
      <c r="D1065" s="13">
        <v>41.2</v>
      </c>
      <c r="E1065" s="13" t="s">
        <v>2911</v>
      </c>
      <c r="F1065" s="13" t="s">
        <v>8867</v>
      </c>
      <c r="G1065" s="13" t="s">
        <v>2</v>
      </c>
      <c r="H1065" s="13" t="s">
        <v>8422</v>
      </c>
      <c r="I1065" s="13" t="s">
        <v>1263</v>
      </c>
      <c r="J1065" s="13" t="s">
        <v>8890</v>
      </c>
      <c r="K1065" s="13" t="s">
        <v>8422</v>
      </c>
      <c r="L1065" s="13" t="s">
        <v>158</v>
      </c>
      <c r="M1065" t="s">
        <v>10689</v>
      </c>
    </row>
    <row r="1066" spans="1:13" x14ac:dyDescent="0.25">
      <c r="A1066" s="13" t="s">
        <v>2912</v>
      </c>
      <c r="B1066" s="13" t="s">
        <v>2913</v>
      </c>
      <c r="C1066" s="13" t="s">
        <v>2914</v>
      </c>
      <c r="D1066" s="13">
        <v>17</v>
      </c>
      <c r="E1066" s="13" t="s">
        <v>2915</v>
      </c>
      <c r="F1066" s="13" t="s">
        <v>8867</v>
      </c>
      <c r="G1066" s="13" t="s">
        <v>2</v>
      </c>
      <c r="H1066" s="13" t="s">
        <v>3</v>
      </c>
      <c r="I1066" s="13" t="s">
        <v>1978</v>
      </c>
      <c r="J1066" s="13" t="s">
        <v>8890</v>
      </c>
      <c r="K1066" s="13" t="s">
        <v>8570</v>
      </c>
      <c r="L1066" s="13" t="s">
        <v>158</v>
      </c>
      <c r="M1066" t="s">
        <v>3</v>
      </c>
    </row>
    <row r="1067" spans="1:13" x14ac:dyDescent="0.25">
      <c r="A1067" s="13" t="s">
        <v>11778</v>
      </c>
      <c r="B1067" s="13" t="s">
        <v>11778</v>
      </c>
      <c r="C1067" s="13" t="s">
        <v>11779</v>
      </c>
      <c r="D1067" s="13">
        <v>14</v>
      </c>
      <c r="E1067" s="13" t="s">
        <v>11780</v>
      </c>
      <c r="F1067" s="13" t="s">
        <v>8867</v>
      </c>
      <c r="G1067" s="13" t="s">
        <v>2</v>
      </c>
      <c r="H1067" s="13" t="s">
        <v>3</v>
      </c>
      <c r="I1067" s="13" t="s">
        <v>1263</v>
      </c>
      <c r="J1067" s="13" t="s">
        <v>8890</v>
      </c>
      <c r="K1067" s="13" t="s">
        <v>8422</v>
      </c>
      <c r="L1067" s="13" t="s">
        <v>158</v>
      </c>
      <c r="M1067" t="s">
        <v>3</v>
      </c>
    </row>
    <row r="1068" spans="1:13" x14ac:dyDescent="0.25">
      <c r="A1068" s="13" t="s">
        <v>11781</v>
      </c>
      <c r="B1068" s="13" t="s">
        <v>11781</v>
      </c>
      <c r="C1068" s="13" t="s">
        <v>11782</v>
      </c>
      <c r="D1068" s="13">
        <v>7</v>
      </c>
      <c r="E1068" s="13" t="s">
        <v>11783</v>
      </c>
      <c r="F1068" s="13" t="s">
        <v>8867</v>
      </c>
      <c r="G1068" s="13" t="s">
        <v>2</v>
      </c>
      <c r="H1068" s="13" t="s">
        <v>3</v>
      </c>
      <c r="I1068" s="13" t="s">
        <v>1263</v>
      </c>
      <c r="J1068" s="13" t="s">
        <v>8890</v>
      </c>
      <c r="K1068" s="13" t="s">
        <v>8422</v>
      </c>
      <c r="L1068" s="13" t="s">
        <v>158</v>
      </c>
      <c r="M1068" t="s">
        <v>3</v>
      </c>
    </row>
    <row r="1069" spans="1:13" x14ac:dyDescent="0.25">
      <c r="A1069" s="13" t="s">
        <v>11594</v>
      </c>
      <c r="B1069" s="13" t="s">
        <v>11594</v>
      </c>
      <c r="C1069" s="13" t="s">
        <v>11595</v>
      </c>
      <c r="D1069" s="13">
        <v>9</v>
      </c>
      <c r="E1069" s="13" t="s">
        <v>11596</v>
      </c>
      <c r="F1069" s="13" t="s">
        <v>8867</v>
      </c>
      <c r="G1069" s="13" t="s">
        <v>2</v>
      </c>
      <c r="H1069" s="13" t="s">
        <v>3</v>
      </c>
      <c r="I1069" s="13" t="s">
        <v>1263</v>
      </c>
      <c r="J1069" s="13" t="s">
        <v>8890</v>
      </c>
      <c r="K1069" s="13" t="s">
        <v>8422</v>
      </c>
      <c r="L1069" s="13" t="s">
        <v>158</v>
      </c>
      <c r="M1069" t="s">
        <v>3</v>
      </c>
    </row>
    <row r="1070" spans="1:13" x14ac:dyDescent="0.25">
      <c r="A1070" s="13" t="s">
        <v>11597</v>
      </c>
      <c r="B1070" s="13" t="s">
        <v>11597</v>
      </c>
      <c r="C1070" s="13" t="s">
        <v>11598</v>
      </c>
      <c r="D1070" s="13">
        <v>8</v>
      </c>
      <c r="E1070" s="13" t="s">
        <v>11599</v>
      </c>
      <c r="F1070" s="13" t="s">
        <v>8867</v>
      </c>
      <c r="G1070" s="13" t="s">
        <v>2</v>
      </c>
      <c r="H1070" s="13" t="s">
        <v>3</v>
      </c>
      <c r="I1070" s="13" t="s">
        <v>1263</v>
      </c>
      <c r="J1070" s="13" t="s">
        <v>8890</v>
      </c>
      <c r="K1070" s="13" t="s">
        <v>8422</v>
      </c>
      <c r="L1070" s="13" t="s">
        <v>158</v>
      </c>
      <c r="M1070" t="s">
        <v>3</v>
      </c>
    </row>
    <row r="1071" spans="1:13" x14ac:dyDescent="0.25">
      <c r="A1071" s="13" t="s">
        <v>11522</v>
      </c>
      <c r="B1071" s="13" t="s">
        <v>11522</v>
      </c>
      <c r="C1071" s="13" t="s">
        <v>11522</v>
      </c>
      <c r="D1071" s="13">
        <v>45</v>
      </c>
      <c r="E1071" s="13" t="s">
        <v>11523</v>
      </c>
      <c r="F1071" s="13" t="s">
        <v>8867</v>
      </c>
      <c r="G1071" s="13" t="s">
        <v>2</v>
      </c>
      <c r="H1071" s="13" t="s">
        <v>3</v>
      </c>
      <c r="I1071" s="13" t="s">
        <v>706</v>
      </c>
      <c r="J1071" s="13" t="s">
        <v>8890</v>
      </c>
      <c r="K1071" s="13" t="s">
        <v>8419</v>
      </c>
      <c r="L1071" s="13" t="s">
        <v>158</v>
      </c>
      <c r="M1071" t="s">
        <v>3</v>
      </c>
    </row>
    <row r="1072" spans="1:13" x14ac:dyDescent="0.25">
      <c r="A1072" s="13" t="s">
        <v>11524</v>
      </c>
      <c r="B1072" s="13" t="s">
        <v>11524</v>
      </c>
      <c r="C1072" s="13" t="s">
        <v>11524</v>
      </c>
      <c r="D1072" s="13">
        <v>45</v>
      </c>
      <c r="E1072" s="13" t="s">
        <v>11525</v>
      </c>
      <c r="F1072" s="13" t="s">
        <v>8867</v>
      </c>
      <c r="G1072" s="13" t="s">
        <v>2</v>
      </c>
      <c r="H1072" s="13" t="s">
        <v>3</v>
      </c>
      <c r="I1072" s="13" t="s">
        <v>706</v>
      </c>
      <c r="J1072" s="13" t="s">
        <v>8890</v>
      </c>
      <c r="K1072" s="13" t="s">
        <v>8419</v>
      </c>
      <c r="L1072" s="13" t="s">
        <v>158</v>
      </c>
      <c r="M1072" t="s">
        <v>3</v>
      </c>
    </row>
    <row r="1073" spans="1:13" x14ac:dyDescent="0.25">
      <c r="A1073" s="13" t="s">
        <v>11526</v>
      </c>
      <c r="B1073" s="13" t="s">
        <v>11526</v>
      </c>
      <c r="C1073" s="13" t="s">
        <v>11526</v>
      </c>
      <c r="D1073" s="13">
        <v>23.5</v>
      </c>
      <c r="E1073" s="13" t="s">
        <v>11527</v>
      </c>
      <c r="F1073" s="13" t="s">
        <v>8867</v>
      </c>
      <c r="G1073" s="13" t="s">
        <v>2</v>
      </c>
      <c r="H1073" s="13" t="s">
        <v>3</v>
      </c>
      <c r="I1073" s="13" t="s">
        <v>706</v>
      </c>
      <c r="J1073" s="13" t="s">
        <v>8890</v>
      </c>
      <c r="K1073" s="13" t="s">
        <v>8419</v>
      </c>
      <c r="L1073" s="13" t="s">
        <v>158</v>
      </c>
      <c r="M1073" t="s">
        <v>3</v>
      </c>
    </row>
    <row r="1074" spans="1:13" ht="26.25" x14ac:dyDescent="0.25">
      <c r="A1074" s="13" t="s">
        <v>10476</v>
      </c>
      <c r="B1074" s="13" t="s">
        <v>10476</v>
      </c>
      <c r="C1074" s="13" t="s">
        <v>10477</v>
      </c>
      <c r="D1074" s="13">
        <v>9</v>
      </c>
      <c r="E1074" s="13" t="s">
        <v>10478</v>
      </c>
      <c r="F1074" s="13" t="s">
        <v>8867</v>
      </c>
      <c r="G1074" s="13" t="s">
        <v>2</v>
      </c>
      <c r="H1074" s="13" t="s">
        <v>3</v>
      </c>
      <c r="I1074" s="13" t="s">
        <v>1263</v>
      </c>
      <c r="J1074" s="13" t="s">
        <v>8890</v>
      </c>
      <c r="K1074" s="13" t="s">
        <v>8422</v>
      </c>
      <c r="L1074" s="13" t="s">
        <v>158</v>
      </c>
      <c r="M1074" t="s">
        <v>3</v>
      </c>
    </row>
    <row r="1075" spans="1:13" x14ac:dyDescent="0.25">
      <c r="A1075" s="13" t="s">
        <v>2916</v>
      </c>
      <c r="B1075" s="13" t="s">
        <v>2917</v>
      </c>
      <c r="C1075" s="13" t="s">
        <v>2917</v>
      </c>
      <c r="D1075" s="13">
        <v>5.4</v>
      </c>
      <c r="E1075" s="13" t="s">
        <v>2918</v>
      </c>
      <c r="F1075" s="13" t="s">
        <v>8867</v>
      </c>
      <c r="G1075" s="13" t="s">
        <v>2</v>
      </c>
      <c r="H1075" s="13" t="s">
        <v>3</v>
      </c>
      <c r="I1075" s="13" t="s">
        <v>1978</v>
      </c>
      <c r="J1075" s="13" t="s">
        <v>8890</v>
      </c>
      <c r="K1075" s="13" t="s">
        <v>8570</v>
      </c>
      <c r="L1075" s="13" t="s">
        <v>158</v>
      </c>
      <c r="M1075" t="s">
        <v>3</v>
      </c>
    </row>
    <row r="1076" spans="1:13" x14ac:dyDescent="0.25">
      <c r="A1076" s="13" t="s">
        <v>2919</v>
      </c>
      <c r="B1076" s="13" t="s">
        <v>2920</v>
      </c>
      <c r="C1076" s="13" t="s">
        <v>2921</v>
      </c>
      <c r="D1076" s="13">
        <v>2</v>
      </c>
      <c r="E1076" s="13" t="s">
        <v>2922</v>
      </c>
      <c r="F1076" s="13" t="s">
        <v>8867</v>
      </c>
      <c r="G1076" s="13" t="s">
        <v>2</v>
      </c>
      <c r="H1076" s="13" t="s">
        <v>3</v>
      </c>
      <c r="I1076" s="13" t="s">
        <v>1978</v>
      </c>
      <c r="J1076" s="13" t="s">
        <v>8890</v>
      </c>
      <c r="K1076" s="13" t="s">
        <v>8570</v>
      </c>
      <c r="L1076" s="13" t="s">
        <v>158</v>
      </c>
      <c r="M1076" t="s">
        <v>3</v>
      </c>
    </row>
    <row r="1077" spans="1:13" x14ac:dyDescent="0.25">
      <c r="A1077" s="13" t="s">
        <v>2923</v>
      </c>
      <c r="B1077" s="13" t="s">
        <v>2924</v>
      </c>
      <c r="C1077" s="13" t="s">
        <v>2925</v>
      </c>
      <c r="D1077" s="13">
        <v>43.4</v>
      </c>
      <c r="E1077" s="13" t="s">
        <v>2926</v>
      </c>
      <c r="F1077" s="13" t="s">
        <v>8867</v>
      </c>
      <c r="G1077" s="13" t="s">
        <v>2</v>
      </c>
      <c r="H1077" s="13" t="s">
        <v>9886</v>
      </c>
      <c r="I1077" s="13" t="s">
        <v>1978</v>
      </c>
      <c r="J1077" s="13" t="s">
        <v>8890</v>
      </c>
      <c r="K1077" s="13" t="s">
        <v>8570</v>
      </c>
      <c r="L1077" s="13" t="s">
        <v>158</v>
      </c>
      <c r="M1077" t="s">
        <v>4305</v>
      </c>
    </row>
    <row r="1078" spans="1:13" x14ac:dyDescent="0.25">
      <c r="A1078" s="13" t="s">
        <v>2927</v>
      </c>
      <c r="B1078" s="13" t="s">
        <v>2927</v>
      </c>
      <c r="C1078" s="13" t="s">
        <v>2928</v>
      </c>
      <c r="D1078" s="13">
        <v>5</v>
      </c>
      <c r="E1078" s="13" t="s">
        <v>2929</v>
      </c>
      <c r="F1078" s="13" t="s">
        <v>8867</v>
      </c>
      <c r="G1078" s="13" t="s">
        <v>2</v>
      </c>
      <c r="H1078" s="13" t="s">
        <v>3</v>
      </c>
      <c r="I1078" s="13" t="s">
        <v>1263</v>
      </c>
      <c r="J1078" s="13" t="s">
        <v>8890</v>
      </c>
      <c r="K1078" s="13" t="s">
        <v>8422</v>
      </c>
      <c r="L1078" s="13" t="s">
        <v>158</v>
      </c>
      <c r="M1078" t="s">
        <v>3</v>
      </c>
    </row>
    <row r="1079" spans="1:13" x14ac:dyDescent="0.25">
      <c r="A1079" s="13" t="s">
        <v>9725</v>
      </c>
      <c r="B1079" s="13" t="s">
        <v>9725</v>
      </c>
      <c r="C1079" s="13" t="s">
        <v>9726</v>
      </c>
      <c r="D1079" s="13">
        <v>2.4</v>
      </c>
      <c r="E1079" s="13" t="s">
        <v>9727</v>
      </c>
      <c r="F1079" s="13" t="s">
        <v>8867</v>
      </c>
      <c r="G1079" s="13" t="s">
        <v>2</v>
      </c>
      <c r="H1079" s="13" t="s">
        <v>3</v>
      </c>
      <c r="I1079" s="13" t="s">
        <v>1263</v>
      </c>
      <c r="J1079" s="13" t="s">
        <v>8890</v>
      </c>
      <c r="K1079" s="13" t="s">
        <v>8422</v>
      </c>
      <c r="L1079" s="13" t="s">
        <v>158</v>
      </c>
      <c r="M1079" t="s">
        <v>3</v>
      </c>
    </row>
    <row r="1080" spans="1:13" x14ac:dyDescent="0.25">
      <c r="A1080" s="13" t="s">
        <v>9728</v>
      </c>
      <c r="B1080" s="13" t="s">
        <v>9728</v>
      </c>
      <c r="C1080" s="13" t="s">
        <v>9729</v>
      </c>
      <c r="D1080" s="13">
        <v>40</v>
      </c>
      <c r="E1080" s="13" t="s">
        <v>9730</v>
      </c>
      <c r="F1080" s="13" t="s">
        <v>8867</v>
      </c>
      <c r="G1080" s="13" t="s">
        <v>2</v>
      </c>
      <c r="H1080" s="13" t="s">
        <v>8422</v>
      </c>
      <c r="I1080" s="13" t="s">
        <v>1263</v>
      </c>
      <c r="J1080" s="13" t="s">
        <v>8890</v>
      </c>
      <c r="K1080" s="13" t="s">
        <v>8422</v>
      </c>
      <c r="L1080" s="13" t="s">
        <v>158</v>
      </c>
      <c r="M1080" t="s">
        <v>10689</v>
      </c>
    </row>
    <row r="1081" spans="1:13" x14ac:dyDescent="0.25">
      <c r="A1081" s="13" t="s">
        <v>9102</v>
      </c>
      <c r="B1081" s="13" t="s">
        <v>9102</v>
      </c>
      <c r="C1081" s="13" t="s">
        <v>9103</v>
      </c>
      <c r="D1081" s="13">
        <v>40</v>
      </c>
      <c r="E1081" s="13" t="s">
        <v>9104</v>
      </c>
      <c r="F1081" s="13" t="s">
        <v>8867</v>
      </c>
      <c r="G1081" s="13" t="s">
        <v>2</v>
      </c>
      <c r="H1081" s="13" t="s">
        <v>8422</v>
      </c>
      <c r="I1081" s="13" t="s">
        <v>1263</v>
      </c>
      <c r="J1081" s="13" t="s">
        <v>8890</v>
      </c>
      <c r="K1081" s="13" t="s">
        <v>8422</v>
      </c>
      <c r="L1081" s="13" t="s">
        <v>158</v>
      </c>
      <c r="M1081" t="s">
        <v>10689</v>
      </c>
    </row>
    <row r="1082" spans="1:13" x14ac:dyDescent="0.25">
      <c r="A1082" s="13" t="s">
        <v>9105</v>
      </c>
      <c r="B1082" s="13" t="s">
        <v>9105</v>
      </c>
      <c r="C1082" s="13" t="s">
        <v>9106</v>
      </c>
      <c r="D1082" s="13">
        <v>14</v>
      </c>
      <c r="E1082" s="13" t="s">
        <v>9107</v>
      </c>
      <c r="F1082" s="13" t="s">
        <v>8867</v>
      </c>
      <c r="G1082" s="13" t="s">
        <v>2</v>
      </c>
      <c r="H1082" s="13" t="s">
        <v>8422</v>
      </c>
      <c r="I1082" s="13" t="s">
        <v>1263</v>
      </c>
      <c r="J1082" s="13" t="s">
        <v>8890</v>
      </c>
      <c r="K1082" s="13" t="s">
        <v>8422</v>
      </c>
      <c r="L1082" s="13" t="s">
        <v>158</v>
      </c>
      <c r="M1082" t="s">
        <v>10689</v>
      </c>
    </row>
    <row r="1083" spans="1:13" x14ac:dyDescent="0.25">
      <c r="A1083" s="13" t="s">
        <v>2930</v>
      </c>
      <c r="B1083" s="13" t="s">
        <v>2930</v>
      </c>
      <c r="C1083" s="13" t="s">
        <v>2931</v>
      </c>
      <c r="D1083" s="13">
        <v>2.2000000000000002</v>
      </c>
      <c r="E1083" s="13" t="s">
        <v>2932</v>
      </c>
      <c r="F1083" s="13" t="s">
        <v>8867</v>
      </c>
      <c r="G1083" s="13" t="s">
        <v>2</v>
      </c>
      <c r="H1083" s="13" t="s">
        <v>3</v>
      </c>
      <c r="I1083" s="13" t="s">
        <v>1263</v>
      </c>
      <c r="J1083" s="13" t="s">
        <v>8890</v>
      </c>
      <c r="K1083" s="13" t="s">
        <v>8422</v>
      </c>
      <c r="L1083" s="13" t="s">
        <v>158</v>
      </c>
      <c r="M1083" t="s">
        <v>3</v>
      </c>
    </row>
    <row r="1084" spans="1:13" ht="26.25" x14ac:dyDescent="0.25">
      <c r="A1084" s="13" t="s">
        <v>2933</v>
      </c>
      <c r="B1084" s="13" t="s">
        <v>2933</v>
      </c>
      <c r="C1084" s="13" t="s">
        <v>2934</v>
      </c>
      <c r="D1084" s="13">
        <v>21.2</v>
      </c>
      <c r="E1084" s="13" t="s">
        <v>2935</v>
      </c>
      <c r="F1084" s="13" t="s">
        <v>8867</v>
      </c>
      <c r="G1084" s="13" t="s">
        <v>2</v>
      </c>
      <c r="H1084" s="13" t="s">
        <v>8422</v>
      </c>
      <c r="I1084" s="13" t="s">
        <v>1263</v>
      </c>
      <c r="J1084" s="13" t="s">
        <v>8890</v>
      </c>
      <c r="K1084" s="13" t="s">
        <v>8422</v>
      </c>
      <c r="L1084" s="13" t="s">
        <v>158</v>
      </c>
      <c r="M1084" t="s">
        <v>10689</v>
      </c>
    </row>
    <row r="1085" spans="1:13" x14ac:dyDescent="0.25">
      <c r="A1085" s="13" t="s">
        <v>9108</v>
      </c>
      <c r="B1085" s="13" t="s">
        <v>9108</v>
      </c>
      <c r="C1085" s="13" t="s">
        <v>9109</v>
      </c>
      <c r="D1085" s="13">
        <v>2.1</v>
      </c>
      <c r="E1085" s="13" t="s">
        <v>9110</v>
      </c>
      <c r="F1085" s="13" t="s">
        <v>8867</v>
      </c>
      <c r="G1085" s="13" t="s">
        <v>2</v>
      </c>
      <c r="H1085" s="13" t="s">
        <v>3</v>
      </c>
      <c r="I1085" s="13" t="s">
        <v>1263</v>
      </c>
      <c r="J1085" s="13" t="s">
        <v>8890</v>
      </c>
      <c r="K1085" s="13" t="s">
        <v>8422</v>
      </c>
      <c r="L1085" s="13" t="s">
        <v>158</v>
      </c>
      <c r="M1085" t="s">
        <v>3</v>
      </c>
    </row>
    <row r="1086" spans="1:13" x14ac:dyDescent="0.25">
      <c r="A1086" s="13" t="s">
        <v>9111</v>
      </c>
      <c r="B1086" s="13" t="s">
        <v>9111</v>
      </c>
      <c r="C1086" s="13" t="s">
        <v>9112</v>
      </c>
      <c r="D1086" s="13">
        <v>2.1</v>
      </c>
      <c r="E1086" s="13" t="s">
        <v>9113</v>
      </c>
      <c r="F1086" s="13" t="s">
        <v>8867</v>
      </c>
      <c r="G1086" s="13" t="s">
        <v>2</v>
      </c>
      <c r="H1086" s="13" t="s">
        <v>3</v>
      </c>
      <c r="I1086" s="13" t="s">
        <v>1263</v>
      </c>
      <c r="J1086" s="13" t="s">
        <v>8890</v>
      </c>
      <c r="K1086" s="13" t="s">
        <v>8422</v>
      </c>
      <c r="L1086" s="13" t="s">
        <v>158</v>
      </c>
      <c r="M1086" t="s">
        <v>3</v>
      </c>
    </row>
    <row r="1087" spans="1:13" x14ac:dyDescent="0.25">
      <c r="A1087" s="13" t="s">
        <v>2936</v>
      </c>
      <c r="B1087" s="13" t="s">
        <v>2937</v>
      </c>
      <c r="C1087" s="13" t="s">
        <v>2938</v>
      </c>
      <c r="D1087" s="13">
        <v>1.6</v>
      </c>
      <c r="E1087" s="13" t="s">
        <v>2939</v>
      </c>
      <c r="F1087" s="13" t="s">
        <v>8867</v>
      </c>
      <c r="G1087" s="13" t="s">
        <v>2</v>
      </c>
      <c r="H1087" s="13" t="s">
        <v>3</v>
      </c>
      <c r="I1087" s="13" t="s">
        <v>1978</v>
      </c>
      <c r="J1087" s="13" t="s">
        <v>8890</v>
      </c>
      <c r="K1087" s="13" t="s">
        <v>8570</v>
      </c>
      <c r="L1087" s="13" t="s">
        <v>158</v>
      </c>
      <c r="M1087" t="s">
        <v>3</v>
      </c>
    </row>
    <row r="1088" spans="1:13" ht="26.25" x14ac:dyDescent="0.25">
      <c r="A1088" s="13" t="s">
        <v>11042</v>
      </c>
      <c r="B1088" s="13" t="s">
        <v>11042</v>
      </c>
      <c r="C1088" s="13" t="s">
        <v>11043</v>
      </c>
      <c r="D1088" s="13">
        <v>2</v>
      </c>
      <c r="E1088" s="13" t="s">
        <v>11044</v>
      </c>
      <c r="F1088" s="13" t="s">
        <v>8867</v>
      </c>
      <c r="G1088" s="13" t="s">
        <v>2</v>
      </c>
      <c r="H1088" s="13" t="s">
        <v>3</v>
      </c>
      <c r="I1088" s="13" t="s">
        <v>1263</v>
      </c>
      <c r="J1088" s="13" t="s">
        <v>8890</v>
      </c>
      <c r="K1088" s="13" t="s">
        <v>8422</v>
      </c>
      <c r="L1088" s="13" t="s">
        <v>158</v>
      </c>
      <c r="M1088" t="s">
        <v>3</v>
      </c>
    </row>
    <row r="1089" spans="1:13" x14ac:dyDescent="0.25">
      <c r="A1089" s="13" t="s">
        <v>9731</v>
      </c>
      <c r="B1089" s="13" t="s">
        <v>9731</v>
      </c>
      <c r="C1089" s="13" t="s">
        <v>9732</v>
      </c>
      <c r="D1089" s="13">
        <v>2.4</v>
      </c>
      <c r="E1089" s="13" t="s">
        <v>9733</v>
      </c>
      <c r="F1089" s="13" t="s">
        <v>8867</v>
      </c>
      <c r="G1089" s="13" t="s">
        <v>2</v>
      </c>
      <c r="H1089" s="13" t="s">
        <v>3</v>
      </c>
      <c r="I1089" s="13" t="s">
        <v>1263</v>
      </c>
      <c r="J1089" s="13" t="s">
        <v>8890</v>
      </c>
      <c r="K1089" s="13" t="s">
        <v>8422</v>
      </c>
      <c r="L1089" s="13" t="s">
        <v>158</v>
      </c>
      <c r="M1089" t="s">
        <v>3</v>
      </c>
    </row>
    <row r="1090" spans="1:13" x14ac:dyDescent="0.25">
      <c r="A1090" s="13" t="s">
        <v>2940</v>
      </c>
      <c r="B1090" s="13" t="s">
        <v>2940</v>
      </c>
      <c r="C1090" s="13" t="s">
        <v>2941</v>
      </c>
      <c r="D1090" s="13">
        <v>33.1</v>
      </c>
      <c r="E1090" s="13" t="s">
        <v>2942</v>
      </c>
      <c r="F1090" s="13" t="s">
        <v>8867</v>
      </c>
      <c r="G1090" s="13" t="s">
        <v>2</v>
      </c>
      <c r="H1090" s="13" t="s">
        <v>8422</v>
      </c>
      <c r="I1090" s="13" t="s">
        <v>1263</v>
      </c>
      <c r="J1090" s="13" t="s">
        <v>8890</v>
      </c>
      <c r="K1090" s="13" t="s">
        <v>8422</v>
      </c>
      <c r="L1090" s="13" t="s">
        <v>158</v>
      </c>
      <c r="M1090" t="s">
        <v>10689</v>
      </c>
    </row>
    <row r="1091" spans="1:13" x14ac:dyDescent="0.25">
      <c r="A1091" s="13" t="s">
        <v>9114</v>
      </c>
      <c r="B1091" s="13" t="s">
        <v>9114</v>
      </c>
      <c r="C1091" s="13" t="s">
        <v>9114</v>
      </c>
      <c r="D1091" s="13">
        <v>8</v>
      </c>
      <c r="E1091" s="13" t="s">
        <v>9115</v>
      </c>
      <c r="F1091" s="13" t="s">
        <v>8867</v>
      </c>
      <c r="G1091" s="13" t="s">
        <v>2</v>
      </c>
      <c r="H1091" s="13" t="s">
        <v>3</v>
      </c>
      <c r="I1091" s="13" t="s">
        <v>706</v>
      </c>
      <c r="J1091" s="13" t="s">
        <v>8890</v>
      </c>
      <c r="K1091" s="13" t="s">
        <v>8419</v>
      </c>
      <c r="L1091" s="13" t="s">
        <v>158</v>
      </c>
      <c r="M1091" t="s">
        <v>3</v>
      </c>
    </row>
    <row r="1092" spans="1:13" x14ac:dyDescent="0.25">
      <c r="A1092" s="13" t="s">
        <v>2943</v>
      </c>
      <c r="B1092" s="13" t="s">
        <v>2943</v>
      </c>
      <c r="C1092" s="13" t="s">
        <v>2944</v>
      </c>
      <c r="D1092" s="13">
        <v>10</v>
      </c>
      <c r="E1092" s="13" t="s">
        <v>2945</v>
      </c>
      <c r="F1092" s="13" t="s">
        <v>8867</v>
      </c>
      <c r="G1092" s="13" t="s">
        <v>2</v>
      </c>
      <c r="H1092" s="13" t="s">
        <v>3</v>
      </c>
      <c r="I1092" s="13" t="s">
        <v>1263</v>
      </c>
      <c r="J1092" s="13" t="s">
        <v>8890</v>
      </c>
      <c r="K1092" s="13" t="s">
        <v>8422</v>
      </c>
      <c r="L1092" s="13" t="s">
        <v>158</v>
      </c>
      <c r="M1092" t="s">
        <v>3</v>
      </c>
    </row>
    <row r="1093" spans="1:13" x14ac:dyDescent="0.25">
      <c r="A1093" s="13" t="s">
        <v>2946</v>
      </c>
      <c r="B1093" s="13" t="s">
        <v>2947</v>
      </c>
      <c r="C1093" s="13" t="s">
        <v>2948</v>
      </c>
      <c r="D1093" s="13">
        <v>13.4</v>
      </c>
      <c r="E1093" s="13" t="s">
        <v>2949</v>
      </c>
      <c r="F1093" s="13" t="s">
        <v>8867</v>
      </c>
      <c r="G1093" s="13" t="s">
        <v>2</v>
      </c>
      <c r="H1093" s="13" t="s">
        <v>3</v>
      </c>
      <c r="I1093" s="13" t="s">
        <v>1978</v>
      </c>
      <c r="J1093" s="13" t="s">
        <v>8890</v>
      </c>
      <c r="K1093" s="13" t="s">
        <v>8570</v>
      </c>
      <c r="L1093" s="13" t="s">
        <v>158</v>
      </c>
      <c r="M1093" t="s">
        <v>3</v>
      </c>
    </row>
    <row r="1094" spans="1:13" x14ac:dyDescent="0.25">
      <c r="A1094" s="13" t="s">
        <v>2950</v>
      </c>
      <c r="B1094" s="13" t="s">
        <v>2950</v>
      </c>
      <c r="C1094" s="13" t="s">
        <v>2951</v>
      </c>
      <c r="D1094" s="13">
        <v>3.2</v>
      </c>
      <c r="E1094" s="13" t="s">
        <v>2952</v>
      </c>
      <c r="F1094" s="13" t="s">
        <v>8867</v>
      </c>
      <c r="G1094" s="13" t="s">
        <v>2</v>
      </c>
      <c r="H1094" s="13" t="s">
        <v>3</v>
      </c>
      <c r="I1094" s="13" t="s">
        <v>1263</v>
      </c>
      <c r="J1094" s="13" t="s">
        <v>8890</v>
      </c>
      <c r="K1094" s="13" t="s">
        <v>8422</v>
      </c>
      <c r="L1094" s="13" t="s">
        <v>158</v>
      </c>
      <c r="M1094" t="s">
        <v>3</v>
      </c>
    </row>
    <row r="1095" spans="1:13" x14ac:dyDescent="0.25">
      <c r="A1095" s="13" t="s">
        <v>2953</v>
      </c>
      <c r="B1095" s="13" t="s">
        <v>2954</v>
      </c>
      <c r="C1095" s="13" t="s">
        <v>2955</v>
      </c>
      <c r="D1095" s="13">
        <v>31.5</v>
      </c>
      <c r="E1095" s="13" t="s">
        <v>2956</v>
      </c>
      <c r="F1095" s="13" t="s">
        <v>8867</v>
      </c>
      <c r="G1095" s="13" t="s">
        <v>2</v>
      </c>
      <c r="H1095" s="13" t="s">
        <v>9886</v>
      </c>
      <c r="I1095" s="13" t="s">
        <v>1978</v>
      </c>
      <c r="J1095" s="13" t="s">
        <v>8890</v>
      </c>
      <c r="K1095" s="13" t="s">
        <v>8570</v>
      </c>
      <c r="L1095" s="13" t="s">
        <v>158</v>
      </c>
      <c r="M1095" t="s">
        <v>4305</v>
      </c>
    </row>
    <row r="1096" spans="1:13" x14ac:dyDescent="0.25">
      <c r="A1096" s="13" t="s">
        <v>10876</v>
      </c>
      <c r="B1096" s="13" t="s">
        <v>10877</v>
      </c>
      <c r="C1096" s="13" t="s">
        <v>10878</v>
      </c>
      <c r="D1096" s="13">
        <v>9.8000000000000007</v>
      </c>
      <c r="E1096" s="13" t="s">
        <v>10879</v>
      </c>
      <c r="F1096" s="13" t="s">
        <v>8867</v>
      </c>
      <c r="G1096" s="13" t="s">
        <v>2</v>
      </c>
      <c r="H1096" s="13" t="s">
        <v>3</v>
      </c>
      <c r="I1096" s="13" t="s">
        <v>809</v>
      </c>
      <c r="J1096" s="13" t="s">
        <v>8890</v>
      </c>
      <c r="K1096" s="13" t="s">
        <v>8512</v>
      </c>
      <c r="L1096" s="13" t="s">
        <v>158</v>
      </c>
      <c r="M1096" t="s">
        <v>3</v>
      </c>
    </row>
    <row r="1097" spans="1:13" x14ac:dyDescent="0.25">
      <c r="A1097" s="13" t="s">
        <v>9629</v>
      </c>
      <c r="B1097" s="13" t="s">
        <v>9629</v>
      </c>
      <c r="C1097" s="13" t="s">
        <v>9630</v>
      </c>
      <c r="D1097" s="13">
        <v>8.5</v>
      </c>
      <c r="E1097" s="13" t="s">
        <v>9631</v>
      </c>
      <c r="F1097" s="13" t="s">
        <v>8867</v>
      </c>
      <c r="G1097" s="13" t="s">
        <v>2</v>
      </c>
      <c r="H1097" s="13" t="s">
        <v>3</v>
      </c>
      <c r="I1097" s="13" t="s">
        <v>1263</v>
      </c>
      <c r="J1097" s="13" t="s">
        <v>8890</v>
      </c>
      <c r="K1097" s="13" t="s">
        <v>8422</v>
      </c>
      <c r="L1097" s="13" t="s">
        <v>158</v>
      </c>
      <c r="M1097" t="s">
        <v>3</v>
      </c>
    </row>
    <row r="1098" spans="1:13" ht="26.25" x14ac:dyDescent="0.25">
      <c r="A1098" s="13" t="s">
        <v>2957</v>
      </c>
      <c r="B1098" s="13" t="s">
        <v>2958</v>
      </c>
      <c r="C1098" s="13" t="s">
        <v>9116</v>
      </c>
      <c r="D1098" s="13">
        <v>5.5</v>
      </c>
      <c r="E1098" s="13" t="s">
        <v>2959</v>
      </c>
      <c r="F1098" s="13" t="s">
        <v>8867</v>
      </c>
      <c r="G1098" s="13" t="s">
        <v>2</v>
      </c>
      <c r="H1098" s="13" t="s">
        <v>3</v>
      </c>
      <c r="I1098" s="13" t="s">
        <v>1263</v>
      </c>
      <c r="J1098" s="13" t="s">
        <v>8890</v>
      </c>
      <c r="K1098" s="13" t="s">
        <v>8422</v>
      </c>
      <c r="L1098" s="13" t="s">
        <v>158</v>
      </c>
      <c r="M1098" t="s">
        <v>3</v>
      </c>
    </row>
    <row r="1099" spans="1:13" x14ac:dyDescent="0.25">
      <c r="A1099" s="13" t="s">
        <v>2960</v>
      </c>
      <c r="B1099" s="13" t="s">
        <v>9117</v>
      </c>
      <c r="C1099" s="13" t="s">
        <v>9117</v>
      </c>
      <c r="D1099" s="13">
        <v>6</v>
      </c>
      <c r="E1099" s="13" t="s">
        <v>2961</v>
      </c>
      <c r="F1099" s="13" t="s">
        <v>8867</v>
      </c>
      <c r="G1099" s="13" t="s">
        <v>2</v>
      </c>
      <c r="H1099" s="13" t="s">
        <v>3</v>
      </c>
      <c r="I1099" s="13" t="s">
        <v>1978</v>
      </c>
      <c r="J1099" s="13" t="s">
        <v>8890</v>
      </c>
      <c r="K1099" s="13" t="s">
        <v>8570</v>
      </c>
      <c r="L1099" s="13" t="s">
        <v>158</v>
      </c>
      <c r="M1099" t="s">
        <v>3</v>
      </c>
    </row>
    <row r="1100" spans="1:13" x14ac:dyDescent="0.25">
      <c r="A1100" s="13" t="s">
        <v>11219</v>
      </c>
      <c r="B1100" s="13" t="s">
        <v>11219</v>
      </c>
      <c r="C1100" s="13" t="s">
        <v>11220</v>
      </c>
      <c r="D1100" s="13">
        <v>38.200000000000003</v>
      </c>
      <c r="E1100" s="13" t="s">
        <v>11221</v>
      </c>
      <c r="F1100" s="13" t="s">
        <v>8867</v>
      </c>
      <c r="G1100" s="13" t="s">
        <v>2</v>
      </c>
      <c r="H1100" s="13" t="s">
        <v>3</v>
      </c>
      <c r="I1100" s="13" t="s">
        <v>1263</v>
      </c>
      <c r="J1100" s="13" t="s">
        <v>8890</v>
      </c>
      <c r="K1100" s="13" t="s">
        <v>8422</v>
      </c>
      <c r="L1100" s="13" t="s">
        <v>158</v>
      </c>
      <c r="M1100" t="s">
        <v>3</v>
      </c>
    </row>
    <row r="1101" spans="1:13" ht="26.25" x14ac:dyDescent="0.25">
      <c r="A1101" s="13" t="s">
        <v>10177</v>
      </c>
      <c r="B1101" s="13" t="s">
        <v>10177</v>
      </c>
      <c r="C1101" s="13" t="s">
        <v>10178</v>
      </c>
      <c r="D1101" s="13">
        <v>2.8</v>
      </c>
      <c r="E1101" s="13" t="s">
        <v>10179</v>
      </c>
      <c r="F1101" s="13" t="s">
        <v>8867</v>
      </c>
      <c r="G1101" s="13" t="s">
        <v>2</v>
      </c>
      <c r="H1101" s="13" t="s">
        <v>3</v>
      </c>
      <c r="I1101" s="13" t="s">
        <v>1263</v>
      </c>
      <c r="J1101" s="13" t="s">
        <v>8890</v>
      </c>
      <c r="K1101" s="13" t="s">
        <v>8422</v>
      </c>
      <c r="L1101" s="13" t="s">
        <v>158</v>
      </c>
      <c r="M1101" t="s">
        <v>3</v>
      </c>
    </row>
    <row r="1102" spans="1:13" x14ac:dyDescent="0.25">
      <c r="A1102" s="13" t="s">
        <v>2962</v>
      </c>
      <c r="B1102" s="13" t="s">
        <v>2962</v>
      </c>
      <c r="C1102" s="13" t="s">
        <v>2962</v>
      </c>
      <c r="D1102" s="13">
        <v>21.5</v>
      </c>
      <c r="E1102" s="13" t="s">
        <v>2963</v>
      </c>
      <c r="F1102" s="13" t="s">
        <v>8867</v>
      </c>
      <c r="G1102" s="13" t="s">
        <v>2</v>
      </c>
      <c r="H1102" s="13" t="s">
        <v>9243</v>
      </c>
      <c r="I1102" s="13" t="s">
        <v>119</v>
      </c>
      <c r="J1102" s="13" t="s">
        <v>8890</v>
      </c>
      <c r="K1102" s="13" t="s">
        <v>8883</v>
      </c>
      <c r="L1102" s="13" t="s">
        <v>158</v>
      </c>
      <c r="M1102" t="s">
        <v>9243</v>
      </c>
    </row>
    <row r="1103" spans="1:13" x14ac:dyDescent="0.25">
      <c r="A1103" s="13" t="s">
        <v>2964</v>
      </c>
      <c r="B1103" s="13" t="s">
        <v>2964</v>
      </c>
      <c r="C1103" s="13" t="s">
        <v>2964</v>
      </c>
      <c r="D1103" s="13">
        <v>1.5</v>
      </c>
      <c r="E1103" s="13" t="s">
        <v>2965</v>
      </c>
      <c r="F1103" s="13" t="s">
        <v>8867</v>
      </c>
      <c r="G1103" s="13" t="s">
        <v>2</v>
      </c>
      <c r="H1103" s="13" t="s">
        <v>3</v>
      </c>
      <c r="I1103" s="13" t="s">
        <v>706</v>
      </c>
      <c r="J1103" s="13" t="s">
        <v>8890</v>
      </c>
      <c r="K1103" s="13" t="s">
        <v>8419</v>
      </c>
      <c r="L1103" s="13" t="s">
        <v>158</v>
      </c>
      <c r="M1103" t="s">
        <v>3</v>
      </c>
    </row>
    <row r="1104" spans="1:13" x14ac:dyDescent="0.25">
      <c r="A1104" s="13" t="s">
        <v>10414</v>
      </c>
      <c r="B1104" s="13" t="s">
        <v>10414</v>
      </c>
      <c r="C1104" s="13" t="s">
        <v>10415</v>
      </c>
      <c r="D1104" s="13">
        <v>5</v>
      </c>
      <c r="E1104" s="13" t="s">
        <v>10416</v>
      </c>
      <c r="F1104" s="13" t="s">
        <v>8867</v>
      </c>
      <c r="G1104" s="13" t="s">
        <v>2</v>
      </c>
      <c r="H1104" s="13" t="s">
        <v>3</v>
      </c>
      <c r="I1104" s="13" t="s">
        <v>1263</v>
      </c>
      <c r="J1104" s="13" t="s">
        <v>8890</v>
      </c>
      <c r="K1104" s="13" t="s">
        <v>8422</v>
      </c>
      <c r="L1104" s="13" t="s">
        <v>158</v>
      </c>
      <c r="M1104" t="s">
        <v>3</v>
      </c>
    </row>
    <row r="1105" spans="1:13" x14ac:dyDescent="0.25">
      <c r="A1105" s="13" t="s">
        <v>2966</v>
      </c>
      <c r="B1105" s="13" t="s">
        <v>2966</v>
      </c>
      <c r="C1105" s="13" t="s">
        <v>2967</v>
      </c>
      <c r="D1105" s="13">
        <v>42.2</v>
      </c>
      <c r="E1105" s="13" t="s">
        <v>2968</v>
      </c>
      <c r="F1105" s="13" t="s">
        <v>8867</v>
      </c>
      <c r="G1105" s="13" t="s">
        <v>2</v>
      </c>
      <c r="H1105" s="13" t="s">
        <v>8422</v>
      </c>
      <c r="I1105" s="13" t="s">
        <v>1263</v>
      </c>
      <c r="J1105" s="13" t="s">
        <v>8890</v>
      </c>
      <c r="K1105" s="13" t="s">
        <v>8422</v>
      </c>
      <c r="L1105" s="13" t="s">
        <v>158</v>
      </c>
      <c r="M1105" t="s">
        <v>10689</v>
      </c>
    </row>
    <row r="1106" spans="1:13" x14ac:dyDescent="0.25">
      <c r="A1106" s="13" t="s">
        <v>2969</v>
      </c>
      <c r="B1106" s="13" t="s">
        <v>2970</v>
      </c>
      <c r="C1106" s="13" t="s">
        <v>2971</v>
      </c>
      <c r="D1106" s="13">
        <v>43</v>
      </c>
      <c r="E1106" s="13" t="s">
        <v>2972</v>
      </c>
      <c r="F1106" s="13" t="s">
        <v>8867</v>
      </c>
      <c r="G1106" s="13" t="s">
        <v>2</v>
      </c>
      <c r="H1106" s="13" t="s">
        <v>3</v>
      </c>
      <c r="I1106" s="13" t="s">
        <v>447</v>
      </c>
      <c r="J1106" s="13" t="s">
        <v>8890</v>
      </c>
      <c r="K1106" s="13" t="s">
        <v>8421</v>
      </c>
      <c r="L1106" s="13" t="s">
        <v>158</v>
      </c>
      <c r="M1106" t="s">
        <v>3</v>
      </c>
    </row>
    <row r="1107" spans="1:13" x14ac:dyDescent="0.25">
      <c r="A1107" s="13" t="s">
        <v>2973</v>
      </c>
      <c r="B1107" s="13" t="s">
        <v>2974</v>
      </c>
      <c r="C1107" s="13" t="s">
        <v>2975</v>
      </c>
      <c r="D1107" s="13">
        <v>2</v>
      </c>
      <c r="E1107" s="13" t="s">
        <v>2976</v>
      </c>
      <c r="F1107" s="13" t="s">
        <v>8867</v>
      </c>
      <c r="G1107" s="13" t="s">
        <v>2</v>
      </c>
      <c r="H1107" s="13" t="s">
        <v>3</v>
      </c>
      <c r="I1107" s="13" t="s">
        <v>1978</v>
      </c>
      <c r="J1107" s="13" t="s">
        <v>8890</v>
      </c>
      <c r="K1107" s="13" t="s">
        <v>8570</v>
      </c>
      <c r="L1107" s="13" t="s">
        <v>158</v>
      </c>
      <c r="M1107" t="s">
        <v>3</v>
      </c>
    </row>
    <row r="1108" spans="1:13" x14ac:dyDescent="0.25">
      <c r="A1108" s="13" t="s">
        <v>2977</v>
      </c>
      <c r="B1108" s="13" t="s">
        <v>2977</v>
      </c>
      <c r="C1108" s="13" t="s">
        <v>2978</v>
      </c>
      <c r="D1108" s="13">
        <v>29</v>
      </c>
      <c r="E1108" s="13" t="s">
        <v>2979</v>
      </c>
      <c r="F1108" s="13" t="s">
        <v>8867</v>
      </c>
      <c r="G1108" s="13" t="s">
        <v>2</v>
      </c>
      <c r="H1108" s="13" t="s">
        <v>11974</v>
      </c>
      <c r="I1108" s="13" t="s">
        <v>1283</v>
      </c>
      <c r="J1108" s="13" t="s">
        <v>8890</v>
      </c>
      <c r="K1108" s="13" t="s">
        <v>8524</v>
      </c>
      <c r="L1108" s="13" t="s">
        <v>158</v>
      </c>
      <c r="M1108" t="s">
        <v>11974</v>
      </c>
    </row>
    <row r="1109" spans="1:13" ht="26.25" x14ac:dyDescent="0.25">
      <c r="A1109" s="13" t="s">
        <v>2980</v>
      </c>
      <c r="B1109" s="13" t="s">
        <v>2980</v>
      </c>
      <c r="C1109" s="13" t="s">
        <v>2981</v>
      </c>
      <c r="D1109" s="13">
        <v>29</v>
      </c>
      <c r="E1109" s="13" t="s">
        <v>2982</v>
      </c>
      <c r="F1109" s="13" t="s">
        <v>8867</v>
      </c>
      <c r="G1109" s="13" t="s">
        <v>2</v>
      </c>
      <c r="H1109" s="13" t="s">
        <v>11974</v>
      </c>
      <c r="I1109" s="13" t="s">
        <v>1283</v>
      </c>
      <c r="J1109" s="13" t="s">
        <v>8890</v>
      </c>
      <c r="K1109" s="13" t="s">
        <v>8524</v>
      </c>
      <c r="L1109" s="13" t="s">
        <v>158</v>
      </c>
      <c r="M1109" t="s">
        <v>11974</v>
      </c>
    </row>
    <row r="1110" spans="1:13" ht="26.25" x14ac:dyDescent="0.25">
      <c r="A1110" s="13" t="s">
        <v>2983</v>
      </c>
      <c r="B1110" s="13" t="s">
        <v>2984</v>
      </c>
      <c r="C1110" s="13" t="s">
        <v>2985</v>
      </c>
      <c r="D1110" s="13">
        <v>1.4</v>
      </c>
      <c r="E1110" s="13" t="s">
        <v>2986</v>
      </c>
      <c r="F1110" s="13" t="s">
        <v>8867</v>
      </c>
      <c r="G1110" s="13" t="s">
        <v>2</v>
      </c>
      <c r="H1110" s="13" t="s">
        <v>3</v>
      </c>
      <c r="I1110" s="13" t="s">
        <v>1978</v>
      </c>
      <c r="J1110" s="13" t="s">
        <v>8890</v>
      </c>
      <c r="K1110" s="13" t="s">
        <v>8570</v>
      </c>
      <c r="L1110" s="13" t="s">
        <v>158</v>
      </c>
      <c r="M1110" t="s">
        <v>3</v>
      </c>
    </row>
    <row r="1111" spans="1:13" x14ac:dyDescent="0.25">
      <c r="A1111" s="13" t="s">
        <v>2987</v>
      </c>
      <c r="B1111" s="13" t="s">
        <v>2987</v>
      </c>
      <c r="C1111" s="13" t="s">
        <v>2988</v>
      </c>
      <c r="D1111" s="13">
        <v>9.8000000000000007</v>
      </c>
      <c r="E1111" s="13" t="s">
        <v>2989</v>
      </c>
      <c r="F1111" s="13" t="s">
        <v>8867</v>
      </c>
      <c r="G1111" s="13" t="s">
        <v>2</v>
      </c>
      <c r="H1111" s="13" t="s">
        <v>3</v>
      </c>
      <c r="I1111" s="13" t="s">
        <v>1263</v>
      </c>
      <c r="J1111" s="13" t="s">
        <v>8890</v>
      </c>
      <c r="K1111" s="13" t="s">
        <v>8422</v>
      </c>
      <c r="L1111" s="13" t="s">
        <v>158</v>
      </c>
      <c r="M1111" t="s">
        <v>3</v>
      </c>
    </row>
    <row r="1112" spans="1:13" ht="26.25" x14ac:dyDescent="0.25">
      <c r="A1112" s="13" t="s">
        <v>2990</v>
      </c>
      <c r="B1112" s="13" t="s">
        <v>2991</v>
      </c>
      <c r="C1112" s="13" t="s">
        <v>2991</v>
      </c>
      <c r="D1112" s="13">
        <v>42.5</v>
      </c>
      <c r="E1112" s="13" t="s">
        <v>2992</v>
      </c>
      <c r="F1112" s="13" t="s">
        <v>8867</v>
      </c>
      <c r="G1112" s="13" t="s">
        <v>2</v>
      </c>
      <c r="H1112" s="13" t="s">
        <v>9243</v>
      </c>
      <c r="I1112" s="13" t="s">
        <v>119</v>
      </c>
      <c r="J1112" s="13" t="s">
        <v>8890</v>
      </c>
      <c r="K1112" s="13" t="s">
        <v>8883</v>
      </c>
      <c r="L1112" s="13" t="s">
        <v>158</v>
      </c>
      <c r="M1112" t="s">
        <v>9243</v>
      </c>
    </row>
    <row r="1113" spans="1:13" ht="26.25" x14ac:dyDescent="0.25">
      <c r="A1113" s="13" t="s">
        <v>11982</v>
      </c>
      <c r="B1113" s="13" t="s">
        <v>11982</v>
      </c>
      <c r="C1113" s="13" t="s">
        <v>3043</v>
      </c>
      <c r="D1113" s="13">
        <v>88</v>
      </c>
      <c r="E1113" s="13" t="s">
        <v>11983</v>
      </c>
      <c r="F1113" s="13" t="s">
        <v>8867</v>
      </c>
      <c r="G1113" s="13" t="s">
        <v>2</v>
      </c>
      <c r="H1113" s="13" t="s">
        <v>3</v>
      </c>
      <c r="I1113" s="13" t="s">
        <v>447</v>
      </c>
      <c r="J1113" s="13" t="s">
        <v>8890</v>
      </c>
      <c r="K1113" s="13" t="s">
        <v>8421</v>
      </c>
      <c r="L1113" s="13" t="s">
        <v>158</v>
      </c>
      <c r="M1113" t="s">
        <v>3</v>
      </c>
    </row>
    <row r="1114" spans="1:13" x14ac:dyDescent="0.25">
      <c r="A1114" s="13" t="s">
        <v>2993</v>
      </c>
      <c r="B1114" s="13" t="s">
        <v>2993</v>
      </c>
      <c r="C1114" s="13" t="s">
        <v>2994</v>
      </c>
      <c r="D1114" s="13">
        <v>1.2</v>
      </c>
      <c r="E1114" s="13" t="s">
        <v>2995</v>
      </c>
      <c r="F1114" s="13" t="s">
        <v>8867</v>
      </c>
      <c r="G1114" s="13" t="s">
        <v>2</v>
      </c>
      <c r="H1114" s="13" t="s">
        <v>3</v>
      </c>
      <c r="I1114" s="13" t="s">
        <v>1263</v>
      </c>
      <c r="J1114" s="13" t="s">
        <v>8890</v>
      </c>
      <c r="K1114" s="13" t="s">
        <v>8422</v>
      </c>
      <c r="L1114" s="13" t="s">
        <v>158</v>
      </c>
      <c r="M1114" t="s">
        <v>3</v>
      </c>
    </row>
    <row r="1115" spans="1:13" x14ac:dyDescent="0.25">
      <c r="A1115" s="13" t="s">
        <v>11600</v>
      </c>
      <c r="B1115" s="13" t="s">
        <v>11600</v>
      </c>
      <c r="C1115" s="13" t="s">
        <v>11601</v>
      </c>
      <c r="D1115" s="13">
        <v>41</v>
      </c>
      <c r="E1115" s="13" t="s">
        <v>11602</v>
      </c>
      <c r="F1115" s="13" t="s">
        <v>8867</v>
      </c>
      <c r="G1115" s="13" t="s">
        <v>2</v>
      </c>
      <c r="H1115" s="13" t="s">
        <v>3</v>
      </c>
      <c r="I1115" s="13" t="s">
        <v>1263</v>
      </c>
      <c r="J1115" s="13" t="s">
        <v>8890</v>
      </c>
      <c r="K1115" s="13" t="s">
        <v>8422</v>
      </c>
      <c r="L1115" s="13" t="s">
        <v>158</v>
      </c>
      <c r="M1115" t="s">
        <v>3</v>
      </c>
    </row>
    <row r="1116" spans="1:13" x14ac:dyDescent="0.25">
      <c r="A1116" s="13" t="s">
        <v>10718</v>
      </c>
      <c r="B1116" s="13" t="s">
        <v>10718</v>
      </c>
      <c r="C1116" s="13" t="s">
        <v>10719</v>
      </c>
      <c r="D1116" s="13">
        <v>2.7</v>
      </c>
      <c r="E1116" s="13" t="s">
        <v>10720</v>
      </c>
      <c r="F1116" s="13" t="s">
        <v>8867</v>
      </c>
      <c r="G1116" s="13" t="s">
        <v>2</v>
      </c>
      <c r="H1116" s="13" t="s">
        <v>3</v>
      </c>
      <c r="I1116" s="13" t="s">
        <v>1263</v>
      </c>
      <c r="J1116" s="13" t="s">
        <v>8890</v>
      </c>
      <c r="K1116" s="13" t="s">
        <v>8422</v>
      </c>
      <c r="L1116" s="13" t="s">
        <v>158</v>
      </c>
      <c r="M1116" t="s">
        <v>3</v>
      </c>
    </row>
    <row r="1117" spans="1:13" x14ac:dyDescent="0.25">
      <c r="A1117" s="13" t="s">
        <v>10479</v>
      </c>
      <c r="B1117" s="13" t="s">
        <v>10479</v>
      </c>
      <c r="C1117" s="13" t="s">
        <v>10480</v>
      </c>
      <c r="D1117" s="13">
        <v>2</v>
      </c>
      <c r="E1117" s="13" t="s">
        <v>10481</v>
      </c>
      <c r="F1117" s="13" t="s">
        <v>8867</v>
      </c>
      <c r="G1117" s="13" t="s">
        <v>2</v>
      </c>
      <c r="H1117" s="13" t="s">
        <v>3</v>
      </c>
      <c r="I1117" s="13" t="s">
        <v>1263</v>
      </c>
      <c r="J1117" s="13" t="s">
        <v>8890</v>
      </c>
      <c r="K1117" s="13" t="s">
        <v>8422</v>
      </c>
      <c r="L1117" s="13" t="s">
        <v>158</v>
      </c>
      <c r="M1117" t="s">
        <v>3</v>
      </c>
    </row>
    <row r="1118" spans="1:13" x14ac:dyDescent="0.25">
      <c r="A1118" s="13" t="s">
        <v>11222</v>
      </c>
      <c r="B1118" s="13" t="s">
        <v>11223</v>
      </c>
      <c r="C1118" s="13" t="s">
        <v>11224</v>
      </c>
      <c r="D1118" s="13">
        <v>45.6</v>
      </c>
      <c r="E1118" s="13" t="s">
        <v>11225</v>
      </c>
      <c r="F1118" s="13" t="s">
        <v>8867</v>
      </c>
      <c r="G1118" s="13" t="s">
        <v>2</v>
      </c>
      <c r="H1118" s="13" t="s">
        <v>3</v>
      </c>
      <c r="I1118" s="13" t="s">
        <v>11071</v>
      </c>
      <c r="J1118" s="13" t="s">
        <v>8890</v>
      </c>
      <c r="K1118" s="13" t="s">
        <v>11984</v>
      </c>
      <c r="L1118" s="13" t="s">
        <v>158</v>
      </c>
      <c r="M1118" t="s">
        <v>3</v>
      </c>
    </row>
    <row r="1119" spans="1:13" x14ac:dyDescent="0.25">
      <c r="A1119" s="13" t="s">
        <v>10417</v>
      </c>
      <c r="B1119" s="13" t="s">
        <v>10417</v>
      </c>
      <c r="C1119" s="13" t="s">
        <v>10417</v>
      </c>
      <c r="D1119" s="13">
        <v>82</v>
      </c>
      <c r="E1119" s="13" t="s">
        <v>10418</v>
      </c>
      <c r="F1119" s="13" t="s">
        <v>8867</v>
      </c>
      <c r="G1119" s="13" t="s">
        <v>2</v>
      </c>
      <c r="H1119" s="13" t="s">
        <v>3</v>
      </c>
      <c r="I1119" s="13" t="s">
        <v>164</v>
      </c>
      <c r="J1119" s="13" t="s">
        <v>8890</v>
      </c>
      <c r="K1119" s="13" t="s">
        <v>8443</v>
      </c>
      <c r="L1119" s="13" t="s">
        <v>158</v>
      </c>
      <c r="M1119" t="s">
        <v>3</v>
      </c>
    </row>
    <row r="1120" spans="1:13" x14ac:dyDescent="0.25">
      <c r="A1120" s="13" t="s">
        <v>9118</v>
      </c>
      <c r="B1120" s="13" t="s">
        <v>9119</v>
      </c>
      <c r="C1120" s="13" t="s">
        <v>9120</v>
      </c>
      <c r="D1120" s="13">
        <v>1.9</v>
      </c>
      <c r="E1120" s="13" t="s">
        <v>9121</v>
      </c>
      <c r="F1120" s="13" t="s">
        <v>8867</v>
      </c>
      <c r="G1120" s="13" t="s">
        <v>2</v>
      </c>
      <c r="H1120" s="13" t="s">
        <v>3</v>
      </c>
      <c r="I1120" s="13" t="s">
        <v>1978</v>
      </c>
      <c r="J1120" s="13" t="s">
        <v>8890</v>
      </c>
      <c r="K1120" s="13" t="s">
        <v>8570</v>
      </c>
      <c r="L1120" s="13" t="s">
        <v>158</v>
      </c>
      <c r="M1120" t="s">
        <v>3</v>
      </c>
    </row>
    <row r="1121" spans="1:13" x14ac:dyDescent="0.25">
      <c r="A1121" s="13" t="s">
        <v>11226</v>
      </c>
      <c r="B1121" s="13" t="s">
        <v>11226</v>
      </c>
      <c r="C1121" s="13" t="s">
        <v>11227</v>
      </c>
      <c r="D1121" s="13">
        <v>1.1000000000000001</v>
      </c>
      <c r="E1121" s="13" t="s">
        <v>11228</v>
      </c>
      <c r="F1121" s="13" t="s">
        <v>8867</v>
      </c>
      <c r="G1121" s="13" t="s">
        <v>2</v>
      </c>
      <c r="H1121" s="13" t="s">
        <v>3</v>
      </c>
      <c r="I1121" s="13" t="s">
        <v>1263</v>
      </c>
      <c r="J1121" s="13" t="s">
        <v>8890</v>
      </c>
      <c r="K1121" s="13" t="s">
        <v>8422</v>
      </c>
      <c r="L1121" s="13" t="s">
        <v>158</v>
      </c>
      <c r="M1121" t="s">
        <v>3</v>
      </c>
    </row>
    <row r="1122" spans="1:13" x14ac:dyDescent="0.25">
      <c r="A1122" s="13" t="s">
        <v>10880</v>
      </c>
      <c r="B1122" s="13" t="s">
        <v>10880</v>
      </c>
      <c r="C1122" s="13" t="s">
        <v>10881</v>
      </c>
      <c r="D1122" s="13">
        <v>2</v>
      </c>
      <c r="E1122" s="13" t="s">
        <v>10882</v>
      </c>
      <c r="F1122" s="13" t="s">
        <v>8867</v>
      </c>
      <c r="G1122" s="13" t="s">
        <v>2</v>
      </c>
      <c r="H1122" s="13" t="s">
        <v>3</v>
      </c>
      <c r="I1122" s="13" t="s">
        <v>1263</v>
      </c>
      <c r="J1122" s="13" t="s">
        <v>8890</v>
      </c>
      <c r="K1122" s="13" t="s">
        <v>8422</v>
      </c>
      <c r="L1122" s="13" t="s">
        <v>158</v>
      </c>
      <c r="M1122" t="s">
        <v>3</v>
      </c>
    </row>
    <row r="1123" spans="1:13" x14ac:dyDescent="0.25">
      <c r="A1123" s="13" t="s">
        <v>11528</v>
      </c>
      <c r="B1123" s="13" t="s">
        <v>11528</v>
      </c>
      <c r="C1123" s="13" t="s">
        <v>11529</v>
      </c>
      <c r="D1123" s="13">
        <v>1.9</v>
      </c>
      <c r="E1123" s="13" t="s">
        <v>11530</v>
      </c>
      <c r="F1123" s="13" t="s">
        <v>8867</v>
      </c>
      <c r="G1123" s="13" t="s">
        <v>2</v>
      </c>
      <c r="H1123" s="13" t="s">
        <v>3</v>
      </c>
      <c r="I1123" s="13" t="s">
        <v>1263</v>
      </c>
      <c r="J1123" s="13" t="s">
        <v>8890</v>
      </c>
      <c r="K1123" s="13" t="s">
        <v>8422</v>
      </c>
      <c r="L1123" s="13" t="s">
        <v>158</v>
      </c>
      <c r="M1123" t="s">
        <v>3</v>
      </c>
    </row>
    <row r="1124" spans="1:13" x14ac:dyDescent="0.25">
      <c r="A1124" s="13" t="s">
        <v>2996</v>
      </c>
      <c r="B1124" s="13" t="s">
        <v>2996</v>
      </c>
      <c r="C1124" s="13" t="s">
        <v>2997</v>
      </c>
      <c r="D1124" s="13">
        <v>20</v>
      </c>
      <c r="E1124" s="13" t="s">
        <v>2998</v>
      </c>
      <c r="F1124" s="13" t="s">
        <v>8867</v>
      </c>
      <c r="G1124" s="13" t="s">
        <v>2</v>
      </c>
      <c r="H1124" s="13" t="s">
        <v>3</v>
      </c>
      <c r="I1124" s="13" t="s">
        <v>1263</v>
      </c>
      <c r="J1124" s="13" t="s">
        <v>8890</v>
      </c>
      <c r="K1124" s="13" t="s">
        <v>8422</v>
      </c>
      <c r="L1124" s="13" t="s">
        <v>158</v>
      </c>
      <c r="M1124" t="s">
        <v>3</v>
      </c>
    </row>
    <row r="1125" spans="1:13" x14ac:dyDescent="0.25">
      <c r="A1125" s="13" t="s">
        <v>10419</v>
      </c>
      <c r="B1125" s="13" t="s">
        <v>10419</v>
      </c>
      <c r="C1125" s="13" t="s">
        <v>10420</v>
      </c>
      <c r="D1125" s="13">
        <v>5</v>
      </c>
      <c r="E1125" s="13" t="s">
        <v>10421</v>
      </c>
      <c r="F1125" s="13" t="s">
        <v>8867</v>
      </c>
      <c r="G1125" s="13" t="s">
        <v>2</v>
      </c>
      <c r="H1125" s="13" t="s">
        <v>3</v>
      </c>
      <c r="I1125" s="13" t="s">
        <v>1263</v>
      </c>
      <c r="J1125" s="13" t="s">
        <v>8890</v>
      </c>
      <c r="K1125" s="13" t="s">
        <v>8422</v>
      </c>
      <c r="L1125" s="13" t="s">
        <v>158</v>
      </c>
      <c r="M1125" t="s">
        <v>3</v>
      </c>
    </row>
    <row r="1126" spans="1:13" ht="26.25" x14ac:dyDescent="0.25">
      <c r="A1126" s="13" t="s">
        <v>2999</v>
      </c>
      <c r="B1126" s="13" t="s">
        <v>2999</v>
      </c>
      <c r="C1126" s="13" t="s">
        <v>3000</v>
      </c>
      <c r="D1126" s="13">
        <v>3</v>
      </c>
      <c r="E1126" s="13" t="s">
        <v>3001</v>
      </c>
      <c r="F1126" s="13" t="s">
        <v>8867</v>
      </c>
      <c r="G1126" s="13" t="s">
        <v>2</v>
      </c>
      <c r="H1126" s="13" t="s">
        <v>3</v>
      </c>
      <c r="I1126" s="13" t="s">
        <v>1263</v>
      </c>
      <c r="J1126" s="13" t="s">
        <v>8890</v>
      </c>
      <c r="K1126" s="13" t="s">
        <v>8422</v>
      </c>
      <c r="L1126" s="13" t="s">
        <v>158</v>
      </c>
      <c r="M1126" t="s">
        <v>3</v>
      </c>
    </row>
    <row r="1127" spans="1:13" x14ac:dyDescent="0.25">
      <c r="A1127" s="13" t="s">
        <v>10482</v>
      </c>
      <c r="B1127" s="13" t="s">
        <v>10482</v>
      </c>
      <c r="C1127" s="13" t="s">
        <v>10483</v>
      </c>
      <c r="D1127" s="13">
        <v>9.1999999999999993</v>
      </c>
      <c r="E1127" s="13" t="s">
        <v>10484</v>
      </c>
      <c r="F1127" s="13" t="s">
        <v>8867</v>
      </c>
      <c r="G1127" s="13" t="s">
        <v>2</v>
      </c>
      <c r="H1127" s="13" t="s">
        <v>3</v>
      </c>
      <c r="I1127" s="13" t="s">
        <v>1263</v>
      </c>
      <c r="J1127" s="13" t="s">
        <v>8890</v>
      </c>
      <c r="K1127" s="13" t="s">
        <v>8422</v>
      </c>
      <c r="L1127" s="13" t="s">
        <v>158</v>
      </c>
      <c r="M1127" t="s">
        <v>3</v>
      </c>
    </row>
    <row r="1128" spans="1:13" x14ac:dyDescent="0.25">
      <c r="A1128" s="13" t="s">
        <v>10485</v>
      </c>
      <c r="B1128" s="13" t="s">
        <v>10485</v>
      </c>
      <c r="C1128" s="13" t="s">
        <v>10486</v>
      </c>
      <c r="D1128" s="13">
        <v>9.1999999999999993</v>
      </c>
      <c r="E1128" s="13" t="s">
        <v>10487</v>
      </c>
      <c r="F1128" s="13" t="s">
        <v>8867</v>
      </c>
      <c r="G1128" s="13" t="s">
        <v>2</v>
      </c>
      <c r="H1128" s="13" t="s">
        <v>3</v>
      </c>
      <c r="I1128" s="13" t="s">
        <v>1263</v>
      </c>
      <c r="J1128" s="13" t="s">
        <v>8890</v>
      </c>
      <c r="K1128" s="13" t="s">
        <v>8422</v>
      </c>
      <c r="L1128" s="13" t="s">
        <v>158</v>
      </c>
      <c r="M1128" t="s">
        <v>3</v>
      </c>
    </row>
    <row r="1129" spans="1:13" ht="26.25" x14ac:dyDescent="0.25">
      <c r="A1129" s="13" t="s">
        <v>10488</v>
      </c>
      <c r="B1129" s="13" t="s">
        <v>10488</v>
      </c>
      <c r="C1129" s="13" t="s">
        <v>10489</v>
      </c>
      <c r="D1129" s="13">
        <v>9.1</v>
      </c>
      <c r="E1129" s="13" t="s">
        <v>10490</v>
      </c>
      <c r="F1129" s="13" t="s">
        <v>8867</v>
      </c>
      <c r="G1129" s="13" t="s">
        <v>2</v>
      </c>
      <c r="H1129" s="13" t="s">
        <v>3</v>
      </c>
      <c r="I1129" s="13" t="s">
        <v>1263</v>
      </c>
      <c r="J1129" s="13" t="s">
        <v>8890</v>
      </c>
      <c r="K1129" s="13" t="s">
        <v>8422</v>
      </c>
      <c r="L1129" s="13" t="s">
        <v>158</v>
      </c>
      <c r="M1129" t="s">
        <v>3</v>
      </c>
    </row>
    <row r="1130" spans="1:13" x14ac:dyDescent="0.25">
      <c r="A1130" s="13" t="s">
        <v>11045</v>
      </c>
      <c r="B1130" s="13" t="s">
        <v>11045</v>
      </c>
      <c r="C1130" s="13" t="s">
        <v>11045</v>
      </c>
      <c r="D1130" s="13">
        <v>15.9</v>
      </c>
      <c r="E1130" s="13" t="s">
        <v>11046</v>
      </c>
      <c r="F1130" s="13" t="s">
        <v>8867</v>
      </c>
      <c r="G1130" s="13" t="s">
        <v>2</v>
      </c>
      <c r="H1130" s="13" t="s">
        <v>9060</v>
      </c>
      <c r="I1130" s="13" t="s">
        <v>706</v>
      </c>
      <c r="J1130" s="13" t="s">
        <v>8890</v>
      </c>
      <c r="K1130" s="13" t="s">
        <v>8419</v>
      </c>
      <c r="L1130" s="13" t="s">
        <v>158</v>
      </c>
      <c r="M1130" t="s">
        <v>9060</v>
      </c>
    </row>
    <row r="1131" spans="1:13" x14ac:dyDescent="0.25">
      <c r="A1131" s="13" t="s">
        <v>10883</v>
      </c>
      <c r="B1131" s="13" t="s">
        <v>10884</v>
      </c>
      <c r="C1131" s="13" t="s">
        <v>10885</v>
      </c>
      <c r="D1131" s="13">
        <v>14.2</v>
      </c>
      <c r="E1131" s="13" t="s">
        <v>10886</v>
      </c>
      <c r="F1131" s="13" t="s">
        <v>8867</v>
      </c>
      <c r="G1131" s="13" t="s">
        <v>2</v>
      </c>
      <c r="H1131" s="13" t="s">
        <v>11195</v>
      </c>
      <c r="I1131" s="13" t="s">
        <v>809</v>
      </c>
      <c r="J1131" s="13" t="s">
        <v>8890</v>
      </c>
      <c r="K1131" s="13" t="s">
        <v>8512</v>
      </c>
      <c r="L1131" s="13" t="s">
        <v>158</v>
      </c>
      <c r="M1131" t="s">
        <v>11195</v>
      </c>
    </row>
    <row r="1132" spans="1:13" x14ac:dyDescent="0.25">
      <c r="A1132" s="13" t="s">
        <v>9887</v>
      </c>
      <c r="B1132" s="13" t="s">
        <v>9887</v>
      </c>
      <c r="C1132" s="13" t="s">
        <v>9888</v>
      </c>
      <c r="D1132" s="13">
        <v>5</v>
      </c>
      <c r="E1132" s="13" t="s">
        <v>9889</v>
      </c>
      <c r="F1132" s="13" t="s">
        <v>8867</v>
      </c>
      <c r="G1132" s="13" t="s">
        <v>2</v>
      </c>
      <c r="H1132" s="13" t="s">
        <v>3</v>
      </c>
      <c r="I1132" s="13" t="s">
        <v>159</v>
      </c>
      <c r="J1132" s="13" t="s">
        <v>8890</v>
      </c>
      <c r="K1132" s="13" t="s">
        <v>8442</v>
      </c>
      <c r="L1132" s="13" t="s">
        <v>158</v>
      </c>
      <c r="M1132" t="s">
        <v>3</v>
      </c>
    </row>
    <row r="1133" spans="1:13" x14ac:dyDescent="0.25">
      <c r="A1133" s="13" t="s">
        <v>9890</v>
      </c>
      <c r="B1133" s="13" t="s">
        <v>9890</v>
      </c>
      <c r="C1133" s="13" t="s">
        <v>9891</v>
      </c>
      <c r="D1133" s="13">
        <v>3.6</v>
      </c>
      <c r="E1133" s="13" t="s">
        <v>9892</v>
      </c>
      <c r="F1133" s="13" t="s">
        <v>8867</v>
      </c>
      <c r="G1133" s="13" t="s">
        <v>2</v>
      </c>
      <c r="H1133" s="13" t="s">
        <v>3</v>
      </c>
      <c r="I1133" s="13" t="s">
        <v>159</v>
      </c>
      <c r="J1133" s="13" t="s">
        <v>8890</v>
      </c>
      <c r="K1133" s="13" t="s">
        <v>8442</v>
      </c>
      <c r="L1133" s="13" t="s">
        <v>158</v>
      </c>
      <c r="M1133" t="s">
        <v>3</v>
      </c>
    </row>
    <row r="1134" spans="1:13" x14ac:dyDescent="0.25">
      <c r="A1134" s="13" t="s">
        <v>3002</v>
      </c>
      <c r="B1134" s="13" t="s">
        <v>3002</v>
      </c>
      <c r="C1134" s="13" t="s">
        <v>3003</v>
      </c>
      <c r="D1134" s="13">
        <v>7.2</v>
      </c>
      <c r="E1134" s="13" t="s">
        <v>3004</v>
      </c>
      <c r="F1134" s="13" t="s">
        <v>8867</v>
      </c>
      <c r="G1134" s="13" t="s">
        <v>2</v>
      </c>
      <c r="H1134" s="13" t="s">
        <v>3</v>
      </c>
      <c r="I1134" s="13" t="s">
        <v>1263</v>
      </c>
      <c r="J1134" s="13" t="s">
        <v>8890</v>
      </c>
      <c r="K1134" s="13" t="s">
        <v>8422</v>
      </c>
      <c r="L1134" s="13" t="s">
        <v>158</v>
      </c>
      <c r="M1134" t="s">
        <v>3</v>
      </c>
    </row>
    <row r="1135" spans="1:13" x14ac:dyDescent="0.25">
      <c r="A1135" s="13" t="s">
        <v>3005</v>
      </c>
      <c r="B1135" s="13" t="s">
        <v>3005</v>
      </c>
      <c r="C1135" s="13" t="s">
        <v>3005</v>
      </c>
      <c r="D1135" s="13">
        <v>7.3</v>
      </c>
      <c r="E1135" s="13" t="s">
        <v>3006</v>
      </c>
      <c r="F1135" s="13" t="s">
        <v>8867</v>
      </c>
      <c r="G1135" s="13" t="s">
        <v>2</v>
      </c>
      <c r="H1135" s="13" t="s">
        <v>3</v>
      </c>
      <c r="I1135" s="13" t="s">
        <v>1978</v>
      </c>
      <c r="J1135" s="13" t="s">
        <v>8890</v>
      </c>
      <c r="K1135" s="13" t="s">
        <v>8570</v>
      </c>
      <c r="L1135" s="13" t="s">
        <v>158</v>
      </c>
      <c r="M1135" t="s">
        <v>3</v>
      </c>
    </row>
    <row r="1136" spans="1:13" x14ac:dyDescent="0.25">
      <c r="A1136" s="13" t="s">
        <v>3007</v>
      </c>
      <c r="B1136" s="13" t="s">
        <v>3007</v>
      </c>
      <c r="C1136" s="13" t="s">
        <v>3008</v>
      </c>
      <c r="D1136" s="13">
        <v>2.9</v>
      </c>
      <c r="E1136" s="13" t="s">
        <v>3009</v>
      </c>
      <c r="F1136" s="13" t="s">
        <v>8867</v>
      </c>
      <c r="G1136" s="13" t="s">
        <v>2</v>
      </c>
      <c r="H1136" s="13" t="s">
        <v>3</v>
      </c>
      <c r="I1136" s="13" t="s">
        <v>1263</v>
      </c>
      <c r="J1136" s="13" t="s">
        <v>8890</v>
      </c>
      <c r="K1136" s="13" t="s">
        <v>8422</v>
      </c>
      <c r="L1136" s="13" t="s">
        <v>158</v>
      </c>
      <c r="M1136" t="s">
        <v>3</v>
      </c>
    </row>
    <row r="1137" spans="1:13" x14ac:dyDescent="0.25">
      <c r="A1137" s="13" t="s">
        <v>3010</v>
      </c>
      <c r="B1137" s="13" t="s">
        <v>3010</v>
      </c>
      <c r="C1137" s="13" t="s">
        <v>3011</v>
      </c>
      <c r="D1137" s="13">
        <v>1.5</v>
      </c>
      <c r="E1137" s="13" t="s">
        <v>3012</v>
      </c>
      <c r="F1137" s="13" t="s">
        <v>8867</v>
      </c>
      <c r="G1137" s="13" t="s">
        <v>2</v>
      </c>
      <c r="H1137" s="13" t="s">
        <v>3</v>
      </c>
      <c r="I1137" s="13" t="s">
        <v>1263</v>
      </c>
      <c r="J1137" s="13" t="s">
        <v>8890</v>
      </c>
      <c r="K1137" s="13" t="s">
        <v>8422</v>
      </c>
      <c r="L1137" s="13" t="s">
        <v>158</v>
      </c>
      <c r="M1137" t="s">
        <v>3</v>
      </c>
    </row>
    <row r="1138" spans="1:13" x14ac:dyDescent="0.25">
      <c r="A1138" s="13" t="s">
        <v>3013</v>
      </c>
      <c r="B1138" s="13" t="s">
        <v>3013</v>
      </c>
      <c r="C1138" s="13" t="s">
        <v>3014</v>
      </c>
      <c r="D1138" s="13">
        <v>10</v>
      </c>
      <c r="E1138" s="13" t="s">
        <v>3015</v>
      </c>
      <c r="F1138" s="13" t="s">
        <v>8867</v>
      </c>
      <c r="G1138" s="13" t="s">
        <v>2</v>
      </c>
      <c r="H1138" s="13" t="s">
        <v>3</v>
      </c>
      <c r="I1138" s="13" t="s">
        <v>228</v>
      </c>
      <c r="J1138" s="13" t="s">
        <v>8890</v>
      </c>
      <c r="K1138" s="13" t="s">
        <v>8418</v>
      </c>
      <c r="L1138" s="13" t="s">
        <v>158</v>
      </c>
      <c r="M1138" t="s">
        <v>3</v>
      </c>
    </row>
    <row r="1139" spans="1:13" x14ac:dyDescent="0.25">
      <c r="A1139" s="13" t="s">
        <v>9122</v>
      </c>
      <c r="B1139" s="13" t="s">
        <v>9122</v>
      </c>
      <c r="C1139" s="13" t="s">
        <v>9123</v>
      </c>
      <c r="D1139" s="13">
        <v>3</v>
      </c>
      <c r="E1139" s="13" t="s">
        <v>9124</v>
      </c>
      <c r="F1139" s="13" t="s">
        <v>8867</v>
      </c>
      <c r="G1139" s="13" t="s">
        <v>2</v>
      </c>
      <c r="H1139" s="13" t="s">
        <v>3</v>
      </c>
      <c r="I1139" s="13" t="s">
        <v>1263</v>
      </c>
      <c r="J1139" s="13" t="s">
        <v>8890</v>
      </c>
      <c r="K1139" s="13" t="s">
        <v>8422</v>
      </c>
      <c r="L1139" s="13" t="s">
        <v>158</v>
      </c>
      <c r="M1139" t="s">
        <v>3</v>
      </c>
    </row>
    <row r="1140" spans="1:13" x14ac:dyDescent="0.25">
      <c r="A1140" s="13" t="s">
        <v>3016</v>
      </c>
      <c r="B1140" s="13" t="s">
        <v>3017</v>
      </c>
      <c r="C1140" s="13" t="s">
        <v>3017</v>
      </c>
      <c r="D1140" s="13">
        <v>19.8</v>
      </c>
      <c r="E1140" s="13" t="s">
        <v>3018</v>
      </c>
      <c r="F1140" s="13" t="s">
        <v>8867</v>
      </c>
      <c r="G1140" s="13" t="s">
        <v>2</v>
      </c>
      <c r="H1140" s="13" t="s">
        <v>3</v>
      </c>
      <c r="I1140" s="13" t="s">
        <v>119</v>
      </c>
      <c r="J1140" s="13" t="s">
        <v>8890</v>
      </c>
      <c r="K1140" s="13" t="s">
        <v>8883</v>
      </c>
      <c r="L1140" s="13" t="s">
        <v>158</v>
      </c>
      <c r="M1140" t="s">
        <v>3</v>
      </c>
    </row>
    <row r="1141" spans="1:13" x14ac:dyDescent="0.25">
      <c r="A1141" s="13" t="s">
        <v>3019</v>
      </c>
      <c r="B1141" s="13" t="s">
        <v>3019</v>
      </c>
      <c r="C1141" s="13" t="s">
        <v>3020</v>
      </c>
      <c r="D1141" s="13">
        <v>42.2</v>
      </c>
      <c r="E1141" s="13" t="s">
        <v>3021</v>
      </c>
      <c r="F1141" s="13" t="s">
        <v>8867</v>
      </c>
      <c r="G1141" s="13" t="s">
        <v>2</v>
      </c>
      <c r="H1141" s="13" t="s">
        <v>8422</v>
      </c>
      <c r="I1141" s="13" t="s">
        <v>1263</v>
      </c>
      <c r="J1141" s="13" t="s">
        <v>8890</v>
      </c>
      <c r="K1141" s="13" t="s">
        <v>8422</v>
      </c>
      <c r="L1141" s="13" t="s">
        <v>158</v>
      </c>
      <c r="M1141" t="s">
        <v>10689</v>
      </c>
    </row>
    <row r="1142" spans="1:13" x14ac:dyDescent="0.25">
      <c r="A1142" s="13" t="s">
        <v>9125</v>
      </c>
      <c r="B1142" s="13" t="s">
        <v>9125</v>
      </c>
      <c r="C1142" s="13" t="s">
        <v>9126</v>
      </c>
      <c r="D1142" s="13">
        <v>42</v>
      </c>
      <c r="E1142" s="13" t="s">
        <v>9127</v>
      </c>
      <c r="F1142" s="13" t="s">
        <v>8867</v>
      </c>
      <c r="G1142" s="13" t="s">
        <v>2</v>
      </c>
      <c r="H1142" s="13" t="s">
        <v>8422</v>
      </c>
      <c r="I1142" s="13" t="s">
        <v>1263</v>
      </c>
      <c r="J1142" s="13" t="s">
        <v>8890</v>
      </c>
      <c r="K1142" s="13" t="s">
        <v>8422</v>
      </c>
      <c r="L1142" s="13" t="s">
        <v>158</v>
      </c>
      <c r="M1142" t="s">
        <v>10689</v>
      </c>
    </row>
    <row r="1143" spans="1:13" x14ac:dyDescent="0.25">
      <c r="A1143" s="13" t="s">
        <v>3022</v>
      </c>
      <c r="B1143" s="13" t="s">
        <v>3022</v>
      </c>
      <c r="C1143" s="13" t="s">
        <v>3023</v>
      </c>
      <c r="D1143" s="13">
        <v>20</v>
      </c>
      <c r="E1143" s="13" t="s">
        <v>3024</v>
      </c>
      <c r="F1143" s="13" t="s">
        <v>8867</v>
      </c>
      <c r="G1143" s="13" t="s">
        <v>2</v>
      </c>
      <c r="H1143" s="13" t="s">
        <v>8422</v>
      </c>
      <c r="I1143" s="13" t="s">
        <v>1263</v>
      </c>
      <c r="J1143" s="13" t="s">
        <v>8890</v>
      </c>
      <c r="K1143" s="13" t="s">
        <v>8422</v>
      </c>
      <c r="L1143" s="13" t="s">
        <v>158</v>
      </c>
      <c r="M1143" t="s">
        <v>10689</v>
      </c>
    </row>
    <row r="1144" spans="1:13" x14ac:dyDescent="0.25">
      <c r="A1144" s="13" t="s">
        <v>3025</v>
      </c>
      <c r="B1144" s="13" t="s">
        <v>3025</v>
      </c>
      <c r="C1144" s="13" t="s">
        <v>3026</v>
      </c>
      <c r="D1144" s="13">
        <v>10</v>
      </c>
      <c r="E1144" s="13" t="s">
        <v>3027</v>
      </c>
      <c r="F1144" s="13" t="s">
        <v>8867</v>
      </c>
      <c r="G1144" s="13" t="s">
        <v>2</v>
      </c>
      <c r="H1144" s="13" t="s">
        <v>8422</v>
      </c>
      <c r="I1144" s="13" t="s">
        <v>1263</v>
      </c>
      <c r="J1144" s="13" t="s">
        <v>8890</v>
      </c>
      <c r="K1144" s="13" t="s">
        <v>8422</v>
      </c>
      <c r="L1144" s="13" t="s">
        <v>158</v>
      </c>
      <c r="M1144" t="s">
        <v>10689</v>
      </c>
    </row>
    <row r="1145" spans="1:13" ht="26.25" x14ac:dyDescent="0.25">
      <c r="A1145" s="13" t="s">
        <v>3028</v>
      </c>
      <c r="B1145" s="13" t="s">
        <v>3029</v>
      </c>
      <c r="C1145" s="13" t="s">
        <v>3030</v>
      </c>
      <c r="D1145" s="13">
        <v>3.3</v>
      </c>
      <c r="E1145" s="13" t="s">
        <v>3031</v>
      </c>
      <c r="F1145" s="13" t="s">
        <v>8867</v>
      </c>
      <c r="G1145" s="13" t="s">
        <v>2</v>
      </c>
      <c r="H1145" s="13" t="s">
        <v>3</v>
      </c>
      <c r="I1145" s="13" t="s">
        <v>1978</v>
      </c>
      <c r="J1145" s="13" t="s">
        <v>8890</v>
      </c>
      <c r="K1145" s="13" t="s">
        <v>8570</v>
      </c>
      <c r="L1145" s="13" t="s">
        <v>158</v>
      </c>
      <c r="M1145" t="s">
        <v>3</v>
      </c>
    </row>
    <row r="1146" spans="1:13" x14ac:dyDescent="0.25">
      <c r="A1146" s="13" t="s">
        <v>11784</v>
      </c>
      <c r="B1146" s="13" t="s">
        <v>11784</v>
      </c>
      <c r="C1146" s="13" t="s">
        <v>11785</v>
      </c>
      <c r="D1146" s="13">
        <v>1.7</v>
      </c>
      <c r="E1146" s="13" t="s">
        <v>11786</v>
      </c>
      <c r="F1146" s="13" t="s">
        <v>8867</v>
      </c>
      <c r="G1146" s="13" t="s">
        <v>2</v>
      </c>
      <c r="H1146" s="13" t="s">
        <v>3</v>
      </c>
      <c r="I1146" s="13" t="s">
        <v>1263</v>
      </c>
      <c r="J1146" s="13" t="s">
        <v>8890</v>
      </c>
      <c r="K1146" s="13" t="s">
        <v>8422</v>
      </c>
      <c r="L1146" s="13" t="s">
        <v>158</v>
      </c>
      <c r="M1146" t="s">
        <v>3</v>
      </c>
    </row>
    <row r="1147" spans="1:13" x14ac:dyDescent="0.25">
      <c r="A1147" s="13" t="s">
        <v>10491</v>
      </c>
      <c r="B1147" s="13" t="s">
        <v>10491</v>
      </c>
      <c r="C1147" s="13" t="s">
        <v>10491</v>
      </c>
      <c r="D1147" s="13">
        <v>5</v>
      </c>
      <c r="E1147" s="13" t="s">
        <v>10492</v>
      </c>
      <c r="F1147" s="13" t="s">
        <v>8867</v>
      </c>
      <c r="G1147" s="13" t="s">
        <v>2</v>
      </c>
      <c r="H1147" s="13" t="s">
        <v>9060</v>
      </c>
      <c r="I1147" s="13" t="s">
        <v>706</v>
      </c>
      <c r="J1147" s="13" t="s">
        <v>8890</v>
      </c>
      <c r="K1147" s="13" t="s">
        <v>8419</v>
      </c>
      <c r="L1147" s="13" t="s">
        <v>158</v>
      </c>
      <c r="M1147" t="s">
        <v>9060</v>
      </c>
    </row>
    <row r="1148" spans="1:13" x14ac:dyDescent="0.25">
      <c r="A1148" s="13" t="s">
        <v>11047</v>
      </c>
      <c r="B1148" s="13" t="s">
        <v>11047</v>
      </c>
      <c r="C1148" s="13" t="s">
        <v>11048</v>
      </c>
      <c r="D1148" s="13">
        <v>2</v>
      </c>
      <c r="E1148" s="13" t="s">
        <v>11049</v>
      </c>
      <c r="F1148" s="13" t="s">
        <v>8867</v>
      </c>
      <c r="G1148" s="13" t="s">
        <v>2</v>
      </c>
      <c r="H1148" s="13" t="s">
        <v>3</v>
      </c>
      <c r="I1148" s="13" t="s">
        <v>1263</v>
      </c>
      <c r="J1148" s="13" t="s">
        <v>8890</v>
      </c>
      <c r="K1148" s="13" t="s">
        <v>8422</v>
      </c>
      <c r="L1148" s="13" t="s">
        <v>158</v>
      </c>
      <c r="M1148" t="s">
        <v>3</v>
      </c>
    </row>
    <row r="1149" spans="1:13" x14ac:dyDescent="0.25">
      <c r="A1149" s="13" t="s">
        <v>3032</v>
      </c>
      <c r="B1149" s="13" t="s">
        <v>3032</v>
      </c>
      <c r="C1149" s="13" t="s">
        <v>3033</v>
      </c>
      <c r="D1149" s="13">
        <v>1.1000000000000001</v>
      </c>
      <c r="E1149" s="13" t="s">
        <v>3034</v>
      </c>
      <c r="F1149" s="13" t="s">
        <v>8867</v>
      </c>
      <c r="G1149" s="13" t="s">
        <v>2</v>
      </c>
      <c r="H1149" s="13" t="s">
        <v>3</v>
      </c>
      <c r="I1149" s="13" t="s">
        <v>1263</v>
      </c>
      <c r="J1149" s="13" t="s">
        <v>8890</v>
      </c>
      <c r="K1149" s="13" t="s">
        <v>8422</v>
      </c>
      <c r="L1149" s="13" t="s">
        <v>158</v>
      </c>
      <c r="M1149" t="s">
        <v>3</v>
      </c>
    </row>
    <row r="1150" spans="1:13" x14ac:dyDescent="0.25">
      <c r="A1150" s="13" t="s">
        <v>3035</v>
      </c>
      <c r="B1150" s="13" t="s">
        <v>3035</v>
      </c>
      <c r="C1150" s="13" t="s">
        <v>3036</v>
      </c>
      <c r="D1150" s="13">
        <v>1.1000000000000001</v>
      </c>
      <c r="E1150" s="13" t="s">
        <v>3037</v>
      </c>
      <c r="F1150" s="13" t="s">
        <v>8867</v>
      </c>
      <c r="G1150" s="13" t="s">
        <v>2</v>
      </c>
      <c r="H1150" s="13" t="s">
        <v>3</v>
      </c>
      <c r="I1150" s="13" t="s">
        <v>1263</v>
      </c>
      <c r="J1150" s="13" t="s">
        <v>8890</v>
      </c>
      <c r="K1150" s="13" t="s">
        <v>8422</v>
      </c>
      <c r="L1150" s="13" t="s">
        <v>158</v>
      </c>
      <c r="M1150" t="s">
        <v>3</v>
      </c>
    </row>
    <row r="1151" spans="1:13" x14ac:dyDescent="0.25">
      <c r="A1151" s="13" t="s">
        <v>3038</v>
      </c>
      <c r="B1151" s="13" t="s">
        <v>3039</v>
      </c>
      <c r="C1151" s="13" t="s">
        <v>3040</v>
      </c>
      <c r="D1151" s="13">
        <v>1.8</v>
      </c>
      <c r="E1151" s="13" t="s">
        <v>3041</v>
      </c>
      <c r="F1151" s="13" t="s">
        <v>8867</v>
      </c>
      <c r="G1151" s="13" t="s">
        <v>2</v>
      </c>
      <c r="H1151" s="13" t="s">
        <v>3</v>
      </c>
      <c r="I1151" s="13" t="s">
        <v>1263</v>
      </c>
      <c r="J1151" s="13" t="s">
        <v>8890</v>
      </c>
      <c r="K1151" s="13" t="s">
        <v>8422</v>
      </c>
      <c r="L1151" s="13" t="s">
        <v>158</v>
      </c>
      <c r="M1151" t="s">
        <v>3</v>
      </c>
    </row>
    <row r="1152" spans="1:13" x14ac:dyDescent="0.25">
      <c r="A1152" s="13" t="s">
        <v>11050</v>
      </c>
      <c r="B1152" s="13" t="s">
        <v>11050</v>
      </c>
      <c r="C1152" s="13" t="s">
        <v>11051</v>
      </c>
      <c r="D1152" s="13">
        <v>2</v>
      </c>
      <c r="E1152" s="13" t="s">
        <v>11052</v>
      </c>
      <c r="F1152" s="13" t="s">
        <v>8867</v>
      </c>
      <c r="G1152" s="13" t="s">
        <v>2</v>
      </c>
      <c r="H1152" s="13" t="s">
        <v>3</v>
      </c>
      <c r="I1152" s="13" t="s">
        <v>1263</v>
      </c>
      <c r="J1152" s="13" t="s">
        <v>8890</v>
      </c>
      <c r="K1152" s="13" t="s">
        <v>8422</v>
      </c>
      <c r="L1152" s="13" t="s">
        <v>158</v>
      </c>
      <c r="M1152" t="s">
        <v>3</v>
      </c>
    </row>
    <row r="1153" spans="1:13" ht="26.25" x14ac:dyDescent="0.25">
      <c r="A1153" s="13" t="s">
        <v>9893</v>
      </c>
      <c r="B1153" s="13" t="s">
        <v>9893</v>
      </c>
      <c r="C1153" s="13" t="s">
        <v>9894</v>
      </c>
      <c r="D1153" s="13">
        <v>30</v>
      </c>
      <c r="E1153" s="13" t="s">
        <v>9895</v>
      </c>
      <c r="F1153" s="13" t="s">
        <v>8867</v>
      </c>
      <c r="G1153" s="13" t="s">
        <v>2</v>
      </c>
      <c r="H1153" s="13" t="s">
        <v>3</v>
      </c>
      <c r="I1153" s="13" t="s">
        <v>1263</v>
      </c>
      <c r="J1153" s="13" t="s">
        <v>8890</v>
      </c>
      <c r="K1153" s="13" t="s">
        <v>8422</v>
      </c>
      <c r="L1153" s="13" t="s">
        <v>158</v>
      </c>
      <c r="M1153" t="s">
        <v>3</v>
      </c>
    </row>
    <row r="1154" spans="1:13" x14ac:dyDescent="0.25">
      <c r="A1154" s="13" t="s">
        <v>9128</v>
      </c>
      <c r="B1154" s="13" t="s">
        <v>9128</v>
      </c>
      <c r="C1154" s="13" t="s">
        <v>9129</v>
      </c>
      <c r="D1154" s="13">
        <v>41</v>
      </c>
      <c r="E1154" s="13" t="s">
        <v>9130</v>
      </c>
      <c r="F1154" s="13" t="s">
        <v>8867</v>
      </c>
      <c r="G1154" s="13" t="s">
        <v>2</v>
      </c>
      <c r="H1154" s="13" t="s">
        <v>8422</v>
      </c>
      <c r="I1154" s="13" t="s">
        <v>1263</v>
      </c>
      <c r="J1154" s="13" t="s">
        <v>8890</v>
      </c>
      <c r="K1154" s="13" t="s">
        <v>8422</v>
      </c>
      <c r="L1154" s="13" t="s">
        <v>158</v>
      </c>
      <c r="M1154" t="s">
        <v>10689</v>
      </c>
    </row>
    <row r="1155" spans="1:13" x14ac:dyDescent="0.25">
      <c r="A1155" s="13" t="s">
        <v>3042</v>
      </c>
      <c r="B1155" s="13" t="s">
        <v>3042</v>
      </c>
      <c r="C1155" s="13" t="s">
        <v>3043</v>
      </c>
      <c r="D1155" s="13">
        <v>1.5</v>
      </c>
      <c r="E1155" s="13" t="s">
        <v>3044</v>
      </c>
      <c r="F1155" s="13" t="s">
        <v>8867</v>
      </c>
      <c r="G1155" s="13" t="s">
        <v>2</v>
      </c>
      <c r="H1155" s="13" t="s">
        <v>3</v>
      </c>
      <c r="I1155" s="13" t="s">
        <v>1263</v>
      </c>
      <c r="J1155" s="13" t="s">
        <v>8890</v>
      </c>
      <c r="K1155" s="13" t="s">
        <v>8422</v>
      </c>
      <c r="L1155" s="13" t="s">
        <v>158</v>
      </c>
      <c r="M1155" t="s">
        <v>3</v>
      </c>
    </row>
    <row r="1156" spans="1:13" x14ac:dyDescent="0.25">
      <c r="A1156" s="13" t="s">
        <v>3045</v>
      </c>
      <c r="B1156" s="13" t="s">
        <v>3045</v>
      </c>
      <c r="C1156" s="13" t="s">
        <v>3046</v>
      </c>
      <c r="D1156" s="13">
        <v>4.5999999999999996</v>
      </c>
      <c r="E1156" s="13" t="s">
        <v>3047</v>
      </c>
      <c r="F1156" s="13" t="s">
        <v>8867</v>
      </c>
      <c r="G1156" s="13" t="s">
        <v>2</v>
      </c>
      <c r="H1156" s="13" t="s">
        <v>3</v>
      </c>
      <c r="I1156" s="13" t="s">
        <v>706</v>
      </c>
      <c r="J1156" s="13" t="s">
        <v>8890</v>
      </c>
      <c r="K1156" s="13" t="s">
        <v>8419</v>
      </c>
      <c r="L1156" s="13" t="s">
        <v>158</v>
      </c>
      <c r="M1156" t="s">
        <v>3</v>
      </c>
    </row>
    <row r="1157" spans="1:13" x14ac:dyDescent="0.25">
      <c r="A1157" s="13" t="s">
        <v>10493</v>
      </c>
      <c r="B1157" s="13" t="s">
        <v>10493</v>
      </c>
      <c r="C1157" s="13" t="s">
        <v>10493</v>
      </c>
      <c r="D1157" s="13">
        <v>26</v>
      </c>
      <c r="E1157" s="13" t="s">
        <v>10494</v>
      </c>
      <c r="F1157" s="13" t="s">
        <v>8867</v>
      </c>
      <c r="G1157" s="13" t="s">
        <v>2</v>
      </c>
      <c r="H1157" s="13" t="s">
        <v>3</v>
      </c>
      <c r="I1157" s="13" t="s">
        <v>706</v>
      </c>
      <c r="J1157" s="13" t="s">
        <v>8890</v>
      </c>
      <c r="K1157" s="13" t="s">
        <v>8419</v>
      </c>
      <c r="L1157" s="13" t="s">
        <v>158</v>
      </c>
      <c r="M1157" t="s">
        <v>3</v>
      </c>
    </row>
    <row r="1158" spans="1:13" x14ac:dyDescent="0.25">
      <c r="A1158" s="13" t="s">
        <v>11229</v>
      </c>
      <c r="B1158" s="13" t="s">
        <v>11229</v>
      </c>
      <c r="C1158" s="13" t="s">
        <v>11230</v>
      </c>
      <c r="D1158" s="13">
        <v>3.6</v>
      </c>
      <c r="E1158" s="13" t="s">
        <v>11231</v>
      </c>
      <c r="F1158" s="13" t="s">
        <v>8867</v>
      </c>
      <c r="G1158" s="13" t="s">
        <v>2</v>
      </c>
      <c r="H1158" s="13" t="s">
        <v>3</v>
      </c>
      <c r="I1158" s="13" t="s">
        <v>1263</v>
      </c>
      <c r="J1158" s="13" t="s">
        <v>8890</v>
      </c>
      <c r="K1158" s="13" t="s">
        <v>8422</v>
      </c>
      <c r="L1158" s="13" t="s">
        <v>158</v>
      </c>
      <c r="M1158" t="s">
        <v>3</v>
      </c>
    </row>
    <row r="1159" spans="1:13" x14ac:dyDescent="0.25">
      <c r="A1159" s="13" t="s">
        <v>3048</v>
      </c>
      <c r="B1159" s="13" t="s">
        <v>3049</v>
      </c>
      <c r="C1159" s="13" t="s">
        <v>3050</v>
      </c>
      <c r="D1159" s="13">
        <v>44</v>
      </c>
      <c r="E1159" s="13" t="s">
        <v>3051</v>
      </c>
      <c r="F1159" s="13" t="s">
        <v>8867</v>
      </c>
      <c r="G1159" s="13" t="s">
        <v>2</v>
      </c>
      <c r="H1159" s="13" t="s">
        <v>3</v>
      </c>
      <c r="I1159" s="13" t="s">
        <v>119</v>
      </c>
      <c r="J1159" s="13" t="s">
        <v>8890</v>
      </c>
      <c r="K1159" s="13" t="s">
        <v>8883</v>
      </c>
      <c r="L1159" s="13" t="s">
        <v>158</v>
      </c>
      <c r="M1159" t="s">
        <v>3</v>
      </c>
    </row>
    <row r="1160" spans="1:13" ht="26.25" x14ac:dyDescent="0.25">
      <c r="A1160" s="13" t="s">
        <v>9734</v>
      </c>
      <c r="B1160" s="13" t="s">
        <v>9734</v>
      </c>
      <c r="C1160" s="13" t="s">
        <v>9734</v>
      </c>
      <c r="D1160" s="13">
        <v>4</v>
      </c>
      <c r="E1160" s="13" t="s">
        <v>9735</v>
      </c>
      <c r="F1160" s="13" t="s">
        <v>8867</v>
      </c>
      <c r="G1160" s="13" t="s">
        <v>2</v>
      </c>
      <c r="H1160" s="13" t="s">
        <v>3</v>
      </c>
      <c r="I1160" s="13" t="s">
        <v>2736</v>
      </c>
      <c r="J1160" s="13" t="s">
        <v>8890</v>
      </c>
      <c r="K1160" s="13" t="s">
        <v>8616</v>
      </c>
      <c r="L1160" s="13" t="s">
        <v>158</v>
      </c>
      <c r="M1160" t="s">
        <v>3</v>
      </c>
    </row>
    <row r="1161" spans="1:13" x14ac:dyDescent="0.25">
      <c r="A1161" s="13" t="s">
        <v>3052</v>
      </c>
      <c r="B1161" s="13" t="s">
        <v>3052</v>
      </c>
      <c r="C1161" s="13" t="s">
        <v>3053</v>
      </c>
      <c r="D1161" s="13">
        <v>3.6</v>
      </c>
      <c r="E1161" s="13" t="s">
        <v>3053</v>
      </c>
      <c r="F1161" s="13" t="s">
        <v>8867</v>
      </c>
      <c r="G1161" s="13" t="s">
        <v>2</v>
      </c>
      <c r="H1161" s="13" t="s">
        <v>3</v>
      </c>
      <c r="I1161" s="13" t="s">
        <v>447</v>
      </c>
      <c r="J1161" s="13" t="s">
        <v>8890</v>
      </c>
      <c r="K1161" s="13" t="s">
        <v>8421</v>
      </c>
      <c r="L1161" s="13" t="s">
        <v>158</v>
      </c>
      <c r="M1161" t="s">
        <v>3</v>
      </c>
    </row>
    <row r="1162" spans="1:13" x14ac:dyDescent="0.25">
      <c r="A1162" s="13" t="s">
        <v>9736</v>
      </c>
      <c r="B1162" s="13" t="s">
        <v>9736</v>
      </c>
      <c r="C1162" s="13" t="s">
        <v>9736</v>
      </c>
      <c r="D1162" s="13">
        <v>4</v>
      </c>
      <c r="E1162" s="13" t="s">
        <v>9737</v>
      </c>
      <c r="F1162" s="13" t="s">
        <v>8867</v>
      </c>
      <c r="G1162" s="13" t="s">
        <v>2</v>
      </c>
      <c r="H1162" s="13" t="s">
        <v>3</v>
      </c>
      <c r="I1162" s="13" t="s">
        <v>2736</v>
      </c>
      <c r="J1162" s="13" t="s">
        <v>8890</v>
      </c>
      <c r="K1162" s="13" t="s">
        <v>8616</v>
      </c>
      <c r="L1162" s="13" t="s">
        <v>158</v>
      </c>
      <c r="M1162" t="s">
        <v>3</v>
      </c>
    </row>
    <row r="1163" spans="1:13" x14ac:dyDescent="0.25">
      <c r="A1163" s="13" t="s">
        <v>9738</v>
      </c>
      <c r="B1163" s="13" t="s">
        <v>9738</v>
      </c>
      <c r="C1163" s="13" t="s">
        <v>9738</v>
      </c>
      <c r="D1163" s="13">
        <v>5</v>
      </c>
      <c r="E1163" s="13" t="s">
        <v>9739</v>
      </c>
      <c r="F1163" s="13" t="s">
        <v>8867</v>
      </c>
      <c r="G1163" s="13" t="s">
        <v>2</v>
      </c>
      <c r="H1163" s="13" t="s">
        <v>3</v>
      </c>
      <c r="I1163" s="13" t="s">
        <v>2736</v>
      </c>
      <c r="J1163" s="13" t="s">
        <v>8890</v>
      </c>
      <c r="K1163" s="13" t="s">
        <v>8616</v>
      </c>
      <c r="L1163" s="13" t="s">
        <v>158</v>
      </c>
      <c r="M1163" t="s">
        <v>3</v>
      </c>
    </row>
    <row r="1164" spans="1:13" x14ac:dyDescent="0.25">
      <c r="A1164" s="13" t="s">
        <v>9740</v>
      </c>
      <c r="B1164" s="13" t="s">
        <v>9740</v>
      </c>
      <c r="C1164" s="13" t="s">
        <v>9740</v>
      </c>
      <c r="D1164" s="13">
        <v>5</v>
      </c>
      <c r="E1164" s="13" t="s">
        <v>9741</v>
      </c>
      <c r="F1164" s="13" t="s">
        <v>8867</v>
      </c>
      <c r="G1164" s="13" t="s">
        <v>2</v>
      </c>
      <c r="H1164" s="13" t="s">
        <v>3</v>
      </c>
      <c r="I1164" s="13" t="s">
        <v>2736</v>
      </c>
      <c r="J1164" s="13" t="s">
        <v>8890</v>
      </c>
      <c r="K1164" s="13" t="s">
        <v>8616</v>
      </c>
      <c r="L1164" s="13" t="s">
        <v>158</v>
      </c>
      <c r="M1164" t="s">
        <v>3</v>
      </c>
    </row>
    <row r="1165" spans="1:13" x14ac:dyDescent="0.25">
      <c r="A1165" s="13" t="s">
        <v>3054</v>
      </c>
      <c r="B1165" s="13" t="s">
        <v>3055</v>
      </c>
      <c r="C1165" s="13" t="s">
        <v>3056</v>
      </c>
      <c r="D1165" s="13">
        <v>10</v>
      </c>
      <c r="E1165" s="13" t="s">
        <v>3057</v>
      </c>
      <c r="F1165" s="13" t="s">
        <v>8867</v>
      </c>
      <c r="G1165" s="13" t="s">
        <v>2</v>
      </c>
      <c r="H1165" s="13" t="s">
        <v>3</v>
      </c>
      <c r="I1165" s="13" t="s">
        <v>228</v>
      </c>
      <c r="J1165" s="13" t="s">
        <v>8890</v>
      </c>
      <c r="K1165" s="13" t="s">
        <v>8418</v>
      </c>
      <c r="L1165" s="13" t="s">
        <v>158</v>
      </c>
      <c r="M1165" t="s">
        <v>3</v>
      </c>
    </row>
    <row r="1166" spans="1:13" ht="26.25" x14ac:dyDescent="0.25">
      <c r="A1166" s="13" t="s">
        <v>3058</v>
      </c>
      <c r="B1166" s="13" t="s">
        <v>3058</v>
      </c>
      <c r="C1166" s="13" t="s">
        <v>3059</v>
      </c>
      <c r="D1166" s="13">
        <v>6.8</v>
      </c>
      <c r="E1166" s="13" t="s">
        <v>3060</v>
      </c>
      <c r="F1166" s="13" t="s">
        <v>8867</v>
      </c>
      <c r="G1166" s="13" t="s">
        <v>2</v>
      </c>
      <c r="H1166" s="13" t="s">
        <v>3</v>
      </c>
      <c r="I1166" s="13" t="s">
        <v>1263</v>
      </c>
      <c r="J1166" s="13" t="s">
        <v>8890</v>
      </c>
      <c r="K1166" s="13" t="s">
        <v>8422</v>
      </c>
      <c r="L1166" s="13" t="s">
        <v>158</v>
      </c>
      <c r="M1166" t="s">
        <v>3</v>
      </c>
    </row>
    <row r="1167" spans="1:13" x14ac:dyDescent="0.25">
      <c r="A1167" s="13" t="s">
        <v>3061</v>
      </c>
      <c r="B1167" s="13" t="s">
        <v>3062</v>
      </c>
      <c r="C1167" s="13" t="s">
        <v>3063</v>
      </c>
      <c r="D1167" s="13">
        <v>1</v>
      </c>
      <c r="E1167" s="13" t="s">
        <v>3064</v>
      </c>
      <c r="F1167" s="13" t="s">
        <v>8867</v>
      </c>
      <c r="G1167" s="13" t="s">
        <v>2</v>
      </c>
      <c r="H1167" s="13" t="s">
        <v>3</v>
      </c>
      <c r="I1167" s="13" t="s">
        <v>1978</v>
      </c>
      <c r="J1167" s="13" t="s">
        <v>8890</v>
      </c>
      <c r="K1167" s="13" t="s">
        <v>8570</v>
      </c>
      <c r="L1167" s="13" t="s">
        <v>158</v>
      </c>
      <c r="M1167" t="s">
        <v>3</v>
      </c>
    </row>
    <row r="1168" spans="1:13" x14ac:dyDescent="0.25">
      <c r="A1168" s="13" t="s">
        <v>3065</v>
      </c>
      <c r="B1168" s="13" t="s">
        <v>3065</v>
      </c>
      <c r="C1168" s="13" t="s">
        <v>3066</v>
      </c>
      <c r="D1168" s="13">
        <v>1.6</v>
      </c>
      <c r="E1168" s="13" t="s">
        <v>3067</v>
      </c>
      <c r="F1168" s="13" t="s">
        <v>8867</v>
      </c>
      <c r="G1168" s="13" t="s">
        <v>2</v>
      </c>
      <c r="H1168" s="13" t="s">
        <v>3</v>
      </c>
      <c r="I1168" s="13" t="s">
        <v>1263</v>
      </c>
      <c r="J1168" s="13" t="s">
        <v>8890</v>
      </c>
      <c r="K1168" s="13" t="s">
        <v>8422</v>
      </c>
      <c r="L1168" s="13" t="s">
        <v>158</v>
      </c>
      <c r="M1168" t="s">
        <v>3</v>
      </c>
    </row>
    <row r="1169" spans="1:13" x14ac:dyDescent="0.25">
      <c r="A1169" s="13" t="s">
        <v>3068</v>
      </c>
      <c r="B1169" s="13" t="s">
        <v>3069</v>
      </c>
      <c r="C1169" s="13" t="s">
        <v>3070</v>
      </c>
      <c r="D1169" s="13">
        <v>40</v>
      </c>
      <c r="E1169" s="13" t="s">
        <v>3071</v>
      </c>
      <c r="F1169" s="13" t="s">
        <v>8867</v>
      </c>
      <c r="G1169" s="13" t="s">
        <v>2</v>
      </c>
      <c r="H1169" s="13" t="s">
        <v>3</v>
      </c>
      <c r="I1169" s="13" t="s">
        <v>1978</v>
      </c>
      <c r="J1169" s="13" t="s">
        <v>8890</v>
      </c>
      <c r="K1169" s="13" t="s">
        <v>8570</v>
      </c>
      <c r="L1169" s="13" t="s">
        <v>158</v>
      </c>
      <c r="M1169" t="s">
        <v>3</v>
      </c>
    </row>
    <row r="1170" spans="1:13" x14ac:dyDescent="0.25">
      <c r="A1170" s="13" t="s">
        <v>3072</v>
      </c>
      <c r="B1170" s="13" t="s">
        <v>3073</v>
      </c>
      <c r="C1170" s="13" t="s">
        <v>3074</v>
      </c>
      <c r="D1170" s="13">
        <v>3.4</v>
      </c>
      <c r="E1170" s="13" t="s">
        <v>3075</v>
      </c>
      <c r="F1170" s="13" t="s">
        <v>8867</v>
      </c>
      <c r="G1170" s="13" t="s">
        <v>2</v>
      </c>
      <c r="H1170" s="13" t="s">
        <v>3</v>
      </c>
      <c r="I1170" s="13" t="s">
        <v>1205</v>
      </c>
      <c r="J1170" s="13" t="s">
        <v>8890</v>
      </c>
      <c r="K1170" s="13" t="s">
        <v>8536</v>
      </c>
      <c r="L1170" s="13" t="s">
        <v>158</v>
      </c>
      <c r="M1170" t="s">
        <v>3</v>
      </c>
    </row>
    <row r="1171" spans="1:13" x14ac:dyDescent="0.25">
      <c r="A1171" s="13" t="s">
        <v>3076</v>
      </c>
      <c r="B1171" s="13" t="s">
        <v>3077</v>
      </c>
      <c r="C1171" s="13" t="s">
        <v>3078</v>
      </c>
      <c r="D1171" s="13">
        <v>1.6</v>
      </c>
      <c r="E1171" s="13" t="s">
        <v>3079</v>
      </c>
      <c r="F1171" s="13" t="s">
        <v>8867</v>
      </c>
      <c r="G1171" s="13" t="s">
        <v>2</v>
      </c>
      <c r="H1171" s="13" t="s">
        <v>3</v>
      </c>
      <c r="I1171" s="13" t="s">
        <v>1205</v>
      </c>
      <c r="J1171" s="13" t="s">
        <v>8890</v>
      </c>
      <c r="K1171" s="13" t="s">
        <v>8536</v>
      </c>
      <c r="L1171" s="13" t="s">
        <v>158</v>
      </c>
      <c r="M1171" t="s">
        <v>3</v>
      </c>
    </row>
    <row r="1172" spans="1:13" x14ac:dyDescent="0.25">
      <c r="A1172" s="13" t="s">
        <v>3080</v>
      </c>
      <c r="B1172" s="13" t="s">
        <v>3081</v>
      </c>
      <c r="C1172" s="13" t="s">
        <v>3082</v>
      </c>
      <c r="D1172" s="13">
        <v>2</v>
      </c>
      <c r="E1172" s="13" t="s">
        <v>3083</v>
      </c>
      <c r="F1172" s="13" t="s">
        <v>8867</v>
      </c>
      <c r="G1172" s="13" t="s">
        <v>2</v>
      </c>
      <c r="H1172" s="13" t="s">
        <v>3</v>
      </c>
      <c r="I1172" s="13" t="s">
        <v>1205</v>
      </c>
      <c r="J1172" s="13" t="s">
        <v>8890</v>
      </c>
      <c r="K1172" s="13" t="s">
        <v>8536</v>
      </c>
      <c r="L1172" s="13" t="s">
        <v>158</v>
      </c>
      <c r="M1172" t="s">
        <v>3</v>
      </c>
    </row>
    <row r="1173" spans="1:13" ht="26.25" x14ac:dyDescent="0.25">
      <c r="A1173" s="13" t="s">
        <v>3084</v>
      </c>
      <c r="B1173" s="13" t="s">
        <v>3085</v>
      </c>
      <c r="C1173" s="13" t="s">
        <v>3086</v>
      </c>
      <c r="D1173" s="13">
        <v>1.6</v>
      </c>
      <c r="E1173" s="13" t="s">
        <v>3087</v>
      </c>
      <c r="F1173" s="13" t="s">
        <v>8867</v>
      </c>
      <c r="G1173" s="13" t="s">
        <v>2</v>
      </c>
      <c r="H1173" s="13" t="s">
        <v>3</v>
      </c>
      <c r="I1173" s="13" t="s">
        <v>1205</v>
      </c>
      <c r="J1173" s="13" t="s">
        <v>8890</v>
      </c>
      <c r="K1173" s="13" t="s">
        <v>8536</v>
      </c>
      <c r="L1173" s="13" t="s">
        <v>158</v>
      </c>
      <c r="M1173" t="s">
        <v>3</v>
      </c>
    </row>
    <row r="1174" spans="1:13" x14ac:dyDescent="0.25">
      <c r="A1174" s="13" t="s">
        <v>3088</v>
      </c>
      <c r="B1174" s="13" t="s">
        <v>3089</v>
      </c>
      <c r="C1174" s="13" t="s">
        <v>3090</v>
      </c>
      <c r="D1174" s="13">
        <v>1.3</v>
      </c>
      <c r="E1174" s="13" t="s">
        <v>3091</v>
      </c>
      <c r="F1174" s="13" t="s">
        <v>8867</v>
      </c>
      <c r="G1174" s="13" t="s">
        <v>2</v>
      </c>
      <c r="H1174" s="13" t="s">
        <v>3</v>
      </c>
      <c r="I1174" s="13" t="s">
        <v>1205</v>
      </c>
      <c r="J1174" s="13" t="s">
        <v>8890</v>
      </c>
      <c r="K1174" s="13" t="s">
        <v>8536</v>
      </c>
      <c r="L1174" s="13" t="s">
        <v>158</v>
      </c>
      <c r="M1174" t="s">
        <v>3</v>
      </c>
    </row>
    <row r="1175" spans="1:13" x14ac:dyDescent="0.25">
      <c r="A1175" s="13" t="s">
        <v>10721</v>
      </c>
      <c r="B1175" s="13" t="s">
        <v>10722</v>
      </c>
      <c r="C1175" s="13" t="s">
        <v>10723</v>
      </c>
      <c r="D1175" s="13">
        <v>1.5</v>
      </c>
      <c r="E1175" s="13" t="s">
        <v>10724</v>
      </c>
      <c r="F1175" s="13" t="s">
        <v>8867</v>
      </c>
      <c r="G1175" s="13" t="s">
        <v>2</v>
      </c>
      <c r="H1175" s="13" t="s">
        <v>3</v>
      </c>
      <c r="I1175" s="13" t="s">
        <v>1205</v>
      </c>
      <c r="J1175" s="13" t="s">
        <v>8890</v>
      </c>
      <c r="K1175" s="13" t="s">
        <v>8536</v>
      </c>
      <c r="L1175" s="13" t="s">
        <v>158</v>
      </c>
      <c r="M1175" t="s">
        <v>3</v>
      </c>
    </row>
    <row r="1176" spans="1:13" x14ac:dyDescent="0.25">
      <c r="A1176" s="13" t="s">
        <v>10725</v>
      </c>
      <c r="B1176" s="13" t="s">
        <v>10726</v>
      </c>
      <c r="C1176" s="13" t="s">
        <v>10727</v>
      </c>
      <c r="D1176" s="13">
        <v>1.8</v>
      </c>
      <c r="E1176" s="13" t="s">
        <v>10728</v>
      </c>
      <c r="F1176" s="13" t="s">
        <v>8867</v>
      </c>
      <c r="G1176" s="13" t="s">
        <v>2</v>
      </c>
      <c r="H1176" s="13" t="s">
        <v>3</v>
      </c>
      <c r="I1176" s="13" t="s">
        <v>1205</v>
      </c>
      <c r="J1176" s="13" t="s">
        <v>8890</v>
      </c>
      <c r="K1176" s="13" t="s">
        <v>8536</v>
      </c>
      <c r="L1176" s="13" t="s">
        <v>158</v>
      </c>
      <c r="M1176" t="s">
        <v>3</v>
      </c>
    </row>
    <row r="1177" spans="1:13" ht="26.25" x14ac:dyDescent="0.25">
      <c r="A1177" s="13" t="s">
        <v>10729</v>
      </c>
      <c r="B1177" s="13" t="s">
        <v>10730</v>
      </c>
      <c r="C1177" s="13" t="s">
        <v>10731</v>
      </c>
      <c r="D1177" s="13">
        <v>4.5999999999999996</v>
      </c>
      <c r="E1177" s="13" t="s">
        <v>10732</v>
      </c>
      <c r="F1177" s="13" t="s">
        <v>8867</v>
      </c>
      <c r="G1177" s="13" t="s">
        <v>2</v>
      </c>
      <c r="H1177" s="13" t="s">
        <v>3</v>
      </c>
      <c r="I1177" s="13" t="s">
        <v>1205</v>
      </c>
      <c r="J1177" s="13" t="s">
        <v>8890</v>
      </c>
      <c r="K1177" s="13" t="s">
        <v>8536</v>
      </c>
      <c r="L1177" s="13" t="s">
        <v>158</v>
      </c>
      <c r="M1177" t="s">
        <v>3</v>
      </c>
    </row>
    <row r="1178" spans="1:13" x14ac:dyDescent="0.25">
      <c r="A1178" s="13" t="s">
        <v>10887</v>
      </c>
      <c r="B1178" s="13" t="s">
        <v>10888</v>
      </c>
      <c r="C1178" s="13" t="s">
        <v>10889</v>
      </c>
      <c r="D1178" s="13">
        <v>2.6</v>
      </c>
      <c r="E1178" s="13" t="s">
        <v>10890</v>
      </c>
      <c r="F1178" s="13" t="s">
        <v>8867</v>
      </c>
      <c r="G1178" s="13" t="s">
        <v>2</v>
      </c>
      <c r="H1178" s="13" t="s">
        <v>3</v>
      </c>
      <c r="I1178" s="13" t="s">
        <v>1205</v>
      </c>
      <c r="J1178" s="13" t="s">
        <v>8890</v>
      </c>
      <c r="K1178" s="13" t="s">
        <v>8536</v>
      </c>
      <c r="L1178" s="13" t="s">
        <v>158</v>
      </c>
      <c r="M1178" t="s">
        <v>3</v>
      </c>
    </row>
    <row r="1179" spans="1:13" x14ac:dyDescent="0.25">
      <c r="A1179" s="13" t="s">
        <v>11985</v>
      </c>
      <c r="B1179" s="13" t="s">
        <v>11986</v>
      </c>
      <c r="C1179" s="13" t="s">
        <v>11987</v>
      </c>
      <c r="D1179" s="13">
        <v>1</v>
      </c>
      <c r="E1179" s="13" t="s">
        <v>11988</v>
      </c>
      <c r="F1179" s="13" t="s">
        <v>8867</v>
      </c>
      <c r="G1179" s="13" t="s">
        <v>2</v>
      </c>
      <c r="H1179" s="13" t="s">
        <v>3</v>
      </c>
      <c r="I1179" s="13" t="s">
        <v>1205</v>
      </c>
      <c r="J1179" s="13" t="s">
        <v>8890</v>
      </c>
      <c r="K1179" s="13" t="s">
        <v>8536</v>
      </c>
      <c r="L1179" s="13" t="s">
        <v>158</v>
      </c>
      <c r="M1179" t="s">
        <v>3</v>
      </c>
    </row>
    <row r="1180" spans="1:13" x14ac:dyDescent="0.25">
      <c r="A1180" s="13" t="s">
        <v>3092</v>
      </c>
      <c r="B1180" s="13" t="s">
        <v>3092</v>
      </c>
      <c r="C1180" s="13" t="s">
        <v>3093</v>
      </c>
      <c r="D1180" s="13">
        <v>11.4</v>
      </c>
      <c r="E1180" s="13" t="s">
        <v>3094</v>
      </c>
      <c r="F1180" s="13" t="s">
        <v>8867</v>
      </c>
      <c r="G1180" s="13" t="s">
        <v>2</v>
      </c>
      <c r="H1180" s="13" t="s">
        <v>3</v>
      </c>
      <c r="I1180" s="13" t="s">
        <v>1205</v>
      </c>
      <c r="J1180" s="13" t="s">
        <v>8890</v>
      </c>
      <c r="K1180" s="13" t="s">
        <v>8536</v>
      </c>
      <c r="L1180" s="13" t="s">
        <v>158</v>
      </c>
      <c r="M1180" t="s">
        <v>3</v>
      </c>
    </row>
    <row r="1181" spans="1:13" x14ac:dyDescent="0.25">
      <c r="A1181" s="13" t="s">
        <v>3095</v>
      </c>
      <c r="B1181" s="13" t="s">
        <v>3096</v>
      </c>
      <c r="C1181" s="13" t="s">
        <v>3097</v>
      </c>
      <c r="D1181" s="13">
        <v>40.299999999999997</v>
      </c>
      <c r="E1181" s="13" t="s">
        <v>3098</v>
      </c>
      <c r="F1181" s="13" t="s">
        <v>8867</v>
      </c>
      <c r="G1181" s="13" t="s">
        <v>2</v>
      </c>
      <c r="H1181" s="13" t="s">
        <v>3</v>
      </c>
      <c r="I1181" s="13" t="s">
        <v>1978</v>
      </c>
      <c r="J1181" s="13" t="s">
        <v>8890</v>
      </c>
      <c r="K1181" s="13" t="s">
        <v>8570</v>
      </c>
      <c r="L1181" s="13" t="s">
        <v>158</v>
      </c>
      <c r="M1181" t="s">
        <v>3</v>
      </c>
    </row>
    <row r="1182" spans="1:13" x14ac:dyDescent="0.25">
      <c r="A1182" s="13" t="s">
        <v>3099</v>
      </c>
      <c r="B1182" s="13" t="s">
        <v>3100</v>
      </c>
      <c r="C1182" s="13" t="s">
        <v>3101</v>
      </c>
      <c r="D1182" s="13">
        <v>148.30000000000001</v>
      </c>
      <c r="E1182" s="13" t="s">
        <v>3102</v>
      </c>
      <c r="F1182" s="13" t="s">
        <v>8867</v>
      </c>
      <c r="G1182" s="13" t="s">
        <v>2</v>
      </c>
      <c r="H1182" s="13" t="s">
        <v>3</v>
      </c>
      <c r="I1182" s="13" t="s">
        <v>1978</v>
      </c>
      <c r="J1182" s="13" t="s">
        <v>8890</v>
      </c>
      <c r="K1182" s="13" t="s">
        <v>8570</v>
      </c>
      <c r="L1182" s="13" t="s">
        <v>158</v>
      </c>
      <c r="M1182" t="s">
        <v>3</v>
      </c>
    </row>
    <row r="1183" spans="1:13" x14ac:dyDescent="0.25">
      <c r="A1183" s="13" t="s">
        <v>3103</v>
      </c>
      <c r="B1183" s="13" t="s">
        <v>3104</v>
      </c>
      <c r="C1183" s="13" t="s">
        <v>3105</v>
      </c>
      <c r="D1183" s="13">
        <v>3.3</v>
      </c>
      <c r="E1183" s="13" t="s">
        <v>3106</v>
      </c>
      <c r="F1183" s="13" t="s">
        <v>8867</v>
      </c>
      <c r="G1183" s="13" t="s">
        <v>2</v>
      </c>
      <c r="H1183" s="13" t="s">
        <v>3</v>
      </c>
      <c r="I1183" s="13" t="s">
        <v>1978</v>
      </c>
      <c r="J1183" s="13" t="s">
        <v>8890</v>
      </c>
      <c r="K1183" s="13" t="s">
        <v>8570</v>
      </c>
      <c r="L1183" s="13" t="s">
        <v>158</v>
      </c>
      <c r="M1183" t="s">
        <v>3</v>
      </c>
    </row>
    <row r="1184" spans="1:13" x14ac:dyDescent="0.25">
      <c r="A1184" s="13" t="s">
        <v>3107</v>
      </c>
      <c r="B1184" s="13" t="s">
        <v>3107</v>
      </c>
      <c r="C1184" s="13" t="s">
        <v>3108</v>
      </c>
      <c r="D1184" s="13">
        <v>5</v>
      </c>
      <c r="E1184" s="13" t="s">
        <v>3109</v>
      </c>
      <c r="F1184" s="13" t="s">
        <v>8867</v>
      </c>
      <c r="G1184" s="13" t="s">
        <v>2</v>
      </c>
      <c r="H1184" s="13" t="s">
        <v>3</v>
      </c>
      <c r="I1184" s="13" t="s">
        <v>1263</v>
      </c>
      <c r="J1184" s="13" t="s">
        <v>8890</v>
      </c>
      <c r="K1184" s="13" t="s">
        <v>8422</v>
      </c>
      <c r="L1184" s="13" t="s">
        <v>158</v>
      </c>
      <c r="M1184" t="s">
        <v>3</v>
      </c>
    </row>
    <row r="1185" spans="1:13" x14ac:dyDescent="0.25">
      <c r="A1185" s="13" t="s">
        <v>3110</v>
      </c>
      <c r="B1185" s="13" t="s">
        <v>3110</v>
      </c>
      <c r="C1185" s="13" t="s">
        <v>3111</v>
      </c>
      <c r="D1185" s="13">
        <v>5</v>
      </c>
      <c r="E1185" s="13" t="s">
        <v>3112</v>
      </c>
      <c r="F1185" s="13" t="s">
        <v>8867</v>
      </c>
      <c r="G1185" s="13" t="s">
        <v>2</v>
      </c>
      <c r="H1185" s="13" t="s">
        <v>3</v>
      </c>
      <c r="I1185" s="13" t="s">
        <v>1263</v>
      </c>
      <c r="J1185" s="13" t="s">
        <v>8890</v>
      </c>
      <c r="K1185" s="13" t="s">
        <v>8422</v>
      </c>
      <c r="L1185" s="13" t="s">
        <v>158</v>
      </c>
      <c r="M1185" t="s">
        <v>3</v>
      </c>
    </row>
    <row r="1186" spans="1:13" x14ac:dyDescent="0.25">
      <c r="A1186" s="13" t="s">
        <v>9131</v>
      </c>
      <c r="B1186" s="13" t="s">
        <v>9131</v>
      </c>
      <c r="C1186" s="13" t="s">
        <v>9132</v>
      </c>
      <c r="D1186" s="13">
        <v>17</v>
      </c>
      <c r="E1186" s="13" t="s">
        <v>9133</v>
      </c>
      <c r="F1186" s="13" t="s">
        <v>8867</v>
      </c>
      <c r="G1186" s="13" t="s">
        <v>2</v>
      </c>
      <c r="H1186" s="13" t="s">
        <v>8421</v>
      </c>
      <c r="I1186" s="13" t="s">
        <v>447</v>
      </c>
      <c r="J1186" s="13" t="s">
        <v>8890</v>
      </c>
      <c r="K1186" s="13" t="s">
        <v>8421</v>
      </c>
      <c r="L1186" s="13" t="s">
        <v>158</v>
      </c>
      <c r="M1186" t="s">
        <v>10690</v>
      </c>
    </row>
    <row r="1187" spans="1:13" x14ac:dyDescent="0.25">
      <c r="A1187" s="13" t="s">
        <v>3113</v>
      </c>
      <c r="B1187" s="13" t="s">
        <v>3113</v>
      </c>
      <c r="C1187" s="13" t="s">
        <v>3114</v>
      </c>
      <c r="D1187" s="13">
        <v>9.1</v>
      </c>
      <c r="E1187" s="13" t="s">
        <v>3114</v>
      </c>
      <c r="F1187" s="13" t="s">
        <v>8867</v>
      </c>
      <c r="G1187" s="13" t="s">
        <v>2</v>
      </c>
      <c r="H1187" s="13" t="s">
        <v>3</v>
      </c>
      <c r="I1187" s="13" t="s">
        <v>447</v>
      </c>
      <c r="J1187" s="13" t="s">
        <v>8890</v>
      </c>
      <c r="K1187" s="13" t="s">
        <v>8421</v>
      </c>
      <c r="L1187" s="13" t="s">
        <v>158</v>
      </c>
      <c r="M1187" t="s">
        <v>3</v>
      </c>
    </row>
    <row r="1188" spans="1:13" x14ac:dyDescent="0.25">
      <c r="A1188" s="13" t="s">
        <v>3115</v>
      </c>
      <c r="B1188" s="13" t="s">
        <v>3115</v>
      </c>
      <c r="C1188" s="13" t="s">
        <v>3116</v>
      </c>
      <c r="D1188" s="13">
        <v>38.9</v>
      </c>
      <c r="E1188" s="13" t="s">
        <v>3117</v>
      </c>
      <c r="F1188" s="13" t="s">
        <v>8867</v>
      </c>
      <c r="G1188" s="13" t="s">
        <v>2</v>
      </c>
      <c r="H1188" s="13" t="s">
        <v>3</v>
      </c>
      <c r="I1188" s="13" t="s">
        <v>1283</v>
      </c>
      <c r="J1188" s="13" t="s">
        <v>8890</v>
      </c>
      <c r="K1188" s="13" t="s">
        <v>8524</v>
      </c>
      <c r="L1188" s="13" t="s">
        <v>158</v>
      </c>
      <c r="M1188" t="s">
        <v>3</v>
      </c>
    </row>
    <row r="1189" spans="1:13" ht="26.25" x14ac:dyDescent="0.25">
      <c r="A1189" s="13" t="s">
        <v>3118</v>
      </c>
      <c r="B1189" s="13" t="s">
        <v>3118</v>
      </c>
      <c r="C1189" s="13" t="s">
        <v>3119</v>
      </c>
      <c r="D1189" s="13">
        <v>2</v>
      </c>
      <c r="E1189" s="13" t="s">
        <v>3120</v>
      </c>
      <c r="F1189" s="13" t="s">
        <v>8860</v>
      </c>
      <c r="G1189" s="13" t="s">
        <v>19</v>
      </c>
      <c r="H1189" s="13" t="s">
        <v>3</v>
      </c>
      <c r="I1189" s="13" t="s">
        <v>3121</v>
      </c>
      <c r="J1189" s="13" t="s">
        <v>21</v>
      </c>
      <c r="K1189" s="13" t="s">
        <v>8617</v>
      </c>
      <c r="L1189" s="13" t="s">
        <v>18</v>
      </c>
      <c r="M1189" t="s">
        <v>3</v>
      </c>
    </row>
    <row r="1190" spans="1:13" x14ac:dyDescent="0.25">
      <c r="A1190" s="13" t="s">
        <v>3122</v>
      </c>
      <c r="B1190" s="13" t="s">
        <v>3122</v>
      </c>
      <c r="C1190" s="13" t="s">
        <v>3123</v>
      </c>
      <c r="D1190" s="13">
        <v>9.9</v>
      </c>
      <c r="E1190" s="13" t="s">
        <v>3124</v>
      </c>
      <c r="F1190" s="13" t="s">
        <v>8867</v>
      </c>
      <c r="G1190" s="13" t="s">
        <v>2</v>
      </c>
      <c r="H1190" s="13" t="s">
        <v>3</v>
      </c>
      <c r="I1190" s="13" t="s">
        <v>1263</v>
      </c>
      <c r="J1190" s="13" t="s">
        <v>8890</v>
      </c>
      <c r="K1190" s="13" t="s">
        <v>8422</v>
      </c>
      <c r="L1190" s="13" t="s">
        <v>158</v>
      </c>
      <c r="M1190" t="s">
        <v>3</v>
      </c>
    </row>
    <row r="1191" spans="1:13" x14ac:dyDescent="0.25">
      <c r="A1191" s="13" t="s">
        <v>3125</v>
      </c>
      <c r="B1191" s="13" t="s">
        <v>3125</v>
      </c>
      <c r="C1191" s="13" t="s">
        <v>3126</v>
      </c>
      <c r="D1191" s="13">
        <v>9.9</v>
      </c>
      <c r="E1191" s="13" t="s">
        <v>3127</v>
      </c>
      <c r="F1191" s="13" t="s">
        <v>8867</v>
      </c>
      <c r="G1191" s="13" t="s">
        <v>2</v>
      </c>
      <c r="H1191" s="13" t="s">
        <v>3</v>
      </c>
      <c r="I1191" s="13" t="s">
        <v>1263</v>
      </c>
      <c r="J1191" s="13" t="s">
        <v>8890</v>
      </c>
      <c r="K1191" s="13" t="s">
        <v>8422</v>
      </c>
      <c r="L1191" s="13" t="s">
        <v>158</v>
      </c>
      <c r="M1191" t="s">
        <v>3</v>
      </c>
    </row>
    <row r="1192" spans="1:13" x14ac:dyDescent="0.25">
      <c r="A1192" s="13" t="s">
        <v>3128</v>
      </c>
      <c r="B1192" s="13" t="s">
        <v>3128</v>
      </c>
      <c r="C1192" s="13" t="s">
        <v>3129</v>
      </c>
      <c r="D1192" s="13">
        <v>9.9</v>
      </c>
      <c r="E1192" s="13" t="s">
        <v>3130</v>
      </c>
      <c r="F1192" s="13" t="s">
        <v>8867</v>
      </c>
      <c r="G1192" s="13" t="s">
        <v>2</v>
      </c>
      <c r="H1192" s="13" t="s">
        <v>3</v>
      </c>
      <c r="I1192" s="13" t="s">
        <v>1263</v>
      </c>
      <c r="J1192" s="13" t="s">
        <v>8890</v>
      </c>
      <c r="K1192" s="13" t="s">
        <v>8422</v>
      </c>
      <c r="L1192" s="13" t="s">
        <v>158</v>
      </c>
      <c r="M1192" t="s">
        <v>3</v>
      </c>
    </row>
    <row r="1193" spans="1:13" ht="26.25" x14ac:dyDescent="0.25">
      <c r="A1193" s="13" t="s">
        <v>3131</v>
      </c>
      <c r="B1193" s="13" t="s">
        <v>3132</v>
      </c>
      <c r="C1193" s="13" t="s">
        <v>3133</v>
      </c>
      <c r="D1193" s="13">
        <v>107</v>
      </c>
      <c r="E1193" s="13" t="s">
        <v>3134</v>
      </c>
      <c r="F1193" s="13" t="s">
        <v>8874</v>
      </c>
      <c r="G1193" s="13" t="s">
        <v>19</v>
      </c>
      <c r="H1193" s="13" t="s">
        <v>3</v>
      </c>
      <c r="I1193" s="13" t="s">
        <v>3135</v>
      </c>
      <c r="J1193" s="13" t="s">
        <v>410</v>
      </c>
      <c r="K1193" s="13" t="s">
        <v>8618</v>
      </c>
      <c r="L1193" s="13" t="s">
        <v>9038</v>
      </c>
      <c r="M1193" t="s">
        <v>3</v>
      </c>
    </row>
    <row r="1194" spans="1:13" ht="26.25" x14ac:dyDescent="0.25">
      <c r="A1194" s="13" t="s">
        <v>3136</v>
      </c>
      <c r="B1194" s="13" t="s">
        <v>3137</v>
      </c>
      <c r="C1194" s="13" t="s">
        <v>3138</v>
      </c>
      <c r="D1194" s="13">
        <v>0.1</v>
      </c>
      <c r="E1194" s="13" t="s">
        <v>3139</v>
      </c>
      <c r="F1194" s="13" t="s">
        <v>8860</v>
      </c>
      <c r="G1194" s="13" t="s">
        <v>19</v>
      </c>
      <c r="H1194" s="13" t="s">
        <v>3</v>
      </c>
      <c r="I1194" s="13" t="s">
        <v>3140</v>
      </c>
      <c r="J1194" s="13" t="s">
        <v>21</v>
      </c>
      <c r="K1194" s="13" t="s">
        <v>8619</v>
      </c>
      <c r="L1194" s="13" t="s">
        <v>18</v>
      </c>
      <c r="M1194" t="s">
        <v>3</v>
      </c>
    </row>
    <row r="1195" spans="1:13" ht="26.25" x14ac:dyDescent="0.25">
      <c r="A1195" s="13" t="s">
        <v>3141</v>
      </c>
      <c r="B1195" s="13" t="s">
        <v>3141</v>
      </c>
      <c r="C1195" s="13" t="s">
        <v>3142</v>
      </c>
      <c r="D1195" s="13">
        <v>26.9</v>
      </c>
      <c r="E1195" s="13" t="s">
        <v>3142</v>
      </c>
      <c r="F1195" s="13" t="s">
        <v>8867</v>
      </c>
      <c r="G1195" s="13" t="s">
        <v>2</v>
      </c>
      <c r="H1195" s="13" t="s">
        <v>11531</v>
      </c>
      <c r="I1195" s="13" t="s">
        <v>447</v>
      </c>
      <c r="J1195" s="13" t="s">
        <v>8890</v>
      </c>
      <c r="K1195" s="13" t="s">
        <v>8421</v>
      </c>
      <c r="L1195" s="13" t="s">
        <v>158</v>
      </c>
      <c r="M1195" t="s">
        <v>11531</v>
      </c>
    </row>
    <row r="1196" spans="1:13" x14ac:dyDescent="0.25">
      <c r="A1196" s="13" t="s">
        <v>10495</v>
      </c>
      <c r="B1196" s="13" t="s">
        <v>10495</v>
      </c>
      <c r="C1196" s="13" t="s">
        <v>10495</v>
      </c>
      <c r="D1196" s="13">
        <v>152.30000000000001</v>
      </c>
      <c r="E1196" s="13" t="s">
        <v>10496</v>
      </c>
      <c r="F1196" s="13" t="s">
        <v>8867</v>
      </c>
      <c r="G1196" s="13" t="s">
        <v>2</v>
      </c>
      <c r="H1196" s="13" t="s">
        <v>3</v>
      </c>
      <c r="I1196" s="13" t="s">
        <v>1514</v>
      </c>
      <c r="J1196" s="13" t="s">
        <v>8890</v>
      </c>
      <c r="K1196" s="13" t="s">
        <v>8423</v>
      </c>
      <c r="L1196" s="13" t="s">
        <v>158</v>
      </c>
      <c r="M1196" t="s">
        <v>3</v>
      </c>
    </row>
    <row r="1197" spans="1:13" x14ac:dyDescent="0.25">
      <c r="A1197" s="13" t="s">
        <v>3143</v>
      </c>
      <c r="B1197" s="13" t="s">
        <v>3144</v>
      </c>
      <c r="C1197" s="13" t="s">
        <v>3145</v>
      </c>
      <c r="D1197" s="13">
        <v>69.599999999999994</v>
      </c>
      <c r="E1197" s="13" t="s">
        <v>3146</v>
      </c>
      <c r="F1197" s="13" t="s">
        <v>8867</v>
      </c>
      <c r="G1197" s="13" t="s">
        <v>2</v>
      </c>
      <c r="H1197" s="13" t="s">
        <v>8923</v>
      </c>
      <c r="I1197" s="13" t="s">
        <v>1514</v>
      </c>
      <c r="J1197" s="13" t="s">
        <v>8890</v>
      </c>
      <c r="K1197" s="13" t="s">
        <v>8423</v>
      </c>
      <c r="L1197" s="13" t="s">
        <v>158</v>
      </c>
      <c r="M1197" t="s">
        <v>8923</v>
      </c>
    </row>
    <row r="1198" spans="1:13" x14ac:dyDescent="0.25">
      <c r="A1198" s="13" t="s">
        <v>3147</v>
      </c>
      <c r="B1198" s="13" t="s">
        <v>3147</v>
      </c>
      <c r="C1198" s="13" t="s">
        <v>3148</v>
      </c>
      <c r="D1198" s="13">
        <v>1.1000000000000001</v>
      </c>
      <c r="E1198" s="13" t="s">
        <v>3149</v>
      </c>
      <c r="F1198" s="13" t="s">
        <v>8867</v>
      </c>
      <c r="G1198" s="13" t="s">
        <v>2</v>
      </c>
      <c r="H1198" s="13" t="s">
        <v>3</v>
      </c>
      <c r="I1198" s="13" t="s">
        <v>1514</v>
      </c>
      <c r="J1198" s="13" t="s">
        <v>8890</v>
      </c>
      <c r="K1198" s="13" t="s">
        <v>8423</v>
      </c>
      <c r="L1198" s="13" t="s">
        <v>158</v>
      </c>
      <c r="M1198" t="s">
        <v>3</v>
      </c>
    </row>
    <row r="1199" spans="1:13" x14ac:dyDescent="0.25">
      <c r="A1199" s="13" t="s">
        <v>9134</v>
      </c>
      <c r="B1199" s="13" t="s">
        <v>9134</v>
      </c>
      <c r="C1199" s="13" t="s">
        <v>9134</v>
      </c>
      <c r="D1199" s="13">
        <v>39.9</v>
      </c>
      <c r="E1199" s="13" t="s">
        <v>9135</v>
      </c>
      <c r="F1199" s="13" t="s">
        <v>8867</v>
      </c>
      <c r="G1199" s="13" t="s">
        <v>2</v>
      </c>
      <c r="H1199" s="13" t="s">
        <v>8923</v>
      </c>
      <c r="I1199" s="13" t="s">
        <v>1514</v>
      </c>
      <c r="J1199" s="13" t="s">
        <v>8890</v>
      </c>
      <c r="K1199" s="13" t="s">
        <v>8423</v>
      </c>
      <c r="L1199" s="13" t="s">
        <v>158</v>
      </c>
      <c r="M1199" t="s">
        <v>8923</v>
      </c>
    </row>
    <row r="1200" spans="1:13" x14ac:dyDescent="0.25">
      <c r="A1200" s="13" t="s">
        <v>9136</v>
      </c>
      <c r="B1200" s="13" t="s">
        <v>9136</v>
      </c>
      <c r="C1200" s="13" t="s">
        <v>9136</v>
      </c>
      <c r="D1200" s="13">
        <v>95</v>
      </c>
      <c r="E1200" s="13" t="s">
        <v>9137</v>
      </c>
      <c r="F1200" s="13" t="s">
        <v>8867</v>
      </c>
      <c r="G1200" s="13" t="s">
        <v>2</v>
      </c>
      <c r="H1200" s="13" t="s">
        <v>8923</v>
      </c>
      <c r="I1200" s="13" t="s">
        <v>1514</v>
      </c>
      <c r="J1200" s="13" t="s">
        <v>8890</v>
      </c>
      <c r="K1200" s="13" t="s">
        <v>8423</v>
      </c>
      <c r="L1200" s="13" t="s">
        <v>158</v>
      </c>
      <c r="M1200" t="s">
        <v>8923</v>
      </c>
    </row>
    <row r="1201" spans="1:13" x14ac:dyDescent="0.25">
      <c r="A1201" s="13" t="s">
        <v>9896</v>
      </c>
      <c r="B1201" s="13" t="s">
        <v>9896</v>
      </c>
      <c r="C1201" s="13" t="s">
        <v>9897</v>
      </c>
      <c r="D1201" s="14">
        <v>80</v>
      </c>
      <c r="E1201" s="13" t="s">
        <v>9898</v>
      </c>
      <c r="F1201" s="13" t="s">
        <v>8867</v>
      </c>
      <c r="G1201" s="13" t="s">
        <v>2</v>
      </c>
      <c r="H1201" s="13" t="s">
        <v>8923</v>
      </c>
      <c r="I1201" s="13" t="s">
        <v>1514</v>
      </c>
      <c r="J1201" s="13" t="s">
        <v>8890</v>
      </c>
      <c r="K1201" s="13" t="s">
        <v>8423</v>
      </c>
      <c r="L1201" s="13" t="s">
        <v>158</v>
      </c>
      <c r="M1201" t="s">
        <v>8923</v>
      </c>
    </row>
    <row r="1202" spans="1:13" x14ac:dyDescent="0.25">
      <c r="A1202" s="13" t="s">
        <v>3150</v>
      </c>
      <c r="B1202" s="13" t="s">
        <v>3151</v>
      </c>
      <c r="C1202" s="13" t="s">
        <v>3151</v>
      </c>
      <c r="D1202" s="13">
        <v>1287.9000000000001</v>
      </c>
      <c r="E1202" s="13" t="s">
        <v>3152</v>
      </c>
      <c r="F1202" s="13" t="s">
        <v>8867</v>
      </c>
      <c r="G1202" s="13" t="s">
        <v>2</v>
      </c>
      <c r="H1202" s="13" t="s">
        <v>8923</v>
      </c>
      <c r="I1202" s="13" t="s">
        <v>1514</v>
      </c>
      <c r="J1202" s="13" t="s">
        <v>8890</v>
      </c>
      <c r="K1202" s="13" t="s">
        <v>8423</v>
      </c>
      <c r="L1202" s="13" t="s">
        <v>158</v>
      </c>
      <c r="M1202" t="s">
        <v>8923</v>
      </c>
    </row>
    <row r="1203" spans="1:13" x14ac:dyDescent="0.25">
      <c r="A1203" s="13" t="s">
        <v>3153</v>
      </c>
      <c r="B1203" s="13" t="s">
        <v>3153</v>
      </c>
      <c r="C1203" s="13" t="s">
        <v>3154</v>
      </c>
      <c r="D1203" s="13">
        <v>129</v>
      </c>
      <c r="E1203" s="13" t="s">
        <v>3155</v>
      </c>
      <c r="F1203" s="13" t="s">
        <v>9717</v>
      </c>
      <c r="G1203" s="13" t="s">
        <v>2</v>
      </c>
      <c r="H1203" s="13" t="s">
        <v>3</v>
      </c>
      <c r="I1203" s="13" t="s">
        <v>137</v>
      </c>
      <c r="J1203" s="13" t="s">
        <v>9004</v>
      </c>
      <c r="K1203" s="13" t="s">
        <v>8429</v>
      </c>
      <c r="L1203" s="13" t="s">
        <v>10023</v>
      </c>
      <c r="M1203" t="s">
        <v>3</v>
      </c>
    </row>
    <row r="1204" spans="1:13" x14ac:dyDescent="0.25">
      <c r="A1204" s="13" t="s">
        <v>11232</v>
      </c>
      <c r="B1204" s="13" t="s">
        <v>11232</v>
      </c>
      <c r="C1204" s="13" t="s">
        <v>11233</v>
      </c>
      <c r="D1204" s="13">
        <v>1</v>
      </c>
      <c r="E1204" s="13" t="s">
        <v>11234</v>
      </c>
      <c r="F1204" s="13" t="s">
        <v>8867</v>
      </c>
      <c r="G1204" s="13" t="s">
        <v>2</v>
      </c>
      <c r="H1204" s="13" t="s">
        <v>3</v>
      </c>
      <c r="I1204" s="13" t="s">
        <v>1263</v>
      </c>
      <c r="J1204" s="13" t="s">
        <v>8890</v>
      </c>
      <c r="K1204" s="13" t="s">
        <v>8422</v>
      </c>
      <c r="L1204" s="13" t="s">
        <v>158</v>
      </c>
      <c r="M1204" t="s">
        <v>3</v>
      </c>
    </row>
    <row r="1205" spans="1:13" ht="26.25" x14ac:dyDescent="0.25">
      <c r="A1205" s="13" t="s">
        <v>9138</v>
      </c>
      <c r="B1205" s="13" t="s">
        <v>9138</v>
      </c>
      <c r="C1205" s="13" t="s">
        <v>9139</v>
      </c>
      <c r="D1205" s="13">
        <v>3</v>
      </c>
      <c r="E1205" s="13" t="s">
        <v>9140</v>
      </c>
      <c r="F1205" s="13" t="s">
        <v>8867</v>
      </c>
      <c r="G1205" s="13" t="s">
        <v>2</v>
      </c>
      <c r="H1205" s="13" t="s">
        <v>3</v>
      </c>
      <c r="I1205" s="13" t="s">
        <v>3851</v>
      </c>
      <c r="J1205" s="13" t="s">
        <v>8890</v>
      </c>
      <c r="K1205" s="13" t="s">
        <v>8628</v>
      </c>
      <c r="L1205" s="13" t="s">
        <v>158</v>
      </c>
      <c r="M1205" t="s">
        <v>3</v>
      </c>
    </row>
    <row r="1206" spans="1:13" ht="26.25" x14ac:dyDescent="0.25">
      <c r="A1206" s="13" t="s">
        <v>3156</v>
      </c>
      <c r="B1206" s="13" t="s">
        <v>3156</v>
      </c>
      <c r="C1206" s="13" t="s">
        <v>3157</v>
      </c>
      <c r="D1206" s="13">
        <v>25.6</v>
      </c>
      <c r="E1206" s="13" t="s">
        <v>3157</v>
      </c>
      <c r="F1206" s="13" t="s">
        <v>8867</v>
      </c>
      <c r="G1206" s="13" t="s">
        <v>2</v>
      </c>
      <c r="H1206" s="13" t="s">
        <v>3</v>
      </c>
      <c r="I1206" s="13" t="s">
        <v>447</v>
      </c>
      <c r="J1206" s="13" t="s">
        <v>8890</v>
      </c>
      <c r="K1206" s="13" t="s">
        <v>8421</v>
      </c>
      <c r="L1206" s="13" t="s">
        <v>158</v>
      </c>
      <c r="M1206" t="s">
        <v>3</v>
      </c>
    </row>
    <row r="1207" spans="1:13" ht="26.25" x14ac:dyDescent="0.25">
      <c r="A1207" s="13" t="s">
        <v>11235</v>
      </c>
      <c r="B1207" s="13" t="s">
        <v>11235</v>
      </c>
      <c r="C1207" s="13" t="s">
        <v>11235</v>
      </c>
      <c r="D1207" s="13">
        <v>3</v>
      </c>
      <c r="E1207" s="13" t="s">
        <v>11236</v>
      </c>
      <c r="F1207" s="13" t="s">
        <v>8867</v>
      </c>
      <c r="G1207" s="13" t="s">
        <v>2</v>
      </c>
      <c r="H1207" s="13" t="s">
        <v>3</v>
      </c>
      <c r="I1207" s="13" t="s">
        <v>3851</v>
      </c>
      <c r="J1207" s="13" t="s">
        <v>8890</v>
      </c>
      <c r="K1207" s="13" t="s">
        <v>8628</v>
      </c>
      <c r="L1207" s="13" t="s">
        <v>158</v>
      </c>
      <c r="M1207" t="s">
        <v>3</v>
      </c>
    </row>
    <row r="1208" spans="1:13" ht="26.25" x14ac:dyDescent="0.25">
      <c r="A1208" s="13" t="s">
        <v>3158</v>
      </c>
      <c r="B1208" s="13" t="s">
        <v>3159</v>
      </c>
      <c r="C1208" s="13" t="s">
        <v>3160</v>
      </c>
      <c r="D1208" s="13">
        <v>2.2000000000000002</v>
      </c>
      <c r="E1208" s="13" t="s">
        <v>3161</v>
      </c>
      <c r="F1208" s="13" t="s">
        <v>8860</v>
      </c>
      <c r="G1208" s="13" t="s">
        <v>19</v>
      </c>
      <c r="H1208" s="13" t="s">
        <v>3</v>
      </c>
      <c r="I1208" s="13" t="s">
        <v>3162</v>
      </c>
      <c r="J1208" s="13" t="s">
        <v>21</v>
      </c>
      <c r="K1208" s="13" t="s">
        <v>3162</v>
      </c>
      <c r="L1208" s="13" t="s">
        <v>18</v>
      </c>
      <c r="M1208" t="s">
        <v>3</v>
      </c>
    </row>
    <row r="1209" spans="1:13" ht="26.25" x14ac:dyDescent="0.25">
      <c r="A1209" s="13" t="s">
        <v>3163</v>
      </c>
      <c r="B1209" s="13" t="s">
        <v>1834</v>
      </c>
      <c r="C1209" s="13" t="s">
        <v>3164</v>
      </c>
      <c r="D1209" s="13">
        <v>4</v>
      </c>
      <c r="E1209" s="13" t="s">
        <v>3165</v>
      </c>
      <c r="F1209" s="13" t="s">
        <v>8860</v>
      </c>
      <c r="G1209" s="13" t="s">
        <v>19</v>
      </c>
      <c r="H1209" s="13" t="s">
        <v>3</v>
      </c>
      <c r="I1209" s="13" t="s">
        <v>1834</v>
      </c>
      <c r="J1209" s="13" t="s">
        <v>21</v>
      </c>
      <c r="K1209" s="13" t="s">
        <v>3164</v>
      </c>
      <c r="L1209" s="13" t="s">
        <v>18</v>
      </c>
      <c r="M1209" t="s">
        <v>3</v>
      </c>
    </row>
    <row r="1210" spans="1:13" x14ac:dyDescent="0.25">
      <c r="A1210" s="13" t="s">
        <v>3166</v>
      </c>
      <c r="B1210" s="13" t="s">
        <v>3166</v>
      </c>
      <c r="C1210" s="13" t="s">
        <v>3167</v>
      </c>
      <c r="D1210" s="13">
        <v>7.9</v>
      </c>
      <c r="E1210" s="13" t="s">
        <v>3168</v>
      </c>
      <c r="F1210" s="13" t="s">
        <v>8867</v>
      </c>
      <c r="G1210" s="13" t="s">
        <v>2</v>
      </c>
      <c r="H1210" s="13" t="s">
        <v>3</v>
      </c>
      <c r="I1210" s="13" t="s">
        <v>1263</v>
      </c>
      <c r="J1210" s="13" t="s">
        <v>8890</v>
      </c>
      <c r="K1210" s="13" t="s">
        <v>8422</v>
      </c>
      <c r="L1210" s="13" t="s">
        <v>158</v>
      </c>
      <c r="M1210" t="s">
        <v>3</v>
      </c>
    </row>
    <row r="1211" spans="1:13" x14ac:dyDescent="0.25">
      <c r="A1211" s="13" t="s">
        <v>9141</v>
      </c>
      <c r="B1211" s="13" t="s">
        <v>9142</v>
      </c>
      <c r="C1211" s="13" t="s">
        <v>9143</v>
      </c>
      <c r="D1211" s="14">
        <v>2</v>
      </c>
      <c r="E1211" s="13" t="s">
        <v>9144</v>
      </c>
      <c r="F1211" s="13" t="s">
        <v>8867</v>
      </c>
      <c r="G1211" s="13" t="s">
        <v>2</v>
      </c>
      <c r="H1211" s="13" t="s">
        <v>3</v>
      </c>
      <c r="I1211" s="13" t="s">
        <v>1978</v>
      </c>
      <c r="J1211" s="13" t="s">
        <v>8890</v>
      </c>
      <c r="K1211" s="13" t="s">
        <v>8570</v>
      </c>
      <c r="L1211" s="13" t="s">
        <v>158</v>
      </c>
      <c r="M1211" t="s">
        <v>3</v>
      </c>
    </row>
    <row r="1212" spans="1:13" ht="26.25" x14ac:dyDescent="0.25">
      <c r="A1212" s="13" t="s">
        <v>3169</v>
      </c>
      <c r="B1212" s="13" t="s">
        <v>3170</v>
      </c>
      <c r="C1212" s="13" t="s">
        <v>3171</v>
      </c>
      <c r="D1212" s="14">
        <v>9999</v>
      </c>
      <c r="E1212" s="13" t="s">
        <v>3172</v>
      </c>
      <c r="F1212" s="13" t="s">
        <v>855</v>
      </c>
      <c r="G1212" s="13" t="s">
        <v>19</v>
      </c>
      <c r="H1212" s="13" t="s">
        <v>3</v>
      </c>
      <c r="I1212" s="13" t="s">
        <v>1834</v>
      </c>
      <c r="J1212" s="13" t="s">
        <v>856</v>
      </c>
      <c r="K1212" s="13" t="s">
        <v>3164</v>
      </c>
      <c r="L1212" s="13" t="s">
        <v>855</v>
      </c>
      <c r="M1212" t="s">
        <v>3</v>
      </c>
    </row>
    <row r="1213" spans="1:13" x14ac:dyDescent="0.25">
      <c r="A1213" s="13" t="s">
        <v>3173</v>
      </c>
      <c r="B1213" s="13" t="s">
        <v>3174</v>
      </c>
      <c r="C1213" s="13" t="s">
        <v>3174</v>
      </c>
      <c r="D1213" s="13">
        <v>9999</v>
      </c>
      <c r="E1213" s="13" t="s">
        <v>3175</v>
      </c>
      <c r="F1213" s="13" t="s">
        <v>855</v>
      </c>
      <c r="G1213" s="13" t="s">
        <v>2</v>
      </c>
      <c r="H1213" s="13" t="s">
        <v>3</v>
      </c>
      <c r="I1213" s="13" t="s">
        <v>1834</v>
      </c>
      <c r="J1213" s="13" t="s">
        <v>856</v>
      </c>
      <c r="K1213" s="13" t="s">
        <v>3164</v>
      </c>
      <c r="L1213" s="13" t="s">
        <v>855</v>
      </c>
      <c r="M1213" t="s">
        <v>3</v>
      </c>
    </row>
    <row r="1214" spans="1:13" x14ac:dyDescent="0.25">
      <c r="A1214" s="13" t="s">
        <v>10497</v>
      </c>
      <c r="B1214" s="13" t="s">
        <v>10497</v>
      </c>
      <c r="C1214" s="13" t="s">
        <v>10498</v>
      </c>
      <c r="D1214" s="13">
        <v>2</v>
      </c>
      <c r="E1214" s="13" t="s">
        <v>10499</v>
      </c>
      <c r="F1214" s="13" t="s">
        <v>8867</v>
      </c>
      <c r="G1214" s="13" t="s">
        <v>2</v>
      </c>
      <c r="H1214" s="13" t="s">
        <v>3</v>
      </c>
      <c r="I1214" s="13" t="s">
        <v>1263</v>
      </c>
      <c r="J1214" s="13" t="s">
        <v>8890</v>
      </c>
      <c r="K1214" s="13" t="s">
        <v>8422</v>
      </c>
      <c r="L1214" s="13" t="s">
        <v>158</v>
      </c>
      <c r="M1214" t="s">
        <v>3</v>
      </c>
    </row>
    <row r="1215" spans="1:13" x14ac:dyDescent="0.25">
      <c r="A1215" s="13" t="s">
        <v>11603</v>
      </c>
      <c r="B1215" s="13" t="s">
        <v>11603</v>
      </c>
      <c r="C1215" s="13" t="s">
        <v>11604</v>
      </c>
      <c r="D1215" s="13">
        <v>1.1000000000000001</v>
      </c>
      <c r="E1215" s="13" t="s">
        <v>11605</v>
      </c>
      <c r="F1215" s="13" t="s">
        <v>8867</v>
      </c>
      <c r="G1215" s="13" t="s">
        <v>2</v>
      </c>
      <c r="H1215" s="13" t="s">
        <v>3</v>
      </c>
      <c r="I1215" s="13" t="s">
        <v>1263</v>
      </c>
      <c r="J1215" s="13" t="s">
        <v>8890</v>
      </c>
      <c r="K1215" s="13" t="s">
        <v>8422</v>
      </c>
      <c r="L1215" s="13" t="s">
        <v>158</v>
      </c>
      <c r="M1215" t="s">
        <v>3</v>
      </c>
    </row>
    <row r="1216" spans="1:13" x14ac:dyDescent="0.25">
      <c r="A1216" s="13" t="s">
        <v>10891</v>
      </c>
      <c r="B1216" s="13" t="s">
        <v>10891</v>
      </c>
      <c r="C1216" s="13" t="s">
        <v>10892</v>
      </c>
      <c r="D1216" s="13">
        <v>2</v>
      </c>
      <c r="E1216" s="13" t="s">
        <v>10893</v>
      </c>
      <c r="F1216" s="13" t="s">
        <v>8867</v>
      </c>
      <c r="G1216" s="13" t="s">
        <v>2</v>
      </c>
      <c r="H1216" s="13" t="s">
        <v>3</v>
      </c>
      <c r="I1216" s="13" t="s">
        <v>1263</v>
      </c>
      <c r="J1216" s="13" t="s">
        <v>8890</v>
      </c>
      <c r="K1216" s="13" t="s">
        <v>8422</v>
      </c>
      <c r="L1216" s="13" t="s">
        <v>158</v>
      </c>
      <c r="M1216" t="s">
        <v>3</v>
      </c>
    </row>
    <row r="1217" spans="1:13" x14ac:dyDescent="0.25">
      <c r="A1217" s="13" t="s">
        <v>10894</v>
      </c>
      <c r="B1217" s="13" t="s">
        <v>10894</v>
      </c>
      <c r="C1217" s="13" t="s">
        <v>10895</v>
      </c>
      <c r="D1217" s="13">
        <v>1.2</v>
      </c>
      <c r="E1217" s="13" t="s">
        <v>10896</v>
      </c>
      <c r="F1217" s="13" t="s">
        <v>8867</v>
      </c>
      <c r="G1217" s="13" t="s">
        <v>2</v>
      </c>
      <c r="H1217" s="13" t="s">
        <v>3</v>
      </c>
      <c r="I1217" s="13" t="s">
        <v>1263</v>
      </c>
      <c r="J1217" s="13" t="s">
        <v>8890</v>
      </c>
      <c r="K1217" s="13" t="s">
        <v>8422</v>
      </c>
      <c r="L1217" s="13" t="s">
        <v>158</v>
      </c>
      <c r="M1217" t="s">
        <v>3</v>
      </c>
    </row>
    <row r="1218" spans="1:13" x14ac:dyDescent="0.25">
      <c r="A1218" s="13" t="s">
        <v>3176</v>
      </c>
      <c r="B1218" s="13" t="s">
        <v>3177</v>
      </c>
      <c r="C1218" s="13" t="s">
        <v>3178</v>
      </c>
      <c r="D1218" s="13">
        <v>4.7</v>
      </c>
      <c r="E1218" s="13" t="s">
        <v>3179</v>
      </c>
      <c r="F1218" s="13" t="s">
        <v>8867</v>
      </c>
      <c r="G1218" s="13" t="s">
        <v>2</v>
      </c>
      <c r="H1218" s="13" t="s">
        <v>3</v>
      </c>
      <c r="I1218" s="13" t="s">
        <v>1978</v>
      </c>
      <c r="J1218" s="13" t="s">
        <v>8890</v>
      </c>
      <c r="K1218" s="13" t="s">
        <v>8570</v>
      </c>
      <c r="L1218" s="13" t="s">
        <v>158</v>
      </c>
      <c r="M1218" t="s">
        <v>3</v>
      </c>
    </row>
    <row r="1219" spans="1:13" x14ac:dyDescent="0.25">
      <c r="A1219" s="13" t="s">
        <v>3180</v>
      </c>
      <c r="B1219" s="13" t="s">
        <v>3181</v>
      </c>
      <c r="C1219" s="13" t="s">
        <v>3182</v>
      </c>
      <c r="D1219" s="13">
        <v>3.6</v>
      </c>
      <c r="E1219" s="13" t="s">
        <v>3183</v>
      </c>
      <c r="F1219" s="13" t="s">
        <v>8867</v>
      </c>
      <c r="G1219" s="13" t="s">
        <v>2</v>
      </c>
      <c r="H1219" s="13" t="s">
        <v>3</v>
      </c>
      <c r="I1219" s="13" t="s">
        <v>1978</v>
      </c>
      <c r="J1219" s="13" t="s">
        <v>8890</v>
      </c>
      <c r="K1219" s="13" t="s">
        <v>8570</v>
      </c>
      <c r="L1219" s="13" t="s">
        <v>158</v>
      </c>
      <c r="M1219" t="s">
        <v>3</v>
      </c>
    </row>
    <row r="1220" spans="1:13" x14ac:dyDescent="0.25">
      <c r="A1220" s="13" t="s">
        <v>10500</v>
      </c>
      <c r="B1220" s="13" t="s">
        <v>10500</v>
      </c>
      <c r="C1220" s="13" t="s">
        <v>10501</v>
      </c>
      <c r="D1220" s="13">
        <v>42.3</v>
      </c>
      <c r="E1220" s="13" t="s">
        <v>10502</v>
      </c>
      <c r="F1220" s="13" t="s">
        <v>8867</v>
      </c>
      <c r="G1220" s="13" t="s">
        <v>2</v>
      </c>
      <c r="H1220" s="13" t="s">
        <v>8923</v>
      </c>
      <c r="I1220" s="13" t="s">
        <v>1514</v>
      </c>
      <c r="J1220" s="13" t="s">
        <v>8890</v>
      </c>
      <c r="K1220" s="13" t="s">
        <v>8423</v>
      </c>
      <c r="L1220" s="13" t="s">
        <v>158</v>
      </c>
      <c r="M1220" t="s">
        <v>8923</v>
      </c>
    </row>
    <row r="1221" spans="1:13" x14ac:dyDescent="0.25">
      <c r="A1221" s="13" t="s">
        <v>3184</v>
      </c>
      <c r="B1221" s="13" t="s">
        <v>3184</v>
      </c>
      <c r="C1221" s="13" t="s">
        <v>3185</v>
      </c>
      <c r="D1221" s="13">
        <v>30</v>
      </c>
      <c r="E1221" s="13" t="s">
        <v>3186</v>
      </c>
      <c r="F1221" s="13" t="s">
        <v>8867</v>
      </c>
      <c r="G1221" s="13" t="s">
        <v>2</v>
      </c>
      <c r="H1221" s="13" t="s">
        <v>8422</v>
      </c>
      <c r="I1221" s="13" t="s">
        <v>1263</v>
      </c>
      <c r="J1221" s="13" t="s">
        <v>8890</v>
      </c>
      <c r="K1221" s="13" t="s">
        <v>8422</v>
      </c>
      <c r="L1221" s="13" t="s">
        <v>158</v>
      </c>
      <c r="M1221" t="s">
        <v>10689</v>
      </c>
    </row>
    <row r="1222" spans="1:13" x14ac:dyDescent="0.25">
      <c r="A1222" s="13" t="s">
        <v>3187</v>
      </c>
      <c r="B1222" s="13" t="s">
        <v>3187</v>
      </c>
      <c r="C1222" s="13" t="s">
        <v>3188</v>
      </c>
      <c r="D1222" s="13">
        <v>7</v>
      </c>
      <c r="E1222" s="13" t="s">
        <v>3189</v>
      </c>
      <c r="F1222" s="13" t="s">
        <v>8867</v>
      </c>
      <c r="G1222" s="13" t="s">
        <v>2</v>
      </c>
      <c r="H1222" s="13" t="s">
        <v>3</v>
      </c>
      <c r="I1222" s="13" t="s">
        <v>1263</v>
      </c>
      <c r="J1222" s="13" t="s">
        <v>8890</v>
      </c>
      <c r="K1222" s="13" t="s">
        <v>8422</v>
      </c>
      <c r="L1222" s="13" t="s">
        <v>158</v>
      </c>
      <c r="M1222" t="s">
        <v>3</v>
      </c>
    </row>
    <row r="1223" spans="1:13" x14ac:dyDescent="0.25">
      <c r="A1223" s="13" t="s">
        <v>3190</v>
      </c>
      <c r="B1223" s="13" t="s">
        <v>3190</v>
      </c>
      <c r="C1223" s="13" t="s">
        <v>3191</v>
      </c>
      <c r="D1223" s="13">
        <v>9.6</v>
      </c>
      <c r="E1223" s="13" t="s">
        <v>3192</v>
      </c>
      <c r="F1223" s="13" t="s">
        <v>8867</v>
      </c>
      <c r="G1223" s="13" t="s">
        <v>2</v>
      </c>
      <c r="H1223" s="13" t="s">
        <v>3</v>
      </c>
      <c r="I1223" s="13" t="s">
        <v>228</v>
      </c>
      <c r="J1223" s="13" t="s">
        <v>8890</v>
      </c>
      <c r="K1223" s="13" t="s">
        <v>8418</v>
      </c>
      <c r="L1223" s="13" t="s">
        <v>158</v>
      </c>
      <c r="M1223" t="s">
        <v>3</v>
      </c>
    </row>
    <row r="1224" spans="1:13" ht="26.25" x14ac:dyDescent="0.25">
      <c r="A1224" s="13" t="s">
        <v>10027</v>
      </c>
      <c r="B1224" s="13" t="s">
        <v>10028</v>
      </c>
      <c r="C1224" s="13" t="s">
        <v>10029</v>
      </c>
      <c r="D1224" s="13">
        <v>2</v>
      </c>
      <c r="E1224" s="13" t="s">
        <v>10030</v>
      </c>
      <c r="F1224" s="13" t="s">
        <v>8867</v>
      </c>
      <c r="G1224" s="13" t="s">
        <v>2</v>
      </c>
      <c r="H1224" s="13" t="s">
        <v>3</v>
      </c>
      <c r="I1224" s="13" t="s">
        <v>1127</v>
      </c>
      <c r="J1224" s="13" t="s">
        <v>8890</v>
      </c>
      <c r="K1224" s="13" t="s">
        <v>8526</v>
      </c>
      <c r="L1224" s="13" t="s">
        <v>158</v>
      </c>
      <c r="M1224" t="s">
        <v>3</v>
      </c>
    </row>
    <row r="1225" spans="1:13" x14ac:dyDescent="0.25">
      <c r="A1225" s="13" t="s">
        <v>3193</v>
      </c>
      <c r="B1225" s="13" t="s">
        <v>3193</v>
      </c>
      <c r="C1225" s="13" t="s">
        <v>3194</v>
      </c>
      <c r="D1225" s="13">
        <v>20</v>
      </c>
      <c r="E1225" s="13" t="s">
        <v>3195</v>
      </c>
      <c r="F1225" s="13" t="s">
        <v>8867</v>
      </c>
      <c r="G1225" s="13" t="s">
        <v>2</v>
      </c>
      <c r="H1225" s="13" t="s">
        <v>8422</v>
      </c>
      <c r="I1225" s="13" t="s">
        <v>1263</v>
      </c>
      <c r="J1225" s="13" t="s">
        <v>8890</v>
      </c>
      <c r="K1225" s="13" t="s">
        <v>8422</v>
      </c>
      <c r="L1225" s="13" t="s">
        <v>158</v>
      </c>
      <c r="M1225" t="s">
        <v>10689</v>
      </c>
    </row>
    <row r="1226" spans="1:13" x14ac:dyDescent="0.25">
      <c r="A1226" s="13" t="s">
        <v>3196</v>
      </c>
      <c r="B1226" s="13" t="s">
        <v>3196</v>
      </c>
      <c r="C1226" s="13" t="s">
        <v>3196</v>
      </c>
      <c r="D1226" s="13">
        <v>2.1</v>
      </c>
      <c r="E1226" s="13" t="s">
        <v>3197</v>
      </c>
      <c r="F1226" s="13" t="s">
        <v>8867</v>
      </c>
      <c r="G1226" s="13" t="s">
        <v>2</v>
      </c>
      <c r="H1226" s="13" t="s">
        <v>3</v>
      </c>
      <c r="I1226" s="13" t="s">
        <v>1254</v>
      </c>
      <c r="J1226" s="13" t="s">
        <v>8890</v>
      </c>
      <c r="K1226" s="13" t="s">
        <v>8508</v>
      </c>
      <c r="L1226" s="13" t="s">
        <v>158</v>
      </c>
      <c r="M1226" t="s">
        <v>3</v>
      </c>
    </row>
    <row r="1227" spans="1:13" x14ac:dyDescent="0.25">
      <c r="A1227" s="13" t="s">
        <v>3198</v>
      </c>
      <c r="B1227" s="13" t="s">
        <v>3198</v>
      </c>
      <c r="C1227" s="13" t="s">
        <v>3199</v>
      </c>
      <c r="D1227" s="13">
        <v>45.8</v>
      </c>
      <c r="E1227" s="13" t="s">
        <v>3200</v>
      </c>
      <c r="F1227" s="13" t="s">
        <v>8867</v>
      </c>
      <c r="G1227" s="13" t="s">
        <v>2</v>
      </c>
      <c r="H1227" s="13" t="s">
        <v>8422</v>
      </c>
      <c r="I1227" s="13" t="s">
        <v>1263</v>
      </c>
      <c r="J1227" s="13" t="s">
        <v>8890</v>
      </c>
      <c r="K1227" s="13" t="s">
        <v>8422</v>
      </c>
      <c r="L1227" s="13" t="s">
        <v>158</v>
      </c>
      <c r="M1227" t="s">
        <v>10689</v>
      </c>
    </row>
    <row r="1228" spans="1:13" x14ac:dyDescent="0.25">
      <c r="A1228" s="13" t="s">
        <v>3201</v>
      </c>
      <c r="B1228" s="13" t="s">
        <v>3201</v>
      </c>
      <c r="C1228" s="13" t="s">
        <v>3201</v>
      </c>
      <c r="D1228" s="13">
        <v>141.1</v>
      </c>
      <c r="E1228" s="13" t="s">
        <v>3202</v>
      </c>
      <c r="F1228" s="13" t="s">
        <v>8867</v>
      </c>
      <c r="G1228" s="13" t="s">
        <v>2</v>
      </c>
      <c r="H1228" s="13" t="s">
        <v>3</v>
      </c>
      <c r="I1228" s="13" t="s">
        <v>1745</v>
      </c>
      <c r="J1228" s="13" t="s">
        <v>8890</v>
      </c>
      <c r="K1228" s="13" t="s">
        <v>8430</v>
      </c>
      <c r="L1228" s="13" t="s">
        <v>158</v>
      </c>
      <c r="M1228" t="s">
        <v>3</v>
      </c>
    </row>
    <row r="1229" spans="1:13" x14ac:dyDescent="0.25">
      <c r="A1229" s="13" t="s">
        <v>9742</v>
      </c>
      <c r="B1229" s="13" t="s">
        <v>9742</v>
      </c>
      <c r="C1229" s="13" t="s">
        <v>9742</v>
      </c>
      <c r="D1229" s="13">
        <v>5</v>
      </c>
      <c r="E1229" s="13" t="s">
        <v>9743</v>
      </c>
      <c r="F1229" s="13" t="s">
        <v>8867</v>
      </c>
      <c r="G1229" s="13" t="s">
        <v>2</v>
      </c>
      <c r="H1229" s="13" t="s">
        <v>3</v>
      </c>
      <c r="I1229" s="13" t="s">
        <v>2736</v>
      </c>
      <c r="J1229" s="13" t="s">
        <v>8890</v>
      </c>
      <c r="K1229" s="13" t="s">
        <v>8616</v>
      </c>
      <c r="L1229" s="13" t="s">
        <v>158</v>
      </c>
      <c r="M1229" t="s">
        <v>3</v>
      </c>
    </row>
    <row r="1230" spans="1:13" x14ac:dyDescent="0.25">
      <c r="A1230" s="13" t="s">
        <v>3203</v>
      </c>
      <c r="B1230" s="13" t="s">
        <v>3203</v>
      </c>
      <c r="C1230" s="13" t="s">
        <v>3203</v>
      </c>
      <c r="D1230" s="13">
        <v>0.5</v>
      </c>
      <c r="E1230" s="13" t="s">
        <v>3204</v>
      </c>
      <c r="F1230" s="13" t="s">
        <v>8867</v>
      </c>
      <c r="G1230" s="13" t="s">
        <v>2</v>
      </c>
      <c r="H1230" s="13" t="s">
        <v>3</v>
      </c>
      <c r="I1230" s="13" t="s">
        <v>1745</v>
      </c>
      <c r="J1230" s="13" t="s">
        <v>8890</v>
      </c>
      <c r="K1230" s="13" t="s">
        <v>8430</v>
      </c>
      <c r="L1230" s="13" t="s">
        <v>158</v>
      </c>
      <c r="M1230" t="s">
        <v>3</v>
      </c>
    </row>
    <row r="1231" spans="1:13" x14ac:dyDescent="0.25">
      <c r="A1231" s="13" t="s">
        <v>3205</v>
      </c>
      <c r="B1231" s="13" t="s">
        <v>3205</v>
      </c>
      <c r="C1231" s="13" t="s">
        <v>3205</v>
      </c>
      <c r="D1231" s="13">
        <v>205.6</v>
      </c>
      <c r="E1231" s="13" t="s">
        <v>3206</v>
      </c>
      <c r="F1231" s="13" t="s">
        <v>8867</v>
      </c>
      <c r="G1231" s="13" t="s">
        <v>2</v>
      </c>
      <c r="H1231" s="13" t="s">
        <v>3</v>
      </c>
      <c r="I1231" s="13" t="s">
        <v>137</v>
      </c>
      <c r="J1231" s="13" t="s">
        <v>8890</v>
      </c>
      <c r="K1231" s="13" t="s">
        <v>8429</v>
      </c>
      <c r="L1231" s="13" t="s">
        <v>158</v>
      </c>
      <c r="M1231" t="s">
        <v>3</v>
      </c>
    </row>
    <row r="1232" spans="1:13" x14ac:dyDescent="0.25">
      <c r="A1232" s="13" t="s">
        <v>3207</v>
      </c>
      <c r="B1232" s="13" t="s">
        <v>3208</v>
      </c>
      <c r="C1232" s="13" t="s">
        <v>3209</v>
      </c>
      <c r="D1232" s="13">
        <v>4.5</v>
      </c>
      <c r="E1232" s="13" t="s">
        <v>3210</v>
      </c>
      <c r="F1232" s="13" t="s">
        <v>8867</v>
      </c>
      <c r="G1232" s="13" t="s">
        <v>2</v>
      </c>
      <c r="H1232" s="13" t="s">
        <v>3</v>
      </c>
      <c r="I1232" s="13" t="s">
        <v>1283</v>
      </c>
      <c r="J1232" s="13" t="s">
        <v>8890</v>
      </c>
      <c r="K1232" s="13" t="s">
        <v>8524</v>
      </c>
      <c r="L1232" s="13" t="s">
        <v>158</v>
      </c>
      <c r="M1232" t="s">
        <v>3</v>
      </c>
    </row>
    <row r="1233" spans="1:13" x14ac:dyDescent="0.25">
      <c r="A1233" s="13" t="s">
        <v>3211</v>
      </c>
      <c r="B1233" s="13" t="s">
        <v>3211</v>
      </c>
      <c r="C1233" s="13" t="s">
        <v>3212</v>
      </c>
      <c r="D1233" s="13">
        <v>116.2</v>
      </c>
      <c r="E1233" s="13" t="s">
        <v>3213</v>
      </c>
      <c r="F1233" s="13" t="s">
        <v>8867</v>
      </c>
      <c r="G1233" s="13" t="s">
        <v>2</v>
      </c>
      <c r="H1233" s="13" t="s">
        <v>3</v>
      </c>
      <c r="I1233" s="13" t="s">
        <v>1263</v>
      </c>
      <c r="J1233" s="13" t="s">
        <v>8890</v>
      </c>
      <c r="K1233" s="13" t="s">
        <v>8422</v>
      </c>
      <c r="L1233" s="13" t="s">
        <v>158</v>
      </c>
      <c r="M1233" t="s">
        <v>3</v>
      </c>
    </row>
    <row r="1234" spans="1:13" x14ac:dyDescent="0.25">
      <c r="A1234" s="13" t="s">
        <v>3214</v>
      </c>
      <c r="B1234" s="13" t="s">
        <v>3214</v>
      </c>
      <c r="C1234" s="13" t="s">
        <v>3215</v>
      </c>
      <c r="D1234" s="13">
        <v>29.4</v>
      </c>
      <c r="E1234" s="13" t="s">
        <v>3215</v>
      </c>
      <c r="F1234" s="13" t="s">
        <v>8867</v>
      </c>
      <c r="G1234" s="13" t="s">
        <v>2</v>
      </c>
      <c r="H1234" s="13" t="s">
        <v>3</v>
      </c>
      <c r="I1234" s="13" t="s">
        <v>564</v>
      </c>
      <c r="J1234" s="13" t="s">
        <v>8890</v>
      </c>
      <c r="K1234" s="13" t="s">
        <v>8483</v>
      </c>
      <c r="L1234" s="13" t="s">
        <v>158</v>
      </c>
      <c r="M1234" t="s">
        <v>3</v>
      </c>
    </row>
    <row r="1235" spans="1:13" ht="26.25" x14ac:dyDescent="0.25">
      <c r="A1235" s="13" t="s">
        <v>3216</v>
      </c>
      <c r="B1235" s="13" t="s">
        <v>3216</v>
      </c>
      <c r="C1235" s="13" t="s">
        <v>3216</v>
      </c>
      <c r="D1235" s="13">
        <v>2</v>
      </c>
      <c r="E1235" s="13" t="s">
        <v>3217</v>
      </c>
      <c r="F1235" s="13" t="s">
        <v>8867</v>
      </c>
      <c r="G1235" s="13" t="s">
        <v>2</v>
      </c>
      <c r="H1235" s="13" t="s">
        <v>3</v>
      </c>
      <c r="I1235" s="13" t="s">
        <v>3218</v>
      </c>
      <c r="J1235" s="13" t="s">
        <v>8890</v>
      </c>
      <c r="K1235" s="13" t="s">
        <v>8620</v>
      </c>
      <c r="L1235" s="13" t="s">
        <v>158</v>
      </c>
      <c r="M1235" t="s">
        <v>3</v>
      </c>
    </row>
    <row r="1236" spans="1:13" x14ac:dyDescent="0.25">
      <c r="A1236" s="13" t="s">
        <v>10503</v>
      </c>
      <c r="B1236" s="13" t="s">
        <v>10503</v>
      </c>
      <c r="C1236" s="13" t="s">
        <v>10504</v>
      </c>
      <c r="D1236" s="13">
        <v>42.6</v>
      </c>
      <c r="E1236" s="13" t="s">
        <v>10505</v>
      </c>
      <c r="F1236" s="13" t="s">
        <v>8867</v>
      </c>
      <c r="G1236" s="13" t="s">
        <v>2</v>
      </c>
      <c r="H1236" s="13" t="s">
        <v>3</v>
      </c>
      <c r="I1236" s="13" t="s">
        <v>447</v>
      </c>
      <c r="J1236" s="13" t="s">
        <v>8890</v>
      </c>
      <c r="K1236" s="13" t="s">
        <v>8421</v>
      </c>
      <c r="L1236" s="13" t="s">
        <v>158</v>
      </c>
      <c r="M1236" t="s">
        <v>3</v>
      </c>
    </row>
    <row r="1237" spans="1:13" ht="26.25" x14ac:dyDescent="0.25">
      <c r="A1237" s="13" t="s">
        <v>3219</v>
      </c>
      <c r="B1237" s="13" t="s">
        <v>3219</v>
      </c>
      <c r="C1237" s="13" t="s">
        <v>3220</v>
      </c>
      <c r="D1237" s="13">
        <v>43.7</v>
      </c>
      <c r="E1237" s="13" t="s">
        <v>3220</v>
      </c>
      <c r="F1237" s="13" t="s">
        <v>8867</v>
      </c>
      <c r="G1237" s="13" t="s">
        <v>2</v>
      </c>
      <c r="H1237" s="13" t="s">
        <v>8421</v>
      </c>
      <c r="I1237" s="13" t="s">
        <v>447</v>
      </c>
      <c r="J1237" s="13" t="s">
        <v>8890</v>
      </c>
      <c r="K1237" s="13" t="s">
        <v>8421</v>
      </c>
      <c r="L1237" s="13" t="s">
        <v>158</v>
      </c>
      <c r="M1237" t="s">
        <v>10690</v>
      </c>
    </row>
    <row r="1238" spans="1:13" x14ac:dyDescent="0.25">
      <c r="A1238" s="13" t="s">
        <v>3221</v>
      </c>
      <c r="B1238" s="13" t="s">
        <v>3221</v>
      </c>
      <c r="C1238" s="13" t="s">
        <v>3222</v>
      </c>
      <c r="D1238" s="13">
        <v>40</v>
      </c>
      <c r="E1238" s="13" t="s">
        <v>3223</v>
      </c>
      <c r="F1238" s="13" t="s">
        <v>8867</v>
      </c>
      <c r="G1238" s="13" t="s">
        <v>2</v>
      </c>
      <c r="H1238" s="13" t="s">
        <v>8421</v>
      </c>
      <c r="I1238" s="13" t="s">
        <v>447</v>
      </c>
      <c r="J1238" s="13" t="s">
        <v>8890</v>
      </c>
      <c r="K1238" s="13" t="s">
        <v>8421</v>
      </c>
      <c r="L1238" s="13" t="s">
        <v>158</v>
      </c>
      <c r="M1238" t="s">
        <v>10690</v>
      </c>
    </row>
    <row r="1239" spans="1:13" x14ac:dyDescent="0.25">
      <c r="A1239" s="13" t="s">
        <v>3224</v>
      </c>
      <c r="B1239" s="13" t="s">
        <v>3224</v>
      </c>
      <c r="C1239" s="13" t="s">
        <v>3225</v>
      </c>
      <c r="D1239" s="13">
        <v>40</v>
      </c>
      <c r="E1239" s="13" t="s">
        <v>3226</v>
      </c>
      <c r="F1239" s="13" t="s">
        <v>8867</v>
      </c>
      <c r="G1239" s="13" t="s">
        <v>2</v>
      </c>
      <c r="H1239" s="13" t="s">
        <v>8421</v>
      </c>
      <c r="I1239" s="13" t="s">
        <v>447</v>
      </c>
      <c r="J1239" s="13" t="s">
        <v>8890</v>
      </c>
      <c r="K1239" s="13" t="s">
        <v>8421</v>
      </c>
      <c r="L1239" s="13" t="s">
        <v>158</v>
      </c>
      <c r="M1239" t="s">
        <v>10690</v>
      </c>
    </row>
    <row r="1240" spans="1:13" ht="26.25" x14ac:dyDescent="0.25">
      <c r="A1240" s="13" t="s">
        <v>3227</v>
      </c>
      <c r="B1240" s="13" t="s">
        <v>3227</v>
      </c>
      <c r="C1240" s="13" t="s">
        <v>3228</v>
      </c>
      <c r="D1240" s="13">
        <v>75.8</v>
      </c>
      <c r="E1240" s="13" t="s">
        <v>3229</v>
      </c>
      <c r="F1240" s="13" t="s">
        <v>8867</v>
      </c>
      <c r="G1240" s="13" t="s">
        <v>2</v>
      </c>
      <c r="H1240" s="13" t="s">
        <v>3</v>
      </c>
      <c r="I1240" s="13" t="s">
        <v>809</v>
      </c>
      <c r="J1240" s="13" t="s">
        <v>8890</v>
      </c>
      <c r="K1240" s="13" t="s">
        <v>8512</v>
      </c>
      <c r="L1240" s="13" t="s">
        <v>158</v>
      </c>
      <c r="M1240" t="s">
        <v>3</v>
      </c>
    </row>
    <row r="1241" spans="1:13" x14ac:dyDescent="0.25">
      <c r="A1241" s="13" t="s">
        <v>3230</v>
      </c>
      <c r="B1241" s="13" t="s">
        <v>3230</v>
      </c>
      <c r="C1241" s="13" t="s">
        <v>3231</v>
      </c>
      <c r="D1241" s="13">
        <v>2.7</v>
      </c>
      <c r="E1241" s="13" t="s">
        <v>3232</v>
      </c>
      <c r="F1241" s="13" t="s">
        <v>8867</v>
      </c>
      <c r="G1241" s="13" t="s">
        <v>2</v>
      </c>
      <c r="H1241" s="13" t="s">
        <v>3</v>
      </c>
      <c r="I1241" s="13" t="s">
        <v>1263</v>
      </c>
      <c r="J1241" s="13" t="s">
        <v>8890</v>
      </c>
      <c r="K1241" s="13" t="s">
        <v>8422</v>
      </c>
      <c r="L1241" s="13" t="s">
        <v>158</v>
      </c>
      <c r="M1241" t="s">
        <v>3</v>
      </c>
    </row>
    <row r="1242" spans="1:13" x14ac:dyDescent="0.25">
      <c r="A1242" s="13" t="s">
        <v>3233</v>
      </c>
      <c r="B1242" s="13" t="s">
        <v>3233</v>
      </c>
      <c r="C1242" s="13" t="s">
        <v>3234</v>
      </c>
      <c r="D1242" s="13">
        <v>2.4</v>
      </c>
      <c r="E1242" s="13" t="s">
        <v>3235</v>
      </c>
      <c r="F1242" s="13" t="s">
        <v>8867</v>
      </c>
      <c r="G1242" s="13" t="s">
        <v>2</v>
      </c>
      <c r="H1242" s="13" t="s">
        <v>3</v>
      </c>
      <c r="I1242" s="13" t="s">
        <v>1263</v>
      </c>
      <c r="J1242" s="13" t="s">
        <v>8890</v>
      </c>
      <c r="K1242" s="13" t="s">
        <v>8422</v>
      </c>
      <c r="L1242" s="13" t="s">
        <v>158</v>
      </c>
      <c r="M1242" t="s">
        <v>3</v>
      </c>
    </row>
    <row r="1243" spans="1:13" x14ac:dyDescent="0.25">
      <c r="A1243" s="13" t="s">
        <v>3236</v>
      </c>
      <c r="B1243" s="13" t="s">
        <v>3236</v>
      </c>
      <c r="C1243" s="13" t="s">
        <v>3237</v>
      </c>
      <c r="D1243" s="13">
        <v>2.4</v>
      </c>
      <c r="E1243" s="13" t="s">
        <v>3238</v>
      </c>
      <c r="F1243" s="13" t="s">
        <v>8867</v>
      </c>
      <c r="G1243" s="13" t="s">
        <v>2</v>
      </c>
      <c r="H1243" s="13" t="s">
        <v>3</v>
      </c>
      <c r="I1243" s="13" t="s">
        <v>1263</v>
      </c>
      <c r="J1243" s="13" t="s">
        <v>8890</v>
      </c>
      <c r="K1243" s="13" t="s">
        <v>8422</v>
      </c>
      <c r="L1243" s="13" t="s">
        <v>158</v>
      </c>
      <c r="M1243" t="s">
        <v>3</v>
      </c>
    </row>
    <row r="1244" spans="1:13" x14ac:dyDescent="0.25">
      <c r="A1244" s="13" t="s">
        <v>11053</v>
      </c>
      <c r="B1244" s="13" t="s">
        <v>11053</v>
      </c>
      <c r="C1244" s="13" t="s">
        <v>11054</v>
      </c>
      <c r="D1244" s="13">
        <v>2</v>
      </c>
      <c r="E1244" s="13" t="s">
        <v>11055</v>
      </c>
      <c r="F1244" s="13" t="s">
        <v>8867</v>
      </c>
      <c r="G1244" s="13" t="s">
        <v>2</v>
      </c>
      <c r="H1244" s="13" t="s">
        <v>3</v>
      </c>
      <c r="I1244" s="13" t="s">
        <v>1263</v>
      </c>
      <c r="J1244" s="13" t="s">
        <v>8890</v>
      </c>
      <c r="K1244" s="13" t="s">
        <v>8422</v>
      </c>
      <c r="L1244" s="13" t="s">
        <v>158</v>
      </c>
      <c r="M1244" t="s">
        <v>3</v>
      </c>
    </row>
    <row r="1245" spans="1:13" x14ac:dyDescent="0.25">
      <c r="A1245" s="13" t="s">
        <v>11056</v>
      </c>
      <c r="B1245" s="13" t="s">
        <v>11056</v>
      </c>
      <c r="C1245" s="13" t="s">
        <v>11057</v>
      </c>
      <c r="D1245" s="13">
        <v>1.5</v>
      </c>
      <c r="E1245" s="13" t="s">
        <v>11058</v>
      </c>
      <c r="F1245" s="13" t="s">
        <v>8867</v>
      </c>
      <c r="G1245" s="13" t="s">
        <v>2</v>
      </c>
      <c r="H1245" s="13" t="s">
        <v>3</v>
      </c>
      <c r="I1245" s="13" t="s">
        <v>1263</v>
      </c>
      <c r="J1245" s="13" t="s">
        <v>8890</v>
      </c>
      <c r="K1245" s="13" t="s">
        <v>8422</v>
      </c>
      <c r="L1245" s="13" t="s">
        <v>158</v>
      </c>
      <c r="M1245" t="s">
        <v>3</v>
      </c>
    </row>
    <row r="1246" spans="1:13" x14ac:dyDescent="0.25">
      <c r="A1246" s="13" t="s">
        <v>3239</v>
      </c>
      <c r="B1246" s="13" t="s">
        <v>3240</v>
      </c>
      <c r="C1246" s="13" t="s">
        <v>3241</v>
      </c>
      <c r="D1246" s="13">
        <v>5.7</v>
      </c>
      <c r="E1246" s="13" t="s">
        <v>3242</v>
      </c>
      <c r="F1246" s="13" t="s">
        <v>8867</v>
      </c>
      <c r="G1246" s="13" t="s">
        <v>2</v>
      </c>
      <c r="H1246" s="13" t="s">
        <v>3</v>
      </c>
      <c r="I1246" s="13" t="s">
        <v>1978</v>
      </c>
      <c r="J1246" s="13" t="s">
        <v>8890</v>
      </c>
      <c r="K1246" s="13" t="s">
        <v>8570</v>
      </c>
      <c r="L1246" s="13" t="s">
        <v>158</v>
      </c>
      <c r="M1246" t="s">
        <v>3</v>
      </c>
    </row>
    <row r="1247" spans="1:13" ht="26.25" x14ac:dyDescent="0.25">
      <c r="A1247" s="13" t="s">
        <v>11989</v>
      </c>
      <c r="B1247" s="13" t="s">
        <v>11989</v>
      </c>
      <c r="C1247" s="13" t="s">
        <v>11989</v>
      </c>
      <c r="D1247" s="13">
        <v>90</v>
      </c>
      <c r="E1247" s="13" t="s">
        <v>11990</v>
      </c>
      <c r="F1247" s="13" t="s">
        <v>8867</v>
      </c>
      <c r="G1247" s="13" t="s">
        <v>2</v>
      </c>
      <c r="H1247" s="13" t="s">
        <v>8900</v>
      </c>
      <c r="I1247" s="13" t="s">
        <v>1745</v>
      </c>
      <c r="J1247" s="13" t="s">
        <v>8890</v>
      </c>
      <c r="K1247" s="13" t="s">
        <v>8430</v>
      </c>
      <c r="L1247" s="13" t="s">
        <v>158</v>
      </c>
      <c r="M1247" t="s">
        <v>10683</v>
      </c>
    </row>
    <row r="1248" spans="1:13" x14ac:dyDescent="0.25">
      <c r="A1248" s="13" t="s">
        <v>3243</v>
      </c>
      <c r="B1248" s="13" t="s">
        <v>3243</v>
      </c>
      <c r="C1248" s="13" t="s">
        <v>3243</v>
      </c>
      <c r="D1248" s="13">
        <v>441.1</v>
      </c>
      <c r="E1248" s="13" t="s">
        <v>3244</v>
      </c>
      <c r="F1248" s="13" t="s">
        <v>8867</v>
      </c>
      <c r="G1248" s="13" t="s">
        <v>2</v>
      </c>
      <c r="H1248" s="13" t="s">
        <v>8900</v>
      </c>
      <c r="I1248" s="13" t="s">
        <v>1745</v>
      </c>
      <c r="J1248" s="13" t="s">
        <v>8890</v>
      </c>
      <c r="K1248" s="13" t="s">
        <v>8430</v>
      </c>
      <c r="L1248" s="13" t="s">
        <v>158</v>
      </c>
      <c r="M1248" t="s">
        <v>10683</v>
      </c>
    </row>
    <row r="1249" spans="1:13" ht="26.25" x14ac:dyDescent="0.25">
      <c r="A1249" s="13" t="s">
        <v>3245</v>
      </c>
      <c r="B1249" s="13" t="s">
        <v>3245</v>
      </c>
      <c r="C1249" s="13" t="s">
        <v>3245</v>
      </c>
      <c r="D1249" s="13">
        <v>46</v>
      </c>
      <c r="E1249" s="13" t="s">
        <v>3246</v>
      </c>
      <c r="F1249" s="13" t="s">
        <v>8867</v>
      </c>
      <c r="G1249" s="13" t="s">
        <v>2</v>
      </c>
      <c r="H1249" s="13" t="s">
        <v>3</v>
      </c>
      <c r="I1249" s="13" t="s">
        <v>119</v>
      </c>
      <c r="J1249" s="13" t="s">
        <v>8890</v>
      </c>
      <c r="K1249" s="13" t="s">
        <v>8883</v>
      </c>
      <c r="L1249" s="13" t="s">
        <v>158</v>
      </c>
      <c r="M1249" t="s">
        <v>3</v>
      </c>
    </row>
    <row r="1250" spans="1:13" x14ac:dyDescent="0.25">
      <c r="A1250" s="13" t="s">
        <v>3247</v>
      </c>
      <c r="B1250" s="13" t="s">
        <v>3248</v>
      </c>
      <c r="C1250" s="13" t="s">
        <v>3248</v>
      </c>
      <c r="D1250" s="13">
        <v>46</v>
      </c>
      <c r="E1250" s="13" t="s">
        <v>3249</v>
      </c>
      <c r="F1250" s="13" t="s">
        <v>8867</v>
      </c>
      <c r="G1250" s="13" t="s">
        <v>2</v>
      </c>
      <c r="H1250" s="13" t="s">
        <v>3</v>
      </c>
      <c r="I1250" s="13" t="s">
        <v>119</v>
      </c>
      <c r="J1250" s="13" t="s">
        <v>8890</v>
      </c>
      <c r="K1250" s="13" t="s">
        <v>8883</v>
      </c>
      <c r="L1250" s="13" t="s">
        <v>158</v>
      </c>
      <c r="M1250" t="s">
        <v>3</v>
      </c>
    </row>
    <row r="1251" spans="1:13" x14ac:dyDescent="0.25">
      <c r="A1251" s="13" t="s">
        <v>3250</v>
      </c>
      <c r="B1251" s="13" t="s">
        <v>3250</v>
      </c>
      <c r="C1251" s="13" t="s">
        <v>3251</v>
      </c>
      <c r="D1251" s="13">
        <v>65.900000000000006</v>
      </c>
      <c r="E1251" s="13" t="s">
        <v>3252</v>
      </c>
      <c r="F1251" s="13" t="s">
        <v>8867</v>
      </c>
      <c r="G1251" s="13" t="s">
        <v>2</v>
      </c>
      <c r="H1251" s="13" t="s">
        <v>3</v>
      </c>
      <c r="I1251" s="13" t="s">
        <v>159</v>
      </c>
      <c r="J1251" s="13" t="s">
        <v>8890</v>
      </c>
      <c r="K1251" s="13" t="s">
        <v>8442</v>
      </c>
      <c r="L1251" s="13" t="s">
        <v>158</v>
      </c>
      <c r="M1251" t="s">
        <v>3</v>
      </c>
    </row>
    <row r="1252" spans="1:13" x14ac:dyDescent="0.25">
      <c r="A1252" s="13" t="s">
        <v>3253</v>
      </c>
      <c r="B1252" s="13" t="s">
        <v>3253</v>
      </c>
      <c r="C1252" s="13" t="s">
        <v>3254</v>
      </c>
      <c r="D1252" s="13">
        <v>250</v>
      </c>
      <c r="E1252" s="13" t="s">
        <v>3254</v>
      </c>
      <c r="F1252" s="13" t="s">
        <v>8867</v>
      </c>
      <c r="G1252" s="13" t="s">
        <v>2</v>
      </c>
      <c r="H1252" s="13" t="s">
        <v>3</v>
      </c>
      <c r="I1252" s="13" t="s">
        <v>447</v>
      </c>
      <c r="J1252" s="13" t="s">
        <v>8890</v>
      </c>
      <c r="K1252" s="13" t="s">
        <v>8421</v>
      </c>
      <c r="L1252" s="13" t="s">
        <v>158</v>
      </c>
      <c r="M1252" t="s">
        <v>3</v>
      </c>
    </row>
    <row r="1253" spans="1:13" ht="26.25" x14ac:dyDescent="0.25">
      <c r="A1253" s="13" t="s">
        <v>3255</v>
      </c>
      <c r="B1253" s="13" t="s">
        <v>3256</v>
      </c>
      <c r="C1253" s="13" t="s">
        <v>3257</v>
      </c>
      <c r="D1253" s="13">
        <v>4.2</v>
      </c>
      <c r="E1253" s="13" t="s">
        <v>3258</v>
      </c>
      <c r="F1253" s="13" t="s">
        <v>8867</v>
      </c>
      <c r="G1253" s="13" t="s">
        <v>2</v>
      </c>
      <c r="H1253" s="13" t="s">
        <v>3</v>
      </c>
      <c r="I1253" s="13" t="s">
        <v>1978</v>
      </c>
      <c r="J1253" s="13" t="s">
        <v>8890</v>
      </c>
      <c r="K1253" s="13" t="s">
        <v>8570</v>
      </c>
      <c r="L1253" s="13" t="s">
        <v>158</v>
      </c>
      <c r="M1253" t="s">
        <v>3</v>
      </c>
    </row>
    <row r="1254" spans="1:13" x14ac:dyDescent="0.25">
      <c r="A1254" s="13" t="s">
        <v>3259</v>
      </c>
      <c r="B1254" s="13" t="s">
        <v>3260</v>
      </c>
      <c r="C1254" s="13" t="s">
        <v>3261</v>
      </c>
      <c r="D1254" s="13">
        <v>1.2</v>
      </c>
      <c r="E1254" s="13" t="s">
        <v>3262</v>
      </c>
      <c r="F1254" s="13" t="s">
        <v>8867</v>
      </c>
      <c r="G1254" s="13" t="s">
        <v>2</v>
      </c>
      <c r="H1254" s="13" t="s">
        <v>3</v>
      </c>
      <c r="I1254" s="13" t="s">
        <v>1978</v>
      </c>
      <c r="J1254" s="13" t="s">
        <v>8890</v>
      </c>
      <c r="K1254" s="13" t="s">
        <v>8570</v>
      </c>
      <c r="L1254" s="13" t="s">
        <v>158</v>
      </c>
      <c r="M1254" t="s">
        <v>3</v>
      </c>
    </row>
    <row r="1255" spans="1:13" ht="26.25" x14ac:dyDescent="0.25">
      <c r="A1255" s="13" t="s">
        <v>11237</v>
      </c>
      <c r="B1255" s="13" t="s">
        <v>11237</v>
      </c>
      <c r="C1255" s="13" t="s">
        <v>11238</v>
      </c>
      <c r="D1255" s="13">
        <v>38.4</v>
      </c>
      <c r="E1255" s="13" t="s">
        <v>11239</v>
      </c>
      <c r="F1255" s="13" t="s">
        <v>8867</v>
      </c>
      <c r="G1255" s="13" t="s">
        <v>2</v>
      </c>
      <c r="H1255" s="13" t="s">
        <v>3</v>
      </c>
      <c r="I1255" s="13" t="s">
        <v>447</v>
      </c>
      <c r="J1255" s="13" t="s">
        <v>8890</v>
      </c>
      <c r="K1255" s="13" t="s">
        <v>8421</v>
      </c>
      <c r="L1255" s="13" t="s">
        <v>158</v>
      </c>
      <c r="M1255" t="s">
        <v>3</v>
      </c>
    </row>
    <row r="1256" spans="1:13" x14ac:dyDescent="0.25">
      <c r="A1256" s="13" t="s">
        <v>11606</v>
      </c>
      <c r="B1256" s="13" t="s">
        <v>11606</v>
      </c>
      <c r="C1256" s="13" t="s">
        <v>11606</v>
      </c>
      <c r="D1256" s="13">
        <v>10</v>
      </c>
      <c r="E1256" s="13" t="s">
        <v>11607</v>
      </c>
      <c r="F1256" s="13" t="s">
        <v>8867</v>
      </c>
      <c r="G1256" s="13" t="s">
        <v>2</v>
      </c>
      <c r="H1256" s="13" t="s">
        <v>3</v>
      </c>
      <c r="I1256" s="13" t="s">
        <v>706</v>
      </c>
      <c r="J1256" s="13" t="s">
        <v>8890</v>
      </c>
      <c r="K1256" s="13" t="s">
        <v>8419</v>
      </c>
      <c r="L1256" s="13" t="s">
        <v>158</v>
      </c>
      <c r="M1256" t="s">
        <v>3</v>
      </c>
    </row>
    <row r="1257" spans="1:13" x14ac:dyDescent="0.25">
      <c r="A1257" s="13" t="s">
        <v>3263</v>
      </c>
      <c r="B1257" s="13" t="s">
        <v>3264</v>
      </c>
      <c r="C1257" s="13" t="s">
        <v>3265</v>
      </c>
      <c r="D1257" s="13">
        <v>37.200000000000003</v>
      </c>
      <c r="E1257" s="13" t="s">
        <v>3266</v>
      </c>
      <c r="F1257" s="13" t="s">
        <v>8867</v>
      </c>
      <c r="G1257" s="13" t="s">
        <v>2</v>
      </c>
      <c r="H1257" s="13" t="s">
        <v>3</v>
      </c>
      <c r="I1257" s="13" t="s">
        <v>1978</v>
      </c>
      <c r="J1257" s="13" t="s">
        <v>8890</v>
      </c>
      <c r="K1257" s="13" t="s">
        <v>8570</v>
      </c>
      <c r="L1257" s="13" t="s">
        <v>158</v>
      </c>
      <c r="M1257" t="s">
        <v>3</v>
      </c>
    </row>
    <row r="1258" spans="1:13" x14ac:dyDescent="0.25">
      <c r="A1258" s="13" t="s">
        <v>3267</v>
      </c>
      <c r="B1258" s="13" t="s">
        <v>3267</v>
      </c>
      <c r="C1258" s="13" t="s">
        <v>3268</v>
      </c>
      <c r="D1258" s="13">
        <v>43.1</v>
      </c>
      <c r="E1258" s="13" t="s">
        <v>3269</v>
      </c>
      <c r="F1258" s="13" t="s">
        <v>8867</v>
      </c>
      <c r="G1258" s="13" t="s">
        <v>2</v>
      </c>
      <c r="H1258" s="13" t="s">
        <v>8422</v>
      </c>
      <c r="I1258" s="13" t="s">
        <v>1263</v>
      </c>
      <c r="J1258" s="13" t="s">
        <v>8890</v>
      </c>
      <c r="K1258" s="13" t="s">
        <v>8422</v>
      </c>
      <c r="L1258" s="13" t="s">
        <v>158</v>
      </c>
      <c r="M1258" t="s">
        <v>10689</v>
      </c>
    </row>
    <row r="1259" spans="1:13" x14ac:dyDescent="0.25">
      <c r="A1259" s="13" t="s">
        <v>11532</v>
      </c>
      <c r="B1259" s="13" t="s">
        <v>11532</v>
      </c>
      <c r="C1259" s="13" t="s">
        <v>11533</v>
      </c>
      <c r="D1259" s="13">
        <v>1</v>
      </c>
      <c r="E1259" s="13" t="s">
        <v>11534</v>
      </c>
      <c r="F1259" s="13" t="s">
        <v>8867</v>
      </c>
      <c r="G1259" s="13" t="s">
        <v>2</v>
      </c>
      <c r="H1259" s="13" t="s">
        <v>3</v>
      </c>
      <c r="I1259" s="13" t="s">
        <v>1263</v>
      </c>
      <c r="J1259" s="13" t="s">
        <v>8890</v>
      </c>
      <c r="K1259" s="13" t="s">
        <v>8422</v>
      </c>
      <c r="L1259" s="13" t="s">
        <v>158</v>
      </c>
      <c r="M1259" t="s">
        <v>3</v>
      </c>
    </row>
    <row r="1260" spans="1:13" x14ac:dyDescent="0.25">
      <c r="A1260" s="13" t="s">
        <v>10733</v>
      </c>
      <c r="B1260" s="13" t="s">
        <v>10733</v>
      </c>
      <c r="C1260" s="13" t="s">
        <v>10734</v>
      </c>
      <c r="D1260" s="13">
        <v>5</v>
      </c>
      <c r="E1260" s="13" t="s">
        <v>10735</v>
      </c>
      <c r="F1260" s="13" t="s">
        <v>8867</v>
      </c>
      <c r="G1260" s="13" t="s">
        <v>2</v>
      </c>
      <c r="H1260" s="13" t="s">
        <v>3</v>
      </c>
      <c r="I1260" s="13" t="s">
        <v>1263</v>
      </c>
      <c r="J1260" s="13" t="s">
        <v>8890</v>
      </c>
      <c r="K1260" s="13" t="s">
        <v>8422</v>
      </c>
      <c r="L1260" s="13" t="s">
        <v>158</v>
      </c>
      <c r="M1260" t="s">
        <v>3</v>
      </c>
    </row>
    <row r="1261" spans="1:13" x14ac:dyDescent="0.25">
      <c r="A1261" s="13" t="s">
        <v>9744</v>
      </c>
      <c r="B1261" s="13" t="s">
        <v>9745</v>
      </c>
      <c r="C1261" s="13" t="s">
        <v>9746</v>
      </c>
      <c r="D1261" s="13">
        <v>3.5</v>
      </c>
      <c r="E1261" s="13" t="s">
        <v>9747</v>
      </c>
      <c r="F1261" s="13" t="s">
        <v>8867</v>
      </c>
      <c r="G1261" s="13" t="s">
        <v>2</v>
      </c>
      <c r="H1261" s="13" t="s">
        <v>3</v>
      </c>
      <c r="I1261" s="13" t="s">
        <v>1978</v>
      </c>
      <c r="J1261" s="13" t="s">
        <v>8890</v>
      </c>
      <c r="K1261" s="13" t="s">
        <v>8570</v>
      </c>
      <c r="L1261" s="13" t="s">
        <v>158</v>
      </c>
      <c r="M1261" t="s">
        <v>3</v>
      </c>
    </row>
    <row r="1262" spans="1:13" x14ac:dyDescent="0.25">
      <c r="A1262" s="13" t="s">
        <v>9748</v>
      </c>
      <c r="B1262" s="13" t="s">
        <v>9749</v>
      </c>
      <c r="C1262" s="13" t="s">
        <v>9750</v>
      </c>
      <c r="D1262" s="13">
        <v>2.2000000000000002</v>
      </c>
      <c r="E1262" s="13" t="s">
        <v>9751</v>
      </c>
      <c r="F1262" s="13" t="s">
        <v>8867</v>
      </c>
      <c r="G1262" s="13" t="s">
        <v>2</v>
      </c>
      <c r="H1262" s="13" t="s">
        <v>3</v>
      </c>
      <c r="I1262" s="13" t="s">
        <v>1978</v>
      </c>
      <c r="J1262" s="13" t="s">
        <v>8890</v>
      </c>
      <c r="K1262" s="13" t="s">
        <v>8570</v>
      </c>
      <c r="L1262" s="13" t="s">
        <v>158</v>
      </c>
      <c r="M1262" t="s">
        <v>3</v>
      </c>
    </row>
    <row r="1263" spans="1:13" x14ac:dyDescent="0.25">
      <c r="A1263" s="13" t="s">
        <v>9752</v>
      </c>
      <c r="B1263" s="13" t="s">
        <v>9752</v>
      </c>
      <c r="C1263" s="13" t="s">
        <v>9752</v>
      </c>
      <c r="D1263" s="13">
        <v>41.2</v>
      </c>
      <c r="E1263" s="13" t="s">
        <v>9753</v>
      </c>
      <c r="F1263" s="13" t="s">
        <v>8867</v>
      </c>
      <c r="G1263" s="13" t="s">
        <v>2</v>
      </c>
      <c r="H1263" s="13" t="s">
        <v>3</v>
      </c>
      <c r="I1263" s="13" t="s">
        <v>1978</v>
      </c>
      <c r="J1263" s="13" t="s">
        <v>8890</v>
      </c>
      <c r="K1263" s="13" t="s">
        <v>8570</v>
      </c>
      <c r="L1263" s="13" t="s">
        <v>158</v>
      </c>
      <c r="M1263" t="s">
        <v>3</v>
      </c>
    </row>
    <row r="1264" spans="1:13" x14ac:dyDescent="0.25">
      <c r="A1264" s="13" t="s">
        <v>9754</v>
      </c>
      <c r="B1264" s="13" t="s">
        <v>9754</v>
      </c>
      <c r="C1264" s="13" t="s">
        <v>9754</v>
      </c>
      <c r="D1264" s="13">
        <v>41.2</v>
      </c>
      <c r="E1264" s="13" t="s">
        <v>9755</v>
      </c>
      <c r="F1264" s="13" t="s">
        <v>8867</v>
      </c>
      <c r="G1264" s="13" t="s">
        <v>2</v>
      </c>
      <c r="H1264" s="13" t="s">
        <v>3</v>
      </c>
      <c r="I1264" s="13" t="s">
        <v>1978</v>
      </c>
      <c r="J1264" s="13" t="s">
        <v>8890</v>
      </c>
      <c r="K1264" s="13" t="s">
        <v>8570</v>
      </c>
      <c r="L1264" s="13" t="s">
        <v>158</v>
      </c>
      <c r="M1264" t="s">
        <v>3</v>
      </c>
    </row>
    <row r="1265" spans="1:13" x14ac:dyDescent="0.25">
      <c r="A1265" s="13" t="s">
        <v>9756</v>
      </c>
      <c r="B1265" s="13" t="s">
        <v>9756</v>
      </c>
      <c r="C1265" s="13" t="s">
        <v>9756</v>
      </c>
      <c r="D1265" s="13">
        <v>41.2</v>
      </c>
      <c r="E1265" s="13" t="s">
        <v>9757</v>
      </c>
      <c r="F1265" s="13" t="s">
        <v>8867</v>
      </c>
      <c r="G1265" s="13" t="s">
        <v>2</v>
      </c>
      <c r="H1265" s="13" t="s">
        <v>3</v>
      </c>
      <c r="I1265" s="13" t="s">
        <v>1978</v>
      </c>
      <c r="J1265" s="13" t="s">
        <v>8890</v>
      </c>
      <c r="K1265" s="13" t="s">
        <v>8570</v>
      </c>
      <c r="L1265" s="13" t="s">
        <v>158</v>
      </c>
      <c r="M1265" t="s">
        <v>3</v>
      </c>
    </row>
    <row r="1266" spans="1:13" x14ac:dyDescent="0.25">
      <c r="A1266" s="13" t="s">
        <v>9758</v>
      </c>
      <c r="B1266" s="13" t="s">
        <v>9758</v>
      </c>
      <c r="C1266" s="13" t="s">
        <v>9758</v>
      </c>
      <c r="D1266" s="13">
        <v>41.2</v>
      </c>
      <c r="E1266" s="13" t="s">
        <v>9759</v>
      </c>
      <c r="F1266" s="13" t="s">
        <v>8867</v>
      </c>
      <c r="G1266" s="13" t="s">
        <v>2</v>
      </c>
      <c r="H1266" s="13" t="s">
        <v>3</v>
      </c>
      <c r="I1266" s="13" t="s">
        <v>1978</v>
      </c>
      <c r="J1266" s="13" t="s">
        <v>8890</v>
      </c>
      <c r="K1266" s="13" t="s">
        <v>8570</v>
      </c>
      <c r="L1266" s="13" t="s">
        <v>158</v>
      </c>
      <c r="M1266" t="s">
        <v>3</v>
      </c>
    </row>
    <row r="1267" spans="1:13" x14ac:dyDescent="0.25">
      <c r="A1267" s="13" t="s">
        <v>9760</v>
      </c>
      <c r="B1267" s="13" t="s">
        <v>9760</v>
      </c>
      <c r="C1267" s="13" t="s">
        <v>9760</v>
      </c>
      <c r="D1267" s="13">
        <v>41.2</v>
      </c>
      <c r="E1267" s="13" t="s">
        <v>9761</v>
      </c>
      <c r="F1267" s="13" t="s">
        <v>8867</v>
      </c>
      <c r="G1267" s="13" t="s">
        <v>2</v>
      </c>
      <c r="H1267" s="13" t="s">
        <v>3</v>
      </c>
      <c r="I1267" s="13" t="s">
        <v>1978</v>
      </c>
      <c r="J1267" s="13" t="s">
        <v>8890</v>
      </c>
      <c r="K1267" s="13" t="s">
        <v>8570</v>
      </c>
      <c r="L1267" s="13" t="s">
        <v>158</v>
      </c>
      <c r="M1267" t="s">
        <v>3</v>
      </c>
    </row>
    <row r="1268" spans="1:13" x14ac:dyDescent="0.25">
      <c r="A1268" s="13" t="s">
        <v>9762</v>
      </c>
      <c r="B1268" s="13" t="s">
        <v>9762</v>
      </c>
      <c r="C1268" s="13" t="s">
        <v>9762</v>
      </c>
      <c r="D1268" s="13">
        <v>41.2</v>
      </c>
      <c r="E1268" s="13" t="s">
        <v>9763</v>
      </c>
      <c r="F1268" s="13" t="s">
        <v>8867</v>
      </c>
      <c r="G1268" s="13" t="s">
        <v>2</v>
      </c>
      <c r="H1268" s="13" t="s">
        <v>3</v>
      </c>
      <c r="I1268" s="13" t="s">
        <v>1978</v>
      </c>
      <c r="J1268" s="13" t="s">
        <v>8890</v>
      </c>
      <c r="K1268" s="13" t="s">
        <v>8570</v>
      </c>
      <c r="L1268" s="13" t="s">
        <v>158</v>
      </c>
      <c r="M1268" t="s">
        <v>3</v>
      </c>
    </row>
    <row r="1269" spans="1:13" ht="26.25" x14ac:dyDescent="0.25">
      <c r="A1269" s="13" t="s">
        <v>9764</v>
      </c>
      <c r="B1269" s="13" t="s">
        <v>9764</v>
      </c>
      <c r="C1269" s="13" t="s">
        <v>9764</v>
      </c>
      <c r="D1269" s="13">
        <v>41.2</v>
      </c>
      <c r="E1269" s="13" t="s">
        <v>9765</v>
      </c>
      <c r="F1269" s="13" t="s">
        <v>8867</v>
      </c>
      <c r="G1269" s="13" t="s">
        <v>2</v>
      </c>
      <c r="H1269" s="13" t="s">
        <v>3</v>
      </c>
      <c r="I1269" s="13" t="s">
        <v>1978</v>
      </c>
      <c r="J1269" s="13" t="s">
        <v>8890</v>
      </c>
      <c r="K1269" s="13" t="s">
        <v>8570</v>
      </c>
      <c r="L1269" s="13" t="s">
        <v>158</v>
      </c>
      <c r="M1269" t="s">
        <v>3</v>
      </c>
    </row>
    <row r="1270" spans="1:13" x14ac:dyDescent="0.25">
      <c r="A1270" s="13" t="s">
        <v>9766</v>
      </c>
      <c r="B1270" s="13" t="s">
        <v>9767</v>
      </c>
      <c r="C1270" s="13" t="s">
        <v>9768</v>
      </c>
      <c r="D1270" s="13">
        <v>0.9</v>
      </c>
      <c r="E1270" s="13" t="s">
        <v>9769</v>
      </c>
      <c r="F1270" s="13" t="s">
        <v>8867</v>
      </c>
      <c r="G1270" s="13" t="s">
        <v>2</v>
      </c>
      <c r="H1270" s="13" t="s">
        <v>3</v>
      </c>
      <c r="I1270" s="13" t="s">
        <v>1978</v>
      </c>
      <c r="J1270" s="13" t="s">
        <v>8890</v>
      </c>
      <c r="K1270" s="13" t="s">
        <v>8570</v>
      </c>
      <c r="L1270" s="13" t="s">
        <v>158</v>
      </c>
      <c r="M1270" t="s">
        <v>3</v>
      </c>
    </row>
    <row r="1271" spans="1:13" x14ac:dyDescent="0.25">
      <c r="A1271" s="13" t="s">
        <v>9899</v>
      </c>
      <c r="B1271" s="13" t="s">
        <v>9899</v>
      </c>
      <c r="C1271" s="13" t="s">
        <v>9899</v>
      </c>
      <c r="D1271" s="13">
        <v>40</v>
      </c>
      <c r="E1271" s="13" t="s">
        <v>9900</v>
      </c>
      <c r="F1271" s="13" t="s">
        <v>8867</v>
      </c>
      <c r="G1271" s="13" t="s">
        <v>2</v>
      </c>
      <c r="H1271" s="13" t="s">
        <v>9886</v>
      </c>
      <c r="I1271" s="13" t="s">
        <v>1978</v>
      </c>
      <c r="J1271" s="13" t="s">
        <v>8890</v>
      </c>
      <c r="K1271" s="13" t="s">
        <v>8570</v>
      </c>
      <c r="L1271" s="13" t="s">
        <v>158</v>
      </c>
      <c r="M1271" t="s">
        <v>4305</v>
      </c>
    </row>
    <row r="1272" spans="1:13" x14ac:dyDescent="0.25">
      <c r="A1272" s="13" t="s">
        <v>9901</v>
      </c>
      <c r="B1272" s="13" t="s">
        <v>9901</v>
      </c>
      <c r="C1272" s="13" t="s">
        <v>9901</v>
      </c>
      <c r="D1272" s="13">
        <v>100</v>
      </c>
      <c r="E1272" s="13" t="s">
        <v>9902</v>
      </c>
      <c r="F1272" s="13" t="s">
        <v>8867</v>
      </c>
      <c r="G1272" s="13" t="s">
        <v>2</v>
      </c>
      <c r="H1272" s="13" t="s">
        <v>3</v>
      </c>
      <c r="I1272" s="13" t="s">
        <v>1978</v>
      </c>
      <c r="J1272" s="13" t="s">
        <v>8890</v>
      </c>
      <c r="K1272" s="13" t="s">
        <v>8570</v>
      </c>
      <c r="L1272" s="13" t="s">
        <v>158</v>
      </c>
      <c r="M1272" t="s">
        <v>3</v>
      </c>
    </row>
    <row r="1273" spans="1:13" x14ac:dyDescent="0.25">
      <c r="A1273" s="13" t="s">
        <v>9903</v>
      </c>
      <c r="B1273" s="13" t="s">
        <v>9903</v>
      </c>
      <c r="C1273" s="13" t="s">
        <v>9903</v>
      </c>
      <c r="D1273" s="13">
        <v>150</v>
      </c>
      <c r="E1273" s="13" t="s">
        <v>9904</v>
      </c>
      <c r="F1273" s="13" t="s">
        <v>8867</v>
      </c>
      <c r="G1273" s="13" t="s">
        <v>2</v>
      </c>
      <c r="H1273" s="13" t="s">
        <v>3</v>
      </c>
      <c r="I1273" s="13" t="s">
        <v>1978</v>
      </c>
      <c r="J1273" s="13" t="s">
        <v>8890</v>
      </c>
      <c r="K1273" s="13" t="s">
        <v>8570</v>
      </c>
      <c r="L1273" s="13" t="s">
        <v>158</v>
      </c>
      <c r="M1273" t="s">
        <v>3</v>
      </c>
    </row>
    <row r="1274" spans="1:13" x14ac:dyDescent="0.25">
      <c r="A1274" s="13" t="s">
        <v>9905</v>
      </c>
      <c r="B1274" s="13" t="s">
        <v>9905</v>
      </c>
      <c r="C1274" s="13" t="s">
        <v>9905</v>
      </c>
      <c r="D1274" s="13">
        <v>150</v>
      </c>
      <c r="E1274" s="13" t="s">
        <v>9906</v>
      </c>
      <c r="F1274" s="13" t="s">
        <v>8867</v>
      </c>
      <c r="G1274" s="13" t="s">
        <v>2</v>
      </c>
      <c r="H1274" s="13" t="s">
        <v>3</v>
      </c>
      <c r="I1274" s="13" t="s">
        <v>1978</v>
      </c>
      <c r="J1274" s="13" t="s">
        <v>8890</v>
      </c>
      <c r="K1274" s="13" t="s">
        <v>8570</v>
      </c>
      <c r="L1274" s="13" t="s">
        <v>158</v>
      </c>
      <c r="M1274" t="s">
        <v>3</v>
      </c>
    </row>
    <row r="1275" spans="1:13" x14ac:dyDescent="0.25">
      <c r="A1275" s="13" t="s">
        <v>10031</v>
      </c>
      <c r="B1275" s="13" t="s">
        <v>10031</v>
      </c>
      <c r="C1275" s="13" t="s">
        <v>10031</v>
      </c>
      <c r="D1275" s="13">
        <v>1.4</v>
      </c>
      <c r="E1275" s="13" t="s">
        <v>10032</v>
      </c>
      <c r="F1275" s="13" t="s">
        <v>8867</v>
      </c>
      <c r="G1275" s="13" t="s">
        <v>2</v>
      </c>
      <c r="H1275" s="13" t="s">
        <v>3</v>
      </c>
      <c r="I1275" s="13" t="s">
        <v>1978</v>
      </c>
      <c r="J1275" s="13" t="s">
        <v>8890</v>
      </c>
      <c r="K1275" s="13" t="s">
        <v>8570</v>
      </c>
      <c r="L1275" s="13" t="s">
        <v>158</v>
      </c>
      <c r="M1275" t="s">
        <v>3</v>
      </c>
    </row>
    <row r="1276" spans="1:13" x14ac:dyDescent="0.25">
      <c r="A1276" s="13" t="s">
        <v>10033</v>
      </c>
      <c r="B1276" s="13" t="s">
        <v>10033</v>
      </c>
      <c r="C1276" s="13" t="s">
        <v>10033</v>
      </c>
      <c r="D1276" s="13">
        <v>1</v>
      </c>
      <c r="E1276" s="13" t="s">
        <v>10034</v>
      </c>
      <c r="F1276" s="13" t="s">
        <v>8867</v>
      </c>
      <c r="G1276" s="13" t="s">
        <v>2</v>
      </c>
      <c r="H1276" s="13" t="s">
        <v>3</v>
      </c>
      <c r="I1276" s="13" t="s">
        <v>1978</v>
      </c>
      <c r="J1276" s="13" t="s">
        <v>8890</v>
      </c>
      <c r="K1276" s="13" t="s">
        <v>8570</v>
      </c>
      <c r="L1276" s="13" t="s">
        <v>158</v>
      </c>
      <c r="M1276" t="s">
        <v>3</v>
      </c>
    </row>
    <row r="1277" spans="1:13" x14ac:dyDescent="0.25">
      <c r="A1277" s="13" t="s">
        <v>10180</v>
      </c>
      <c r="B1277" s="13" t="s">
        <v>10180</v>
      </c>
      <c r="C1277" s="13" t="s">
        <v>10180</v>
      </c>
      <c r="D1277" s="13">
        <v>1.4</v>
      </c>
      <c r="E1277" s="13" t="s">
        <v>10181</v>
      </c>
      <c r="F1277" s="13" t="s">
        <v>8867</v>
      </c>
      <c r="G1277" s="13" t="s">
        <v>2</v>
      </c>
      <c r="H1277" s="13" t="s">
        <v>3</v>
      </c>
      <c r="I1277" s="13" t="s">
        <v>1978</v>
      </c>
      <c r="J1277" s="13" t="s">
        <v>8890</v>
      </c>
      <c r="K1277" s="13" t="s">
        <v>8570</v>
      </c>
      <c r="L1277" s="13" t="s">
        <v>158</v>
      </c>
      <c r="M1277" t="s">
        <v>3</v>
      </c>
    </row>
    <row r="1278" spans="1:13" x14ac:dyDescent="0.25">
      <c r="A1278" s="13" t="s">
        <v>10182</v>
      </c>
      <c r="B1278" s="13" t="s">
        <v>10182</v>
      </c>
      <c r="C1278" s="13" t="s">
        <v>10182</v>
      </c>
      <c r="D1278" s="13">
        <v>3</v>
      </c>
      <c r="E1278" s="13" t="s">
        <v>10183</v>
      </c>
      <c r="F1278" s="13" t="s">
        <v>8867</v>
      </c>
      <c r="G1278" s="13" t="s">
        <v>2</v>
      </c>
      <c r="H1278" s="13" t="s">
        <v>3</v>
      </c>
      <c r="I1278" s="13" t="s">
        <v>1978</v>
      </c>
      <c r="J1278" s="13" t="s">
        <v>8890</v>
      </c>
      <c r="K1278" s="13" t="s">
        <v>8570</v>
      </c>
      <c r="L1278" s="13" t="s">
        <v>158</v>
      </c>
      <c r="M1278" t="s">
        <v>3</v>
      </c>
    </row>
    <row r="1279" spans="1:13" x14ac:dyDescent="0.25">
      <c r="A1279" s="13" t="s">
        <v>10184</v>
      </c>
      <c r="B1279" s="13" t="s">
        <v>10184</v>
      </c>
      <c r="C1279" s="13" t="s">
        <v>10184</v>
      </c>
      <c r="D1279" s="13">
        <v>2</v>
      </c>
      <c r="E1279" s="13" t="s">
        <v>10185</v>
      </c>
      <c r="F1279" s="13" t="s">
        <v>8867</v>
      </c>
      <c r="G1279" s="13" t="s">
        <v>2</v>
      </c>
      <c r="H1279" s="13" t="s">
        <v>3</v>
      </c>
      <c r="I1279" s="13" t="s">
        <v>1978</v>
      </c>
      <c r="J1279" s="13" t="s">
        <v>8890</v>
      </c>
      <c r="K1279" s="13" t="s">
        <v>8570</v>
      </c>
      <c r="L1279" s="13" t="s">
        <v>158</v>
      </c>
      <c r="M1279" t="s">
        <v>3</v>
      </c>
    </row>
    <row r="1280" spans="1:13" x14ac:dyDescent="0.25">
      <c r="A1280" s="13" t="s">
        <v>10186</v>
      </c>
      <c r="B1280" s="13" t="s">
        <v>10186</v>
      </c>
      <c r="C1280" s="13" t="s">
        <v>10186</v>
      </c>
      <c r="D1280" s="13">
        <v>0.5</v>
      </c>
      <c r="E1280" s="13" t="s">
        <v>10187</v>
      </c>
      <c r="F1280" s="13" t="s">
        <v>8867</v>
      </c>
      <c r="G1280" s="13" t="s">
        <v>2</v>
      </c>
      <c r="H1280" s="13" t="s">
        <v>3</v>
      </c>
      <c r="I1280" s="13" t="s">
        <v>1978</v>
      </c>
      <c r="J1280" s="13" t="s">
        <v>8890</v>
      </c>
      <c r="K1280" s="13" t="s">
        <v>8570</v>
      </c>
      <c r="L1280" s="13" t="s">
        <v>158</v>
      </c>
      <c r="M1280" t="s">
        <v>3</v>
      </c>
    </row>
    <row r="1281" spans="1:13" x14ac:dyDescent="0.25">
      <c r="A1281" s="13" t="s">
        <v>10188</v>
      </c>
      <c r="B1281" s="13" t="s">
        <v>10188</v>
      </c>
      <c r="C1281" s="13" t="s">
        <v>10188</v>
      </c>
      <c r="D1281" s="13">
        <v>0.9</v>
      </c>
      <c r="E1281" s="13" t="s">
        <v>10189</v>
      </c>
      <c r="F1281" s="13" t="s">
        <v>8867</v>
      </c>
      <c r="G1281" s="13" t="s">
        <v>2</v>
      </c>
      <c r="H1281" s="13" t="s">
        <v>3</v>
      </c>
      <c r="I1281" s="13" t="s">
        <v>1978</v>
      </c>
      <c r="J1281" s="13" t="s">
        <v>8890</v>
      </c>
      <c r="K1281" s="13" t="s">
        <v>8570</v>
      </c>
      <c r="L1281" s="13" t="s">
        <v>158</v>
      </c>
      <c r="M1281" t="s">
        <v>3</v>
      </c>
    </row>
    <row r="1282" spans="1:13" x14ac:dyDescent="0.25">
      <c r="A1282" s="13" t="s">
        <v>10506</v>
      </c>
      <c r="B1282" s="13" t="s">
        <v>10506</v>
      </c>
      <c r="C1282" s="13" t="s">
        <v>10506</v>
      </c>
      <c r="D1282" s="13">
        <v>3.5</v>
      </c>
      <c r="E1282" s="13" t="s">
        <v>10507</v>
      </c>
      <c r="F1282" s="13" t="s">
        <v>8867</v>
      </c>
      <c r="G1282" s="13" t="s">
        <v>2</v>
      </c>
      <c r="H1282" s="13" t="s">
        <v>3</v>
      </c>
      <c r="I1282" s="13" t="s">
        <v>1978</v>
      </c>
      <c r="J1282" s="13" t="s">
        <v>8890</v>
      </c>
      <c r="K1282" s="13" t="s">
        <v>8570</v>
      </c>
      <c r="L1282" s="13" t="s">
        <v>158</v>
      </c>
      <c r="M1282" t="s">
        <v>3</v>
      </c>
    </row>
    <row r="1283" spans="1:13" x14ac:dyDescent="0.25">
      <c r="A1283" s="13" t="s">
        <v>10508</v>
      </c>
      <c r="B1283" s="13" t="s">
        <v>10508</v>
      </c>
      <c r="C1283" s="13" t="s">
        <v>10508</v>
      </c>
      <c r="D1283" s="13">
        <v>4</v>
      </c>
      <c r="E1283" s="13" t="s">
        <v>10509</v>
      </c>
      <c r="F1283" s="13" t="s">
        <v>8867</v>
      </c>
      <c r="G1283" s="13" t="s">
        <v>2</v>
      </c>
      <c r="H1283" s="13" t="s">
        <v>3</v>
      </c>
      <c r="I1283" s="13" t="s">
        <v>1978</v>
      </c>
      <c r="J1283" s="13" t="s">
        <v>8890</v>
      </c>
      <c r="K1283" s="13" t="s">
        <v>8570</v>
      </c>
      <c r="L1283" s="13" t="s">
        <v>158</v>
      </c>
      <c r="M1283" t="s">
        <v>3</v>
      </c>
    </row>
    <row r="1284" spans="1:13" x14ac:dyDescent="0.25">
      <c r="A1284" s="13" t="s">
        <v>10510</v>
      </c>
      <c r="B1284" s="13" t="s">
        <v>10510</v>
      </c>
      <c r="C1284" s="13" t="s">
        <v>10510</v>
      </c>
      <c r="D1284" s="13">
        <v>22.8</v>
      </c>
      <c r="E1284" s="13" t="s">
        <v>10511</v>
      </c>
      <c r="F1284" s="13" t="s">
        <v>8867</v>
      </c>
      <c r="G1284" s="13" t="s">
        <v>2</v>
      </c>
      <c r="H1284" s="13" t="s">
        <v>3</v>
      </c>
      <c r="I1284" s="13" t="s">
        <v>1978</v>
      </c>
      <c r="J1284" s="13" t="s">
        <v>8890</v>
      </c>
      <c r="K1284" s="13" t="s">
        <v>8570</v>
      </c>
      <c r="L1284" s="13" t="s">
        <v>158</v>
      </c>
      <c r="M1284" t="s">
        <v>3</v>
      </c>
    </row>
    <row r="1285" spans="1:13" x14ac:dyDescent="0.25">
      <c r="A1285" s="13" t="s">
        <v>10736</v>
      </c>
      <c r="B1285" s="13" t="s">
        <v>10736</v>
      </c>
      <c r="C1285" s="13" t="s">
        <v>10736</v>
      </c>
      <c r="D1285" s="13">
        <v>1.9</v>
      </c>
      <c r="E1285" s="13" t="s">
        <v>10737</v>
      </c>
      <c r="F1285" s="13" t="s">
        <v>8867</v>
      </c>
      <c r="G1285" s="13" t="s">
        <v>2</v>
      </c>
      <c r="H1285" s="13" t="s">
        <v>3</v>
      </c>
      <c r="I1285" s="13" t="s">
        <v>1978</v>
      </c>
      <c r="J1285" s="13" t="s">
        <v>8890</v>
      </c>
      <c r="K1285" s="13" t="s">
        <v>8570</v>
      </c>
      <c r="L1285" s="13" t="s">
        <v>158</v>
      </c>
      <c r="M1285" t="s">
        <v>3</v>
      </c>
    </row>
    <row r="1286" spans="1:13" x14ac:dyDescent="0.25">
      <c r="A1286" s="13" t="s">
        <v>11240</v>
      </c>
      <c r="B1286" s="13" t="s">
        <v>11240</v>
      </c>
      <c r="C1286" s="13" t="s">
        <v>11240</v>
      </c>
      <c r="D1286" s="13">
        <v>16.399999999999999</v>
      </c>
      <c r="E1286" s="13" t="s">
        <v>11241</v>
      </c>
      <c r="F1286" s="13" t="s">
        <v>8867</v>
      </c>
      <c r="G1286" s="13" t="s">
        <v>2</v>
      </c>
      <c r="H1286" s="13" t="s">
        <v>3</v>
      </c>
      <c r="I1286" s="13" t="s">
        <v>1978</v>
      </c>
      <c r="J1286" s="13" t="s">
        <v>8890</v>
      </c>
      <c r="K1286" s="13" t="s">
        <v>8570</v>
      </c>
      <c r="L1286" s="13" t="s">
        <v>158</v>
      </c>
      <c r="M1286" t="s">
        <v>3</v>
      </c>
    </row>
    <row r="1287" spans="1:13" x14ac:dyDescent="0.25">
      <c r="A1287" s="13" t="s">
        <v>11242</v>
      </c>
      <c r="B1287" s="13" t="s">
        <v>11242</v>
      </c>
      <c r="C1287" s="13" t="s">
        <v>11242</v>
      </c>
      <c r="D1287" s="13">
        <v>1.2</v>
      </c>
      <c r="E1287" s="13" t="s">
        <v>11243</v>
      </c>
      <c r="F1287" s="13" t="s">
        <v>8867</v>
      </c>
      <c r="G1287" s="13" t="s">
        <v>2</v>
      </c>
      <c r="H1287" s="13" t="s">
        <v>3</v>
      </c>
      <c r="I1287" s="13" t="s">
        <v>1978</v>
      </c>
      <c r="J1287" s="13" t="s">
        <v>8890</v>
      </c>
      <c r="K1287" s="13" t="s">
        <v>8570</v>
      </c>
      <c r="L1287" s="13" t="s">
        <v>158</v>
      </c>
      <c r="M1287" t="s">
        <v>3</v>
      </c>
    </row>
    <row r="1288" spans="1:13" x14ac:dyDescent="0.25">
      <c r="A1288" s="13" t="s">
        <v>11244</v>
      </c>
      <c r="B1288" s="13" t="s">
        <v>11244</v>
      </c>
      <c r="C1288" s="13" t="s">
        <v>11244</v>
      </c>
      <c r="D1288" s="13">
        <v>5</v>
      </c>
      <c r="E1288" s="13" t="s">
        <v>11245</v>
      </c>
      <c r="F1288" s="13" t="s">
        <v>8867</v>
      </c>
      <c r="G1288" s="13" t="s">
        <v>2</v>
      </c>
      <c r="H1288" s="13" t="s">
        <v>3</v>
      </c>
      <c r="I1288" s="13" t="s">
        <v>1978</v>
      </c>
      <c r="J1288" s="13" t="s">
        <v>8890</v>
      </c>
      <c r="K1288" s="13" t="s">
        <v>8570</v>
      </c>
      <c r="L1288" s="13" t="s">
        <v>158</v>
      </c>
      <c r="M1288" t="s">
        <v>3</v>
      </c>
    </row>
    <row r="1289" spans="1:13" x14ac:dyDescent="0.25">
      <c r="A1289" s="13" t="s">
        <v>11246</v>
      </c>
      <c r="B1289" s="13" t="s">
        <v>11246</v>
      </c>
      <c r="C1289" s="13" t="s">
        <v>11246</v>
      </c>
      <c r="D1289" s="13">
        <v>4.4000000000000004</v>
      </c>
      <c r="E1289" s="13" t="s">
        <v>11247</v>
      </c>
      <c r="F1289" s="13" t="s">
        <v>8867</v>
      </c>
      <c r="G1289" s="13" t="s">
        <v>2</v>
      </c>
      <c r="H1289" s="13" t="s">
        <v>3</v>
      </c>
      <c r="I1289" s="13" t="s">
        <v>1978</v>
      </c>
      <c r="J1289" s="13" t="s">
        <v>8890</v>
      </c>
      <c r="K1289" s="13" t="s">
        <v>8570</v>
      </c>
      <c r="L1289" s="13" t="s">
        <v>158</v>
      </c>
      <c r="M1289" t="s">
        <v>3</v>
      </c>
    </row>
    <row r="1290" spans="1:13" x14ac:dyDescent="0.25">
      <c r="A1290" s="13" t="s">
        <v>11248</v>
      </c>
      <c r="B1290" s="13" t="s">
        <v>11248</v>
      </c>
      <c r="C1290" s="13" t="s">
        <v>11248</v>
      </c>
      <c r="D1290" s="13">
        <v>130</v>
      </c>
      <c r="E1290" s="13" t="s">
        <v>11249</v>
      </c>
      <c r="F1290" s="13" t="s">
        <v>8867</v>
      </c>
      <c r="G1290" s="13" t="s">
        <v>2</v>
      </c>
      <c r="H1290" s="13" t="s">
        <v>3</v>
      </c>
      <c r="I1290" s="13" t="s">
        <v>1978</v>
      </c>
      <c r="J1290" s="13" t="s">
        <v>8890</v>
      </c>
      <c r="K1290" s="13" t="s">
        <v>8570</v>
      </c>
      <c r="L1290" s="13" t="s">
        <v>158</v>
      </c>
      <c r="M1290" t="s">
        <v>3</v>
      </c>
    </row>
    <row r="1291" spans="1:13" x14ac:dyDescent="0.25">
      <c r="A1291" s="13" t="s">
        <v>11250</v>
      </c>
      <c r="B1291" s="13" t="s">
        <v>11250</v>
      </c>
      <c r="C1291" s="13" t="s">
        <v>11250</v>
      </c>
      <c r="D1291" s="13">
        <v>193.2</v>
      </c>
      <c r="E1291" s="13" t="s">
        <v>11251</v>
      </c>
      <c r="F1291" s="13" t="s">
        <v>8867</v>
      </c>
      <c r="G1291" s="13" t="s">
        <v>2</v>
      </c>
      <c r="H1291" s="13" t="s">
        <v>3</v>
      </c>
      <c r="I1291" s="13" t="s">
        <v>1978</v>
      </c>
      <c r="J1291" s="13" t="s">
        <v>8890</v>
      </c>
      <c r="K1291" s="13" t="s">
        <v>8570</v>
      </c>
      <c r="L1291" s="13" t="s">
        <v>158</v>
      </c>
      <c r="M1291" t="s">
        <v>3</v>
      </c>
    </row>
    <row r="1292" spans="1:13" x14ac:dyDescent="0.25">
      <c r="A1292" s="13" t="s">
        <v>11252</v>
      </c>
      <c r="B1292" s="13" t="s">
        <v>11252</v>
      </c>
      <c r="C1292" s="13" t="s">
        <v>11252</v>
      </c>
      <c r="D1292" s="13">
        <v>4.7</v>
      </c>
      <c r="E1292" s="13" t="s">
        <v>11253</v>
      </c>
      <c r="F1292" s="13" t="s">
        <v>8867</v>
      </c>
      <c r="G1292" s="13" t="s">
        <v>2</v>
      </c>
      <c r="H1292" s="13" t="s">
        <v>3</v>
      </c>
      <c r="I1292" s="13" t="s">
        <v>1978</v>
      </c>
      <c r="J1292" s="13" t="s">
        <v>8890</v>
      </c>
      <c r="K1292" s="13" t="s">
        <v>8570</v>
      </c>
      <c r="L1292" s="13" t="s">
        <v>158</v>
      </c>
      <c r="M1292" t="s">
        <v>3</v>
      </c>
    </row>
    <row r="1293" spans="1:13" x14ac:dyDescent="0.25">
      <c r="A1293" s="13" t="s">
        <v>11254</v>
      </c>
      <c r="B1293" s="13" t="s">
        <v>11254</v>
      </c>
      <c r="C1293" s="13" t="s">
        <v>11254</v>
      </c>
      <c r="D1293" s="13">
        <v>3</v>
      </c>
      <c r="E1293" s="13" t="s">
        <v>11255</v>
      </c>
      <c r="F1293" s="13" t="s">
        <v>8867</v>
      </c>
      <c r="G1293" s="13" t="s">
        <v>2</v>
      </c>
      <c r="H1293" s="13" t="s">
        <v>3</v>
      </c>
      <c r="I1293" s="13" t="s">
        <v>1978</v>
      </c>
      <c r="J1293" s="13" t="s">
        <v>8890</v>
      </c>
      <c r="K1293" s="13" t="s">
        <v>8570</v>
      </c>
      <c r="L1293" s="13" t="s">
        <v>158</v>
      </c>
      <c r="M1293" t="s">
        <v>3</v>
      </c>
    </row>
    <row r="1294" spans="1:13" x14ac:dyDescent="0.25">
      <c r="A1294" s="13" t="s">
        <v>11256</v>
      </c>
      <c r="B1294" s="13" t="s">
        <v>11256</v>
      </c>
      <c r="C1294" s="13" t="s">
        <v>11256</v>
      </c>
      <c r="D1294" s="13">
        <v>3</v>
      </c>
      <c r="E1294" s="13" t="s">
        <v>11257</v>
      </c>
      <c r="F1294" s="13" t="s">
        <v>8867</v>
      </c>
      <c r="G1294" s="13" t="s">
        <v>2</v>
      </c>
      <c r="H1294" s="13" t="s">
        <v>3</v>
      </c>
      <c r="I1294" s="13" t="s">
        <v>1978</v>
      </c>
      <c r="J1294" s="13" t="s">
        <v>8890</v>
      </c>
      <c r="K1294" s="13" t="s">
        <v>8570</v>
      </c>
      <c r="L1294" s="13" t="s">
        <v>158</v>
      </c>
      <c r="M1294" t="s">
        <v>3</v>
      </c>
    </row>
    <row r="1295" spans="1:13" x14ac:dyDescent="0.25">
      <c r="A1295" s="13" t="s">
        <v>11258</v>
      </c>
      <c r="B1295" s="13" t="s">
        <v>11258</v>
      </c>
      <c r="C1295" s="13" t="s">
        <v>11258</v>
      </c>
      <c r="D1295" s="13">
        <v>3</v>
      </c>
      <c r="E1295" s="13" t="s">
        <v>11259</v>
      </c>
      <c r="F1295" s="13" t="s">
        <v>8867</v>
      </c>
      <c r="G1295" s="13" t="s">
        <v>2</v>
      </c>
      <c r="H1295" s="13" t="s">
        <v>3</v>
      </c>
      <c r="I1295" s="13" t="s">
        <v>1978</v>
      </c>
      <c r="J1295" s="13" t="s">
        <v>8890</v>
      </c>
      <c r="K1295" s="13" t="s">
        <v>8570</v>
      </c>
      <c r="L1295" s="13" t="s">
        <v>158</v>
      </c>
      <c r="M1295" t="s">
        <v>3</v>
      </c>
    </row>
    <row r="1296" spans="1:13" ht="26.25" x14ac:dyDescent="0.25">
      <c r="A1296" s="13" t="s">
        <v>11260</v>
      </c>
      <c r="B1296" s="13" t="s">
        <v>11260</v>
      </c>
      <c r="C1296" s="13" t="s">
        <v>11260</v>
      </c>
      <c r="D1296" s="13">
        <v>1.9</v>
      </c>
      <c r="E1296" s="13" t="s">
        <v>11261</v>
      </c>
      <c r="F1296" s="13" t="s">
        <v>8867</v>
      </c>
      <c r="G1296" s="13" t="s">
        <v>2</v>
      </c>
      <c r="H1296" s="13" t="s">
        <v>3</v>
      </c>
      <c r="I1296" s="13" t="s">
        <v>1978</v>
      </c>
      <c r="J1296" s="13" t="s">
        <v>8890</v>
      </c>
      <c r="K1296" s="13" t="s">
        <v>8570</v>
      </c>
      <c r="L1296" s="13" t="s">
        <v>158</v>
      </c>
      <c r="M1296" t="s">
        <v>3</v>
      </c>
    </row>
    <row r="1297" spans="1:13" x14ac:dyDescent="0.25">
      <c r="A1297" s="13" t="s">
        <v>11535</v>
      </c>
      <c r="B1297" s="13" t="s">
        <v>11535</v>
      </c>
      <c r="C1297" s="13" t="s">
        <v>11535</v>
      </c>
      <c r="D1297" s="13">
        <v>2.8</v>
      </c>
      <c r="E1297" s="13" t="s">
        <v>11536</v>
      </c>
      <c r="F1297" s="13" t="s">
        <v>8867</v>
      </c>
      <c r="G1297" s="13" t="s">
        <v>2</v>
      </c>
      <c r="H1297" s="13" t="s">
        <v>3</v>
      </c>
      <c r="I1297" s="13" t="s">
        <v>1978</v>
      </c>
      <c r="J1297" s="13" t="s">
        <v>8890</v>
      </c>
      <c r="K1297" s="13" t="s">
        <v>8570</v>
      </c>
      <c r="L1297" s="13" t="s">
        <v>158</v>
      </c>
      <c r="M1297" t="s">
        <v>3</v>
      </c>
    </row>
    <row r="1298" spans="1:13" x14ac:dyDescent="0.25">
      <c r="A1298" s="13" t="s">
        <v>11537</v>
      </c>
      <c r="B1298" s="13" t="s">
        <v>11537</v>
      </c>
      <c r="C1298" s="13" t="s">
        <v>11537</v>
      </c>
      <c r="D1298" s="13">
        <v>4</v>
      </c>
      <c r="E1298" s="13" t="s">
        <v>11538</v>
      </c>
      <c r="F1298" s="13" t="s">
        <v>8867</v>
      </c>
      <c r="G1298" s="13" t="s">
        <v>2</v>
      </c>
      <c r="H1298" s="13" t="s">
        <v>3</v>
      </c>
      <c r="I1298" s="13" t="s">
        <v>1978</v>
      </c>
      <c r="J1298" s="13" t="s">
        <v>8890</v>
      </c>
      <c r="K1298" s="13" t="s">
        <v>8570</v>
      </c>
      <c r="L1298" s="13" t="s">
        <v>158</v>
      </c>
      <c r="M1298" t="s">
        <v>3</v>
      </c>
    </row>
    <row r="1299" spans="1:13" x14ac:dyDescent="0.25">
      <c r="A1299" s="13" t="s">
        <v>11539</v>
      </c>
      <c r="B1299" s="13" t="s">
        <v>11539</v>
      </c>
      <c r="C1299" s="13" t="s">
        <v>11539</v>
      </c>
      <c r="D1299" s="13">
        <v>6</v>
      </c>
      <c r="E1299" s="13" t="s">
        <v>11540</v>
      </c>
      <c r="F1299" s="13" t="s">
        <v>8867</v>
      </c>
      <c r="G1299" s="13" t="s">
        <v>2</v>
      </c>
      <c r="H1299" s="13" t="s">
        <v>3</v>
      </c>
      <c r="I1299" s="13" t="s">
        <v>1978</v>
      </c>
      <c r="J1299" s="13" t="s">
        <v>8890</v>
      </c>
      <c r="K1299" s="13" t="s">
        <v>8570</v>
      </c>
      <c r="L1299" s="13" t="s">
        <v>158</v>
      </c>
      <c r="M1299" t="s">
        <v>3</v>
      </c>
    </row>
    <row r="1300" spans="1:13" x14ac:dyDescent="0.25">
      <c r="A1300" s="13" t="s">
        <v>11541</v>
      </c>
      <c r="B1300" s="13" t="s">
        <v>11541</v>
      </c>
      <c r="C1300" s="13" t="s">
        <v>11541</v>
      </c>
      <c r="D1300" s="13">
        <v>3</v>
      </c>
      <c r="E1300" s="13" t="s">
        <v>11542</v>
      </c>
      <c r="F1300" s="13" t="s">
        <v>8867</v>
      </c>
      <c r="G1300" s="13" t="s">
        <v>2</v>
      </c>
      <c r="H1300" s="13" t="s">
        <v>3</v>
      </c>
      <c r="I1300" s="13" t="s">
        <v>1978</v>
      </c>
      <c r="J1300" s="13" t="s">
        <v>8890</v>
      </c>
      <c r="K1300" s="13" t="s">
        <v>8570</v>
      </c>
      <c r="L1300" s="13" t="s">
        <v>158</v>
      </c>
      <c r="M1300" t="s">
        <v>3</v>
      </c>
    </row>
    <row r="1301" spans="1:13" ht="26.25" x14ac:dyDescent="0.25">
      <c r="A1301" s="13" t="s">
        <v>11543</v>
      </c>
      <c r="B1301" s="13" t="s">
        <v>11543</v>
      </c>
      <c r="C1301" s="13" t="s">
        <v>11543</v>
      </c>
      <c r="D1301" s="13">
        <v>0.9</v>
      </c>
      <c r="E1301" s="13" t="s">
        <v>11544</v>
      </c>
      <c r="F1301" s="13" t="s">
        <v>8867</v>
      </c>
      <c r="G1301" s="13" t="s">
        <v>2</v>
      </c>
      <c r="H1301" s="13" t="s">
        <v>3</v>
      </c>
      <c r="I1301" s="13" t="s">
        <v>1978</v>
      </c>
      <c r="J1301" s="13" t="s">
        <v>8890</v>
      </c>
      <c r="K1301" s="13" t="s">
        <v>8570</v>
      </c>
      <c r="L1301" s="13" t="s">
        <v>158</v>
      </c>
      <c r="M1301" t="s">
        <v>3</v>
      </c>
    </row>
    <row r="1302" spans="1:13" x14ac:dyDescent="0.25">
      <c r="A1302" s="13" t="s">
        <v>11608</v>
      </c>
      <c r="B1302" s="13" t="s">
        <v>11608</v>
      </c>
      <c r="C1302" s="13" t="s">
        <v>11608</v>
      </c>
      <c r="D1302" s="13">
        <v>4.7</v>
      </c>
      <c r="E1302" s="13" t="s">
        <v>11609</v>
      </c>
      <c r="F1302" s="13" t="s">
        <v>8867</v>
      </c>
      <c r="G1302" s="13" t="s">
        <v>2</v>
      </c>
      <c r="H1302" s="13" t="s">
        <v>3</v>
      </c>
      <c r="I1302" s="13" t="s">
        <v>1978</v>
      </c>
      <c r="J1302" s="13" t="s">
        <v>8890</v>
      </c>
      <c r="K1302" s="13" t="s">
        <v>8570</v>
      </c>
      <c r="L1302" s="13" t="s">
        <v>158</v>
      </c>
      <c r="M1302" t="s">
        <v>3</v>
      </c>
    </row>
    <row r="1303" spans="1:13" x14ac:dyDescent="0.25">
      <c r="A1303" s="13" t="s">
        <v>11610</v>
      </c>
      <c r="B1303" s="13" t="s">
        <v>11610</v>
      </c>
      <c r="C1303" s="13" t="s">
        <v>11610</v>
      </c>
      <c r="D1303" s="13">
        <v>2.4</v>
      </c>
      <c r="E1303" s="13" t="s">
        <v>11611</v>
      </c>
      <c r="F1303" s="13" t="s">
        <v>8867</v>
      </c>
      <c r="G1303" s="13" t="s">
        <v>2</v>
      </c>
      <c r="H1303" s="13" t="s">
        <v>3</v>
      </c>
      <c r="I1303" s="13" t="s">
        <v>1978</v>
      </c>
      <c r="J1303" s="13" t="s">
        <v>8890</v>
      </c>
      <c r="K1303" s="13" t="s">
        <v>8570</v>
      </c>
      <c r="L1303" s="13" t="s">
        <v>158</v>
      </c>
      <c r="M1303" t="s">
        <v>3</v>
      </c>
    </row>
    <row r="1304" spans="1:13" x14ac:dyDescent="0.25">
      <c r="A1304" s="13" t="s">
        <v>11612</v>
      </c>
      <c r="B1304" s="13" t="s">
        <v>11612</v>
      </c>
      <c r="C1304" s="13" t="s">
        <v>11612</v>
      </c>
      <c r="D1304" s="13">
        <v>1.5</v>
      </c>
      <c r="E1304" s="13" t="s">
        <v>11613</v>
      </c>
      <c r="F1304" s="13" t="s">
        <v>8867</v>
      </c>
      <c r="G1304" s="13" t="s">
        <v>2</v>
      </c>
      <c r="H1304" s="13" t="s">
        <v>3</v>
      </c>
      <c r="I1304" s="13" t="s">
        <v>1978</v>
      </c>
      <c r="J1304" s="13" t="s">
        <v>8890</v>
      </c>
      <c r="K1304" s="13" t="s">
        <v>8570</v>
      </c>
      <c r="L1304" s="13" t="s">
        <v>158</v>
      </c>
      <c r="M1304" t="s">
        <v>3</v>
      </c>
    </row>
    <row r="1305" spans="1:13" x14ac:dyDescent="0.25">
      <c r="A1305" s="13" t="s">
        <v>11614</v>
      </c>
      <c r="B1305" s="13" t="s">
        <v>11614</v>
      </c>
      <c r="C1305" s="13" t="s">
        <v>11614</v>
      </c>
      <c r="D1305" s="13">
        <v>3.7</v>
      </c>
      <c r="E1305" s="13" t="s">
        <v>11615</v>
      </c>
      <c r="F1305" s="13" t="s">
        <v>8867</v>
      </c>
      <c r="G1305" s="13" t="s">
        <v>2</v>
      </c>
      <c r="H1305" s="13" t="s">
        <v>3</v>
      </c>
      <c r="I1305" s="13" t="s">
        <v>1978</v>
      </c>
      <c r="J1305" s="13" t="s">
        <v>8890</v>
      </c>
      <c r="K1305" s="13" t="s">
        <v>8570</v>
      </c>
      <c r="L1305" s="13" t="s">
        <v>158</v>
      </c>
      <c r="M1305" t="s">
        <v>3</v>
      </c>
    </row>
    <row r="1306" spans="1:13" x14ac:dyDescent="0.25">
      <c r="A1306" s="13" t="s">
        <v>11616</v>
      </c>
      <c r="B1306" s="13" t="s">
        <v>11616</v>
      </c>
      <c r="C1306" s="13" t="s">
        <v>11616</v>
      </c>
      <c r="D1306" s="13">
        <v>4.0999999999999996</v>
      </c>
      <c r="E1306" s="13" t="s">
        <v>11617</v>
      </c>
      <c r="F1306" s="13" t="s">
        <v>8867</v>
      </c>
      <c r="G1306" s="13" t="s">
        <v>2</v>
      </c>
      <c r="H1306" s="13" t="s">
        <v>3</v>
      </c>
      <c r="I1306" s="13" t="s">
        <v>1978</v>
      </c>
      <c r="J1306" s="13" t="s">
        <v>8890</v>
      </c>
      <c r="K1306" s="13" t="s">
        <v>8570</v>
      </c>
      <c r="L1306" s="13" t="s">
        <v>158</v>
      </c>
      <c r="M1306" t="s">
        <v>3</v>
      </c>
    </row>
    <row r="1307" spans="1:13" x14ac:dyDescent="0.25">
      <c r="A1307" s="13" t="s">
        <v>11618</v>
      </c>
      <c r="B1307" s="13" t="s">
        <v>11618</v>
      </c>
      <c r="C1307" s="13" t="s">
        <v>11618</v>
      </c>
      <c r="D1307" s="13">
        <v>1.4</v>
      </c>
      <c r="E1307" s="13" t="s">
        <v>11619</v>
      </c>
      <c r="F1307" s="13" t="s">
        <v>8867</v>
      </c>
      <c r="G1307" s="13" t="s">
        <v>2</v>
      </c>
      <c r="H1307" s="13" t="s">
        <v>3</v>
      </c>
      <c r="I1307" s="13" t="s">
        <v>1978</v>
      </c>
      <c r="J1307" s="13" t="s">
        <v>8890</v>
      </c>
      <c r="K1307" s="13" t="s">
        <v>8570</v>
      </c>
      <c r="L1307" s="13" t="s">
        <v>158</v>
      </c>
      <c r="M1307" t="s">
        <v>3</v>
      </c>
    </row>
    <row r="1308" spans="1:13" x14ac:dyDescent="0.25">
      <c r="A1308" s="13" t="s">
        <v>11620</v>
      </c>
      <c r="B1308" s="13" t="s">
        <v>11620</v>
      </c>
      <c r="C1308" s="13" t="s">
        <v>11620</v>
      </c>
      <c r="D1308" s="13">
        <v>1.2</v>
      </c>
      <c r="E1308" s="13" t="s">
        <v>11621</v>
      </c>
      <c r="F1308" s="13" t="s">
        <v>8867</v>
      </c>
      <c r="G1308" s="13" t="s">
        <v>2</v>
      </c>
      <c r="H1308" s="13" t="s">
        <v>3</v>
      </c>
      <c r="I1308" s="13" t="s">
        <v>1978</v>
      </c>
      <c r="J1308" s="13" t="s">
        <v>8890</v>
      </c>
      <c r="K1308" s="13" t="s">
        <v>8570</v>
      </c>
      <c r="L1308" s="13" t="s">
        <v>158</v>
      </c>
      <c r="M1308" t="s">
        <v>3</v>
      </c>
    </row>
    <row r="1309" spans="1:13" x14ac:dyDescent="0.25">
      <c r="A1309" s="13" t="s">
        <v>11622</v>
      </c>
      <c r="B1309" s="13" t="s">
        <v>11622</v>
      </c>
      <c r="C1309" s="13" t="s">
        <v>11622</v>
      </c>
      <c r="D1309" s="13">
        <v>2</v>
      </c>
      <c r="E1309" s="13" t="s">
        <v>11623</v>
      </c>
      <c r="F1309" s="13" t="s">
        <v>8867</v>
      </c>
      <c r="G1309" s="13" t="s">
        <v>2</v>
      </c>
      <c r="H1309" s="13" t="s">
        <v>3</v>
      </c>
      <c r="I1309" s="13" t="s">
        <v>1978</v>
      </c>
      <c r="J1309" s="13" t="s">
        <v>8890</v>
      </c>
      <c r="K1309" s="13" t="s">
        <v>8570</v>
      </c>
      <c r="L1309" s="13" t="s">
        <v>158</v>
      </c>
      <c r="M1309" t="s">
        <v>3</v>
      </c>
    </row>
    <row r="1310" spans="1:13" x14ac:dyDescent="0.25">
      <c r="A1310" s="13" t="s">
        <v>11787</v>
      </c>
      <c r="B1310" s="13" t="s">
        <v>11787</v>
      </c>
      <c r="C1310" s="13" t="s">
        <v>11787</v>
      </c>
      <c r="D1310" s="13">
        <v>3</v>
      </c>
      <c r="E1310" s="13" t="s">
        <v>11788</v>
      </c>
      <c r="F1310" s="13" t="s">
        <v>8867</v>
      </c>
      <c r="G1310" s="13" t="s">
        <v>2</v>
      </c>
      <c r="H1310" s="13" t="s">
        <v>3</v>
      </c>
      <c r="I1310" s="13" t="s">
        <v>1978</v>
      </c>
      <c r="J1310" s="13" t="s">
        <v>8890</v>
      </c>
      <c r="K1310" s="13" t="s">
        <v>8570</v>
      </c>
      <c r="L1310" s="13" t="s">
        <v>158</v>
      </c>
      <c r="M1310" t="s">
        <v>3</v>
      </c>
    </row>
    <row r="1311" spans="1:13" ht="26.25" x14ac:dyDescent="0.25">
      <c r="A1311" s="13" t="s">
        <v>11624</v>
      </c>
      <c r="B1311" s="13" t="s">
        <v>11624</v>
      </c>
      <c r="C1311" s="13" t="s">
        <v>11624</v>
      </c>
      <c r="D1311" s="13">
        <v>2</v>
      </c>
      <c r="E1311" s="13" t="s">
        <v>11625</v>
      </c>
      <c r="F1311" s="13" t="s">
        <v>8867</v>
      </c>
      <c r="G1311" s="13" t="s">
        <v>2</v>
      </c>
      <c r="H1311" s="13" t="s">
        <v>3</v>
      </c>
      <c r="I1311" s="13" t="s">
        <v>1978</v>
      </c>
      <c r="J1311" s="13" t="s">
        <v>8890</v>
      </c>
      <c r="K1311" s="13" t="s">
        <v>8570</v>
      </c>
      <c r="L1311" s="13" t="s">
        <v>158</v>
      </c>
      <c r="M1311" t="s">
        <v>3</v>
      </c>
    </row>
    <row r="1312" spans="1:13" x14ac:dyDescent="0.25">
      <c r="A1312" s="13" t="s">
        <v>11789</v>
      </c>
      <c r="B1312" s="13" t="s">
        <v>11789</v>
      </c>
      <c r="C1312" s="13" t="s">
        <v>11789</v>
      </c>
      <c r="D1312" s="13">
        <v>4.2</v>
      </c>
      <c r="E1312" s="13" t="s">
        <v>11790</v>
      </c>
      <c r="F1312" s="13" t="s">
        <v>8867</v>
      </c>
      <c r="G1312" s="13" t="s">
        <v>2</v>
      </c>
      <c r="H1312" s="13" t="s">
        <v>3</v>
      </c>
      <c r="I1312" s="13" t="s">
        <v>1978</v>
      </c>
      <c r="J1312" s="13" t="s">
        <v>8890</v>
      </c>
      <c r="K1312" s="13" t="s">
        <v>8570</v>
      </c>
      <c r="L1312" s="13" t="s">
        <v>158</v>
      </c>
      <c r="M1312" t="s">
        <v>3</v>
      </c>
    </row>
    <row r="1313" spans="1:13" x14ac:dyDescent="0.25">
      <c r="A1313" s="13" t="s">
        <v>11791</v>
      </c>
      <c r="B1313" s="13" t="s">
        <v>11791</v>
      </c>
      <c r="C1313" s="13" t="s">
        <v>11791</v>
      </c>
      <c r="D1313" s="13">
        <v>3</v>
      </c>
      <c r="E1313" s="13" t="s">
        <v>11792</v>
      </c>
      <c r="F1313" s="13" t="s">
        <v>8867</v>
      </c>
      <c r="G1313" s="13" t="s">
        <v>2</v>
      </c>
      <c r="H1313" s="13" t="s">
        <v>3</v>
      </c>
      <c r="I1313" s="13" t="s">
        <v>1978</v>
      </c>
      <c r="J1313" s="13" t="s">
        <v>8890</v>
      </c>
      <c r="K1313" s="13" t="s">
        <v>8570</v>
      </c>
      <c r="L1313" s="13" t="s">
        <v>158</v>
      </c>
      <c r="M1313" t="s">
        <v>3</v>
      </c>
    </row>
    <row r="1314" spans="1:13" x14ac:dyDescent="0.25">
      <c r="A1314" s="13" t="s">
        <v>11793</v>
      </c>
      <c r="B1314" s="13" t="s">
        <v>11793</v>
      </c>
      <c r="C1314" s="13" t="s">
        <v>11793</v>
      </c>
      <c r="D1314" s="13">
        <v>3</v>
      </c>
      <c r="E1314" s="13" t="s">
        <v>11794</v>
      </c>
      <c r="F1314" s="13" t="s">
        <v>8867</v>
      </c>
      <c r="G1314" s="13" t="s">
        <v>2</v>
      </c>
      <c r="H1314" s="13" t="s">
        <v>3</v>
      </c>
      <c r="I1314" s="13" t="s">
        <v>1978</v>
      </c>
      <c r="J1314" s="13" t="s">
        <v>8890</v>
      </c>
      <c r="K1314" s="13" t="s">
        <v>8570</v>
      </c>
      <c r="L1314" s="13" t="s">
        <v>158</v>
      </c>
      <c r="M1314" t="s">
        <v>3</v>
      </c>
    </row>
    <row r="1315" spans="1:13" x14ac:dyDescent="0.25">
      <c r="A1315" s="13" t="s">
        <v>11991</v>
      </c>
      <c r="B1315" s="13" t="s">
        <v>11991</v>
      </c>
      <c r="C1315" s="13" t="s">
        <v>11991</v>
      </c>
      <c r="D1315" s="13">
        <v>3.3</v>
      </c>
      <c r="E1315" s="13" t="s">
        <v>11992</v>
      </c>
      <c r="F1315" s="13" t="s">
        <v>8867</v>
      </c>
      <c r="G1315" s="13" t="s">
        <v>2</v>
      </c>
      <c r="H1315" s="13" t="s">
        <v>3</v>
      </c>
      <c r="I1315" s="13" t="s">
        <v>1978</v>
      </c>
      <c r="J1315" s="13" t="s">
        <v>8890</v>
      </c>
      <c r="K1315" s="13" t="s">
        <v>8570</v>
      </c>
      <c r="L1315" s="13" t="s">
        <v>158</v>
      </c>
      <c r="M1315" t="s">
        <v>3</v>
      </c>
    </row>
    <row r="1316" spans="1:13" x14ac:dyDescent="0.25">
      <c r="A1316" s="13" t="s">
        <v>11993</v>
      </c>
      <c r="B1316" s="13" t="s">
        <v>11993</v>
      </c>
      <c r="C1316" s="13" t="s">
        <v>11993</v>
      </c>
      <c r="D1316" s="13">
        <v>0.9</v>
      </c>
      <c r="E1316" s="13" t="s">
        <v>11994</v>
      </c>
      <c r="F1316" s="13" t="s">
        <v>8867</v>
      </c>
      <c r="G1316" s="13" t="s">
        <v>2</v>
      </c>
      <c r="H1316" s="13" t="s">
        <v>3</v>
      </c>
      <c r="I1316" s="13" t="s">
        <v>1978</v>
      </c>
      <c r="J1316" s="13" t="s">
        <v>8890</v>
      </c>
      <c r="K1316" s="13" t="s">
        <v>8570</v>
      </c>
      <c r="L1316" s="13" t="s">
        <v>158</v>
      </c>
      <c r="M1316" t="s">
        <v>3</v>
      </c>
    </row>
    <row r="1317" spans="1:13" x14ac:dyDescent="0.25">
      <c r="A1317" s="13" t="s">
        <v>3270</v>
      </c>
      <c r="B1317" s="13" t="s">
        <v>3270</v>
      </c>
      <c r="C1317" s="13" t="s">
        <v>3271</v>
      </c>
      <c r="D1317" s="13">
        <v>12.3</v>
      </c>
      <c r="E1317" s="13" t="s">
        <v>3272</v>
      </c>
      <c r="F1317" s="13" t="s">
        <v>8867</v>
      </c>
      <c r="G1317" s="13" t="s">
        <v>2</v>
      </c>
      <c r="H1317" s="13" t="s">
        <v>3</v>
      </c>
      <c r="I1317" s="13" t="s">
        <v>706</v>
      </c>
      <c r="J1317" s="13" t="s">
        <v>8890</v>
      </c>
      <c r="K1317" s="13" t="s">
        <v>8419</v>
      </c>
      <c r="L1317" s="13" t="s">
        <v>158</v>
      </c>
      <c r="M1317" t="s">
        <v>3</v>
      </c>
    </row>
    <row r="1318" spans="1:13" ht="26.25" x14ac:dyDescent="0.25">
      <c r="A1318" s="13" t="s">
        <v>3273</v>
      </c>
      <c r="B1318" s="13" t="s">
        <v>3274</v>
      </c>
      <c r="C1318" s="13" t="s">
        <v>3274</v>
      </c>
      <c r="D1318" s="13">
        <v>100</v>
      </c>
      <c r="E1318" s="13" t="s">
        <v>3275</v>
      </c>
      <c r="F1318" s="13" t="s">
        <v>8867</v>
      </c>
      <c r="G1318" s="13" t="s">
        <v>2</v>
      </c>
      <c r="H1318" s="13" t="s">
        <v>3</v>
      </c>
      <c r="I1318" s="13" t="s">
        <v>119</v>
      </c>
      <c r="J1318" s="13" t="s">
        <v>8890</v>
      </c>
      <c r="K1318" s="13" t="s">
        <v>8883</v>
      </c>
      <c r="L1318" s="13" t="s">
        <v>158</v>
      </c>
      <c r="M1318" t="s">
        <v>3</v>
      </c>
    </row>
    <row r="1319" spans="1:13" x14ac:dyDescent="0.25">
      <c r="A1319" s="13" t="s">
        <v>9145</v>
      </c>
      <c r="B1319" s="13" t="s">
        <v>9145</v>
      </c>
      <c r="C1319" s="13" t="s">
        <v>9146</v>
      </c>
      <c r="D1319" s="13">
        <v>42.4</v>
      </c>
      <c r="E1319" s="13" t="s">
        <v>9147</v>
      </c>
      <c r="F1319" s="13" t="s">
        <v>8867</v>
      </c>
      <c r="G1319" s="13" t="s">
        <v>2</v>
      </c>
      <c r="H1319" s="13" t="s">
        <v>8422</v>
      </c>
      <c r="I1319" s="13" t="s">
        <v>1263</v>
      </c>
      <c r="J1319" s="13" t="s">
        <v>8890</v>
      </c>
      <c r="K1319" s="13" t="s">
        <v>8422</v>
      </c>
      <c r="L1319" s="13" t="s">
        <v>158</v>
      </c>
      <c r="M1319" t="s">
        <v>10689</v>
      </c>
    </row>
    <row r="1320" spans="1:13" x14ac:dyDescent="0.25">
      <c r="A1320" s="13" t="s">
        <v>3276</v>
      </c>
      <c r="B1320" s="13" t="s">
        <v>3276</v>
      </c>
      <c r="C1320" s="13" t="s">
        <v>3277</v>
      </c>
      <c r="D1320" s="13">
        <v>10</v>
      </c>
      <c r="E1320" s="13" t="s">
        <v>3278</v>
      </c>
      <c r="F1320" s="13" t="s">
        <v>8867</v>
      </c>
      <c r="G1320" s="13" t="s">
        <v>2</v>
      </c>
      <c r="H1320" s="13" t="s">
        <v>3</v>
      </c>
      <c r="I1320" s="13" t="s">
        <v>1263</v>
      </c>
      <c r="J1320" s="13" t="s">
        <v>8890</v>
      </c>
      <c r="K1320" s="13" t="s">
        <v>8422</v>
      </c>
      <c r="L1320" s="13" t="s">
        <v>158</v>
      </c>
      <c r="M1320" t="s">
        <v>3</v>
      </c>
    </row>
    <row r="1321" spans="1:13" ht="26.25" x14ac:dyDescent="0.25">
      <c r="A1321" s="13" t="s">
        <v>3279</v>
      </c>
      <c r="B1321" s="13" t="s">
        <v>3279</v>
      </c>
      <c r="C1321" s="13" t="s">
        <v>3280</v>
      </c>
      <c r="D1321" s="13">
        <v>10</v>
      </c>
      <c r="E1321" s="13" t="s">
        <v>3281</v>
      </c>
      <c r="F1321" s="13" t="s">
        <v>8867</v>
      </c>
      <c r="G1321" s="13" t="s">
        <v>2</v>
      </c>
      <c r="H1321" s="13" t="s">
        <v>3</v>
      </c>
      <c r="I1321" s="13" t="s">
        <v>1263</v>
      </c>
      <c r="J1321" s="13" t="s">
        <v>8890</v>
      </c>
      <c r="K1321" s="13" t="s">
        <v>8422</v>
      </c>
      <c r="L1321" s="13" t="s">
        <v>158</v>
      </c>
      <c r="M1321" t="s">
        <v>3</v>
      </c>
    </row>
    <row r="1322" spans="1:13" x14ac:dyDescent="0.25">
      <c r="A1322" s="13" t="s">
        <v>3282</v>
      </c>
      <c r="B1322" s="13" t="s">
        <v>3282</v>
      </c>
      <c r="C1322" s="13" t="s">
        <v>3283</v>
      </c>
      <c r="D1322" s="13">
        <v>157.1</v>
      </c>
      <c r="E1322" s="13" t="s">
        <v>3284</v>
      </c>
      <c r="F1322" s="13" t="s">
        <v>8867</v>
      </c>
      <c r="G1322" s="13" t="s">
        <v>2</v>
      </c>
      <c r="H1322" s="13" t="s">
        <v>3</v>
      </c>
      <c r="I1322" s="13" t="s">
        <v>137</v>
      </c>
      <c r="J1322" s="13" t="s">
        <v>8890</v>
      </c>
      <c r="K1322" s="13" t="s">
        <v>8429</v>
      </c>
      <c r="L1322" s="13" t="s">
        <v>158</v>
      </c>
      <c r="M1322" t="s">
        <v>3</v>
      </c>
    </row>
    <row r="1323" spans="1:13" x14ac:dyDescent="0.25">
      <c r="A1323" s="13" t="s">
        <v>11626</v>
      </c>
      <c r="B1323" s="13" t="s">
        <v>11626</v>
      </c>
      <c r="C1323" s="13" t="s">
        <v>11627</v>
      </c>
      <c r="D1323" s="13">
        <v>45</v>
      </c>
      <c r="E1323" s="13" t="s">
        <v>11628</v>
      </c>
      <c r="F1323" s="13" t="s">
        <v>8867</v>
      </c>
      <c r="G1323" s="13" t="s">
        <v>2</v>
      </c>
      <c r="H1323" s="13" t="s">
        <v>3</v>
      </c>
      <c r="I1323" s="13" t="s">
        <v>447</v>
      </c>
      <c r="J1323" s="13" t="s">
        <v>8890</v>
      </c>
      <c r="K1323" s="13" t="s">
        <v>8421</v>
      </c>
      <c r="L1323" s="13" t="s">
        <v>158</v>
      </c>
      <c r="M1323" t="s">
        <v>3</v>
      </c>
    </row>
    <row r="1324" spans="1:13" x14ac:dyDescent="0.25">
      <c r="A1324" s="13" t="s">
        <v>9148</v>
      </c>
      <c r="B1324" s="13" t="s">
        <v>9148</v>
      </c>
      <c r="C1324" s="13" t="s">
        <v>9149</v>
      </c>
      <c r="D1324" s="13">
        <v>4</v>
      </c>
      <c r="E1324" s="13" t="s">
        <v>9150</v>
      </c>
      <c r="F1324" s="13" t="s">
        <v>8867</v>
      </c>
      <c r="G1324" s="13" t="s">
        <v>2</v>
      </c>
      <c r="H1324" s="13" t="s">
        <v>3</v>
      </c>
      <c r="I1324" s="13" t="s">
        <v>1263</v>
      </c>
      <c r="J1324" s="13" t="s">
        <v>8890</v>
      </c>
      <c r="K1324" s="13" t="s">
        <v>8422</v>
      </c>
      <c r="L1324" s="13" t="s">
        <v>158</v>
      </c>
      <c r="M1324" t="s">
        <v>3</v>
      </c>
    </row>
    <row r="1325" spans="1:13" x14ac:dyDescent="0.25">
      <c r="A1325" s="13" t="s">
        <v>9770</v>
      </c>
      <c r="B1325" s="13" t="s">
        <v>9770</v>
      </c>
      <c r="C1325" s="13" t="s">
        <v>9770</v>
      </c>
      <c r="D1325" s="13">
        <v>106</v>
      </c>
      <c r="E1325" s="13" t="s">
        <v>9771</v>
      </c>
      <c r="F1325" s="13" t="s">
        <v>8867</v>
      </c>
      <c r="G1325" s="13" t="s">
        <v>2</v>
      </c>
      <c r="H1325" s="13" t="s">
        <v>1224</v>
      </c>
      <c r="I1325" s="13" t="s">
        <v>137</v>
      </c>
      <c r="J1325" s="13" t="s">
        <v>8890</v>
      </c>
      <c r="K1325" s="13" t="s">
        <v>8429</v>
      </c>
      <c r="L1325" s="13" t="s">
        <v>158</v>
      </c>
      <c r="M1325" t="s">
        <v>10682</v>
      </c>
    </row>
    <row r="1326" spans="1:13" x14ac:dyDescent="0.25">
      <c r="A1326" s="13" t="s">
        <v>10035</v>
      </c>
      <c r="B1326" s="13" t="s">
        <v>10035</v>
      </c>
      <c r="C1326" s="13" t="s">
        <v>10036</v>
      </c>
      <c r="D1326" s="13">
        <v>31</v>
      </c>
      <c r="E1326" s="13" t="s">
        <v>10037</v>
      </c>
      <c r="F1326" s="13" t="s">
        <v>9717</v>
      </c>
      <c r="G1326" s="13" t="s">
        <v>2</v>
      </c>
      <c r="H1326" s="13" t="s">
        <v>1224</v>
      </c>
      <c r="I1326" s="13" t="s">
        <v>137</v>
      </c>
      <c r="J1326" s="13" t="s">
        <v>9004</v>
      </c>
      <c r="K1326" s="13" t="s">
        <v>8429</v>
      </c>
      <c r="L1326" s="13" t="s">
        <v>10021</v>
      </c>
      <c r="M1326" t="s">
        <v>10682</v>
      </c>
    </row>
    <row r="1327" spans="1:13" x14ac:dyDescent="0.25">
      <c r="A1327" s="13" t="s">
        <v>9772</v>
      </c>
      <c r="B1327" s="13" t="s">
        <v>9772</v>
      </c>
      <c r="C1327" s="13" t="s">
        <v>9772</v>
      </c>
      <c r="D1327" s="13">
        <v>267</v>
      </c>
      <c r="E1327" s="13" t="s">
        <v>9773</v>
      </c>
      <c r="F1327" s="13" t="s">
        <v>8867</v>
      </c>
      <c r="G1327" s="13" t="s">
        <v>2</v>
      </c>
      <c r="H1327" s="13" t="s">
        <v>3</v>
      </c>
      <c r="I1327" s="13" t="s">
        <v>137</v>
      </c>
      <c r="J1327" s="13" t="s">
        <v>8890</v>
      </c>
      <c r="K1327" s="13" t="s">
        <v>8429</v>
      </c>
      <c r="L1327" s="13" t="s">
        <v>158</v>
      </c>
      <c r="M1327" t="s">
        <v>3</v>
      </c>
    </row>
    <row r="1328" spans="1:13" x14ac:dyDescent="0.25">
      <c r="A1328" s="13" t="s">
        <v>11795</v>
      </c>
      <c r="B1328" s="13" t="s">
        <v>11795</v>
      </c>
      <c r="C1328" s="13" t="s">
        <v>11795</v>
      </c>
      <c r="D1328" s="13">
        <v>250</v>
      </c>
      <c r="E1328" s="13" t="s">
        <v>11796</v>
      </c>
      <c r="F1328" s="13" t="s">
        <v>8867</v>
      </c>
      <c r="G1328" s="13" t="s">
        <v>2</v>
      </c>
      <c r="H1328" s="13" t="s">
        <v>3</v>
      </c>
      <c r="I1328" s="13" t="s">
        <v>137</v>
      </c>
      <c r="J1328" s="13" t="s">
        <v>8890</v>
      </c>
      <c r="K1328" s="13" t="s">
        <v>8429</v>
      </c>
      <c r="L1328" s="13" t="s">
        <v>158</v>
      </c>
      <c r="M1328" t="s">
        <v>3</v>
      </c>
    </row>
    <row r="1329" spans="1:13" x14ac:dyDescent="0.25">
      <c r="A1329" s="13" t="s">
        <v>11995</v>
      </c>
      <c r="B1329" s="13" t="s">
        <v>11995</v>
      </c>
      <c r="C1329" s="13" t="s">
        <v>11996</v>
      </c>
      <c r="D1329" s="13">
        <v>236</v>
      </c>
      <c r="E1329" s="13" t="s">
        <v>11997</v>
      </c>
      <c r="F1329" s="13" t="s">
        <v>8867</v>
      </c>
      <c r="G1329" s="13" t="s">
        <v>2</v>
      </c>
      <c r="H1329" s="13" t="s">
        <v>3</v>
      </c>
      <c r="I1329" s="13" t="s">
        <v>137</v>
      </c>
      <c r="J1329" s="13" t="s">
        <v>8890</v>
      </c>
      <c r="K1329" s="13" t="s">
        <v>8429</v>
      </c>
      <c r="L1329" s="13" t="s">
        <v>158</v>
      </c>
      <c r="M1329" t="s">
        <v>3</v>
      </c>
    </row>
    <row r="1330" spans="1:13" x14ac:dyDescent="0.25">
      <c r="A1330" s="13" t="s">
        <v>11998</v>
      </c>
      <c r="B1330" s="13" t="s">
        <v>11998</v>
      </c>
      <c r="C1330" s="13" t="s">
        <v>11998</v>
      </c>
      <c r="D1330" s="13">
        <v>76</v>
      </c>
      <c r="E1330" s="13" t="s">
        <v>11999</v>
      </c>
      <c r="F1330" s="13" t="s">
        <v>8867</v>
      </c>
      <c r="G1330" s="13" t="s">
        <v>2</v>
      </c>
      <c r="H1330" s="13" t="s">
        <v>1224</v>
      </c>
      <c r="I1330" s="13" t="s">
        <v>137</v>
      </c>
      <c r="J1330" s="13" t="s">
        <v>8890</v>
      </c>
      <c r="K1330" s="13" t="s">
        <v>8429</v>
      </c>
      <c r="L1330" s="13" t="s">
        <v>158</v>
      </c>
      <c r="M1330" t="s">
        <v>10682</v>
      </c>
    </row>
    <row r="1331" spans="1:13" ht="26.25" x14ac:dyDescent="0.25">
      <c r="A1331" s="13" t="s">
        <v>9774</v>
      </c>
      <c r="B1331" s="13" t="s">
        <v>9774</v>
      </c>
      <c r="C1331" s="13" t="s">
        <v>9775</v>
      </c>
      <c r="D1331" s="13">
        <v>391</v>
      </c>
      <c r="E1331" s="13" t="s">
        <v>9776</v>
      </c>
      <c r="F1331" s="13" t="s">
        <v>8867</v>
      </c>
      <c r="G1331" s="13" t="s">
        <v>2</v>
      </c>
      <c r="H1331" s="13" t="s">
        <v>1224</v>
      </c>
      <c r="I1331" s="13" t="s">
        <v>137</v>
      </c>
      <c r="J1331" s="13" t="s">
        <v>8890</v>
      </c>
      <c r="K1331" s="13" t="s">
        <v>8429</v>
      </c>
      <c r="L1331" s="13" t="s">
        <v>158</v>
      </c>
      <c r="M1331" t="s">
        <v>10682</v>
      </c>
    </row>
    <row r="1332" spans="1:13" x14ac:dyDescent="0.25">
      <c r="A1332" s="13" t="s">
        <v>9777</v>
      </c>
      <c r="B1332" s="13" t="s">
        <v>9777</v>
      </c>
      <c r="C1332" s="13" t="s">
        <v>9778</v>
      </c>
      <c r="D1332" s="13">
        <v>237</v>
      </c>
      <c r="E1332" s="13" t="s">
        <v>9779</v>
      </c>
      <c r="F1332" s="13" t="s">
        <v>8867</v>
      </c>
      <c r="G1332" s="13" t="s">
        <v>2</v>
      </c>
      <c r="H1332" s="13" t="s">
        <v>1224</v>
      </c>
      <c r="I1332" s="13" t="s">
        <v>137</v>
      </c>
      <c r="J1332" s="13" t="s">
        <v>8890</v>
      </c>
      <c r="K1332" s="13" t="s">
        <v>8429</v>
      </c>
      <c r="L1332" s="13" t="s">
        <v>158</v>
      </c>
      <c r="M1332" t="s">
        <v>10682</v>
      </c>
    </row>
    <row r="1333" spans="1:13" x14ac:dyDescent="0.25">
      <c r="A1333" s="13" t="s">
        <v>12000</v>
      </c>
      <c r="B1333" s="13" t="s">
        <v>12000</v>
      </c>
      <c r="C1333" s="13" t="s">
        <v>12000</v>
      </c>
      <c r="D1333" s="13">
        <v>41.1</v>
      </c>
      <c r="E1333" s="13" t="s">
        <v>12001</v>
      </c>
      <c r="F1333" s="13" t="s">
        <v>8867</v>
      </c>
      <c r="G1333" s="13" t="s">
        <v>2</v>
      </c>
      <c r="H1333" s="13" t="s">
        <v>3</v>
      </c>
      <c r="I1333" s="13" t="s">
        <v>137</v>
      </c>
      <c r="J1333" s="13" t="s">
        <v>8890</v>
      </c>
      <c r="K1333" s="13" t="s">
        <v>8429</v>
      </c>
      <c r="L1333" s="13" t="s">
        <v>158</v>
      </c>
      <c r="M1333" t="s">
        <v>3</v>
      </c>
    </row>
    <row r="1334" spans="1:13" x14ac:dyDescent="0.25">
      <c r="A1334" s="13" t="s">
        <v>9780</v>
      </c>
      <c r="B1334" s="13" t="s">
        <v>9780</v>
      </c>
      <c r="C1334" s="13" t="s">
        <v>9781</v>
      </c>
      <c r="D1334" s="13">
        <v>430</v>
      </c>
      <c r="E1334" s="13" t="s">
        <v>9782</v>
      </c>
      <c r="F1334" s="13" t="s">
        <v>8867</v>
      </c>
      <c r="G1334" s="13" t="s">
        <v>2</v>
      </c>
      <c r="H1334" s="13" t="s">
        <v>1224</v>
      </c>
      <c r="I1334" s="13" t="s">
        <v>137</v>
      </c>
      <c r="J1334" s="13" t="s">
        <v>8890</v>
      </c>
      <c r="K1334" s="13" t="s">
        <v>8429</v>
      </c>
      <c r="L1334" s="13" t="s">
        <v>158</v>
      </c>
      <c r="M1334" t="s">
        <v>10682</v>
      </c>
    </row>
    <row r="1335" spans="1:13" x14ac:dyDescent="0.25">
      <c r="A1335" s="13" t="s">
        <v>10190</v>
      </c>
      <c r="B1335" s="13" t="s">
        <v>10191</v>
      </c>
      <c r="C1335" s="13" t="s">
        <v>10190</v>
      </c>
      <c r="D1335" s="13">
        <v>325</v>
      </c>
      <c r="E1335" s="13" t="s">
        <v>10192</v>
      </c>
      <c r="F1335" s="13" t="s">
        <v>8867</v>
      </c>
      <c r="G1335" s="13" t="s">
        <v>2</v>
      </c>
      <c r="H1335" s="13" t="s">
        <v>3</v>
      </c>
      <c r="I1335" s="13" t="s">
        <v>137</v>
      </c>
      <c r="J1335" s="13" t="s">
        <v>8890</v>
      </c>
      <c r="K1335" s="13" t="s">
        <v>8429</v>
      </c>
      <c r="L1335" s="13" t="s">
        <v>158</v>
      </c>
      <c r="M1335" t="s">
        <v>3</v>
      </c>
    </row>
    <row r="1336" spans="1:13" x14ac:dyDescent="0.25">
      <c r="A1336" s="13" t="s">
        <v>11262</v>
      </c>
      <c r="B1336" s="13" t="s">
        <v>11262</v>
      </c>
      <c r="C1336" s="13" t="s">
        <v>11262</v>
      </c>
      <c r="D1336" s="13">
        <v>250</v>
      </c>
      <c r="E1336" s="13" t="s">
        <v>11263</v>
      </c>
      <c r="F1336" s="13" t="s">
        <v>8867</v>
      </c>
      <c r="G1336" s="13" t="s">
        <v>2</v>
      </c>
      <c r="H1336" s="13" t="s">
        <v>3</v>
      </c>
      <c r="I1336" s="13" t="s">
        <v>137</v>
      </c>
      <c r="J1336" s="13" t="s">
        <v>8890</v>
      </c>
      <c r="K1336" s="13" t="s">
        <v>8429</v>
      </c>
      <c r="L1336" s="13" t="s">
        <v>158</v>
      </c>
      <c r="M1336" t="s">
        <v>3</v>
      </c>
    </row>
    <row r="1337" spans="1:13" ht="26.25" x14ac:dyDescent="0.25">
      <c r="A1337" s="13" t="s">
        <v>12002</v>
      </c>
      <c r="B1337" s="13" t="s">
        <v>12002</v>
      </c>
      <c r="C1337" s="13" t="s">
        <v>12002</v>
      </c>
      <c r="D1337" s="13">
        <v>37.5</v>
      </c>
      <c r="E1337" s="13" t="s">
        <v>12003</v>
      </c>
      <c r="F1337" s="13" t="s">
        <v>8867</v>
      </c>
      <c r="G1337" s="13" t="s">
        <v>2</v>
      </c>
      <c r="H1337" s="13" t="s">
        <v>3</v>
      </c>
      <c r="I1337" s="13" t="s">
        <v>137</v>
      </c>
      <c r="J1337" s="13" t="s">
        <v>8890</v>
      </c>
      <c r="K1337" s="13" t="s">
        <v>8429</v>
      </c>
      <c r="L1337" s="13" t="s">
        <v>158</v>
      </c>
      <c r="M1337" t="s">
        <v>3</v>
      </c>
    </row>
    <row r="1338" spans="1:13" x14ac:dyDescent="0.25">
      <c r="A1338" s="13" t="s">
        <v>12004</v>
      </c>
      <c r="B1338" s="13" t="s">
        <v>12004</v>
      </c>
      <c r="C1338" s="13" t="s">
        <v>12004</v>
      </c>
      <c r="D1338" s="13">
        <v>74</v>
      </c>
      <c r="E1338" s="13" t="s">
        <v>12005</v>
      </c>
      <c r="F1338" s="13" t="s">
        <v>8867</v>
      </c>
      <c r="G1338" s="13" t="s">
        <v>2</v>
      </c>
      <c r="H1338" s="13" t="s">
        <v>3</v>
      </c>
      <c r="I1338" s="13" t="s">
        <v>137</v>
      </c>
      <c r="J1338" s="13" t="s">
        <v>8890</v>
      </c>
      <c r="K1338" s="13" t="s">
        <v>8429</v>
      </c>
      <c r="L1338" s="13" t="s">
        <v>158</v>
      </c>
      <c r="M1338" t="s">
        <v>3</v>
      </c>
    </row>
    <row r="1339" spans="1:13" x14ac:dyDescent="0.25">
      <c r="A1339" s="13" t="s">
        <v>12006</v>
      </c>
      <c r="B1339" s="13" t="s">
        <v>12006</v>
      </c>
      <c r="C1339" s="13" t="s">
        <v>12006</v>
      </c>
      <c r="D1339" s="13">
        <v>74</v>
      </c>
      <c r="E1339" s="13" t="s">
        <v>12007</v>
      </c>
      <c r="F1339" s="13" t="s">
        <v>8867</v>
      </c>
      <c r="G1339" s="13" t="s">
        <v>2</v>
      </c>
      <c r="H1339" s="13" t="s">
        <v>3</v>
      </c>
      <c r="I1339" s="13" t="s">
        <v>137</v>
      </c>
      <c r="J1339" s="13" t="s">
        <v>8890</v>
      </c>
      <c r="K1339" s="13" t="s">
        <v>8429</v>
      </c>
      <c r="L1339" s="13" t="s">
        <v>158</v>
      </c>
      <c r="M1339" t="s">
        <v>3</v>
      </c>
    </row>
    <row r="1340" spans="1:13" x14ac:dyDescent="0.25">
      <c r="A1340" s="13" t="s">
        <v>3285</v>
      </c>
      <c r="B1340" s="13" t="s">
        <v>3286</v>
      </c>
      <c r="C1340" s="13" t="s">
        <v>2734</v>
      </c>
      <c r="D1340" s="13">
        <v>2</v>
      </c>
      <c r="E1340" s="13" t="s">
        <v>3287</v>
      </c>
      <c r="F1340" s="13" t="s">
        <v>8867</v>
      </c>
      <c r="G1340" s="13" t="s">
        <v>2</v>
      </c>
      <c r="H1340" s="13" t="s">
        <v>3</v>
      </c>
      <c r="I1340" s="13" t="s">
        <v>2736</v>
      </c>
      <c r="J1340" s="13" t="s">
        <v>8890</v>
      </c>
      <c r="K1340" s="13" t="s">
        <v>8616</v>
      </c>
      <c r="L1340" s="13" t="s">
        <v>158</v>
      </c>
      <c r="M1340" t="s">
        <v>3</v>
      </c>
    </row>
    <row r="1341" spans="1:13" x14ac:dyDescent="0.25">
      <c r="A1341" s="13" t="s">
        <v>3288</v>
      </c>
      <c r="B1341" s="13" t="s">
        <v>3288</v>
      </c>
      <c r="C1341" s="13" t="s">
        <v>3288</v>
      </c>
      <c r="D1341" s="13">
        <v>372.3</v>
      </c>
      <c r="E1341" s="13" t="s">
        <v>3289</v>
      </c>
      <c r="F1341" s="13" t="s">
        <v>8867</v>
      </c>
      <c r="G1341" s="13" t="s">
        <v>2</v>
      </c>
      <c r="H1341" s="13" t="s">
        <v>1224</v>
      </c>
      <c r="I1341" s="13" t="s">
        <v>137</v>
      </c>
      <c r="J1341" s="13" t="s">
        <v>8890</v>
      </c>
      <c r="K1341" s="13" t="s">
        <v>8429</v>
      </c>
      <c r="L1341" s="13" t="s">
        <v>158</v>
      </c>
      <c r="M1341" t="s">
        <v>10682</v>
      </c>
    </row>
    <row r="1342" spans="1:13" x14ac:dyDescent="0.25">
      <c r="A1342" s="13" t="s">
        <v>3290</v>
      </c>
      <c r="B1342" s="13" t="s">
        <v>3291</v>
      </c>
      <c r="C1342" s="13" t="s">
        <v>3292</v>
      </c>
      <c r="D1342" s="13">
        <v>1</v>
      </c>
      <c r="E1342" s="13" t="s">
        <v>3293</v>
      </c>
      <c r="F1342" s="13" t="s">
        <v>8867</v>
      </c>
      <c r="G1342" s="13" t="s">
        <v>2</v>
      </c>
      <c r="H1342" s="13" t="s">
        <v>3</v>
      </c>
      <c r="I1342" s="13" t="s">
        <v>1978</v>
      </c>
      <c r="J1342" s="13" t="s">
        <v>8890</v>
      </c>
      <c r="K1342" s="13" t="s">
        <v>8570</v>
      </c>
      <c r="L1342" s="13" t="s">
        <v>158</v>
      </c>
      <c r="M1342" t="s">
        <v>3</v>
      </c>
    </row>
    <row r="1343" spans="1:13" x14ac:dyDescent="0.25">
      <c r="A1343" s="13" t="s">
        <v>9151</v>
      </c>
      <c r="B1343" s="13" t="s">
        <v>9151</v>
      </c>
      <c r="C1343" s="13" t="s">
        <v>9152</v>
      </c>
      <c r="D1343" s="13">
        <v>3.3</v>
      </c>
      <c r="E1343" s="13" t="s">
        <v>9153</v>
      </c>
      <c r="F1343" s="13" t="s">
        <v>8867</v>
      </c>
      <c r="G1343" s="13" t="s">
        <v>2</v>
      </c>
      <c r="H1343" s="13" t="s">
        <v>3</v>
      </c>
      <c r="I1343" s="13" t="s">
        <v>1263</v>
      </c>
      <c r="J1343" s="13" t="s">
        <v>8890</v>
      </c>
      <c r="K1343" s="13" t="s">
        <v>8422</v>
      </c>
      <c r="L1343" s="13" t="s">
        <v>158</v>
      </c>
      <c r="M1343" t="s">
        <v>3</v>
      </c>
    </row>
    <row r="1344" spans="1:13" x14ac:dyDescent="0.25">
      <c r="A1344" s="13" t="s">
        <v>3294</v>
      </c>
      <c r="B1344" s="13" t="s">
        <v>3294</v>
      </c>
      <c r="C1344" s="13" t="s">
        <v>3295</v>
      </c>
      <c r="D1344" s="13">
        <v>6.7</v>
      </c>
      <c r="E1344" s="13" t="s">
        <v>3296</v>
      </c>
      <c r="F1344" s="13" t="s">
        <v>8867</v>
      </c>
      <c r="G1344" s="13" t="s">
        <v>2</v>
      </c>
      <c r="H1344" s="13" t="s">
        <v>3</v>
      </c>
      <c r="I1344" s="13" t="s">
        <v>1263</v>
      </c>
      <c r="J1344" s="13" t="s">
        <v>8890</v>
      </c>
      <c r="K1344" s="13" t="s">
        <v>8422</v>
      </c>
      <c r="L1344" s="13" t="s">
        <v>158</v>
      </c>
      <c r="M1344" t="s">
        <v>3</v>
      </c>
    </row>
    <row r="1345" spans="1:13" x14ac:dyDescent="0.25">
      <c r="A1345" s="13" t="s">
        <v>11797</v>
      </c>
      <c r="B1345" s="13" t="s">
        <v>11797</v>
      </c>
      <c r="C1345" s="13" t="s">
        <v>11797</v>
      </c>
      <c r="D1345" s="13">
        <v>46.5</v>
      </c>
      <c r="E1345" s="13" t="s">
        <v>11798</v>
      </c>
      <c r="F1345" s="13" t="s">
        <v>8867</v>
      </c>
      <c r="G1345" s="13" t="s">
        <v>2</v>
      </c>
      <c r="H1345" s="13" t="s">
        <v>3</v>
      </c>
      <c r="I1345" s="13" t="s">
        <v>706</v>
      </c>
      <c r="J1345" s="13" t="s">
        <v>8890</v>
      </c>
      <c r="K1345" s="13" t="s">
        <v>8419</v>
      </c>
      <c r="L1345" s="13" t="s">
        <v>158</v>
      </c>
      <c r="M1345" t="s">
        <v>3</v>
      </c>
    </row>
    <row r="1346" spans="1:13" x14ac:dyDescent="0.25">
      <c r="A1346" s="13" t="s">
        <v>3297</v>
      </c>
      <c r="B1346" s="13" t="s">
        <v>3298</v>
      </c>
      <c r="C1346" s="13" t="s">
        <v>3299</v>
      </c>
      <c r="D1346" s="13">
        <v>9.9</v>
      </c>
      <c r="E1346" s="13" t="s">
        <v>3300</v>
      </c>
      <c r="F1346" s="13" t="s">
        <v>8867</v>
      </c>
      <c r="G1346" s="13" t="s">
        <v>2</v>
      </c>
      <c r="H1346" s="13" t="s">
        <v>3</v>
      </c>
      <c r="I1346" s="13" t="s">
        <v>1978</v>
      </c>
      <c r="J1346" s="13" t="s">
        <v>8890</v>
      </c>
      <c r="K1346" s="13" t="s">
        <v>8570</v>
      </c>
      <c r="L1346" s="13" t="s">
        <v>158</v>
      </c>
      <c r="M1346" t="s">
        <v>3</v>
      </c>
    </row>
    <row r="1347" spans="1:13" x14ac:dyDescent="0.25">
      <c r="A1347" s="13" t="s">
        <v>9154</v>
      </c>
      <c r="B1347" s="13" t="s">
        <v>9154</v>
      </c>
      <c r="C1347" s="13" t="s">
        <v>9155</v>
      </c>
      <c r="D1347" s="13">
        <v>1.7</v>
      </c>
      <c r="E1347" s="13" t="s">
        <v>9156</v>
      </c>
      <c r="F1347" s="13" t="s">
        <v>8867</v>
      </c>
      <c r="G1347" s="13" t="s">
        <v>2</v>
      </c>
      <c r="H1347" s="13" t="s">
        <v>3</v>
      </c>
      <c r="I1347" s="13" t="s">
        <v>1263</v>
      </c>
      <c r="J1347" s="13" t="s">
        <v>8890</v>
      </c>
      <c r="K1347" s="13" t="s">
        <v>8422</v>
      </c>
      <c r="L1347" s="13" t="s">
        <v>158</v>
      </c>
      <c r="M1347" t="s">
        <v>3</v>
      </c>
    </row>
    <row r="1348" spans="1:13" x14ac:dyDescent="0.25">
      <c r="A1348" s="13" t="s">
        <v>3301</v>
      </c>
      <c r="B1348" s="13" t="s">
        <v>3301</v>
      </c>
      <c r="C1348" s="13" t="s">
        <v>3302</v>
      </c>
      <c r="D1348" s="13">
        <v>2.1</v>
      </c>
      <c r="E1348" s="13" t="s">
        <v>3303</v>
      </c>
      <c r="F1348" s="13" t="s">
        <v>8867</v>
      </c>
      <c r="G1348" s="13" t="s">
        <v>2</v>
      </c>
      <c r="H1348" s="13" t="s">
        <v>3</v>
      </c>
      <c r="I1348" s="13" t="s">
        <v>447</v>
      </c>
      <c r="J1348" s="13" t="s">
        <v>8890</v>
      </c>
      <c r="K1348" s="13" t="s">
        <v>8421</v>
      </c>
      <c r="L1348" s="13" t="s">
        <v>158</v>
      </c>
      <c r="M1348" t="s">
        <v>3</v>
      </c>
    </row>
    <row r="1349" spans="1:13" x14ac:dyDescent="0.25">
      <c r="A1349" s="13" t="s">
        <v>3304</v>
      </c>
      <c r="B1349" s="13" t="s">
        <v>3304</v>
      </c>
      <c r="C1349" s="13" t="s">
        <v>3304</v>
      </c>
      <c r="D1349" s="13">
        <v>30.3</v>
      </c>
      <c r="E1349" s="13" t="s">
        <v>3305</v>
      </c>
      <c r="F1349" s="13" t="s">
        <v>8867</v>
      </c>
      <c r="G1349" s="13" t="s">
        <v>2</v>
      </c>
      <c r="H1349" s="13" t="s">
        <v>3</v>
      </c>
      <c r="I1349" s="13" t="s">
        <v>164</v>
      </c>
      <c r="J1349" s="13" t="s">
        <v>8890</v>
      </c>
      <c r="K1349" s="13" t="s">
        <v>8443</v>
      </c>
      <c r="L1349" s="13" t="s">
        <v>158</v>
      </c>
      <c r="M1349" t="s">
        <v>3</v>
      </c>
    </row>
    <row r="1350" spans="1:13" x14ac:dyDescent="0.25">
      <c r="A1350" s="13" t="s">
        <v>3306</v>
      </c>
      <c r="B1350" s="13" t="s">
        <v>3307</v>
      </c>
      <c r="C1350" s="13" t="s">
        <v>3308</v>
      </c>
      <c r="D1350" s="13">
        <v>75.900000000000006</v>
      </c>
      <c r="E1350" s="13" t="s">
        <v>3309</v>
      </c>
      <c r="F1350" s="13" t="s">
        <v>8867</v>
      </c>
      <c r="G1350" s="13" t="s">
        <v>2</v>
      </c>
      <c r="H1350" s="13" t="s">
        <v>8443</v>
      </c>
      <c r="I1350" s="13" t="s">
        <v>164</v>
      </c>
      <c r="J1350" s="13" t="s">
        <v>8890</v>
      </c>
      <c r="K1350" s="13" t="s">
        <v>8443</v>
      </c>
      <c r="L1350" s="13" t="s">
        <v>158</v>
      </c>
      <c r="M1350" t="s">
        <v>10687</v>
      </c>
    </row>
    <row r="1351" spans="1:13" x14ac:dyDescent="0.25">
      <c r="A1351" s="13" t="s">
        <v>10512</v>
      </c>
      <c r="B1351" s="13" t="s">
        <v>10512</v>
      </c>
      <c r="C1351" s="13" t="s">
        <v>10513</v>
      </c>
      <c r="D1351" s="13">
        <v>4.5</v>
      </c>
      <c r="E1351" s="13" t="s">
        <v>10514</v>
      </c>
      <c r="F1351" s="13" t="s">
        <v>8867</v>
      </c>
      <c r="G1351" s="13" t="s">
        <v>2</v>
      </c>
      <c r="H1351" s="13" t="s">
        <v>3</v>
      </c>
      <c r="I1351" s="13" t="s">
        <v>447</v>
      </c>
      <c r="J1351" s="13" t="s">
        <v>8890</v>
      </c>
      <c r="K1351" s="13" t="s">
        <v>8421</v>
      </c>
      <c r="L1351" s="13" t="s">
        <v>158</v>
      </c>
      <c r="M1351" t="s">
        <v>3</v>
      </c>
    </row>
    <row r="1352" spans="1:13" x14ac:dyDescent="0.25">
      <c r="A1352" s="13" t="s">
        <v>3310</v>
      </c>
      <c r="B1352" s="13" t="s">
        <v>3311</v>
      </c>
      <c r="C1352" s="13" t="s">
        <v>2734</v>
      </c>
      <c r="D1352" s="13">
        <v>3</v>
      </c>
      <c r="E1352" s="13" t="s">
        <v>3312</v>
      </c>
      <c r="F1352" s="13" t="s">
        <v>8867</v>
      </c>
      <c r="G1352" s="13" t="s">
        <v>2</v>
      </c>
      <c r="H1352" s="13" t="s">
        <v>3</v>
      </c>
      <c r="I1352" s="13" t="s">
        <v>2736</v>
      </c>
      <c r="J1352" s="13" t="s">
        <v>8890</v>
      </c>
      <c r="K1352" s="13" t="s">
        <v>8616</v>
      </c>
      <c r="L1352" s="13" t="s">
        <v>158</v>
      </c>
      <c r="M1352" t="s">
        <v>3</v>
      </c>
    </row>
    <row r="1353" spans="1:13" x14ac:dyDescent="0.25">
      <c r="A1353" s="13" t="s">
        <v>3313</v>
      </c>
      <c r="B1353" s="13" t="s">
        <v>3314</v>
      </c>
      <c r="C1353" s="13" t="s">
        <v>3314</v>
      </c>
      <c r="D1353" s="13">
        <v>42.4</v>
      </c>
      <c r="E1353" s="13" t="s">
        <v>3315</v>
      </c>
      <c r="F1353" s="13" t="s">
        <v>8867</v>
      </c>
      <c r="G1353" s="13" t="s">
        <v>2</v>
      </c>
      <c r="H1353" s="13" t="s">
        <v>9243</v>
      </c>
      <c r="I1353" s="13" t="s">
        <v>119</v>
      </c>
      <c r="J1353" s="13" t="s">
        <v>8890</v>
      </c>
      <c r="K1353" s="13" t="s">
        <v>8883</v>
      </c>
      <c r="L1353" s="13" t="s">
        <v>158</v>
      </c>
      <c r="M1353" t="s">
        <v>9243</v>
      </c>
    </row>
    <row r="1354" spans="1:13" x14ac:dyDescent="0.25">
      <c r="A1354" s="13" t="s">
        <v>3316</v>
      </c>
      <c r="B1354" s="13" t="s">
        <v>3316</v>
      </c>
      <c r="C1354" s="13" t="s">
        <v>3317</v>
      </c>
      <c r="D1354" s="13">
        <v>157.5</v>
      </c>
      <c r="E1354" s="13" t="s">
        <v>3318</v>
      </c>
      <c r="F1354" s="13" t="s">
        <v>8867</v>
      </c>
      <c r="G1354" s="13" t="s">
        <v>2</v>
      </c>
      <c r="H1354" s="13" t="s">
        <v>3</v>
      </c>
      <c r="I1354" s="13" t="s">
        <v>1263</v>
      </c>
      <c r="J1354" s="13" t="s">
        <v>8890</v>
      </c>
      <c r="K1354" s="13" t="s">
        <v>8422</v>
      </c>
      <c r="L1354" s="13" t="s">
        <v>158</v>
      </c>
      <c r="M1354" t="s">
        <v>3</v>
      </c>
    </row>
    <row r="1355" spans="1:13" ht="26.25" x14ac:dyDescent="0.25">
      <c r="A1355" s="13" t="s">
        <v>3319</v>
      </c>
      <c r="B1355" s="13" t="s">
        <v>3319</v>
      </c>
      <c r="C1355" s="13" t="s">
        <v>3320</v>
      </c>
      <c r="D1355" s="13">
        <v>1.4</v>
      </c>
      <c r="E1355" s="13" t="s">
        <v>3321</v>
      </c>
      <c r="F1355" s="13" t="s">
        <v>35</v>
      </c>
      <c r="G1355" s="13" t="s">
        <v>19</v>
      </c>
      <c r="H1355" s="13" t="s">
        <v>3</v>
      </c>
      <c r="I1355" s="13" t="s">
        <v>3322</v>
      </c>
      <c r="J1355" s="13" t="s">
        <v>37</v>
      </c>
      <c r="K1355" s="13" t="s">
        <v>3320</v>
      </c>
      <c r="L1355" s="13" t="s">
        <v>35</v>
      </c>
      <c r="M1355" t="s">
        <v>3</v>
      </c>
    </row>
    <row r="1356" spans="1:13" x14ac:dyDescent="0.25">
      <c r="A1356" s="13" t="s">
        <v>9632</v>
      </c>
      <c r="B1356" s="13" t="s">
        <v>9633</v>
      </c>
      <c r="C1356" s="13" t="s">
        <v>9634</v>
      </c>
      <c r="D1356" s="13">
        <v>40</v>
      </c>
      <c r="E1356" s="13" t="s">
        <v>9635</v>
      </c>
      <c r="F1356" s="13" t="s">
        <v>8867</v>
      </c>
      <c r="G1356" s="13" t="s">
        <v>2</v>
      </c>
      <c r="H1356" s="13" t="s">
        <v>8422</v>
      </c>
      <c r="I1356" s="13" t="s">
        <v>1263</v>
      </c>
      <c r="J1356" s="13" t="s">
        <v>8890</v>
      </c>
      <c r="K1356" s="13" t="s">
        <v>8422</v>
      </c>
      <c r="L1356" s="13" t="s">
        <v>158</v>
      </c>
      <c r="M1356" t="s">
        <v>10689</v>
      </c>
    </row>
    <row r="1357" spans="1:13" x14ac:dyDescent="0.25">
      <c r="A1357" s="13" t="s">
        <v>3323</v>
      </c>
      <c r="B1357" s="13" t="s">
        <v>3324</v>
      </c>
      <c r="C1357" s="13" t="s">
        <v>3325</v>
      </c>
      <c r="D1357" s="13">
        <v>35</v>
      </c>
      <c r="E1357" s="13" t="s">
        <v>3326</v>
      </c>
      <c r="F1357" s="13" t="s">
        <v>8867</v>
      </c>
      <c r="G1357" s="13" t="s">
        <v>2</v>
      </c>
      <c r="H1357" s="13" t="s">
        <v>3</v>
      </c>
      <c r="I1357" s="13" t="s">
        <v>1978</v>
      </c>
      <c r="J1357" s="13" t="s">
        <v>8890</v>
      </c>
      <c r="K1357" s="13" t="s">
        <v>8570</v>
      </c>
      <c r="L1357" s="13" t="s">
        <v>158</v>
      </c>
      <c r="M1357" t="s">
        <v>3</v>
      </c>
    </row>
    <row r="1358" spans="1:13" x14ac:dyDescent="0.25">
      <c r="A1358" s="13" t="s">
        <v>3327</v>
      </c>
      <c r="B1358" s="13" t="s">
        <v>3325</v>
      </c>
      <c r="C1358" s="13" t="s">
        <v>3328</v>
      </c>
      <c r="D1358" s="13">
        <v>1.3</v>
      </c>
      <c r="E1358" s="13" t="s">
        <v>3329</v>
      </c>
      <c r="F1358" s="13" t="s">
        <v>8867</v>
      </c>
      <c r="G1358" s="13" t="s">
        <v>2</v>
      </c>
      <c r="H1358" s="13" t="s">
        <v>3</v>
      </c>
      <c r="I1358" s="13" t="s">
        <v>1978</v>
      </c>
      <c r="J1358" s="13" t="s">
        <v>8890</v>
      </c>
      <c r="K1358" s="13" t="s">
        <v>8570</v>
      </c>
      <c r="L1358" s="13" t="s">
        <v>158</v>
      </c>
      <c r="M1358" t="s">
        <v>3</v>
      </c>
    </row>
    <row r="1359" spans="1:13" x14ac:dyDescent="0.25">
      <c r="A1359" s="13" t="s">
        <v>3330</v>
      </c>
      <c r="B1359" s="13" t="s">
        <v>3330</v>
      </c>
      <c r="C1359" s="13" t="s">
        <v>3330</v>
      </c>
      <c r="D1359" s="13">
        <v>10</v>
      </c>
      <c r="E1359" s="13" t="s">
        <v>3331</v>
      </c>
      <c r="F1359" s="13" t="s">
        <v>8867</v>
      </c>
      <c r="G1359" s="13" t="s">
        <v>2</v>
      </c>
      <c r="H1359" s="13" t="s">
        <v>3</v>
      </c>
      <c r="I1359" s="13" t="s">
        <v>119</v>
      </c>
      <c r="J1359" s="13" t="s">
        <v>8890</v>
      </c>
      <c r="K1359" s="13" t="s">
        <v>8883</v>
      </c>
      <c r="L1359" s="13" t="s">
        <v>158</v>
      </c>
      <c r="M1359" t="s">
        <v>3</v>
      </c>
    </row>
    <row r="1360" spans="1:13" x14ac:dyDescent="0.25">
      <c r="A1360" s="13" t="s">
        <v>11545</v>
      </c>
      <c r="B1360" s="13" t="s">
        <v>11545</v>
      </c>
      <c r="C1360" s="13" t="s">
        <v>11546</v>
      </c>
      <c r="D1360" s="13">
        <v>0.9</v>
      </c>
      <c r="E1360" s="13" t="s">
        <v>11547</v>
      </c>
      <c r="F1360" s="13" t="s">
        <v>8867</v>
      </c>
      <c r="G1360" s="13" t="s">
        <v>2</v>
      </c>
      <c r="H1360" s="13" t="s">
        <v>3</v>
      </c>
      <c r="I1360" s="13" t="s">
        <v>1263</v>
      </c>
      <c r="J1360" s="13" t="s">
        <v>8890</v>
      </c>
      <c r="K1360" s="13" t="s">
        <v>8422</v>
      </c>
      <c r="L1360" s="13" t="s">
        <v>158</v>
      </c>
      <c r="M1360" t="s">
        <v>3</v>
      </c>
    </row>
    <row r="1361" spans="1:13" ht="26.25" x14ac:dyDescent="0.25">
      <c r="A1361" s="13" t="s">
        <v>3332</v>
      </c>
      <c r="B1361" s="13" t="s">
        <v>3333</v>
      </c>
      <c r="C1361" s="13" t="s">
        <v>3334</v>
      </c>
      <c r="D1361" s="13">
        <v>0.6</v>
      </c>
      <c r="E1361" s="13" t="s">
        <v>3335</v>
      </c>
      <c r="F1361" s="13" t="s">
        <v>35</v>
      </c>
      <c r="G1361" s="13" t="s">
        <v>19</v>
      </c>
      <c r="H1361" s="13" t="s">
        <v>3</v>
      </c>
      <c r="I1361" s="13" t="s">
        <v>3336</v>
      </c>
      <c r="J1361" s="13" t="s">
        <v>37</v>
      </c>
      <c r="K1361" s="13" t="s">
        <v>8621</v>
      </c>
      <c r="L1361" s="13" t="s">
        <v>35</v>
      </c>
      <c r="M1361" t="s">
        <v>3</v>
      </c>
    </row>
    <row r="1362" spans="1:13" x14ac:dyDescent="0.25">
      <c r="A1362" s="13" t="s">
        <v>9907</v>
      </c>
      <c r="B1362" s="13" t="s">
        <v>9907</v>
      </c>
      <c r="C1362" s="13" t="s">
        <v>9908</v>
      </c>
      <c r="D1362" s="13">
        <v>1.6</v>
      </c>
      <c r="E1362" s="13" t="s">
        <v>9909</v>
      </c>
      <c r="F1362" s="13" t="s">
        <v>8867</v>
      </c>
      <c r="G1362" s="13" t="s">
        <v>2</v>
      </c>
      <c r="H1362" s="13" t="s">
        <v>3</v>
      </c>
      <c r="I1362" s="13" t="s">
        <v>1263</v>
      </c>
      <c r="J1362" s="13" t="s">
        <v>8890</v>
      </c>
      <c r="K1362" s="13" t="s">
        <v>8422</v>
      </c>
      <c r="L1362" s="13" t="s">
        <v>158</v>
      </c>
      <c r="M1362" t="s">
        <v>3</v>
      </c>
    </row>
    <row r="1363" spans="1:13" x14ac:dyDescent="0.25">
      <c r="A1363" s="13" t="s">
        <v>9910</v>
      </c>
      <c r="B1363" s="13" t="s">
        <v>9910</v>
      </c>
      <c r="C1363" s="13" t="s">
        <v>9911</v>
      </c>
      <c r="D1363" s="13">
        <v>1.4</v>
      </c>
      <c r="E1363" s="13" t="s">
        <v>9912</v>
      </c>
      <c r="F1363" s="13" t="s">
        <v>8867</v>
      </c>
      <c r="G1363" s="13" t="s">
        <v>2</v>
      </c>
      <c r="H1363" s="13" t="s">
        <v>3</v>
      </c>
      <c r="I1363" s="13" t="s">
        <v>1263</v>
      </c>
      <c r="J1363" s="13" t="s">
        <v>8890</v>
      </c>
      <c r="K1363" s="13" t="s">
        <v>8422</v>
      </c>
      <c r="L1363" s="13" t="s">
        <v>158</v>
      </c>
      <c r="M1363" t="s">
        <v>3</v>
      </c>
    </row>
    <row r="1364" spans="1:13" ht="26.25" x14ac:dyDescent="0.25">
      <c r="A1364" s="13" t="s">
        <v>3337</v>
      </c>
      <c r="B1364" s="13" t="s">
        <v>3337</v>
      </c>
      <c r="C1364" s="13" t="s">
        <v>3338</v>
      </c>
      <c r="D1364" s="13">
        <v>2</v>
      </c>
      <c r="E1364" s="13" t="s">
        <v>3339</v>
      </c>
      <c r="F1364" s="13" t="s">
        <v>8867</v>
      </c>
      <c r="G1364" s="13" t="s">
        <v>2</v>
      </c>
      <c r="H1364" s="13" t="s">
        <v>3</v>
      </c>
      <c r="I1364" s="13" t="s">
        <v>1263</v>
      </c>
      <c r="J1364" s="13" t="s">
        <v>8890</v>
      </c>
      <c r="K1364" s="13" t="s">
        <v>8422</v>
      </c>
      <c r="L1364" s="13" t="s">
        <v>158</v>
      </c>
      <c r="M1364" t="s">
        <v>3</v>
      </c>
    </row>
    <row r="1365" spans="1:13" x14ac:dyDescent="0.25">
      <c r="A1365" s="13" t="s">
        <v>3340</v>
      </c>
      <c r="B1365" s="13" t="s">
        <v>3340</v>
      </c>
      <c r="C1365" s="13" t="s">
        <v>3341</v>
      </c>
      <c r="D1365" s="13">
        <v>42.2</v>
      </c>
      <c r="E1365" s="13" t="s">
        <v>3342</v>
      </c>
      <c r="F1365" s="13" t="s">
        <v>8867</v>
      </c>
      <c r="G1365" s="13" t="s">
        <v>2</v>
      </c>
      <c r="H1365" s="13" t="s">
        <v>9060</v>
      </c>
      <c r="I1365" s="13" t="s">
        <v>706</v>
      </c>
      <c r="J1365" s="13" t="s">
        <v>8890</v>
      </c>
      <c r="K1365" s="13" t="s">
        <v>8419</v>
      </c>
      <c r="L1365" s="13" t="s">
        <v>158</v>
      </c>
      <c r="M1365" t="s">
        <v>9060</v>
      </c>
    </row>
    <row r="1366" spans="1:13" x14ac:dyDescent="0.25">
      <c r="A1366" s="13" t="s">
        <v>3343</v>
      </c>
      <c r="B1366" s="13" t="s">
        <v>3343</v>
      </c>
      <c r="C1366" s="13" t="s">
        <v>3344</v>
      </c>
      <c r="D1366" s="13">
        <v>42.2</v>
      </c>
      <c r="E1366" s="13" t="s">
        <v>3345</v>
      </c>
      <c r="F1366" s="13" t="s">
        <v>8867</v>
      </c>
      <c r="G1366" s="13" t="s">
        <v>2</v>
      </c>
      <c r="H1366" s="13" t="s">
        <v>3</v>
      </c>
      <c r="I1366" s="13" t="s">
        <v>706</v>
      </c>
      <c r="J1366" s="13" t="s">
        <v>8890</v>
      </c>
      <c r="K1366" s="13" t="s">
        <v>8419</v>
      </c>
      <c r="L1366" s="13" t="s">
        <v>158</v>
      </c>
      <c r="M1366" t="s">
        <v>3</v>
      </c>
    </row>
    <row r="1367" spans="1:13" x14ac:dyDescent="0.25">
      <c r="A1367" s="13" t="s">
        <v>3346</v>
      </c>
      <c r="B1367" s="13" t="s">
        <v>3346</v>
      </c>
      <c r="C1367" s="13" t="s">
        <v>3347</v>
      </c>
      <c r="D1367" s="13">
        <v>40.200000000000003</v>
      </c>
      <c r="E1367" s="13" t="s">
        <v>3348</v>
      </c>
      <c r="F1367" s="13" t="s">
        <v>8867</v>
      </c>
      <c r="G1367" s="13" t="s">
        <v>2</v>
      </c>
      <c r="H1367" s="13" t="s">
        <v>3</v>
      </c>
      <c r="I1367" s="13" t="s">
        <v>706</v>
      </c>
      <c r="J1367" s="13" t="s">
        <v>8890</v>
      </c>
      <c r="K1367" s="13" t="s">
        <v>8419</v>
      </c>
      <c r="L1367" s="13" t="s">
        <v>158</v>
      </c>
      <c r="M1367" t="s">
        <v>3</v>
      </c>
    </row>
    <row r="1368" spans="1:13" ht="26.25" x14ac:dyDescent="0.25">
      <c r="A1368" s="13" t="s">
        <v>3349</v>
      </c>
      <c r="B1368" s="13" t="s">
        <v>3350</v>
      </c>
      <c r="C1368" s="13" t="s">
        <v>3350</v>
      </c>
      <c r="D1368" s="13">
        <v>42.3</v>
      </c>
      <c r="E1368" s="13" t="s">
        <v>3351</v>
      </c>
      <c r="F1368" s="13" t="s">
        <v>8867</v>
      </c>
      <c r="G1368" s="13" t="s">
        <v>2</v>
      </c>
      <c r="H1368" s="13" t="s">
        <v>3</v>
      </c>
      <c r="I1368" s="13" t="s">
        <v>228</v>
      </c>
      <c r="J1368" s="13" t="s">
        <v>8890</v>
      </c>
      <c r="K1368" s="13" t="s">
        <v>8418</v>
      </c>
      <c r="L1368" s="13" t="s">
        <v>158</v>
      </c>
      <c r="M1368" t="s">
        <v>3</v>
      </c>
    </row>
    <row r="1369" spans="1:13" x14ac:dyDescent="0.25">
      <c r="A1369" s="13" t="s">
        <v>9157</v>
      </c>
      <c r="B1369" s="13" t="s">
        <v>9157</v>
      </c>
      <c r="C1369" s="13" t="s">
        <v>9158</v>
      </c>
      <c r="D1369" s="13">
        <v>19.2</v>
      </c>
      <c r="E1369" s="13" t="s">
        <v>9159</v>
      </c>
      <c r="F1369" s="13" t="s">
        <v>8867</v>
      </c>
      <c r="G1369" s="13" t="s">
        <v>2</v>
      </c>
      <c r="H1369" s="13" t="s">
        <v>8422</v>
      </c>
      <c r="I1369" s="13" t="s">
        <v>1263</v>
      </c>
      <c r="J1369" s="13" t="s">
        <v>8890</v>
      </c>
      <c r="K1369" s="13" t="s">
        <v>8422</v>
      </c>
      <c r="L1369" s="13" t="s">
        <v>158</v>
      </c>
      <c r="M1369" t="s">
        <v>10689</v>
      </c>
    </row>
    <row r="1370" spans="1:13" x14ac:dyDescent="0.25">
      <c r="A1370" s="13" t="s">
        <v>9160</v>
      </c>
      <c r="B1370" s="13" t="s">
        <v>9160</v>
      </c>
      <c r="C1370" s="13" t="s">
        <v>9161</v>
      </c>
      <c r="D1370" s="13">
        <v>5</v>
      </c>
      <c r="E1370" s="13" t="s">
        <v>9162</v>
      </c>
      <c r="F1370" s="13" t="s">
        <v>8867</v>
      </c>
      <c r="G1370" s="13" t="s">
        <v>2</v>
      </c>
      <c r="H1370" s="13" t="s">
        <v>3</v>
      </c>
      <c r="I1370" s="13" t="s">
        <v>1263</v>
      </c>
      <c r="J1370" s="13" t="s">
        <v>8890</v>
      </c>
      <c r="K1370" s="13" t="s">
        <v>8422</v>
      </c>
      <c r="L1370" s="13" t="s">
        <v>158</v>
      </c>
      <c r="M1370" t="s">
        <v>3</v>
      </c>
    </row>
    <row r="1371" spans="1:13" x14ac:dyDescent="0.25">
      <c r="A1371" s="13" t="s">
        <v>3352</v>
      </c>
      <c r="B1371" s="13" t="s">
        <v>3352</v>
      </c>
      <c r="C1371" s="13" t="s">
        <v>3353</v>
      </c>
      <c r="D1371" s="13">
        <v>4</v>
      </c>
      <c r="E1371" s="13" t="s">
        <v>3354</v>
      </c>
      <c r="F1371" s="13" t="s">
        <v>8867</v>
      </c>
      <c r="G1371" s="13" t="s">
        <v>2</v>
      </c>
      <c r="H1371" s="13" t="s">
        <v>3</v>
      </c>
      <c r="I1371" s="13" t="s">
        <v>1263</v>
      </c>
      <c r="J1371" s="13" t="s">
        <v>8890</v>
      </c>
      <c r="K1371" s="13" t="s">
        <v>8422</v>
      </c>
      <c r="L1371" s="13" t="s">
        <v>158</v>
      </c>
      <c r="M1371" t="s">
        <v>3</v>
      </c>
    </row>
    <row r="1372" spans="1:13" ht="26.25" x14ac:dyDescent="0.25">
      <c r="A1372" s="13" t="s">
        <v>3355</v>
      </c>
      <c r="B1372" s="13" t="s">
        <v>3355</v>
      </c>
      <c r="C1372" s="13" t="s">
        <v>3356</v>
      </c>
      <c r="D1372" s="13">
        <v>4</v>
      </c>
      <c r="E1372" s="13" t="s">
        <v>3357</v>
      </c>
      <c r="F1372" s="13" t="s">
        <v>8867</v>
      </c>
      <c r="G1372" s="13" t="s">
        <v>2</v>
      </c>
      <c r="H1372" s="13" t="s">
        <v>3</v>
      </c>
      <c r="I1372" s="13" t="s">
        <v>1263</v>
      </c>
      <c r="J1372" s="13" t="s">
        <v>8890</v>
      </c>
      <c r="K1372" s="13" t="s">
        <v>8422</v>
      </c>
      <c r="L1372" s="13" t="s">
        <v>158</v>
      </c>
      <c r="M1372" t="s">
        <v>3</v>
      </c>
    </row>
    <row r="1373" spans="1:13" x14ac:dyDescent="0.25">
      <c r="A1373" s="13" t="s">
        <v>3358</v>
      </c>
      <c r="B1373" s="13" t="s">
        <v>3359</v>
      </c>
      <c r="C1373" s="13" t="s">
        <v>3360</v>
      </c>
      <c r="D1373" s="13">
        <v>5</v>
      </c>
      <c r="E1373" s="13" t="s">
        <v>3361</v>
      </c>
      <c r="F1373" s="13" t="s">
        <v>8867</v>
      </c>
      <c r="G1373" s="13" t="s">
        <v>2</v>
      </c>
      <c r="H1373" s="13" t="s">
        <v>3</v>
      </c>
      <c r="I1373" s="13" t="s">
        <v>1978</v>
      </c>
      <c r="J1373" s="13" t="s">
        <v>8890</v>
      </c>
      <c r="K1373" s="13" t="s">
        <v>8570</v>
      </c>
      <c r="L1373" s="13" t="s">
        <v>158</v>
      </c>
      <c r="M1373" t="s">
        <v>3</v>
      </c>
    </row>
    <row r="1374" spans="1:13" x14ac:dyDescent="0.25">
      <c r="A1374" s="13" t="s">
        <v>3362</v>
      </c>
      <c r="B1374" s="13" t="s">
        <v>3362</v>
      </c>
      <c r="C1374" s="13" t="s">
        <v>3363</v>
      </c>
      <c r="D1374" s="13">
        <v>2.2000000000000002</v>
      </c>
      <c r="E1374" s="13" t="s">
        <v>3364</v>
      </c>
      <c r="F1374" s="13" t="s">
        <v>8867</v>
      </c>
      <c r="G1374" s="13" t="s">
        <v>2</v>
      </c>
      <c r="H1374" s="13" t="s">
        <v>3</v>
      </c>
      <c r="I1374" s="13" t="s">
        <v>1263</v>
      </c>
      <c r="J1374" s="13" t="s">
        <v>8890</v>
      </c>
      <c r="K1374" s="13" t="s">
        <v>8422</v>
      </c>
      <c r="L1374" s="13" t="s">
        <v>158</v>
      </c>
      <c r="M1374" t="s">
        <v>3</v>
      </c>
    </row>
    <row r="1375" spans="1:13" x14ac:dyDescent="0.25">
      <c r="A1375" s="13" t="s">
        <v>9783</v>
      </c>
      <c r="B1375" s="13" t="s">
        <v>9783</v>
      </c>
      <c r="C1375" s="13" t="s">
        <v>9784</v>
      </c>
      <c r="D1375" s="13">
        <v>40</v>
      </c>
      <c r="E1375" s="13" t="s">
        <v>9785</v>
      </c>
      <c r="F1375" s="13" t="s">
        <v>8867</v>
      </c>
      <c r="G1375" s="13" t="s">
        <v>2</v>
      </c>
      <c r="H1375" s="13" t="s">
        <v>3</v>
      </c>
      <c r="I1375" s="13" t="s">
        <v>1263</v>
      </c>
      <c r="J1375" s="13" t="s">
        <v>8890</v>
      </c>
      <c r="K1375" s="13" t="s">
        <v>8422</v>
      </c>
      <c r="L1375" s="13" t="s">
        <v>158</v>
      </c>
      <c r="M1375" t="s">
        <v>3</v>
      </c>
    </row>
    <row r="1376" spans="1:13" x14ac:dyDescent="0.25">
      <c r="A1376" s="13" t="s">
        <v>9786</v>
      </c>
      <c r="B1376" s="13" t="s">
        <v>9786</v>
      </c>
      <c r="C1376" s="13" t="s">
        <v>9787</v>
      </c>
      <c r="D1376" s="13">
        <v>40</v>
      </c>
      <c r="E1376" s="13" t="s">
        <v>9788</v>
      </c>
      <c r="F1376" s="13" t="s">
        <v>8867</v>
      </c>
      <c r="G1376" s="13" t="s">
        <v>2</v>
      </c>
      <c r="H1376" s="13" t="s">
        <v>3</v>
      </c>
      <c r="I1376" s="13" t="s">
        <v>1263</v>
      </c>
      <c r="J1376" s="13" t="s">
        <v>8890</v>
      </c>
      <c r="K1376" s="13" t="s">
        <v>8422</v>
      </c>
      <c r="L1376" s="13" t="s">
        <v>158</v>
      </c>
      <c r="M1376" t="s">
        <v>3</v>
      </c>
    </row>
    <row r="1377" spans="1:13" ht="26.25" x14ac:dyDescent="0.25">
      <c r="A1377" s="13" t="s">
        <v>3365</v>
      </c>
      <c r="B1377" s="13" t="s">
        <v>3366</v>
      </c>
      <c r="C1377" s="13" t="s">
        <v>3367</v>
      </c>
      <c r="D1377" s="13">
        <v>16.8</v>
      </c>
      <c r="E1377" s="13" t="s">
        <v>3368</v>
      </c>
      <c r="F1377" s="13" t="s">
        <v>8867</v>
      </c>
      <c r="G1377" s="13" t="s">
        <v>2</v>
      </c>
      <c r="H1377" s="13" t="s">
        <v>3</v>
      </c>
      <c r="I1377" s="13" t="s">
        <v>228</v>
      </c>
      <c r="J1377" s="13" t="s">
        <v>8890</v>
      </c>
      <c r="K1377" s="13" t="s">
        <v>8418</v>
      </c>
      <c r="L1377" s="13" t="s">
        <v>158</v>
      </c>
      <c r="M1377" t="s">
        <v>3</v>
      </c>
    </row>
    <row r="1378" spans="1:13" ht="26.25" x14ac:dyDescent="0.25">
      <c r="A1378" s="13" t="s">
        <v>3369</v>
      </c>
      <c r="B1378" s="13" t="s">
        <v>3369</v>
      </c>
      <c r="C1378" s="13" t="s">
        <v>3370</v>
      </c>
      <c r="D1378" s="13">
        <v>1.1000000000000001</v>
      </c>
      <c r="E1378" s="13" t="s">
        <v>3371</v>
      </c>
      <c r="F1378" s="13" t="s">
        <v>8867</v>
      </c>
      <c r="G1378" s="13" t="s">
        <v>2</v>
      </c>
      <c r="H1378" s="13" t="s">
        <v>3</v>
      </c>
      <c r="I1378" s="13" t="s">
        <v>1263</v>
      </c>
      <c r="J1378" s="13" t="s">
        <v>8890</v>
      </c>
      <c r="K1378" s="13" t="s">
        <v>8422</v>
      </c>
      <c r="L1378" s="13" t="s">
        <v>158</v>
      </c>
      <c r="M1378" t="s">
        <v>3</v>
      </c>
    </row>
    <row r="1379" spans="1:13" x14ac:dyDescent="0.25">
      <c r="A1379" s="13" t="s">
        <v>3372</v>
      </c>
      <c r="B1379" s="13" t="s">
        <v>3372</v>
      </c>
      <c r="C1379" s="13" t="s">
        <v>3373</v>
      </c>
      <c r="D1379" s="13">
        <v>6</v>
      </c>
      <c r="E1379" s="13" t="s">
        <v>3374</v>
      </c>
      <c r="F1379" s="13" t="s">
        <v>8867</v>
      </c>
      <c r="G1379" s="13" t="s">
        <v>2</v>
      </c>
      <c r="H1379" s="13" t="s">
        <v>3</v>
      </c>
      <c r="I1379" s="13" t="s">
        <v>1263</v>
      </c>
      <c r="J1379" s="13" t="s">
        <v>8890</v>
      </c>
      <c r="K1379" s="13" t="s">
        <v>8422</v>
      </c>
      <c r="L1379" s="13" t="s">
        <v>158</v>
      </c>
      <c r="M1379" t="s">
        <v>3</v>
      </c>
    </row>
    <row r="1380" spans="1:13" x14ac:dyDescent="0.25">
      <c r="A1380" s="13" t="s">
        <v>3375</v>
      </c>
      <c r="B1380" s="13" t="s">
        <v>3375</v>
      </c>
      <c r="C1380" s="13" t="s">
        <v>3376</v>
      </c>
      <c r="D1380" s="13">
        <v>42</v>
      </c>
      <c r="E1380" s="13" t="s">
        <v>3377</v>
      </c>
      <c r="F1380" s="13" t="s">
        <v>8867</v>
      </c>
      <c r="G1380" s="13" t="s">
        <v>2</v>
      </c>
      <c r="H1380" s="13" t="s">
        <v>3</v>
      </c>
      <c r="I1380" s="13" t="s">
        <v>1978</v>
      </c>
      <c r="J1380" s="13" t="s">
        <v>8890</v>
      </c>
      <c r="K1380" s="13" t="s">
        <v>8570</v>
      </c>
      <c r="L1380" s="13" t="s">
        <v>158</v>
      </c>
      <c r="M1380" t="s">
        <v>3</v>
      </c>
    </row>
    <row r="1381" spans="1:13" ht="26.25" x14ac:dyDescent="0.25">
      <c r="A1381" s="13" t="s">
        <v>3378</v>
      </c>
      <c r="B1381" s="13" t="s">
        <v>3378</v>
      </c>
      <c r="C1381" s="13" t="s">
        <v>3379</v>
      </c>
      <c r="D1381" s="13">
        <v>39.799999999999997</v>
      </c>
      <c r="E1381" s="13" t="s">
        <v>3379</v>
      </c>
      <c r="F1381" s="13" t="s">
        <v>8867</v>
      </c>
      <c r="G1381" s="13" t="s">
        <v>2</v>
      </c>
      <c r="H1381" s="13" t="s">
        <v>8421</v>
      </c>
      <c r="I1381" s="13" t="s">
        <v>447</v>
      </c>
      <c r="J1381" s="13" t="s">
        <v>8890</v>
      </c>
      <c r="K1381" s="13" t="s">
        <v>8421</v>
      </c>
      <c r="L1381" s="13" t="s">
        <v>158</v>
      </c>
      <c r="M1381" t="s">
        <v>10690</v>
      </c>
    </row>
    <row r="1382" spans="1:13" x14ac:dyDescent="0.25">
      <c r="A1382" s="13" t="s">
        <v>10193</v>
      </c>
      <c r="B1382" s="13" t="s">
        <v>10193</v>
      </c>
      <c r="C1382" s="13" t="s">
        <v>10194</v>
      </c>
      <c r="D1382" s="13">
        <v>33.1</v>
      </c>
      <c r="E1382" s="13" t="s">
        <v>10195</v>
      </c>
      <c r="F1382" s="13" t="s">
        <v>8867</v>
      </c>
      <c r="G1382" s="13" t="s">
        <v>2</v>
      </c>
      <c r="H1382" s="13" t="s">
        <v>9060</v>
      </c>
      <c r="I1382" s="13" t="s">
        <v>706</v>
      </c>
      <c r="J1382" s="13" t="s">
        <v>8890</v>
      </c>
      <c r="K1382" s="13" t="s">
        <v>8419</v>
      </c>
      <c r="L1382" s="13" t="s">
        <v>158</v>
      </c>
      <c r="M1382" t="s">
        <v>9060</v>
      </c>
    </row>
    <row r="1383" spans="1:13" x14ac:dyDescent="0.25">
      <c r="A1383" s="13" t="s">
        <v>3380</v>
      </c>
      <c r="B1383" s="13" t="s">
        <v>3380</v>
      </c>
      <c r="C1383" s="13" t="s">
        <v>3381</v>
      </c>
      <c r="D1383" s="13">
        <v>10</v>
      </c>
      <c r="E1383" s="13" t="s">
        <v>3382</v>
      </c>
      <c r="F1383" s="13" t="s">
        <v>8867</v>
      </c>
      <c r="G1383" s="13" t="s">
        <v>2</v>
      </c>
      <c r="H1383" s="13" t="s">
        <v>3</v>
      </c>
      <c r="I1383" s="13" t="s">
        <v>1263</v>
      </c>
      <c r="J1383" s="13" t="s">
        <v>8890</v>
      </c>
      <c r="K1383" s="13" t="s">
        <v>8422</v>
      </c>
      <c r="L1383" s="13" t="s">
        <v>158</v>
      </c>
      <c r="M1383" t="s">
        <v>3</v>
      </c>
    </row>
    <row r="1384" spans="1:13" x14ac:dyDescent="0.25">
      <c r="A1384" s="13" t="s">
        <v>3383</v>
      </c>
      <c r="B1384" s="13" t="s">
        <v>3384</v>
      </c>
      <c r="C1384" s="13" t="s">
        <v>3385</v>
      </c>
      <c r="D1384" s="13">
        <v>15</v>
      </c>
      <c r="E1384" s="13" t="s">
        <v>3386</v>
      </c>
      <c r="F1384" s="13" t="s">
        <v>8867</v>
      </c>
      <c r="G1384" s="13" t="s">
        <v>2</v>
      </c>
      <c r="H1384" s="13" t="s">
        <v>3</v>
      </c>
      <c r="I1384" s="13" t="s">
        <v>1283</v>
      </c>
      <c r="J1384" s="13" t="s">
        <v>8890</v>
      </c>
      <c r="K1384" s="13" t="s">
        <v>8524</v>
      </c>
      <c r="L1384" s="13" t="s">
        <v>158</v>
      </c>
      <c r="M1384" t="s">
        <v>3</v>
      </c>
    </row>
    <row r="1385" spans="1:13" x14ac:dyDescent="0.25">
      <c r="A1385" s="13" t="s">
        <v>11264</v>
      </c>
      <c r="B1385" s="13" t="s">
        <v>11264</v>
      </c>
      <c r="C1385" s="13" t="s">
        <v>11265</v>
      </c>
      <c r="D1385" s="13">
        <v>10</v>
      </c>
      <c r="E1385" s="13" t="s">
        <v>11266</v>
      </c>
      <c r="F1385" s="13" t="s">
        <v>8867</v>
      </c>
      <c r="G1385" s="13" t="s">
        <v>2</v>
      </c>
      <c r="H1385" s="13" t="s">
        <v>3</v>
      </c>
      <c r="I1385" s="13" t="s">
        <v>447</v>
      </c>
      <c r="J1385" s="13" t="s">
        <v>8890</v>
      </c>
      <c r="K1385" s="13" t="s">
        <v>8421</v>
      </c>
      <c r="L1385" s="13" t="s">
        <v>158</v>
      </c>
      <c r="M1385" t="s">
        <v>3</v>
      </c>
    </row>
    <row r="1386" spans="1:13" x14ac:dyDescent="0.25">
      <c r="A1386" s="13" t="s">
        <v>3387</v>
      </c>
      <c r="B1386" s="13" t="s">
        <v>3387</v>
      </c>
      <c r="C1386" s="13" t="s">
        <v>3388</v>
      </c>
      <c r="D1386" s="13">
        <v>1.7</v>
      </c>
      <c r="E1386" s="13" t="s">
        <v>3389</v>
      </c>
      <c r="F1386" s="13" t="s">
        <v>8867</v>
      </c>
      <c r="G1386" s="13" t="s">
        <v>2</v>
      </c>
      <c r="H1386" s="13" t="s">
        <v>3</v>
      </c>
      <c r="I1386" s="13" t="s">
        <v>1263</v>
      </c>
      <c r="J1386" s="13" t="s">
        <v>8890</v>
      </c>
      <c r="K1386" s="13" t="s">
        <v>8422</v>
      </c>
      <c r="L1386" s="13" t="s">
        <v>158</v>
      </c>
      <c r="M1386" t="s">
        <v>3</v>
      </c>
    </row>
    <row r="1387" spans="1:13" x14ac:dyDescent="0.25">
      <c r="A1387" s="13" t="s">
        <v>3390</v>
      </c>
      <c r="B1387" s="13" t="s">
        <v>3390</v>
      </c>
      <c r="C1387" s="13" t="s">
        <v>3391</v>
      </c>
      <c r="D1387" s="13">
        <v>33</v>
      </c>
      <c r="E1387" s="13" t="s">
        <v>3392</v>
      </c>
      <c r="F1387" s="13" t="s">
        <v>8867</v>
      </c>
      <c r="G1387" s="13" t="s">
        <v>2</v>
      </c>
      <c r="H1387" s="13" t="s">
        <v>8422</v>
      </c>
      <c r="I1387" s="13" t="s">
        <v>1263</v>
      </c>
      <c r="J1387" s="13" t="s">
        <v>8890</v>
      </c>
      <c r="K1387" s="13" t="s">
        <v>8422</v>
      </c>
      <c r="L1387" s="13" t="s">
        <v>158</v>
      </c>
      <c r="M1387" t="s">
        <v>10689</v>
      </c>
    </row>
    <row r="1388" spans="1:13" ht="26.25" x14ac:dyDescent="0.25">
      <c r="A1388" s="13" t="s">
        <v>11059</v>
      </c>
      <c r="B1388" s="13" t="s">
        <v>11059</v>
      </c>
      <c r="C1388" s="13" t="s">
        <v>11060</v>
      </c>
      <c r="D1388" s="13">
        <v>1.5</v>
      </c>
      <c r="E1388" s="13" t="s">
        <v>11061</v>
      </c>
      <c r="F1388" s="13" t="s">
        <v>8867</v>
      </c>
      <c r="G1388" s="13" t="s">
        <v>2</v>
      </c>
      <c r="H1388" s="13" t="s">
        <v>3</v>
      </c>
      <c r="I1388" s="13" t="s">
        <v>1263</v>
      </c>
      <c r="J1388" s="13" t="s">
        <v>8890</v>
      </c>
      <c r="K1388" s="13" t="s">
        <v>8422</v>
      </c>
      <c r="L1388" s="13" t="s">
        <v>158</v>
      </c>
      <c r="M1388" t="s">
        <v>3</v>
      </c>
    </row>
    <row r="1389" spans="1:13" x14ac:dyDescent="0.25">
      <c r="A1389" s="13" t="s">
        <v>3393</v>
      </c>
      <c r="B1389" s="13" t="s">
        <v>3393</v>
      </c>
      <c r="C1389" s="13" t="s">
        <v>3393</v>
      </c>
      <c r="D1389" s="13">
        <v>9.9</v>
      </c>
      <c r="E1389" s="13" t="s">
        <v>3394</v>
      </c>
      <c r="F1389" s="13" t="s">
        <v>8867</v>
      </c>
      <c r="G1389" s="13" t="s">
        <v>2</v>
      </c>
      <c r="H1389" s="13" t="s">
        <v>3</v>
      </c>
      <c r="I1389" s="13" t="s">
        <v>119</v>
      </c>
      <c r="J1389" s="13" t="s">
        <v>8890</v>
      </c>
      <c r="K1389" s="13" t="s">
        <v>8883</v>
      </c>
      <c r="L1389" s="13" t="s">
        <v>158</v>
      </c>
      <c r="M1389" t="s">
        <v>3</v>
      </c>
    </row>
    <row r="1390" spans="1:13" x14ac:dyDescent="0.25">
      <c r="A1390" s="13" t="s">
        <v>9163</v>
      </c>
      <c r="B1390" s="13" t="s">
        <v>9163</v>
      </c>
      <c r="C1390" s="13" t="s">
        <v>9164</v>
      </c>
      <c r="D1390" s="13">
        <v>10</v>
      </c>
      <c r="E1390" s="13" t="s">
        <v>9165</v>
      </c>
      <c r="F1390" s="13" t="s">
        <v>8867</v>
      </c>
      <c r="G1390" s="13" t="s">
        <v>2</v>
      </c>
      <c r="H1390" s="13" t="s">
        <v>11195</v>
      </c>
      <c r="I1390" s="13" t="s">
        <v>809</v>
      </c>
      <c r="J1390" s="13" t="s">
        <v>8890</v>
      </c>
      <c r="K1390" s="13" t="s">
        <v>8512</v>
      </c>
      <c r="L1390" s="13" t="s">
        <v>158</v>
      </c>
      <c r="M1390" t="s">
        <v>11195</v>
      </c>
    </row>
    <row r="1391" spans="1:13" ht="26.25" x14ac:dyDescent="0.25">
      <c r="A1391" s="13" t="s">
        <v>3395</v>
      </c>
      <c r="B1391" s="13" t="s">
        <v>3395</v>
      </c>
      <c r="C1391" s="13" t="s">
        <v>3396</v>
      </c>
      <c r="D1391" s="13">
        <v>2.2000000000000002</v>
      </c>
      <c r="E1391" s="13" t="s">
        <v>3397</v>
      </c>
      <c r="F1391" s="13" t="s">
        <v>8867</v>
      </c>
      <c r="G1391" s="13" t="s">
        <v>2</v>
      </c>
      <c r="H1391" s="13" t="s">
        <v>3</v>
      </c>
      <c r="I1391" s="13" t="s">
        <v>1263</v>
      </c>
      <c r="J1391" s="13" t="s">
        <v>8890</v>
      </c>
      <c r="K1391" s="13" t="s">
        <v>8422</v>
      </c>
      <c r="L1391" s="13" t="s">
        <v>158</v>
      </c>
      <c r="M1391" t="s">
        <v>3</v>
      </c>
    </row>
    <row r="1392" spans="1:13" x14ac:dyDescent="0.25">
      <c r="A1392" s="13" t="s">
        <v>11267</v>
      </c>
      <c r="B1392" s="13" t="s">
        <v>11267</v>
      </c>
      <c r="C1392" s="13" t="s">
        <v>11268</v>
      </c>
      <c r="D1392" s="13">
        <v>1.5</v>
      </c>
      <c r="E1392" s="13" t="s">
        <v>11269</v>
      </c>
      <c r="F1392" s="13" t="s">
        <v>8867</v>
      </c>
      <c r="G1392" s="13" t="s">
        <v>2</v>
      </c>
      <c r="H1392" s="13" t="s">
        <v>3</v>
      </c>
      <c r="I1392" s="13" t="s">
        <v>1263</v>
      </c>
      <c r="J1392" s="13" t="s">
        <v>8890</v>
      </c>
      <c r="K1392" s="13" t="s">
        <v>8422</v>
      </c>
      <c r="L1392" s="13" t="s">
        <v>158</v>
      </c>
      <c r="M1392" t="s">
        <v>3</v>
      </c>
    </row>
    <row r="1393" spans="1:13" x14ac:dyDescent="0.25">
      <c r="A1393" s="13" t="s">
        <v>11548</v>
      </c>
      <c r="B1393" s="13" t="s">
        <v>11548</v>
      </c>
      <c r="C1393" s="13" t="s">
        <v>11549</v>
      </c>
      <c r="D1393" s="13">
        <v>5.7</v>
      </c>
      <c r="E1393" s="13" t="s">
        <v>11550</v>
      </c>
      <c r="F1393" s="13" t="s">
        <v>8867</v>
      </c>
      <c r="G1393" s="13" t="s">
        <v>2</v>
      </c>
      <c r="H1393" s="13" t="s">
        <v>3</v>
      </c>
      <c r="I1393" s="13" t="s">
        <v>1263</v>
      </c>
      <c r="J1393" s="13" t="s">
        <v>8890</v>
      </c>
      <c r="K1393" s="13" t="s">
        <v>8422</v>
      </c>
      <c r="L1393" s="13" t="s">
        <v>158</v>
      </c>
      <c r="M1393" t="s">
        <v>3</v>
      </c>
    </row>
    <row r="1394" spans="1:13" x14ac:dyDescent="0.25">
      <c r="A1394" s="13" t="s">
        <v>9913</v>
      </c>
      <c r="B1394" s="13" t="s">
        <v>9913</v>
      </c>
      <c r="C1394" s="13" t="s">
        <v>9914</v>
      </c>
      <c r="D1394" s="13">
        <v>5</v>
      </c>
      <c r="E1394" s="13" t="s">
        <v>9915</v>
      </c>
      <c r="F1394" s="13" t="s">
        <v>8867</v>
      </c>
      <c r="G1394" s="13" t="s">
        <v>2</v>
      </c>
      <c r="H1394" s="13" t="s">
        <v>3</v>
      </c>
      <c r="I1394" s="13" t="s">
        <v>1263</v>
      </c>
      <c r="J1394" s="13" t="s">
        <v>8890</v>
      </c>
      <c r="K1394" s="13" t="s">
        <v>8422</v>
      </c>
      <c r="L1394" s="13" t="s">
        <v>158</v>
      </c>
      <c r="M1394" t="s">
        <v>3</v>
      </c>
    </row>
    <row r="1395" spans="1:13" x14ac:dyDescent="0.25">
      <c r="A1395" s="13" t="s">
        <v>3398</v>
      </c>
      <c r="B1395" s="13" t="s">
        <v>3399</v>
      </c>
      <c r="C1395" s="13" t="s">
        <v>3400</v>
      </c>
      <c r="D1395" s="13">
        <v>52.1</v>
      </c>
      <c r="E1395" s="13" t="s">
        <v>3401</v>
      </c>
      <c r="F1395" s="13" t="s">
        <v>8867</v>
      </c>
      <c r="G1395" s="13" t="s">
        <v>2</v>
      </c>
      <c r="H1395" s="13" t="s">
        <v>3</v>
      </c>
      <c r="I1395" s="13" t="s">
        <v>1834</v>
      </c>
      <c r="J1395" s="13" t="s">
        <v>8890</v>
      </c>
      <c r="K1395" s="13" t="s">
        <v>3164</v>
      </c>
      <c r="L1395" s="13" t="s">
        <v>158</v>
      </c>
      <c r="M1395" t="s">
        <v>3</v>
      </c>
    </row>
    <row r="1396" spans="1:13" x14ac:dyDescent="0.25">
      <c r="A1396" s="13" t="s">
        <v>3402</v>
      </c>
      <c r="B1396" s="13" t="s">
        <v>3402</v>
      </c>
      <c r="C1396" s="13" t="s">
        <v>3402</v>
      </c>
      <c r="D1396" s="13">
        <v>7</v>
      </c>
      <c r="E1396" s="13" t="s">
        <v>3403</v>
      </c>
      <c r="F1396" s="13" t="s">
        <v>8867</v>
      </c>
      <c r="G1396" s="13" t="s">
        <v>2</v>
      </c>
      <c r="H1396" s="13" t="s">
        <v>3</v>
      </c>
      <c r="I1396" s="13" t="s">
        <v>1978</v>
      </c>
      <c r="J1396" s="13" t="s">
        <v>8890</v>
      </c>
      <c r="K1396" s="13" t="s">
        <v>8570</v>
      </c>
      <c r="L1396" s="13" t="s">
        <v>158</v>
      </c>
      <c r="M1396" t="s">
        <v>3</v>
      </c>
    </row>
    <row r="1397" spans="1:13" x14ac:dyDescent="0.25">
      <c r="A1397" s="13" t="s">
        <v>3404</v>
      </c>
      <c r="B1397" s="13" t="s">
        <v>3404</v>
      </c>
      <c r="C1397" s="13" t="s">
        <v>3405</v>
      </c>
      <c r="D1397" s="13">
        <v>45.8</v>
      </c>
      <c r="E1397" s="13" t="s">
        <v>3406</v>
      </c>
      <c r="F1397" s="13" t="s">
        <v>8867</v>
      </c>
      <c r="G1397" s="13" t="s">
        <v>2</v>
      </c>
      <c r="H1397" s="13" t="s">
        <v>8422</v>
      </c>
      <c r="I1397" s="13" t="s">
        <v>1263</v>
      </c>
      <c r="J1397" s="13" t="s">
        <v>8890</v>
      </c>
      <c r="K1397" s="13" t="s">
        <v>8422</v>
      </c>
      <c r="L1397" s="13" t="s">
        <v>158</v>
      </c>
      <c r="M1397" t="s">
        <v>10689</v>
      </c>
    </row>
    <row r="1398" spans="1:13" x14ac:dyDescent="0.25">
      <c r="A1398" s="13" t="s">
        <v>3407</v>
      </c>
      <c r="B1398" s="13" t="s">
        <v>3407</v>
      </c>
      <c r="C1398" s="13" t="s">
        <v>3408</v>
      </c>
      <c r="D1398" s="13">
        <v>3.3</v>
      </c>
      <c r="E1398" s="13" t="s">
        <v>3409</v>
      </c>
      <c r="F1398" s="13" t="s">
        <v>8867</v>
      </c>
      <c r="G1398" s="13" t="s">
        <v>2</v>
      </c>
      <c r="H1398" s="13" t="s">
        <v>3</v>
      </c>
      <c r="I1398" s="13" t="s">
        <v>1263</v>
      </c>
      <c r="J1398" s="13" t="s">
        <v>8890</v>
      </c>
      <c r="K1398" s="13" t="s">
        <v>8422</v>
      </c>
      <c r="L1398" s="13" t="s">
        <v>158</v>
      </c>
      <c r="M1398" t="s">
        <v>3</v>
      </c>
    </row>
    <row r="1399" spans="1:13" x14ac:dyDescent="0.25">
      <c r="A1399" s="13" t="s">
        <v>3410</v>
      </c>
      <c r="B1399" s="13" t="s">
        <v>3411</v>
      </c>
      <c r="C1399" s="13" t="s">
        <v>3412</v>
      </c>
      <c r="D1399" s="13">
        <v>30</v>
      </c>
      <c r="E1399" s="13" t="s">
        <v>3413</v>
      </c>
      <c r="F1399" s="13" t="s">
        <v>8867</v>
      </c>
      <c r="G1399" s="13" t="s">
        <v>2</v>
      </c>
      <c r="H1399" s="13" t="s">
        <v>3</v>
      </c>
      <c r="I1399" s="13" t="s">
        <v>228</v>
      </c>
      <c r="J1399" s="13" t="s">
        <v>8890</v>
      </c>
      <c r="K1399" s="13" t="s">
        <v>8418</v>
      </c>
      <c r="L1399" s="13" t="s">
        <v>158</v>
      </c>
      <c r="M1399" t="s">
        <v>3</v>
      </c>
    </row>
    <row r="1400" spans="1:13" x14ac:dyDescent="0.25">
      <c r="A1400" s="13" t="s">
        <v>10738</v>
      </c>
      <c r="B1400" s="13" t="s">
        <v>10738</v>
      </c>
      <c r="C1400" s="13" t="s">
        <v>10738</v>
      </c>
      <c r="D1400" s="13">
        <v>4.5999999999999996</v>
      </c>
      <c r="E1400" s="13" t="s">
        <v>10739</v>
      </c>
      <c r="F1400" s="13" t="s">
        <v>8867</v>
      </c>
      <c r="G1400" s="13" t="s">
        <v>2</v>
      </c>
      <c r="H1400" s="13" t="s">
        <v>3</v>
      </c>
      <c r="I1400" s="13" t="s">
        <v>706</v>
      </c>
      <c r="J1400" s="13" t="s">
        <v>8890</v>
      </c>
      <c r="K1400" s="13" t="s">
        <v>8419</v>
      </c>
      <c r="L1400" s="13" t="s">
        <v>158</v>
      </c>
      <c r="M1400" t="s">
        <v>3</v>
      </c>
    </row>
    <row r="1401" spans="1:13" x14ac:dyDescent="0.25">
      <c r="A1401" s="13" t="s">
        <v>3414</v>
      </c>
      <c r="B1401" s="13" t="s">
        <v>3414</v>
      </c>
      <c r="C1401" s="13" t="s">
        <v>9166</v>
      </c>
      <c r="D1401" s="13">
        <v>1.4</v>
      </c>
      <c r="E1401" s="13" t="s">
        <v>3415</v>
      </c>
      <c r="F1401" s="13" t="s">
        <v>8867</v>
      </c>
      <c r="G1401" s="13" t="s">
        <v>2</v>
      </c>
      <c r="H1401" s="13" t="s">
        <v>3</v>
      </c>
      <c r="I1401" s="13" t="s">
        <v>1263</v>
      </c>
      <c r="J1401" s="13" t="s">
        <v>8890</v>
      </c>
      <c r="K1401" s="13" t="s">
        <v>8422</v>
      </c>
      <c r="L1401" s="13" t="s">
        <v>158</v>
      </c>
      <c r="M1401" t="s">
        <v>3</v>
      </c>
    </row>
    <row r="1402" spans="1:13" x14ac:dyDescent="0.25">
      <c r="A1402" s="13" t="s">
        <v>3416</v>
      </c>
      <c r="B1402" s="13" t="s">
        <v>3417</v>
      </c>
      <c r="C1402" s="13" t="s">
        <v>3418</v>
      </c>
      <c r="D1402" s="13">
        <v>40</v>
      </c>
      <c r="E1402" s="13" t="s">
        <v>3419</v>
      </c>
      <c r="F1402" s="13" t="s">
        <v>8867</v>
      </c>
      <c r="G1402" s="13" t="s">
        <v>2</v>
      </c>
      <c r="H1402" s="13" t="s">
        <v>8422</v>
      </c>
      <c r="I1402" s="13" t="s">
        <v>1263</v>
      </c>
      <c r="J1402" s="13" t="s">
        <v>8890</v>
      </c>
      <c r="K1402" s="13" t="s">
        <v>8422</v>
      </c>
      <c r="L1402" s="13" t="s">
        <v>158</v>
      </c>
      <c r="M1402" t="s">
        <v>10689</v>
      </c>
    </row>
    <row r="1403" spans="1:13" x14ac:dyDescent="0.25">
      <c r="A1403" s="13" t="s">
        <v>3420</v>
      </c>
      <c r="B1403" s="13" t="s">
        <v>3420</v>
      </c>
      <c r="C1403" s="13" t="s">
        <v>3421</v>
      </c>
      <c r="D1403" s="13">
        <v>7.1</v>
      </c>
      <c r="E1403" s="13" t="s">
        <v>3422</v>
      </c>
      <c r="F1403" s="13" t="s">
        <v>8867</v>
      </c>
      <c r="G1403" s="13" t="s">
        <v>2</v>
      </c>
      <c r="H1403" s="13" t="s">
        <v>3</v>
      </c>
      <c r="I1403" s="13" t="s">
        <v>1263</v>
      </c>
      <c r="J1403" s="13" t="s">
        <v>8890</v>
      </c>
      <c r="K1403" s="13" t="s">
        <v>8422</v>
      </c>
      <c r="L1403" s="13" t="s">
        <v>158</v>
      </c>
      <c r="M1403" t="s">
        <v>3</v>
      </c>
    </row>
    <row r="1404" spans="1:13" x14ac:dyDescent="0.25">
      <c r="A1404" s="13" t="s">
        <v>9167</v>
      </c>
      <c r="B1404" s="13" t="s">
        <v>9167</v>
      </c>
      <c r="C1404" s="13" t="s">
        <v>9167</v>
      </c>
      <c r="D1404" s="13">
        <v>5</v>
      </c>
      <c r="E1404" s="13" t="s">
        <v>9168</v>
      </c>
      <c r="F1404" s="13" t="s">
        <v>8867</v>
      </c>
      <c r="G1404" s="13" t="s">
        <v>2</v>
      </c>
      <c r="H1404" s="13" t="s">
        <v>3</v>
      </c>
      <c r="I1404" s="13" t="s">
        <v>706</v>
      </c>
      <c r="J1404" s="13" t="s">
        <v>8890</v>
      </c>
      <c r="K1404" s="13" t="s">
        <v>8419</v>
      </c>
      <c r="L1404" s="13" t="s">
        <v>158</v>
      </c>
      <c r="M1404" t="s">
        <v>3</v>
      </c>
    </row>
    <row r="1405" spans="1:13" x14ac:dyDescent="0.25">
      <c r="A1405" s="13" t="s">
        <v>3423</v>
      </c>
      <c r="B1405" s="13" t="s">
        <v>3423</v>
      </c>
      <c r="C1405" s="13" t="s">
        <v>3424</v>
      </c>
      <c r="D1405" s="13">
        <v>42.2</v>
      </c>
      <c r="E1405" s="13" t="s">
        <v>3425</v>
      </c>
      <c r="F1405" s="13" t="s">
        <v>8867</v>
      </c>
      <c r="G1405" s="13" t="s">
        <v>2</v>
      </c>
      <c r="H1405" s="13" t="s">
        <v>8422</v>
      </c>
      <c r="I1405" s="13" t="s">
        <v>1263</v>
      </c>
      <c r="J1405" s="13" t="s">
        <v>8890</v>
      </c>
      <c r="K1405" s="13" t="s">
        <v>8422</v>
      </c>
      <c r="L1405" s="13" t="s">
        <v>158</v>
      </c>
      <c r="M1405" t="s">
        <v>10689</v>
      </c>
    </row>
    <row r="1406" spans="1:13" x14ac:dyDescent="0.25">
      <c r="A1406" s="13" t="s">
        <v>10196</v>
      </c>
      <c r="B1406" s="13" t="s">
        <v>10196</v>
      </c>
      <c r="C1406" s="13" t="s">
        <v>10197</v>
      </c>
      <c r="D1406" s="13">
        <v>30</v>
      </c>
      <c r="E1406" s="13" t="s">
        <v>10198</v>
      </c>
      <c r="F1406" s="13" t="s">
        <v>8867</v>
      </c>
      <c r="G1406" s="13" t="s">
        <v>2</v>
      </c>
      <c r="H1406" s="13" t="s">
        <v>3</v>
      </c>
      <c r="I1406" s="13" t="s">
        <v>1263</v>
      </c>
      <c r="J1406" s="13" t="s">
        <v>8890</v>
      </c>
      <c r="K1406" s="13" t="s">
        <v>8422</v>
      </c>
      <c r="L1406" s="13" t="s">
        <v>158</v>
      </c>
      <c r="M1406" t="s">
        <v>3</v>
      </c>
    </row>
    <row r="1407" spans="1:13" ht="26.25" x14ac:dyDescent="0.25">
      <c r="A1407" s="13" t="s">
        <v>3426</v>
      </c>
      <c r="B1407" s="13" t="s">
        <v>3426</v>
      </c>
      <c r="C1407" s="13" t="s">
        <v>3426</v>
      </c>
      <c r="D1407" s="13">
        <v>2</v>
      </c>
      <c r="E1407" s="13" t="s">
        <v>3427</v>
      </c>
      <c r="F1407" s="13" t="s">
        <v>8867</v>
      </c>
      <c r="G1407" s="13" t="s">
        <v>2</v>
      </c>
      <c r="H1407" s="13" t="s">
        <v>3</v>
      </c>
      <c r="I1407" s="13" t="s">
        <v>706</v>
      </c>
      <c r="J1407" s="13" t="s">
        <v>8890</v>
      </c>
      <c r="K1407" s="13" t="s">
        <v>8419</v>
      </c>
      <c r="L1407" s="13" t="s">
        <v>158</v>
      </c>
      <c r="M1407" t="s">
        <v>3</v>
      </c>
    </row>
    <row r="1408" spans="1:13" x14ac:dyDescent="0.25">
      <c r="A1408" s="13" t="s">
        <v>3428</v>
      </c>
      <c r="B1408" s="13" t="s">
        <v>3428</v>
      </c>
      <c r="C1408" s="13" t="s">
        <v>3429</v>
      </c>
      <c r="D1408" s="13">
        <v>9</v>
      </c>
      <c r="E1408" s="13" t="s">
        <v>3430</v>
      </c>
      <c r="F1408" s="13" t="s">
        <v>8867</v>
      </c>
      <c r="G1408" s="13" t="s">
        <v>2</v>
      </c>
      <c r="H1408" s="13" t="s">
        <v>8422</v>
      </c>
      <c r="I1408" s="13" t="s">
        <v>1263</v>
      </c>
      <c r="J1408" s="13" t="s">
        <v>8890</v>
      </c>
      <c r="K1408" s="13" t="s">
        <v>8422</v>
      </c>
      <c r="L1408" s="13" t="s">
        <v>158</v>
      </c>
      <c r="M1408" t="s">
        <v>10689</v>
      </c>
    </row>
    <row r="1409" spans="1:13" x14ac:dyDescent="0.25">
      <c r="A1409" s="13" t="s">
        <v>11799</v>
      </c>
      <c r="B1409" s="13" t="s">
        <v>11799</v>
      </c>
      <c r="C1409" s="13" t="s">
        <v>11799</v>
      </c>
      <c r="D1409" s="13">
        <v>34.6</v>
      </c>
      <c r="E1409" s="13" t="s">
        <v>11800</v>
      </c>
      <c r="F1409" s="13" t="s">
        <v>8867</v>
      </c>
      <c r="G1409" s="13" t="s">
        <v>2</v>
      </c>
      <c r="H1409" s="13" t="s">
        <v>3</v>
      </c>
      <c r="I1409" s="13" t="s">
        <v>706</v>
      </c>
      <c r="J1409" s="13" t="s">
        <v>8890</v>
      </c>
      <c r="K1409" s="13" t="s">
        <v>8419</v>
      </c>
      <c r="L1409" s="13" t="s">
        <v>158</v>
      </c>
      <c r="M1409" t="s">
        <v>3</v>
      </c>
    </row>
    <row r="1410" spans="1:13" x14ac:dyDescent="0.25">
      <c r="A1410" s="13" t="s">
        <v>3431</v>
      </c>
      <c r="B1410" s="13" t="s">
        <v>3431</v>
      </c>
      <c r="C1410" s="13" t="s">
        <v>3432</v>
      </c>
      <c r="D1410" s="13">
        <v>39.799999999999997</v>
      </c>
      <c r="E1410" s="13" t="s">
        <v>3432</v>
      </c>
      <c r="F1410" s="13" t="s">
        <v>8867</v>
      </c>
      <c r="G1410" s="13" t="s">
        <v>2</v>
      </c>
      <c r="H1410" s="13" t="s">
        <v>8421</v>
      </c>
      <c r="I1410" s="13" t="s">
        <v>447</v>
      </c>
      <c r="J1410" s="13" t="s">
        <v>8890</v>
      </c>
      <c r="K1410" s="13" t="s">
        <v>8421</v>
      </c>
      <c r="L1410" s="13" t="s">
        <v>158</v>
      </c>
      <c r="M1410" t="s">
        <v>10690</v>
      </c>
    </row>
    <row r="1411" spans="1:13" x14ac:dyDescent="0.25">
      <c r="A1411" s="13" t="s">
        <v>11801</v>
      </c>
      <c r="B1411" s="13" t="s">
        <v>11801</v>
      </c>
      <c r="C1411" s="13" t="s">
        <v>11801</v>
      </c>
      <c r="D1411" s="13">
        <v>38</v>
      </c>
      <c r="E1411" s="13" t="s">
        <v>11802</v>
      </c>
      <c r="F1411" s="13" t="s">
        <v>8867</v>
      </c>
      <c r="G1411" s="13" t="s">
        <v>2</v>
      </c>
      <c r="H1411" s="13" t="s">
        <v>3</v>
      </c>
      <c r="I1411" s="13" t="s">
        <v>706</v>
      </c>
      <c r="J1411" s="13" t="s">
        <v>8890</v>
      </c>
      <c r="K1411" s="13" t="s">
        <v>8419</v>
      </c>
      <c r="L1411" s="13" t="s">
        <v>158</v>
      </c>
      <c r="M1411" t="s">
        <v>3</v>
      </c>
    </row>
    <row r="1412" spans="1:13" x14ac:dyDescent="0.25">
      <c r="A1412" s="13" t="s">
        <v>11629</v>
      </c>
      <c r="B1412" s="13" t="s">
        <v>11629</v>
      </c>
      <c r="C1412" s="13" t="s">
        <v>11629</v>
      </c>
      <c r="D1412" s="13">
        <v>7</v>
      </c>
      <c r="E1412" s="13" t="s">
        <v>11630</v>
      </c>
      <c r="F1412" s="13" t="s">
        <v>8867</v>
      </c>
      <c r="G1412" s="13" t="s">
        <v>2</v>
      </c>
      <c r="H1412" s="13" t="s">
        <v>3</v>
      </c>
      <c r="I1412" s="13" t="s">
        <v>706</v>
      </c>
      <c r="J1412" s="13" t="s">
        <v>8890</v>
      </c>
      <c r="K1412" s="13" t="s">
        <v>8419</v>
      </c>
      <c r="L1412" s="13" t="s">
        <v>158</v>
      </c>
      <c r="M1412" t="s">
        <v>3</v>
      </c>
    </row>
    <row r="1413" spans="1:13" x14ac:dyDescent="0.25">
      <c r="A1413" s="13" t="s">
        <v>3433</v>
      </c>
      <c r="B1413" s="13" t="s">
        <v>3434</v>
      </c>
      <c r="C1413" s="13" t="s">
        <v>3435</v>
      </c>
      <c r="D1413" s="13">
        <v>6.6</v>
      </c>
      <c r="E1413" s="13" t="s">
        <v>3436</v>
      </c>
      <c r="F1413" s="13" t="s">
        <v>8867</v>
      </c>
      <c r="G1413" s="13" t="s">
        <v>2</v>
      </c>
      <c r="H1413" s="13" t="s">
        <v>3</v>
      </c>
      <c r="I1413" s="13" t="s">
        <v>1283</v>
      </c>
      <c r="J1413" s="13" t="s">
        <v>8890</v>
      </c>
      <c r="K1413" s="13" t="s">
        <v>8524</v>
      </c>
      <c r="L1413" s="13" t="s">
        <v>158</v>
      </c>
      <c r="M1413" t="s">
        <v>3</v>
      </c>
    </row>
    <row r="1414" spans="1:13" x14ac:dyDescent="0.25">
      <c r="A1414" s="13" t="s">
        <v>3437</v>
      </c>
      <c r="B1414" s="13" t="s">
        <v>3438</v>
      </c>
      <c r="C1414" s="13" t="s">
        <v>3439</v>
      </c>
      <c r="D1414" s="13">
        <v>1</v>
      </c>
      <c r="E1414" s="13" t="s">
        <v>3440</v>
      </c>
      <c r="F1414" s="13" t="s">
        <v>8867</v>
      </c>
      <c r="G1414" s="13" t="s">
        <v>2</v>
      </c>
      <c r="H1414" s="13" t="s">
        <v>3</v>
      </c>
      <c r="I1414" s="13" t="s">
        <v>1978</v>
      </c>
      <c r="J1414" s="13" t="s">
        <v>8890</v>
      </c>
      <c r="K1414" s="13" t="s">
        <v>8570</v>
      </c>
      <c r="L1414" s="13" t="s">
        <v>158</v>
      </c>
      <c r="M1414" t="s">
        <v>3</v>
      </c>
    </row>
    <row r="1415" spans="1:13" x14ac:dyDescent="0.25">
      <c r="A1415" s="13" t="s">
        <v>3441</v>
      </c>
      <c r="B1415" s="13" t="s">
        <v>3441</v>
      </c>
      <c r="C1415" s="13" t="s">
        <v>3442</v>
      </c>
      <c r="D1415" s="13">
        <v>39.799999999999997</v>
      </c>
      <c r="E1415" s="13" t="s">
        <v>3442</v>
      </c>
      <c r="F1415" s="13" t="s">
        <v>8867</v>
      </c>
      <c r="G1415" s="13" t="s">
        <v>2</v>
      </c>
      <c r="H1415" s="13" t="s">
        <v>8421</v>
      </c>
      <c r="I1415" s="13" t="s">
        <v>447</v>
      </c>
      <c r="J1415" s="13" t="s">
        <v>8890</v>
      </c>
      <c r="K1415" s="13" t="s">
        <v>8421</v>
      </c>
      <c r="L1415" s="13" t="s">
        <v>158</v>
      </c>
      <c r="M1415" t="s">
        <v>10690</v>
      </c>
    </row>
    <row r="1416" spans="1:13" x14ac:dyDescent="0.25">
      <c r="A1416" s="13" t="s">
        <v>3443</v>
      </c>
      <c r="B1416" s="13" t="s">
        <v>3443</v>
      </c>
      <c r="C1416" s="13" t="s">
        <v>3444</v>
      </c>
      <c r="D1416" s="13">
        <v>39.799999999999997</v>
      </c>
      <c r="E1416" s="13" t="s">
        <v>3444</v>
      </c>
      <c r="F1416" s="13" t="s">
        <v>8867</v>
      </c>
      <c r="G1416" s="13" t="s">
        <v>2</v>
      </c>
      <c r="H1416" s="13" t="s">
        <v>11531</v>
      </c>
      <c r="I1416" s="13" t="s">
        <v>447</v>
      </c>
      <c r="J1416" s="13" t="s">
        <v>8890</v>
      </c>
      <c r="K1416" s="13" t="s">
        <v>8421</v>
      </c>
      <c r="L1416" s="13" t="s">
        <v>158</v>
      </c>
      <c r="M1416" t="s">
        <v>11531</v>
      </c>
    </row>
    <row r="1417" spans="1:13" x14ac:dyDescent="0.25">
      <c r="A1417" s="13" t="s">
        <v>12008</v>
      </c>
      <c r="B1417" s="13" t="s">
        <v>12008</v>
      </c>
      <c r="C1417" s="13" t="s">
        <v>12008</v>
      </c>
      <c r="D1417" s="13">
        <v>9</v>
      </c>
      <c r="E1417" s="13" t="s">
        <v>12009</v>
      </c>
      <c r="F1417" s="13" t="s">
        <v>8867</v>
      </c>
      <c r="G1417" s="13" t="s">
        <v>2</v>
      </c>
      <c r="H1417" s="13" t="s">
        <v>3</v>
      </c>
      <c r="I1417" s="13" t="s">
        <v>706</v>
      </c>
      <c r="J1417" s="13" t="s">
        <v>8890</v>
      </c>
      <c r="K1417" s="13" t="s">
        <v>8419</v>
      </c>
      <c r="L1417" s="13" t="s">
        <v>158</v>
      </c>
      <c r="M1417" t="s">
        <v>3</v>
      </c>
    </row>
    <row r="1418" spans="1:13" x14ac:dyDescent="0.25">
      <c r="A1418" s="13" t="s">
        <v>9169</v>
      </c>
      <c r="B1418" s="13" t="s">
        <v>9169</v>
      </c>
      <c r="C1418" s="13" t="s">
        <v>9170</v>
      </c>
      <c r="D1418" s="13">
        <v>4</v>
      </c>
      <c r="E1418" s="13" t="s">
        <v>9171</v>
      </c>
      <c r="F1418" s="13" t="s">
        <v>8867</v>
      </c>
      <c r="G1418" s="13" t="s">
        <v>2</v>
      </c>
      <c r="H1418" s="13" t="s">
        <v>3</v>
      </c>
      <c r="I1418" s="13" t="s">
        <v>1263</v>
      </c>
      <c r="J1418" s="13" t="s">
        <v>8890</v>
      </c>
      <c r="K1418" s="13" t="s">
        <v>8422</v>
      </c>
      <c r="L1418" s="13" t="s">
        <v>158</v>
      </c>
      <c r="M1418" t="s">
        <v>3</v>
      </c>
    </row>
    <row r="1419" spans="1:13" x14ac:dyDescent="0.25">
      <c r="A1419" s="13" t="s">
        <v>10199</v>
      </c>
      <c r="B1419" s="13" t="s">
        <v>10199</v>
      </c>
      <c r="C1419" s="13" t="s">
        <v>10200</v>
      </c>
      <c r="D1419" s="13">
        <v>1.6</v>
      </c>
      <c r="E1419" s="13" t="s">
        <v>10201</v>
      </c>
      <c r="F1419" s="13" t="s">
        <v>8867</v>
      </c>
      <c r="G1419" s="13" t="s">
        <v>2</v>
      </c>
      <c r="H1419" s="13" t="s">
        <v>3</v>
      </c>
      <c r="I1419" s="13" t="s">
        <v>1263</v>
      </c>
      <c r="J1419" s="13" t="s">
        <v>8890</v>
      </c>
      <c r="K1419" s="13" t="s">
        <v>8422</v>
      </c>
      <c r="L1419" s="13" t="s">
        <v>158</v>
      </c>
      <c r="M1419" t="s">
        <v>3</v>
      </c>
    </row>
    <row r="1420" spans="1:13" ht="26.25" x14ac:dyDescent="0.25">
      <c r="A1420" s="13" t="s">
        <v>10038</v>
      </c>
      <c r="B1420" s="13" t="s">
        <v>10038</v>
      </c>
      <c r="C1420" s="13" t="s">
        <v>10039</v>
      </c>
      <c r="D1420" s="13">
        <v>0.9</v>
      </c>
      <c r="E1420" s="13" t="s">
        <v>10040</v>
      </c>
      <c r="F1420" s="13" t="s">
        <v>8867</v>
      </c>
      <c r="G1420" s="13" t="s">
        <v>2</v>
      </c>
      <c r="H1420" s="13" t="s">
        <v>3</v>
      </c>
      <c r="I1420" s="13" t="s">
        <v>1263</v>
      </c>
      <c r="J1420" s="13" t="s">
        <v>8890</v>
      </c>
      <c r="K1420" s="13" t="s">
        <v>8422</v>
      </c>
      <c r="L1420" s="13" t="s">
        <v>158</v>
      </c>
      <c r="M1420" t="s">
        <v>3</v>
      </c>
    </row>
    <row r="1421" spans="1:13" ht="26.25" x14ac:dyDescent="0.25">
      <c r="A1421" s="13" t="s">
        <v>3445</v>
      </c>
      <c r="B1421" s="13" t="s">
        <v>3446</v>
      </c>
      <c r="C1421" s="13" t="s">
        <v>3447</v>
      </c>
      <c r="D1421" s="13">
        <v>6.9</v>
      </c>
      <c r="E1421" s="13" t="s">
        <v>3448</v>
      </c>
      <c r="F1421" s="13" t="s">
        <v>8867</v>
      </c>
      <c r="G1421" s="13" t="s">
        <v>2</v>
      </c>
      <c r="H1421" s="13" t="s">
        <v>3</v>
      </c>
      <c r="I1421" s="13" t="s">
        <v>1263</v>
      </c>
      <c r="J1421" s="13" t="s">
        <v>8890</v>
      </c>
      <c r="K1421" s="13" t="s">
        <v>8422</v>
      </c>
      <c r="L1421" s="13" t="s">
        <v>158</v>
      </c>
      <c r="M1421" t="s">
        <v>3</v>
      </c>
    </row>
    <row r="1422" spans="1:13" ht="26.25" x14ac:dyDescent="0.25">
      <c r="A1422" s="13" t="s">
        <v>11270</v>
      </c>
      <c r="B1422" s="13" t="s">
        <v>11270</v>
      </c>
      <c r="C1422" s="13" t="s">
        <v>11270</v>
      </c>
      <c r="D1422" s="13">
        <v>21.5</v>
      </c>
      <c r="E1422" s="13" t="s">
        <v>11271</v>
      </c>
      <c r="F1422" s="13" t="s">
        <v>8867</v>
      </c>
      <c r="G1422" s="13" t="s">
        <v>2</v>
      </c>
      <c r="H1422" s="13" t="s">
        <v>3</v>
      </c>
      <c r="I1422" s="13" t="s">
        <v>706</v>
      </c>
      <c r="J1422" s="13" t="s">
        <v>8890</v>
      </c>
      <c r="K1422" s="13" t="s">
        <v>8419</v>
      </c>
      <c r="L1422" s="13" t="s">
        <v>158</v>
      </c>
      <c r="M1422" t="s">
        <v>3</v>
      </c>
    </row>
    <row r="1423" spans="1:13" x14ac:dyDescent="0.25">
      <c r="A1423" s="13" t="s">
        <v>10897</v>
      </c>
      <c r="B1423" s="13" t="s">
        <v>10897</v>
      </c>
      <c r="C1423" s="13" t="s">
        <v>10898</v>
      </c>
      <c r="D1423" s="13">
        <v>15.5</v>
      </c>
      <c r="E1423" s="13" t="s">
        <v>10899</v>
      </c>
      <c r="F1423" s="13" t="s">
        <v>8867</v>
      </c>
      <c r="G1423" s="13" t="s">
        <v>2</v>
      </c>
      <c r="H1423" s="13" t="s">
        <v>3</v>
      </c>
      <c r="I1423" s="13" t="s">
        <v>1263</v>
      </c>
      <c r="J1423" s="13" t="s">
        <v>8890</v>
      </c>
      <c r="K1423" s="13" t="s">
        <v>8422</v>
      </c>
      <c r="L1423" s="13" t="s">
        <v>158</v>
      </c>
      <c r="M1423" t="s">
        <v>3</v>
      </c>
    </row>
    <row r="1424" spans="1:13" x14ac:dyDescent="0.25">
      <c r="A1424" s="13" t="s">
        <v>10202</v>
      </c>
      <c r="B1424" s="13" t="s">
        <v>10202</v>
      </c>
      <c r="C1424" s="13" t="s">
        <v>10203</v>
      </c>
      <c r="D1424" s="13">
        <v>1</v>
      </c>
      <c r="E1424" s="13" t="s">
        <v>10204</v>
      </c>
      <c r="F1424" s="13" t="s">
        <v>8867</v>
      </c>
      <c r="G1424" s="13" t="s">
        <v>2</v>
      </c>
      <c r="H1424" s="13" t="s">
        <v>3</v>
      </c>
      <c r="I1424" s="13" t="s">
        <v>1263</v>
      </c>
      <c r="J1424" s="13" t="s">
        <v>8890</v>
      </c>
      <c r="K1424" s="13" t="s">
        <v>8422</v>
      </c>
      <c r="L1424" s="13" t="s">
        <v>158</v>
      </c>
      <c r="M1424" t="s">
        <v>3</v>
      </c>
    </row>
    <row r="1425" spans="1:13" x14ac:dyDescent="0.25">
      <c r="A1425" s="13" t="s">
        <v>9172</v>
      </c>
      <c r="B1425" s="13" t="s">
        <v>9172</v>
      </c>
      <c r="C1425" s="13" t="s">
        <v>9173</v>
      </c>
      <c r="D1425" s="13">
        <v>2.9</v>
      </c>
      <c r="E1425" s="13" t="s">
        <v>9174</v>
      </c>
      <c r="F1425" s="13" t="s">
        <v>8867</v>
      </c>
      <c r="G1425" s="13" t="s">
        <v>2</v>
      </c>
      <c r="H1425" s="13" t="s">
        <v>3</v>
      </c>
      <c r="I1425" s="13" t="s">
        <v>1263</v>
      </c>
      <c r="J1425" s="13" t="s">
        <v>8890</v>
      </c>
      <c r="K1425" s="13" t="s">
        <v>8422</v>
      </c>
      <c r="L1425" s="13" t="s">
        <v>158</v>
      </c>
      <c r="M1425" t="s">
        <v>3</v>
      </c>
    </row>
    <row r="1426" spans="1:13" ht="26.25" x14ac:dyDescent="0.25">
      <c r="A1426" s="13" t="s">
        <v>3449</v>
      </c>
      <c r="B1426" s="13" t="s">
        <v>3449</v>
      </c>
      <c r="C1426" s="13" t="s">
        <v>2734</v>
      </c>
      <c r="D1426" s="13">
        <v>1.7</v>
      </c>
      <c r="E1426" s="13" t="s">
        <v>3450</v>
      </c>
      <c r="F1426" s="13" t="s">
        <v>8867</v>
      </c>
      <c r="G1426" s="13" t="s">
        <v>2</v>
      </c>
      <c r="H1426" s="13" t="s">
        <v>3</v>
      </c>
      <c r="I1426" s="13" t="s">
        <v>2736</v>
      </c>
      <c r="J1426" s="13" t="s">
        <v>8890</v>
      </c>
      <c r="K1426" s="13" t="s">
        <v>8616</v>
      </c>
      <c r="L1426" s="13" t="s">
        <v>158</v>
      </c>
      <c r="M1426" t="s">
        <v>3</v>
      </c>
    </row>
    <row r="1427" spans="1:13" x14ac:dyDescent="0.25">
      <c r="A1427" s="13" t="s">
        <v>10515</v>
      </c>
      <c r="B1427" s="13" t="s">
        <v>10515</v>
      </c>
      <c r="C1427" s="13" t="s">
        <v>10516</v>
      </c>
      <c r="D1427" s="13">
        <v>5</v>
      </c>
      <c r="E1427" s="13" t="s">
        <v>10517</v>
      </c>
      <c r="F1427" s="13" t="s">
        <v>8867</v>
      </c>
      <c r="G1427" s="13" t="s">
        <v>2</v>
      </c>
      <c r="H1427" s="13" t="s">
        <v>3</v>
      </c>
      <c r="I1427" s="13" t="s">
        <v>1263</v>
      </c>
      <c r="J1427" s="13" t="s">
        <v>8890</v>
      </c>
      <c r="K1427" s="13" t="s">
        <v>8422</v>
      </c>
      <c r="L1427" s="13" t="s">
        <v>158</v>
      </c>
      <c r="M1427" t="s">
        <v>3</v>
      </c>
    </row>
    <row r="1428" spans="1:13" x14ac:dyDescent="0.25">
      <c r="A1428" s="13" t="s">
        <v>10900</v>
      </c>
      <c r="B1428" s="13" t="s">
        <v>10900</v>
      </c>
      <c r="C1428" s="13" t="s">
        <v>10901</v>
      </c>
      <c r="D1428" s="13">
        <v>50</v>
      </c>
      <c r="E1428" s="13" t="s">
        <v>10902</v>
      </c>
      <c r="F1428" s="13" t="s">
        <v>8867</v>
      </c>
      <c r="G1428" s="13" t="s">
        <v>2</v>
      </c>
      <c r="H1428" s="13" t="s">
        <v>3</v>
      </c>
      <c r="I1428" s="13" t="s">
        <v>1263</v>
      </c>
      <c r="J1428" s="13" t="s">
        <v>8890</v>
      </c>
      <c r="K1428" s="13" t="s">
        <v>8422</v>
      </c>
      <c r="L1428" s="13" t="s">
        <v>158</v>
      </c>
      <c r="M1428" t="s">
        <v>3</v>
      </c>
    </row>
    <row r="1429" spans="1:13" ht="26.25" x14ac:dyDescent="0.25">
      <c r="A1429" s="13" t="s">
        <v>3451</v>
      </c>
      <c r="B1429" s="13" t="s">
        <v>3451</v>
      </c>
      <c r="C1429" s="13" t="s">
        <v>3452</v>
      </c>
      <c r="D1429" s="13">
        <v>1.8</v>
      </c>
      <c r="E1429" s="13" t="s">
        <v>3453</v>
      </c>
      <c r="F1429" s="13" t="s">
        <v>8867</v>
      </c>
      <c r="G1429" s="13" t="s">
        <v>2</v>
      </c>
      <c r="H1429" s="13" t="s">
        <v>3</v>
      </c>
      <c r="I1429" s="13" t="s">
        <v>1263</v>
      </c>
      <c r="J1429" s="13" t="s">
        <v>8890</v>
      </c>
      <c r="K1429" s="13" t="s">
        <v>8422</v>
      </c>
      <c r="L1429" s="13" t="s">
        <v>158</v>
      </c>
      <c r="M1429" t="s">
        <v>3</v>
      </c>
    </row>
    <row r="1430" spans="1:13" x14ac:dyDescent="0.25">
      <c r="A1430" s="13" t="s">
        <v>3454</v>
      </c>
      <c r="B1430" s="13" t="s">
        <v>3454</v>
      </c>
      <c r="C1430" s="13" t="s">
        <v>3455</v>
      </c>
      <c r="D1430" s="13">
        <v>1.8</v>
      </c>
      <c r="E1430" s="13" t="s">
        <v>3456</v>
      </c>
      <c r="F1430" s="13" t="s">
        <v>8867</v>
      </c>
      <c r="G1430" s="13" t="s">
        <v>2</v>
      </c>
      <c r="H1430" s="13" t="s">
        <v>3</v>
      </c>
      <c r="I1430" s="13" t="s">
        <v>1263</v>
      </c>
      <c r="J1430" s="13" t="s">
        <v>8890</v>
      </c>
      <c r="K1430" s="13" t="s">
        <v>8422</v>
      </c>
      <c r="L1430" s="13" t="s">
        <v>158</v>
      </c>
      <c r="M1430" t="s">
        <v>3</v>
      </c>
    </row>
    <row r="1431" spans="1:13" ht="26.25" x14ac:dyDescent="0.25">
      <c r="A1431" s="13" t="s">
        <v>3457</v>
      </c>
      <c r="B1431" s="13" t="s">
        <v>3457</v>
      </c>
      <c r="C1431" s="13" t="s">
        <v>3458</v>
      </c>
      <c r="D1431" s="13">
        <v>1.8</v>
      </c>
      <c r="E1431" s="13" t="s">
        <v>3459</v>
      </c>
      <c r="F1431" s="13" t="s">
        <v>8867</v>
      </c>
      <c r="G1431" s="13" t="s">
        <v>2</v>
      </c>
      <c r="H1431" s="13" t="s">
        <v>3</v>
      </c>
      <c r="I1431" s="13" t="s">
        <v>1263</v>
      </c>
      <c r="J1431" s="13" t="s">
        <v>8890</v>
      </c>
      <c r="K1431" s="13" t="s">
        <v>8422</v>
      </c>
      <c r="L1431" s="13" t="s">
        <v>158</v>
      </c>
      <c r="M1431" t="s">
        <v>3</v>
      </c>
    </row>
    <row r="1432" spans="1:13" x14ac:dyDescent="0.25">
      <c r="A1432" s="13" t="s">
        <v>3460</v>
      </c>
      <c r="B1432" s="13" t="s">
        <v>3460</v>
      </c>
      <c r="C1432" s="13" t="s">
        <v>3461</v>
      </c>
      <c r="D1432" s="14">
        <v>1.8</v>
      </c>
      <c r="E1432" s="13" t="s">
        <v>3462</v>
      </c>
      <c r="F1432" s="13" t="s">
        <v>8867</v>
      </c>
      <c r="G1432" s="13" t="s">
        <v>2</v>
      </c>
      <c r="H1432" s="13" t="s">
        <v>3</v>
      </c>
      <c r="I1432" s="13" t="s">
        <v>1263</v>
      </c>
      <c r="J1432" s="13" t="s">
        <v>8890</v>
      </c>
      <c r="K1432" s="13" t="s">
        <v>8422</v>
      </c>
      <c r="L1432" s="13" t="s">
        <v>158</v>
      </c>
      <c r="M1432" t="s">
        <v>3</v>
      </c>
    </row>
    <row r="1433" spans="1:13" x14ac:dyDescent="0.25">
      <c r="A1433" s="13" t="s">
        <v>3463</v>
      </c>
      <c r="B1433" s="13" t="s">
        <v>3463</v>
      </c>
      <c r="C1433" s="13" t="s">
        <v>3464</v>
      </c>
      <c r="D1433" s="13">
        <v>4.5999999999999996</v>
      </c>
      <c r="E1433" s="13" t="s">
        <v>3465</v>
      </c>
      <c r="F1433" s="13" t="s">
        <v>8867</v>
      </c>
      <c r="G1433" s="13" t="s">
        <v>2</v>
      </c>
      <c r="H1433" s="13" t="s">
        <v>3</v>
      </c>
      <c r="I1433" s="13" t="s">
        <v>1263</v>
      </c>
      <c r="J1433" s="13" t="s">
        <v>8890</v>
      </c>
      <c r="K1433" s="13" t="s">
        <v>8422</v>
      </c>
      <c r="L1433" s="13" t="s">
        <v>158</v>
      </c>
      <c r="M1433" t="s">
        <v>3</v>
      </c>
    </row>
    <row r="1434" spans="1:13" x14ac:dyDescent="0.25">
      <c r="A1434" s="13" t="s">
        <v>3466</v>
      </c>
      <c r="B1434" s="13" t="s">
        <v>3466</v>
      </c>
      <c r="C1434" s="13" t="s">
        <v>3467</v>
      </c>
      <c r="D1434" s="13">
        <v>6</v>
      </c>
      <c r="E1434" s="13" t="s">
        <v>3468</v>
      </c>
      <c r="F1434" s="13" t="s">
        <v>8867</v>
      </c>
      <c r="G1434" s="13" t="s">
        <v>2</v>
      </c>
      <c r="H1434" s="13" t="s">
        <v>3</v>
      </c>
      <c r="I1434" s="13" t="s">
        <v>1263</v>
      </c>
      <c r="J1434" s="13" t="s">
        <v>8890</v>
      </c>
      <c r="K1434" s="13" t="s">
        <v>8422</v>
      </c>
      <c r="L1434" s="13" t="s">
        <v>158</v>
      </c>
      <c r="M1434" t="s">
        <v>3</v>
      </c>
    </row>
    <row r="1435" spans="1:13" x14ac:dyDescent="0.25">
      <c r="A1435" s="13" t="s">
        <v>3469</v>
      </c>
      <c r="B1435" s="13" t="s">
        <v>3469</v>
      </c>
      <c r="C1435" s="13" t="s">
        <v>3470</v>
      </c>
      <c r="D1435" s="13">
        <v>10</v>
      </c>
      <c r="E1435" s="13" t="s">
        <v>3471</v>
      </c>
      <c r="F1435" s="13" t="s">
        <v>8867</v>
      </c>
      <c r="G1435" s="13" t="s">
        <v>2</v>
      </c>
      <c r="H1435" s="13" t="s">
        <v>3</v>
      </c>
      <c r="I1435" s="13" t="s">
        <v>228</v>
      </c>
      <c r="J1435" s="13" t="s">
        <v>8890</v>
      </c>
      <c r="K1435" s="13" t="s">
        <v>8418</v>
      </c>
      <c r="L1435" s="13" t="s">
        <v>158</v>
      </c>
      <c r="M1435" t="s">
        <v>3</v>
      </c>
    </row>
    <row r="1436" spans="1:13" x14ac:dyDescent="0.25">
      <c r="A1436" s="13" t="s">
        <v>3472</v>
      </c>
      <c r="B1436" s="13" t="s">
        <v>3472</v>
      </c>
      <c r="C1436" s="13" t="s">
        <v>3473</v>
      </c>
      <c r="D1436" s="13">
        <v>5.3</v>
      </c>
      <c r="E1436" s="13" t="s">
        <v>3474</v>
      </c>
      <c r="F1436" s="13" t="s">
        <v>8867</v>
      </c>
      <c r="G1436" s="13" t="s">
        <v>2</v>
      </c>
      <c r="H1436" s="13" t="s">
        <v>3</v>
      </c>
      <c r="I1436" s="13" t="s">
        <v>1263</v>
      </c>
      <c r="J1436" s="13" t="s">
        <v>8890</v>
      </c>
      <c r="K1436" s="13" t="s">
        <v>8422</v>
      </c>
      <c r="L1436" s="13" t="s">
        <v>158</v>
      </c>
      <c r="M1436" t="s">
        <v>3</v>
      </c>
    </row>
    <row r="1437" spans="1:13" x14ac:dyDescent="0.25">
      <c r="A1437" s="13" t="s">
        <v>3475</v>
      </c>
      <c r="B1437" s="13" t="s">
        <v>3475</v>
      </c>
      <c r="C1437" s="13" t="s">
        <v>3476</v>
      </c>
      <c r="D1437" s="13">
        <v>5</v>
      </c>
      <c r="E1437" s="13" t="s">
        <v>3477</v>
      </c>
      <c r="F1437" s="13" t="s">
        <v>8867</v>
      </c>
      <c r="G1437" s="13" t="s">
        <v>2</v>
      </c>
      <c r="H1437" s="13" t="s">
        <v>3</v>
      </c>
      <c r="I1437" s="13" t="s">
        <v>1263</v>
      </c>
      <c r="J1437" s="13" t="s">
        <v>8890</v>
      </c>
      <c r="K1437" s="13" t="s">
        <v>8422</v>
      </c>
      <c r="L1437" s="13" t="s">
        <v>158</v>
      </c>
      <c r="M1437" t="s">
        <v>3</v>
      </c>
    </row>
    <row r="1438" spans="1:13" x14ac:dyDescent="0.25">
      <c r="A1438" s="13" t="s">
        <v>3478</v>
      </c>
      <c r="B1438" s="13" t="s">
        <v>3478</v>
      </c>
      <c r="C1438" s="13" t="s">
        <v>3479</v>
      </c>
      <c r="D1438" s="13">
        <v>4.7</v>
      </c>
      <c r="E1438" s="13" t="s">
        <v>3480</v>
      </c>
      <c r="F1438" s="13" t="s">
        <v>8867</v>
      </c>
      <c r="G1438" s="13" t="s">
        <v>2</v>
      </c>
      <c r="H1438" s="13" t="s">
        <v>3</v>
      </c>
      <c r="I1438" s="13" t="s">
        <v>1263</v>
      </c>
      <c r="J1438" s="13" t="s">
        <v>8890</v>
      </c>
      <c r="K1438" s="13" t="s">
        <v>8422</v>
      </c>
      <c r="L1438" s="13" t="s">
        <v>158</v>
      </c>
      <c r="M1438" t="s">
        <v>3</v>
      </c>
    </row>
    <row r="1439" spans="1:13" x14ac:dyDescent="0.25">
      <c r="A1439" s="13" t="s">
        <v>3481</v>
      </c>
      <c r="B1439" s="13" t="s">
        <v>3482</v>
      </c>
      <c r="C1439" s="13" t="s">
        <v>3483</v>
      </c>
      <c r="D1439" s="13">
        <v>1.1000000000000001</v>
      </c>
      <c r="E1439" s="13" t="s">
        <v>3484</v>
      </c>
      <c r="F1439" s="13" t="s">
        <v>8867</v>
      </c>
      <c r="G1439" s="13" t="s">
        <v>2</v>
      </c>
      <c r="H1439" s="13" t="s">
        <v>3</v>
      </c>
      <c r="I1439" s="13" t="s">
        <v>1978</v>
      </c>
      <c r="J1439" s="13" t="s">
        <v>8890</v>
      </c>
      <c r="K1439" s="13" t="s">
        <v>8570</v>
      </c>
      <c r="L1439" s="13" t="s">
        <v>158</v>
      </c>
      <c r="M1439" t="s">
        <v>3</v>
      </c>
    </row>
    <row r="1440" spans="1:13" x14ac:dyDescent="0.25">
      <c r="A1440" s="13" t="s">
        <v>3485</v>
      </c>
      <c r="B1440" s="13" t="s">
        <v>3485</v>
      </c>
      <c r="C1440" s="13" t="s">
        <v>3486</v>
      </c>
      <c r="D1440" s="13">
        <v>0</v>
      </c>
      <c r="E1440" s="13" t="s">
        <v>3487</v>
      </c>
      <c r="F1440" s="13" t="s">
        <v>8867</v>
      </c>
      <c r="G1440" s="13" t="s">
        <v>2</v>
      </c>
      <c r="H1440" s="13" t="s">
        <v>3</v>
      </c>
      <c r="I1440" s="13" t="s">
        <v>3488</v>
      </c>
      <c r="J1440" s="13" t="s">
        <v>8890</v>
      </c>
      <c r="K1440" s="13" t="s">
        <v>5861</v>
      </c>
      <c r="L1440" s="13" t="s">
        <v>158</v>
      </c>
      <c r="M1440" t="s">
        <v>3</v>
      </c>
    </row>
    <row r="1441" spans="1:13" ht="26.25" x14ac:dyDescent="0.25">
      <c r="A1441" s="13" t="s">
        <v>3489</v>
      </c>
      <c r="B1441" s="13" t="s">
        <v>3489</v>
      </c>
      <c r="C1441" s="13" t="s">
        <v>3490</v>
      </c>
      <c r="D1441" s="13">
        <v>2500</v>
      </c>
      <c r="E1441" s="13" t="s">
        <v>3491</v>
      </c>
      <c r="F1441" s="13" t="s">
        <v>8860</v>
      </c>
      <c r="G1441" s="13" t="s">
        <v>19</v>
      </c>
      <c r="H1441" s="13" t="s">
        <v>3</v>
      </c>
      <c r="I1441" s="13" t="s">
        <v>3492</v>
      </c>
      <c r="J1441" s="13" t="s">
        <v>21</v>
      </c>
      <c r="K1441" s="13" t="s">
        <v>8622</v>
      </c>
      <c r="L1441" s="13" t="s">
        <v>18</v>
      </c>
      <c r="M1441" t="s">
        <v>3</v>
      </c>
    </row>
    <row r="1442" spans="1:13" ht="26.25" x14ac:dyDescent="0.25">
      <c r="A1442" s="13" t="s">
        <v>3493</v>
      </c>
      <c r="B1442" s="13" t="s">
        <v>3493</v>
      </c>
      <c r="C1442" s="13" t="s">
        <v>3494</v>
      </c>
      <c r="D1442" s="13">
        <v>45</v>
      </c>
      <c r="E1442" s="13" t="s">
        <v>3495</v>
      </c>
      <c r="F1442" s="13" t="s">
        <v>8860</v>
      </c>
      <c r="G1442" s="13" t="s">
        <v>19</v>
      </c>
      <c r="H1442" s="13" t="s">
        <v>3</v>
      </c>
      <c r="I1442" s="13" t="s">
        <v>3492</v>
      </c>
      <c r="J1442" s="13" t="s">
        <v>21</v>
      </c>
      <c r="K1442" s="13" t="s">
        <v>8622</v>
      </c>
      <c r="L1442" s="13" t="s">
        <v>18</v>
      </c>
      <c r="M1442" t="s">
        <v>3</v>
      </c>
    </row>
    <row r="1443" spans="1:13" ht="26.25" x14ac:dyDescent="0.25">
      <c r="A1443" s="13" t="s">
        <v>3496</v>
      </c>
      <c r="B1443" s="13" t="s">
        <v>3496</v>
      </c>
      <c r="C1443" s="13" t="s">
        <v>3497</v>
      </c>
      <c r="D1443" s="13">
        <v>0.2</v>
      </c>
      <c r="E1443" s="13" t="s">
        <v>3498</v>
      </c>
      <c r="F1443" s="13" t="s">
        <v>8860</v>
      </c>
      <c r="G1443" s="13" t="s">
        <v>19</v>
      </c>
      <c r="H1443" s="13" t="s">
        <v>3</v>
      </c>
      <c r="I1443" s="13" t="s">
        <v>3499</v>
      </c>
      <c r="J1443" s="13" t="s">
        <v>21</v>
      </c>
      <c r="K1443" s="13" t="s">
        <v>3497</v>
      </c>
      <c r="L1443" s="13" t="s">
        <v>18</v>
      </c>
      <c r="M1443" t="s">
        <v>3</v>
      </c>
    </row>
    <row r="1444" spans="1:13" x14ac:dyDescent="0.25">
      <c r="A1444" s="13" t="s">
        <v>12010</v>
      </c>
      <c r="B1444" s="13" t="s">
        <v>12010</v>
      </c>
      <c r="C1444" s="13" t="s">
        <v>12011</v>
      </c>
      <c r="D1444" s="13">
        <v>3</v>
      </c>
      <c r="E1444" s="13" t="s">
        <v>12012</v>
      </c>
      <c r="F1444" s="13" t="s">
        <v>8867</v>
      </c>
      <c r="G1444" s="13" t="s">
        <v>2</v>
      </c>
      <c r="H1444" s="13" t="s">
        <v>3</v>
      </c>
      <c r="I1444" s="13" t="s">
        <v>1263</v>
      </c>
      <c r="J1444" s="13" t="s">
        <v>8890</v>
      </c>
      <c r="K1444" s="13" t="s">
        <v>8422</v>
      </c>
      <c r="L1444" s="13" t="s">
        <v>158</v>
      </c>
      <c r="M1444" t="s">
        <v>3</v>
      </c>
    </row>
    <row r="1445" spans="1:13" x14ac:dyDescent="0.25">
      <c r="A1445" s="13" t="s">
        <v>11062</v>
      </c>
      <c r="B1445" s="13" t="s">
        <v>11062</v>
      </c>
      <c r="C1445" s="13" t="s">
        <v>11062</v>
      </c>
      <c r="D1445" s="13">
        <v>10</v>
      </c>
      <c r="E1445" s="13" t="s">
        <v>11063</v>
      </c>
      <c r="F1445" s="13" t="s">
        <v>8867</v>
      </c>
      <c r="G1445" s="13" t="s">
        <v>2</v>
      </c>
      <c r="H1445" s="13" t="s">
        <v>3</v>
      </c>
      <c r="I1445" s="13" t="s">
        <v>706</v>
      </c>
      <c r="J1445" s="13" t="s">
        <v>8890</v>
      </c>
      <c r="K1445" s="13" t="s">
        <v>8419</v>
      </c>
      <c r="L1445" s="13" t="s">
        <v>158</v>
      </c>
      <c r="M1445" t="s">
        <v>3</v>
      </c>
    </row>
    <row r="1446" spans="1:13" x14ac:dyDescent="0.25">
      <c r="A1446" s="13" t="s">
        <v>3500</v>
      </c>
      <c r="B1446" s="13" t="s">
        <v>3501</v>
      </c>
      <c r="C1446" s="13" t="s">
        <v>3502</v>
      </c>
      <c r="D1446" s="13">
        <v>3</v>
      </c>
      <c r="E1446" s="13" t="s">
        <v>3503</v>
      </c>
      <c r="F1446" s="13" t="s">
        <v>8867</v>
      </c>
      <c r="G1446" s="13" t="s">
        <v>2</v>
      </c>
      <c r="H1446" s="13" t="s">
        <v>3</v>
      </c>
      <c r="I1446" s="13" t="s">
        <v>1283</v>
      </c>
      <c r="J1446" s="13" t="s">
        <v>8890</v>
      </c>
      <c r="K1446" s="13" t="s">
        <v>8524</v>
      </c>
      <c r="L1446" s="13" t="s">
        <v>158</v>
      </c>
      <c r="M1446" t="s">
        <v>3</v>
      </c>
    </row>
    <row r="1447" spans="1:13" x14ac:dyDescent="0.25">
      <c r="A1447" s="13" t="s">
        <v>3504</v>
      </c>
      <c r="B1447" s="13" t="s">
        <v>3504</v>
      </c>
      <c r="C1447" s="13" t="s">
        <v>3505</v>
      </c>
      <c r="D1447" s="13">
        <v>33.1</v>
      </c>
      <c r="E1447" s="13" t="s">
        <v>3506</v>
      </c>
      <c r="F1447" s="13" t="s">
        <v>8867</v>
      </c>
      <c r="G1447" s="13" t="s">
        <v>2</v>
      </c>
      <c r="H1447" s="13" t="s">
        <v>8422</v>
      </c>
      <c r="I1447" s="13" t="s">
        <v>1263</v>
      </c>
      <c r="J1447" s="13" t="s">
        <v>8890</v>
      </c>
      <c r="K1447" s="13" t="s">
        <v>8422</v>
      </c>
      <c r="L1447" s="13" t="s">
        <v>158</v>
      </c>
      <c r="M1447" t="s">
        <v>10689</v>
      </c>
    </row>
    <row r="1448" spans="1:13" x14ac:dyDescent="0.25">
      <c r="A1448" s="13" t="s">
        <v>11272</v>
      </c>
      <c r="B1448" s="13" t="s">
        <v>11272</v>
      </c>
      <c r="C1448" s="13" t="s">
        <v>11273</v>
      </c>
      <c r="D1448" s="13">
        <v>42</v>
      </c>
      <c r="E1448" s="13" t="s">
        <v>11274</v>
      </c>
      <c r="F1448" s="13" t="s">
        <v>8867</v>
      </c>
      <c r="G1448" s="13" t="s">
        <v>2</v>
      </c>
      <c r="H1448" s="13" t="s">
        <v>3</v>
      </c>
      <c r="I1448" s="13" t="s">
        <v>1263</v>
      </c>
      <c r="J1448" s="13" t="s">
        <v>8890</v>
      </c>
      <c r="K1448" s="13" t="s">
        <v>8422</v>
      </c>
      <c r="L1448" s="13" t="s">
        <v>158</v>
      </c>
      <c r="M1448" t="s">
        <v>3</v>
      </c>
    </row>
    <row r="1449" spans="1:13" x14ac:dyDescent="0.25">
      <c r="A1449" s="13" t="s">
        <v>11275</v>
      </c>
      <c r="B1449" s="13" t="s">
        <v>11275</v>
      </c>
      <c r="C1449" s="13" t="s">
        <v>11276</v>
      </c>
      <c r="D1449" s="13">
        <v>42</v>
      </c>
      <c r="E1449" s="13" t="s">
        <v>11277</v>
      </c>
      <c r="F1449" s="13" t="s">
        <v>8867</v>
      </c>
      <c r="G1449" s="13" t="s">
        <v>2</v>
      </c>
      <c r="H1449" s="13" t="s">
        <v>3</v>
      </c>
      <c r="I1449" s="13" t="s">
        <v>1263</v>
      </c>
      <c r="J1449" s="13" t="s">
        <v>8890</v>
      </c>
      <c r="K1449" s="13" t="s">
        <v>8422</v>
      </c>
      <c r="L1449" s="13" t="s">
        <v>158</v>
      </c>
      <c r="M1449" t="s">
        <v>3</v>
      </c>
    </row>
    <row r="1450" spans="1:13" x14ac:dyDescent="0.25">
      <c r="A1450" s="13" t="s">
        <v>11278</v>
      </c>
      <c r="B1450" s="13" t="s">
        <v>11278</v>
      </c>
      <c r="C1450" s="13" t="s">
        <v>11279</v>
      </c>
      <c r="D1450" s="13">
        <v>42</v>
      </c>
      <c r="E1450" s="13" t="s">
        <v>11280</v>
      </c>
      <c r="F1450" s="13" t="s">
        <v>8867</v>
      </c>
      <c r="G1450" s="13" t="s">
        <v>2</v>
      </c>
      <c r="H1450" s="13" t="s">
        <v>3</v>
      </c>
      <c r="I1450" s="13" t="s">
        <v>1263</v>
      </c>
      <c r="J1450" s="13" t="s">
        <v>8890</v>
      </c>
      <c r="K1450" s="13" t="s">
        <v>8422</v>
      </c>
      <c r="L1450" s="13" t="s">
        <v>158</v>
      </c>
      <c r="M1450" t="s">
        <v>3</v>
      </c>
    </row>
    <row r="1451" spans="1:13" x14ac:dyDescent="0.25">
      <c r="A1451" s="13" t="s">
        <v>11281</v>
      </c>
      <c r="B1451" s="13" t="s">
        <v>11281</v>
      </c>
      <c r="C1451" s="13" t="s">
        <v>11282</v>
      </c>
      <c r="D1451" s="13">
        <v>42</v>
      </c>
      <c r="E1451" s="13" t="s">
        <v>11283</v>
      </c>
      <c r="F1451" s="13" t="s">
        <v>8867</v>
      </c>
      <c r="G1451" s="13" t="s">
        <v>2</v>
      </c>
      <c r="H1451" s="13" t="s">
        <v>3</v>
      </c>
      <c r="I1451" s="13" t="s">
        <v>1263</v>
      </c>
      <c r="J1451" s="13" t="s">
        <v>8890</v>
      </c>
      <c r="K1451" s="13" t="s">
        <v>8422</v>
      </c>
      <c r="L1451" s="13" t="s">
        <v>158</v>
      </c>
      <c r="M1451" t="s">
        <v>3</v>
      </c>
    </row>
    <row r="1452" spans="1:13" x14ac:dyDescent="0.25">
      <c r="A1452" s="13" t="s">
        <v>11284</v>
      </c>
      <c r="B1452" s="13" t="s">
        <v>11284</v>
      </c>
      <c r="C1452" s="13" t="s">
        <v>11285</v>
      </c>
      <c r="D1452" s="13">
        <v>42</v>
      </c>
      <c r="E1452" s="13" t="s">
        <v>11286</v>
      </c>
      <c r="F1452" s="13" t="s">
        <v>8867</v>
      </c>
      <c r="G1452" s="13" t="s">
        <v>2</v>
      </c>
      <c r="H1452" s="13" t="s">
        <v>3</v>
      </c>
      <c r="I1452" s="13" t="s">
        <v>1263</v>
      </c>
      <c r="J1452" s="13" t="s">
        <v>8890</v>
      </c>
      <c r="K1452" s="13" t="s">
        <v>8422</v>
      </c>
      <c r="L1452" s="13" t="s">
        <v>158</v>
      </c>
      <c r="M1452" t="s">
        <v>3</v>
      </c>
    </row>
    <row r="1453" spans="1:13" x14ac:dyDescent="0.25">
      <c r="A1453" s="13" t="s">
        <v>9916</v>
      </c>
      <c r="B1453" s="13" t="s">
        <v>9916</v>
      </c>
      <c r="C1453" s="13" t="s">
        <v>9917</v>
      </c>
      <c r="D1453" s="13">
        <v>1.2</v>
      </c>
      <c r="E1453" s="13" t="s">
        <v>9918</v>
      </c>
      <c r="F1453" s="13" t="s">
        <v>8867</v>
      </c>
      <c r="G1453" s="13" t="s">
        <v>2</v>
      </c>
      <c r="H1453" s="13" t="s">
        <v>3</v>
      </c>
      <c r="I1453" s="13" t="s">
        <v>1263</v>
      </c>
      <c r="J1453" s="13" t="s">
        <v>8890</v>
      </c>
      <c r="K1453" s="13" t="s">
        <v>8422</v>
      </c>
      <c r="L1453" s="13" t="s">
        <v>158</v>
      </c>
      <c r="M1453" t="s">
        <v>3</v>
      </c>
    </row>
    <row r="1454" spans="1:13" x14ac:dyDescent="0.25">
      <c r="A1454" s="13" t="s">
        <v>11287</v>
      </c>
      <c r="B1454" s="13" t="s">
        <v>11287</v>
      </c>
      <c r="C1454" s="13" t="s">
        <v>11288</v>
      </c>
      <c r="D1454" s="13">
        <v>3.7</v>
      </c>
      <c r="E1454" s="13" t="s">
        <v>11289</v>
      </c>
      <c r="F1454" s="13" t="s">
        <v>8867</v>
      </c>
      <c r="G1454" s="13" t="s">
        <v>2</v>
      </c>
      <c r="H1454" s="13" t="s">
        <v>3</v>
      </c>
      <c r="I1454" s="13" t="s">
        <v>1263</v>
      </c>
      <c r="J1454" s="13" t="s">
        <v>8890</v>
      </c>
      <c r="K1454" s="13" t="s">
        <v>8422</v>
      </c>
      <c r="L1454" s="13" t="s">
        <v>158</v>
      </c>
      <c r="M1454" t="s">
        <v>3</v>
      </c>
    </row>
    <row r="1455" spans="1:13" x14ac:dyDescent="0.25">
      <c r="A1455" s="13" t="s">
        <v>3507</v>
      </c>
      <c r="B1455" s="13" t="s">
        <v>3507</v>
      </c>
      <c r="C1455" s="13" t="s">
        <v>9175</v>
      </c>
      <c r="D1455" s="13">
        <v>2.6</v>
      </c>
      <c r="E1455" s="13" t="s">
        <v>3508</v>
      </c>
      <c r="F1455" s="13" t="s">
        <v>8867</v>
      </c>
      <c r="G1455" s="13" t="s">
        <v>2</v>
      </c>
      <c r="H1455" s="13" t="s">
        <v>3</v>
      </c>
      <c r="I1455" s="13" t="s">
        <v>1562</v>
      </c>
      <c r="J1455" s="13" t="s">
        <v>8890</v>
      </c>
      <c r="K1455" s="13" t="s">
        <v>8423</v>
      </c>
      <c r="L1455" s="13" t="s">
        <v>158</v>
      </c>
      <c r="M1455" t="s">
        <v>3</v>
      </c>
    </row>
    <row r="1456" spans="1:13" x14ac:dyDescent="0.25">
      <c r="A1456" s="13" t="s">
        <v>9919</v>
      </c>
      <c r="B1456" s="13" t="s">
        <v>9919</v>
      </c>
      <c r="C1456" s="13" t="s">
        <v>9920</v>
      </c>
      <c r="D1456" s="13">
        <v>5</v>
      </c>
      <c r="E1456" s="13" t="s">
        <v>9921</v>
      </c>
      <c r="F1456" s="13" t="s">
        <v>8867</v>
      </c>
      <c r="G1456" s="13" t="s">
        <v>2</v>
      </c>
      <c r="H1456" s="13" t="s">
        <v>3</v>
      </c>
      <c r="I1456" s="13" t="s">
        <v>1263</v>
      </c>
      <c r="J1456" s="13" t="s">
        <v>8890</v>
      </c>
      <c r="K1456" s="13" t="s">
        <v>8422</v>
      </c>
      <c r="L1456" s="13" t="s">
        <v>158</v>
      </c>
      <c r="M1456" t="s">
        <v>3</v>
      </c>
    </row>
    <row r="1457" spans="1:13" x14ac:dyDescent="0.25">
      <c r="A1457" s="13" t="s">
        <v>9636</v>
      </c>
      <c r="B1457" s="13" t="s">
        <v>9636</v>
      </c>
      <c r="C1457" s="13" t="s">
        <v>9637</v>
      </c>
      <c r="D1457" s="13">
        <v>10</v>
      </c>
      <c r="E1457" s="13" t="s">
        <v>9638</v>
      </c>
      <c r="F1457" s="13" t="s">
        <v>8867</v>
      </c>
      <c r="G1457" s="13" t="s">
        <v>2</v>
      </c>
      <c r="H1457" s="13" t="s">
        <v>8422</v>
      </c>
      <c r="I1457" s="13" t="s">
        <v>1263</v>
      </c>
      <c r="J1457" s="13" t="s">
        <v>8890</v>
      </c>
      <c r="K1457" s="13" t="s">
        <v>8422</v>
      </c>
      <c r="L1457" s="13" t="s">
        <v>158</v>
      </c>
      <c r="M1457" t="s">
        <v>10689</v>
      </c>
    </row>
    <row r="1458" spans="1:13" x14ac:dyDescent="0.25">
      <c r="A1458" s="13" t="s">
        <v>3509</v>
      </c>
      <c r="B1458" s="13" t="s">
        <v>3509</v>
      </c>
      <c r="C1458" s="13" t="s">
        <v>3510</v>
      </c>
      <c r="D1458" s="13">
        <v>0.1</v>
      </c>
      <c r="E1458" s="13" t="s">
        <v>3511</v>
      </c>
      <c r="F1458" s="13" t="s">
        <v>8867</v>
      </c>
      <c r="G1458" s="13" t="s">
        <v>2</v>
      </c>
      <c r="H1458" s="13" t="s">
        <v>3</v>
      </c>
      <c r="I1458" s="13" t="s">
        <v>2280</v>
      </c>
      <c r="J1458" s="13" t="s">
        <v>8890</v>
      </c>
      <c r="K1458" s="13" t="s">
        <v>8596</v>
      </c>
      <c r="L1458" s="13" t="s">
        <v>158</v>
      </c>
      <c r="M1458" t="s">
        <v>3</v>
      </c>
    </row>
    <row r="1459" spans="1:13" x14ac:dyDescent="0.25">
      <c r="A1459" s="13" t="s">
        <v>3512</v>
      </c>
      <c r="B1459" s="13" t="s">
        <v>3512</v>
      </c>
      <c r="C1459" s="13" t="s">
        <v>3513</v>
      </c>
      <c r="D1459" s="13">
        <v>38.700000000000003</v>
      </c>
      <c r="E1459" s="13" t="s">
        <v>3514</v>
      </c>
      <c r="F1459" s="13" t="s">
        <v>8867</v>
      </c>
      <c r="G1459" s="13" t="s">
        <v>2</v>
      </c>
      <c r="H1459" s="13" t="s">
        <v>8422</v>
      </c>
      <c r="I1459" s="13" t="s">
        <v>1263</v>
      </c>
      <c r="J1459" s="13" t="s">
        <v>8890</v>
      </c>
      <c r="K1459" s="13" t="s">
        <v>8422</v>
      </c>
      <c r="L1459" s="13" t="s">
        <v>158</v>
      </c>
      <c r="M1459" t="s">
        <v>10689</v>
      </c>
    </row>
    <row r="1460" spans="1:13" x14ac:dyDescent="0.25">
      <c r="A1460" s="13" t="s">
        <v>11064</v>
      </c>
      <c r="B1460" s="13" t="s">
        <v>11064</v>
      </c>
      <c r="C1460" s="13" t="s">
        <v>11065</v>
      </c>
      <c r="D1460" s="13">
        <v>1.4</v>
      </c>
      <c r="E1460" s="13" t="s">
        <v>11066</v>
      </c>
      <c r="F1460" s="13" t="s">
        <v>8867</v>
      </c>
      <c r="G1460" s="13" t="s">
        <v>2</v>
      </c>
      <c r="H1460" s="13" t="s">
        <v>3</v>
      </c>
      <c r="I1460" s="13" t="s">
        <v>1263</v>
      </c>
      <c r="J1460" s="13" t="s">
        <v>8890</v>
      </c>
      <c r="K1460" s="13" t="s">
        <v>8422</v>
      </c>
      <c r="L1460" s="13" t="s">
        <v>158</v>
      </c>
      <c r="M1460" t="s">
        <v>3</v>
      </c>
    </row>
    <row r="1461" spans="1:13" x14ac:dyDescent="0.25">
      <c r="A1461" s="13" t="s">
        <v>11803</v>
      </c>
      <c r="B1461" s="13" t="s">
        <v>11803</v>
      </c>
      <c r="C1461" s="13" t="s">
        <v>11804</v>
      </c>
      <c r="D1461" s="13">
        <v>100</v>
      </c>
      <c r="E1461" s="13" t="s">
        <v>11805</v>
      </c>
      <c r="F1461" s="13" t="s">
        <v>8867</v>
      </c>
      <c r="G1461" s="13" t="s">
        <v>2</v>
      </c>
      <c r="H1461" s="13" t="s">
        <v>3</v>
      </c>
      <c r="I1461" s="13" t="s">
        <v>1366</v>
      </c>
      <c r="J1461" s="13" t="s">
        <v>8890</v>
      </c>
      <c r="K1461" s="13" t="s">
        <v>8417</v>
      </c>
      <c r="L1461" s="13" t="s">
        <v>158</v>
      </c>
      <c r="M1461" t="s">
        <v>3</v>
      </c>
    </row>
    <row r="1462" spans="1:13" x14ac:dyDescent="0.25">
      <c r="A1462" s="13" t="s">
        <v>10205</v>
      </c>
      <c r="B1462" s="13" t="s">
        <v>10205</v>
      </c>
      <c r="C1462" s="13" t="s">
        <v>10205</v>
      </c>
      <c r="D1462" s="13">
        <v>1.7</v>
      </c>
      <c r="E1462" s="13" t="s">
        <v>10206</v>
      </c>
      <c r="F1462" s="13" t="s">
        <v>8867</v>
      </c>
      <c r="G1462" s="13" t="s">
        <v>2</v>
      </c>
      <c r="H1462" s="13" t="s">
        <v>3</v>
      </c>
      <c r="I1462" s="13" t="s">
        <v>2736</v>
      </c>
      <c r="J1462" s="13" t="s">
        <v>8890</v>
      </c>
      <c r="K1462" s="13" t="s">
        <v>8616</v>
      </c>
      <c r="L1462" s="13" t="s">
        <v>158</v>
      </c>
      <c r="M1462" t="s">
        <v>3</v>
      </c>
    </row>
    <row r="1463" spans="1:13" ht="26.25" x14ac:dyDescent="0.25">
      <c r="A1463" s="13" t="s">
        <v>3515</v>
      </c>
      <c r="B1463" s="13" t="s">
        <v>3515</v>
      </c>
      <c r="C1463" s="13" t="s">
        <v>3516</v>
      </c>
      <c r="D1463" s="13">
        <v>0</v>
      </c>
      <c r="E1463" s="13" t="s">
        <v>3517</v>
      </c>
      <c r="F1463" s="13" t="s">
        <v>8867</v>
      </c>
      <c r="G1463" s="13" t="s">
        <v>2</v>
      </c>
      <c r="H1463" s="13" t="s">
        <v>3</v>
      </c>
      <c r="I1463" s="13" t="s">
        <v>2349</v>
      </c>
      <c r="J1463" s="13" t="s">
        <v>8890</v>
      </c>
      <c r="K1463" s="13" t="s">
        <v>8599</v>
      </c>
      <c r="L1463" s="13" t="s">
        <v>158</v>
      </c>
      <c r="M1463" t="s">
        <v>3</v>
      </c>
    </row>
    <row r="1464" spans="1:13" x14ac:dyDescent="0.25">
      <c r="A1464" s="13" t="s">
        <v>11290</v>
      </c>
      <c r="B1464" s="13" t="s">
        <v>11290</v>
      </c>
      <c r="C1464" s="13" t="s">
        <v>11291</v>
      </c>
      <c r="D1464" s="13">
        <v>1.2</v>
      </c>
      <c r="E1464" s="13" t="s">
        <v>11292</v>
      </c>
      <c r="F1464" s="13" t="s">
        <v>8867</v>
      </c>
      <c r="G1464" s="13" t="s">
        <v>2</v>
      </c>
      <c r="H1464" s="13" t="s">
        <v>3</v>
      </c>
      <c r="I1464" s="13" t="s">
        <v>1263</v>
      </c>
      <c r="J1464" s="13" t="s">
        <v>8890</v>
      </c>
      <c r="K1464" s="13" t="s">
        <v>8422</v>
      </c>
      <c r="L1464" s="13" t="s">
        <v>158</v>
      </c>
      <c r="M1464" t="s">
        <v>3</v>
      </c>
    </row>
    <row r="1465" spans="1:13" ht="26.25" x14ac:dyDescent="0.25">
      <c r="A1465" s="13" t="s">
        <v>3518</v>
      </c>
      <c r="B1465" s="13" t="s">
        <v>3518</v>
      </c>
      <c r="C1465" s="13" t="s">
        <v>9176</v>
      </c>
      <c r="D1465" s="13">
        <v>19.2</v>
      </c>
      <c r="E1465" s="13" t="s">
        <v>3519</v>
      </c>
      <c r="F1465" s="13" t="s">
        <v>8867</v>
      </c>
      <c r="G1465" s="13" t="s">
        <v>2</v>
      </c>
      <c r="H1465" s="13" t="s">
        <v>3</v>
      </c>
      <c r="I1465" s="13" t="s">
        <v>2356</v>
      </c>
      <c r="J1465" s="13" t="s">
        <v>8890</v>
      </c>
      <c r="K1465" s="13" t="s">
        <v>8429</v>
      </c>
      <c r="L1465" s="13" t="s">
        <v>158</v>
      </c>
      <c r="M1465" t="s">
        <v>3</v>
      </c>
    </row>
    <row r="1466" spans="1:13" x14ac:dyDescent="0.25">
      <c r="A1466" s="13" t="s">
        <v>3520</v>
      </c>
      <c r="B1466" s="13" t="s">
        <v>3520</v>
      </c>
      <c r="C1466" s="13" t="s">
        <v>3521</v>
      </c>
      <c r="D1466" s="13">
        <v>43.8</v>
      </c>
      <c r="E1466" s="13" t="s">
        <v>3522</v>
      </c>
      <c r="F1466" s="13" t="s">
        <v>8867</v>
      </c>
      <c r="G1466" s="13" t="s">
        <v>2</v>
      </c>
      <c r="H1466" s="13" t="s">
        <v>8422</v>
      </c>
      <c r="I1466" s="13" t="s">
        <v>1263</v>
      </c>
      <c r="J1466" s="13" t="s">
        <v>8890</v>
      </c>
      <c r="K1466" s="13" t="s">
        <v>8422</v>
      </c>
      <c r="L1466" s="13" t="s">
        <v>158</v>
      </c>
      <c r="M1466" t="s">
        <v>10689</v>
      </c>
    </row>
    <row r="1467" spans="1:13" x14ac:dyDescent="0.25">
      <c r="A1467" s="13" t="s">
        <v>9177</v>
      </c>
      <c r="B1467" s="13" t="s">
        <v>9177</v>
      </c>
      <c r="C1467" s="13" t="s">
        <v>9178</v>
      </c>
      <c r="D1467" s="13">
        <v>3.8</v>
      </c>
      <c r="E1467" s="13" t="s">
        <v>9179</v>
      </c>
      <c r="F1467" s="13" t="s">
        <v>8867</v>
      </c>
      <c r="G1467" s="13" t="s">
        <v>2</v>
      </c>
      <c r="H1467" s="13" t="s">
        <v>3</v>
      </c>
      <c r="I1467" s="13" t="s">
        <v>1263</v>
      </c>
      <c r="J1467" s="13" t="s">
        <v>8890</v>
      </c>
      <c r="K1467" s="13" t="s">
        <v>8422</v>
      </c>
      <c r="L1467" s="13" t="s">
        <v>158</v>
      </c>
      <c r="M1467" t="s">
        <v>3</v>
      </c>
    </row>
    <row r="1468" spans="1:13" x14ac:dyDescent="0.25">
      <c r="A1468" s="13" t="s">
        <v>10207</v>
      </c>
      <c r="B1468" s="13" t="s">
        <v>10207</v>
      </c>
      <c r="C1468" s="13" t="s">
        <v>10208</v>
      </c>
      <c r="D1468" s="13">
        <v>4.9000000000000004</v>
      </c>
      <c r="E1468" s="13" t="s">
        <v>10209</v>
      </c>
      <c r="F1468" s="13" t="s">
        <v>8867</v>
      </c>
      <c r="G1468" s="13" t="s">
        <v>2</v>
      </c>
      <c r="H1468" s="13" t="s">
        <v>3</v>
      </c>
      <c r="I1468" s="13" t="s">
        <v>809</v>
      </c>
      <c r="J1468" s="13" t="s">
        <v>8890</v>
      </c>
      <c r="K1468" s="13" t="s">
        <v>8512</v>
      </c>
      <c r="L1468" s="13" t="s">
        <v>158</v>
      </c>
      <c r="M1468" t="s">
        <v>3</v>
      </c>
    </row>
    <row r="1469" spans="1:13" x14ac:dyDescent="0.25">
      <c r="A1469" s="13" t="s">
        <v>3523</v>
      </c>
      <c r="B1469" s="13" t="s">
        <v>3523</v>
      </c>
      <c r="C1469" s="13" t="s">
        <v>3524</v>
      </c>
      <c r="D1469" s="13">
        <v>2.4</v>
      </c>
      <c r="E1469" s="13" t="s">
        <v>3525</v>
      </c>
      <c r="F1469" s="13" t="s">
        <v>8867</v>
      </c>
      <c r="G1469" s="13" t="s">
        <v>2</v>
      </c>
      <c r="H1469" s="13" t="s">
        <v>3</v>
      </c>
      <c r="I1469" s="13" t="s">
        <v>1263</v>
      </c>
      <c r="J1469" s="13" t="s">
        <v>8890</v>
      </c>
      <c r="K1469" s="13" t="s">
        <v>8422</v>
      </c>
      <c r="L1469" s="13" t="s">
        <v>158</v>
      </c>
      <c r="M1469" t="s">
        <v>3</v>
      </c>
    </row>
    <row r="1470" spans="1:13" x14ac:dyDescent="0.25">
      <c r="A1470" s="13" t="s">
        <v>3526</v>
      </c>
      <c r="B1470" s="13" t="s">
        <v>3527</v>
      </c>
      <c r="C1470" s="13" t="s">
        <v>3527</v>
      </c>
      <c r="D1470" s="13">
        <v>10</v>
      </c>
      <c r="E1470" s="13" t="s">
        <v>3528</v>
      </c>
      <c r="F1470" s="13" t="s">
        <v>8867</v>
      </c>
      <c r="G1470" s="13" t="s">
        <v>2</v>
      </c>
      <c r="H1470" s="13" t="s">
        <v>3</v>
      </c>
      <c r="I1470" s="13" t="s">
        <v>1263</v>
      </c>
      <c r="J1470" s="13" t="s">
        <v>8890</v>
      </c>
      <c r="K1470" s="13" t="s">
        <v>8422</v>
      </c>
      <c r="L1470" s="13" t="s">
        <v>158</v>
      </c>
      <c r="M1470" t="s">
        <v>3</v>
      </c>
    </row>
    <row r="1471" spans="1:13" x14ac:dyDescent="0.25">
      <c r="A1471" s="13" t="s">
        <v>3529</v>
      </c>
      <c r="B1471" s="13" t="s">
        <v>3529</v>
      </c>
      <c r="C1471" s="13" t="s">
        <v>3530</v>
      </c>
      <c r="D1471" s="13">
        <v>1.5</v>
      </c>
      <c r="E1471" s="13" t="s">
        <v>3531</v>
      </c>
      <c r="F1471" s="13" t="s">
        <v>8867</v>
      </c>
      <c r="G1471" s="13" t="s">
        <v>2</v>
      </c>
      <c r="H1471" s="13" t="s">
        <v>3</v>
      </c>
      <c r="I1471" s="13" t="s">
        <v>1263</v>
      </c>
      <c r="J1471" s="13" t="s">
        <v>8890</v>
      </c>
      <c r="K1471" s="13" t="s">
        <v>8422</v>
      </c>
      <c r="L1471" s="13" t="s">
        <v>158</v>
      </c>
      <c r="M1471" t="s">
        <v>3</v>
      </c>
    </row>
    <row r="1472" spans="1:13" x14ac:dyDescent="0.25">
      <c r="A1472" s="13" t="s">
        <v>10903</v>
      </c>
      <c r="B1472" s="13" t="s">
        <v>10904</v>
      </c>
      <c r="C1472" s="13" t="s">
        <v>10905</v>
      </c>
      <c r="D1472" s="13">
        <v>5</v>
      </c>
      <c r="E1472" s="13" t="s">
        <v>10906</v>
      </c>
      <c r="F1472" s="13" t="s">
        <v>8867</v>
      </c>
      <c r="G1472" s="13" t="s">
        <v>2</v>
      </c>
      <c r="H1472" s="13" t="s">
        <v>3</v>
      </c>
      <c r="I1472" s="13" t="s">
        <v>1263</v>
      </c>
      <c r="J1472" s="13" t="s">
        <v>8890</v>
      </c>
      <c r="K1472" s="13" t="s">
        <v>8422</v>
      </c>
      <c r="L1472" s="13" t="s">
        <v>158</v>
      </c>
      <c r="M1472" t="s">
        <v>3</v>
      </c>
    </row>
    <row r="1473" spans="1:13" x14ac:dyDescent="0.25">
      <c r="A1473" s="13" t="s">
        <v>3532</v>
      </c>
      <c r="B1473" s="13" t="s">
        <v>3532</v>
      </c>
      <c r="C1473" s="13" t="s">
        <v>3533</v>
      </c>
      <c r="D1473" s="13">
        <v>4.5999999999999996</v>
      </c>
      <c r="E1473" s="13" t="s">
        <v>3534</v>
      </c>
      <c r="F1473" s="13" t="s">
        <v>8867</v>
      </c>
      <c r="G1473" s="13" t="s">
        <v>2</v>
      </c>
      <c r="H1473" s="13" t="s">
        <v>3</v>
      </c>
      <c r="I1473" s="13" t="s">
        <v>706</v>
      </c>
      <c r="J1473" s="13" t="s">
        <v>8890</v>
      </c>
      <c r="K1473" s="13" t="s">
        <v>8419</v>
      </c>
      <c r="L1473" s="13" t="s">
        <v>158</v>
      </c>
      <c r="M1473" t="s">
        <v>3</v>
      </c>
    </row>
    <row r="1474" spans="1:13" ht="26.25" x14ac:dyDescent="0.25">
      <c r="A1474" s="13" t="s">
        <v>3535</v>
      </c>
      <c r="B1474" s="13" t="s">
        <v>3535</v>
      </c>
      <c r="C1474" s="13" t="s">
        <v>3536</v>
      </c>
      <c r="D1474" s="13">
        <v>4.5999999999999996</v>
      </c>
      <c r="E1474" s="13" t="s">
        <v>3537</v>
      </c>
      <c r="F1474" s="13" t="s">
        <v>8867</v>
      </c>
      <c r="G1474" s="13" t="s">
        <v>2</v>
      </c>
      <c r="H1474" s="13" t="s">
        <v>3</v>
      </c>
      <c r="I1474" s="13" t="s">
        <v>706</v>
      </c>
      <c r="J1474" s="13" t="s">
        <v>8890</v>
      </c>
      <c r="K1474" s="13" t="s">
        <v>8419</v>
      </c>
      <c r="L1474" s="13" t="s">
        <v>158</v>
      </c>
      <c r="M1474" t="s">
        <v>3</v>
      </c>
    </row>
    <row r="1475" spans="1:13" x14ac:dyDescent="0.25">
      <c r="A1475" s="13" t="s">
        <v>3538</v>
      </c>
      <c r="B1475" s="13" t="s">
        <v>3538</v>
      </c>
      <c r="C1475" s="13" t="s">
        <v>3539</v>
      </c>
      <c r="D1475" s="13">
        <v>4.5999999999999996</v>
      </c>
      <c r="E1475" s="13" t="s">
        <v>3540</v>
      </c>
      <c r="F1475" s="13" t="s">
        <v>8867</v>
      </c>
      <c r="G1475" s="13" t="s">
        <v>2</v>
      </c>
      <c r="H1475" s="13" t="s">
        <v>3</v>
      </c>
      <c r="I1475" s="13" t="s">
        <v>706</v>
      </c>
      <c r="J1475" s="13" t="s">
        <v>8890</v>
      </c>
      <c r="K1475" s="13" t="s">
        <v>8419</v>
      </c>
      <c r="L1475" s="13" t="s">
        <v>158</v>
      </c>
      <c r="M1475" t="s">
        <v>3</v>
      </c>
    </row>
    <row r="1476" spans="1:13" x14ac:dyDescent="0.25">
      <c r="A1476" s="13" t="s">
        <v>3541</v>
      </c>
      <c r="B1476" s="13" t="s">
        <v>3541</v>
      </c>
      <c r="C1476" s="13" t="s">
        <v>3542</v>
      </c>
      <c r="D1476" s="13">
        <v>4.4000000000000004</v>
      </c>
      <c r="E1476" s="13" t="s">
        <v>3543</v>
      </c>
      <c r="F1476" s="13" t="s">
        <v>8867</v>
      </c>
      <c r="G1476" s="13" t="s">
        <v>2</v>
      </c>
      <c r="H1476" s="13" t="s">
        <v>3</v>
      </c>
      <c r="I1476" s="13" t="s">
        <v>1263</v>
      </c>
      <c r="J1476" s="13" t="s">
        <v>8890</v>
      </c>
      <c r="K1476" s="13" t="s">
        <v>8422</v>
      </c>
      <c r="L1476" s="13" t="s">
        <v>158</v>
      </c>
      <c r="M1476" t="s">
        <v>3</v>
      </c>
    </row>
    <row r="1477" spans="1:13" x14ac:dyDescent="0.25">
      <c r="A1477" s="13" t="s">
        <v>9789</v>
      </c>
      <c r="B1477" s="13" t="s">
        <v>9789</v>
      </c>
      <c r="C1477" s="13" t="s">
        <v>9790</v>
      </c>
      <c r="D1477" s="13">
        <v>8.1</v>
      </c>
      <c r="E1477" s="13" t="s">
        <v>9791</v>
      </c>
      <c r="F1477" s="13" t="s">
        <v>8867</v>
      </c>
      <c r="G1477" s="13" t="s">
        <v>2</v>
      </c>
      <c r="H1477" s="13" t="s">
        <v>3</v>
      </c>
      <c r="I1477" s="13" t="s">
        <v>1263</v>
      </c>
      <c r="J1477" s="13" t="s">
        <v>8890</v>
      </c>
      <c r="K1477" s="13" t="s">
        <v>8422</v>
      </c>
      <c r="L1477" s="13" t="s">
        <v>158</v>
      </c>
      <c r="M1477" t="s">
        <v>3</v>
      </c>
    </row>
    <row r="1478" spans="1:13" ht="26.25" x14ac:dyDescent="0.25">
      <c r="A1478" s="13" t="s">
        <v>3544</v>
      </c>
      <c r="B1478" s="13" t="s">
        <v>3544</v>
      </c>
      <c r="C1478" s="13" t="s">
        <v>3545</v>
      </c>
      <c r="D1478" s="13">
        <v>2.2000000000000002</v>
      </c>
      <c r="E1478" s="13" t="s">
        <v>3546</v>
      </c>
      <c r="F1478" s="13" t="s">
        <v>8867</v>
      </c>
      <c r="G1478" s="13" t="s">
        <v>2</v>
      </c>
      <c r="H1478" s="13" t="s">
        <v>3</v>
      </c>
      <c r="I1478" s="13" t="s">
        <v>1263</v>
      </c>
      <c r="J1478" s="13" t="s">
        <v>8890</v>
      </c>
      <c r="K1478" s="13" t="s">
        <v>8422</v>
      </c>
      <c r="L1478" s="13" t="s">
        <v>158</v>
      </c>
      <c r="M1478" t="s">
        <v>3</v>
      </c>
    </row>
    <row r="1479" spans="1:13" ht="26.25" x14ac:dyDescent="0.25">
      <c r="A1479" s="13" t="s">
        <v>11631</v>
      </c>
      <c r="B1479" s="13" t="s">
        <v>11631</v>
      </c>
      <c r="C1479" s="13" t="s">
        <v>11632</v>
      </c>
      <c r="D1479" s="13">
        <v>9</v>
      </c>
      <c r="E1479" s="13" t="s">
        <v>11633</v>
      </c>
      <c r="F1479" s="13" t="s">
        <v>8867</v>
      </c>
      <c r="G1479" s="13" t="s">
        <v>2</v>
      </c>
      <c r="H1479" s="13" t="s">
        <v>3</v>
      </c>
      <c r="I1479" s="13" t="s">
        <v>1263</v>
      </c>
      <c r="J1479" s="13" t="s">
        <v>8890</v>
      </c>
      <c r="K1479" s="13" t="s">
        <v>8422</v>
      </c>
      <c r="L1479" s="13" t="s">
        <v>158</v>
      </c>
      <c r="M1479" t="s">
        <v>3</v>
      </c>
    </row>
    <row r="1480" spans="1:13" ht="26.25" x14ac:dyDescent="0.25">
      <c r="A1480" s="13" t="s">
        <v>11293</v>
      </c>
      <c r="B1480" s="13" t="s">
        <v>11293</v>
      </c>
      <c r="C1480" s="13" t="s">
        <v>11294</v>
      </c>
      <c r="D1480" s="13">
        <v>8</v>
      </c>
      <c r="E1480" s="13" t="s">
        <v>11295</v>
      </c>
      <c r="F1480" s="13" t="s">
        <v>8867</v>
      </c>
      <c r="G1480" s="13" t="s">
        <v>2</v>
      </c>
      <c r="H1480" s="13" t="s">
        <v>3</v>
      </c>
      <c r="I1480" s="13" t="s">
        <v>1263</v>
      </c>
      <c r="J1480" s="13" t="s">
        <v>8890</v>
      </c>
      <c r="K1480" s="13" t="s">
        <v>8422</v>
      </c>
      <c r="L1480" s="13" t="s">
        <v>158</v>
      </c>
      <c r="M1480" t="s">
        <v>3</v>
      </c>
    </row>
    <row r="1481" spans="1:13" x14ac:dyDescent="0.25">
      <c r="A1481" s="13" t="s">
        <v>11551</v>
      </c>
      <c r="B1481" s="13" t="s">
        <v>11551</v>
      </c>
      <c r="C1481" s="13" t="s">
        <v>11552</v>
      </c>
      <c r="D1481" s="13">
        <v>9</v>
      </c>
      <c r="E1481" s="13" t="s">
        <v>11553</v>
      </c>
      <c r="F1481" s="13" t="s">
        <v>8867</v>
      </c>
      <c r="G1481" s="13" t="s">
        <v>2</v>
      </c>
      <c r="H1481" s="13" t="s">
        <v>3</v>
      </c>
      <c r="I1481" s="13" t="s">
        <v>1263</v>
      </c>
      <c r="J1481" s="13" t="s">
        <v>8890</v>
      </c>
      <c r="K1481" s="13" t="s">
        <v>8422</v>
      </c>
      <c r="L1481" s="13" t="s">
        <v>158</v>
      </c>
      <c r="M1481" t="s">
        <v>3</v>
      </c>
    </row>
    <row r="1482" spans="1:13" x14ac:dyDescent="0.25">
      <c r="A1482" s="13" t="s">
        <v>10210</v>
      </c>
      <c r="B1482" s="13" t="s">
        <v>10210</v>
      </c>
      <c r="C1482" s="13" t="s">
        <v>10211</v>
      </c>
      <c r="D1482" s="13">
        <v>40.799999999999997</v>
      </c>
      <c r="E1482" s="13" t="s">
        <v>10212</v>
      </c>
      <c r="F1482" s="13" t="s">
        <v>8867</v>
      </c>
      <c r="G1482" s="13" t="s">
        <v>2</v>
      </c>
      <c r="H1482" s="13" t="s">
        <v>3</v>
      </c>
      <c r="I1482" s="13" t="s">
        <v>809</v>
      </c>
      <c r="J1482" s="13" t="s">
        <v>8890</v>
      </c>
      <c r="K1482" s="13" t="s">
        <v>8512</v>
      </c>
      <c r="L1482" s="13" t="s">
        <v>158</v>
      </c>
      <c r="M1482" t="s">
        <v>3</v>
      </c>
    </row>
    <row r="1483" spans="1:13" x14ac:dyDescent="0.25">
      <c r="A1483" s="13" t="s">
        <v>10213</v>
      </c>
      <c r="B1483" s="13" t="s">
        <v>10213</v>
      </c>
      <c r="C1483" s="13" t="s">
        <v>10214</v>
      </c>
      <c r="D1483" s="13">
        <v>40.799999999999997</v>
      </c>
      <c r="E1483" s="13" t="s">
        <v>10215</v>
      </c>
      <c r="F1483" s="13" t="s">
        <v>8867</v>
      </c>
      <c r="G1483" s="13" t="s">
        <v>2</v>
      </c>
      <c r="H1483" s="13" t="s">
        <v>3</v>
      </c>
      <c r="I1483" s="13" t="s">
        <v>809</v>
      </c>
      <c r="J1483" s="13" t="s">
        <v>8890</v>
      </c>
      <c r="K1483" s="13" t="s">
        <v>8512</v>
      </c>
      <c r="L1483" s="13" t="s">
        <v>158</v>
      </c>
      <c r="M1483" t="s">
        <v>3</v>
      </c>
    </row>
    <row r="1484" spans="1:13" x14ac:dyDescent="0.25">
      <c r="A1484" s="13" t="s">
        <v>10422</v>
      </c>
      <c r="B1484" s="13" t="s">
        <v>10422</v>
      </c>
      <c r="C1484" s="13" t="s">
        <v>10423</v>
      </c>
      <c r="D1484" s="13">
        <v>40.799999999999997</v>
      </c>
      <c r="E1484" s="13" t="s">
        <v>10424</v>
      </c>
      <c r="F1484" s="13" t="s">
        <v>8867</v>
      </c>
      <c r="G1484" s="13" t="s">
        <v>2</v>
      </c>
      <c r="H1484" s="13" t="s">
        <v>3</v>
      </c>
      <c r="I1484" s="13" t="s">
        <v>809</v>
      </c>
      <c r="J1484" s="13" t="s">
        <v>8890</v>
      </c>
      <c r="K1484" s="13" t="s">
        <v>8512</v>
      </c>
      <c r="L1484" s="13" t="s">
        <v>158</v>
      </c>
      <c r="M1484" t="s">
        <v>3</v>
      </c>
    </row>
    <row r="1485" spans="1:13" x14ac:dyDescent="0.25">
      <c r="A1485" s="13" t="s">
        <v>10216</v>
      </c>
      <c r="B1485" s="13" t="s">
        <v>10216</v>
      </c>
      <c r="C1485" s="13" t="s">
        <v>10217</v>
      </c>
      <c r="D1485" s="13">
        <v>40.799999999999997</v>
      </c>
      <c r="E1485" s="13" t="s">
        <v>10218</v>
      </c>
      <c r="F1485" s="13" t="s">
        <v>8867</v>
      </c>
      <c r="G1485" s="13" t="s">
        <v>2</v>
      </c>
      <c r="H1485" s="13" t="s">
        <v>3</v>
      </c>
      <c r="I1485" s="13" t="s">
        <v>809</v>
      </c>
      <c r="J1485" s="13" t="s">
        <v>8890</v>
      </c>
      <c r="K1485" s="13" t="s">
        <v>8512</v>
      </c>
      <c r="L1485" s="13" t="s">
        <v>158</v>
      </c>
      <c r="M1485" t="s">
        <v>3</v>
      </c>
    </row>
    <row r="1486" spans="1:13" x14ac:dyDescent="0.25">
      <c r="A1486" s="13" t="s">
        <v>10425</v>
      </c>
      <c r="B1486" s="13" t="s">
        <v>10425</v>
      </c>
      <c r="C1486" s="13" t="s">
        <v>10426</v>
      </c>
      <c r="D1486" s="13">
        <v>40.799999999999997</v>
      </c>
      <c r="E1486" s="13" t="s">
        <v>10427</v>
      </c>
      <c r="F1486" s="13" t="s">
        <v>8867</v>
      </c>
      <c r="G1486" s="13" t="s">
        <v>2</v>
      </c>
      <c r="H1486" s="13" t="s">
        <v>3</v>
      </c>
      <c r="I1486" s="13" t="s">
        <v>809</v>
      </c>
      <c r="J1486" s="13" t="s">
        <v>8890</v>
      </c>
      <c r="K1486" s="13" t="s">
        <v>8512</v>
      </c>
      <c r="L1486" s="13" t="s">
        <v>158</v>
      </c>
      <c r="M1486" t="s">
        <v>3</v>
      </c>
    </row>
    <row r="1487" spans="1:13" x14ac:dyDescent="0.25">
      <c r="A1487" s="13" t="s">
        <v>10219</v>
      </c>
      <c r="B1487" s="13" t="s">
        <v>10219</v>
      </c>
      <c r="C1487" s="13" t="s">
        <v>10220</v>
      </c>
      <c r="D1487" s="13">
        <v>40.799999999999997</v>
      </c>
      <c r="E1487" s="13" t="s">
        <v>10221</v>
      </c>
      <c r="F1487" s="13" t="s">
        <v>8867</v>
      </c>
      <c r="G1487" s="13" t="s">
        <v>2</v>
      </c>
      <c r="H1487" s="13" t="s">
        <v>3</v>
      </c>
      <c r="I1487" s="13" t="s">
        <v>809</v>
      </c>
      <c r="J1487" s="13" t="s">
        <v>8890</v>
      </c>
      <c r="K1487" s="13" t="s">
        <v>8512</v>
      </c>
      <c r="L1487" s="13" t="s">
        <v>158</v>
      </c>
      <c r="M1487" t="s">
        <v>3</v>
      </c>
    </row>
    <row r="1488" spans="1:13" x14ac:dyDescent="0.25">
      <c r="A1488" s="13" t="s">
        <v>9180</v>
      </c>
      <c r="B1488" s="13" t="s">
        <v>9181</v>
      </c>
      <c r="C1488" s="13" t="s">
        <v>9182</v>
      </c>
      <c r="D1488" s="13">
        <v>3</v>
      </c>
      <c r="E1488" s="13" t="s">
        <v>9183</v>
      </c>
      <c r="F1488" s="13" t="s">
        <v>8867</v>
      </c>
      <c r="G1488" s="13" t="s">
        <v>2</v>
      </c>
      <c r="H1488" s="13" t="s">
        <v>3</v>
      </c>
      <c r="I1488" s="13" t="s">
        <v>1978</v>
      </c>
      <c r="J1488" s="13" t="s">
        <v>8890</v>
      </c>
      <c r="K1488" s="13" t="s">
        <v>8570</v>
      </c>
      <c r="L1488" s="13" t="s">
        <v>158</v>
      </c>
      <c r="M1488" t="s">
        <v>3</v>
      </c>
    </row>
    <row r="1489" spans="1:13" x14ac:dyDescent="0.25">
      <c r="A1489" s="13" t="s">
        <v>10222</v>
      </c>
      <c r="B1489" s="13" t="s">
        <v>10222</v>
      </c>
      <c r="C1489" s="13" t="s">
        <v>10223</v>
      </c>
      <c r="D1489" s="13">
        <v>40.799999999999997</v>
      </c>
      <c r="E1489" s="13" t="s">
        <v>10224</v>
      </c>
      <c r="F1489" s="13" t="s">
        <v>8867</v>
      </c>
      <c r="G1489" s="13" t="s">
        <v>2</v>
      </c>
      <c r="H1489" s="13" t="s">
        <v>3</v>
      </c>
      <c r="I1489" s="13" t="s">
        <v>809</v>
      </c>
      <c r="J1489" s="13" t="s">
        <v>8890</v>
      </c>
      <c r="K1489" s="13" t="s">
        <v>8512</v>
      </c>
      <c r="L1489" s="13" t="s">
        <v>158</v>
      </c>
      <c r="M1489" t="s">
        <v>3</v>
      </c>
    </row>
    <row r="1490" spans="1:13" ht="26.25" x14ac:dyDescent="0.25">
      <c r="A1490" s="13" t="s">
        <v>3547</v>
      </c>
      <c r="B1490" s="13" t="s">
        <v>3547</v>
      </c>
      <c r="C1490" s="13" t="s">
        <v>3548</v>
      </c>
      <c r="D1490" s="13">
        <v>10</v>
      </c>
      <c r="E1490" s="13" t="s">
        <v>3549</v>
      </c>
      <c r="F1490" s="13" t="s">
        <v>8867</v>
      </c>
      <c r="G1490" s="13" t="s">
        <v>2</v>
      </c>
      <c r="H1490" s="13" t="s">
        <v>3</v>
      </c>
      <c r="I1490" s="13" t="s">
        <v>1263</v>
      </c>
      <c r="J1490" s="13" t="s">
        <v>8890</v>
      </c>
      <c r="K1490" s="13" t="s">
        <v>8422</v>
      </c>
      <c r="L1490" s="13" t="s">
        <v>158</v>
      </c>
      <c r="M1490" t="s">
        <v>3</v>
      </c>
    </row>
    <row r="1491" spans="1:13" x14ac:dyDescent="0.25">
      <c r="A1491" s="13" t="s">
        <v>3550</v>
      </c>
      <c r="B1491" s="13" t="s">
        <v>3551</v>
      </c>
      <c r="C1491" s="13" t="s">
        <v>3552</v>
      </c>
      <c r="D1491" s="13">
        <v>44</v>
      </c>
      <c r="E1491" s="13" t="s">
        <v>3553</v>
      </c>
      <c r="F1491" s="13" t="s">
        <v>8867</v>
      </c>
      <c r="G1491" s="13" t="s">
        <v>2</v>
      </c>
      <c r="H1491" s="13" t="s">
        <v>3</v>
      </c>
      <c r="I1491" s="13" t="s">
        <v>119</v>
      </c>
      <c r="J1491" s="13" t="s">
        <v>8890</v>
      </c>
      <c r="K1491" s="13" t="s">
        <v>8883</v>
      </c>
      <c r="L1491" s="13" t="s">
        <v>158</v>
      </c>
      <c r="M1491" t="s">
        <v>3</v>
      </c>
    </row>
    <row r="1492" spans="1:13" ht="26.25" x14ac:dyDescent="0.25">
      <c r="A1492" s="13" t="s">
        <v>3554</v>
      </c>
      <c r="B1492" s="13" t="s">
        <v>3554</v>
      </c>
      <c r="C1492" s="13" t="s">
        <v>3555</v>
      </c>
      <c r="D1492" s="13">
        <v>44</v>
      </c>
      <c r="E1492" s="13" t="s">
        <v>3556</v>
      </c>
      <c r="F1492" s="13" t="s">
        <v>8867</v>
      </c>
      <c r="G1492" s="13" t="s">
        <v>2</v>
      </c>
      <c r="H1492" s="13" t="s">
        <v>3</v>
      </c>
      <c r="I1492" s="13" t="s">
        <v>706</v>
      </c>
      <c r="J1492" s="13" t="s">
        <v>8890</v>
      </c>
      <c r="K1492" s="13" t="s">
        <v>8419</v>
      </c>
      <c r="L1492" s="13" t="s">
        <v>158</v>
      </c>
      <c r="M1492" t="s">
        <v>3</v>
      </c>
    </row>
    <row r="1493" spans="1:13" x14ac:dyDescent="0.25">
      <c r="A1493" s="13" t="s">
        <v>3557</v>
      </c>
      <c r="B1493" s="13" t="s">
        <v>3558</v>
      </c>
      <c r="C1493" s="13" t="s">
        <v>3559</v>
      </c>
      <c r="D1493" s="13">
        <v>15.9</v>
      </c>
      <c r="E1493" s="13" t="s">
        <v>3560</v>
      </c>
      <c r="F1493" s="13" t="s">
        <v>8867</v>
      </c>
      <c r="G1493" s="13" t="s">
        <v>2</v>
      </c>
      <c r="H1493" s="13" t="s">
        <v>3</v>
      </c>
      <c r="I1493" s="13" t="s">
        <v>1263</v>
      </c>
      <c r="J1493" s="13" t="s">
        <v>8890</v>
      </c>
      <c r="K1493" s="13" t="s">
        <v>8422</v>
      </c>
      <c r="L1493" s="13" t="s">
        <v>158</v>
      </c>
      <c r="M1493" t="s">
        <v>3</v>
      </c>
    </row>
    <row r="1494" spans="1:13" x14ac:dyDescent="0.25">
      <c r="A1494" s="13" t="s">
        <v>9184</v>
      </c>
      <c r="B1494" s="13" t="s">
        <v>9184</v>
      </c>
      <c r="C1494" s="13" t="s">
        <v>9185</v>
      </c>
      <c r="D1494" s="13">
        <v>3</v>
      </c>
      <c r="E1494" s="13" t="s">
        <v>9186</v>
      </c>
      <c r="F1494" s="13" t="s">
        <v>8867</v>
      </c>
      <c r="G1494" s="13" t="s">
        <v>2</v>
      </c>
      <c r="H1494" s="13" t="s">
        <v>3</v>
      </c>
      <c r="I1494" s="13" t="s">
        <v>1263</v>
      </c>
      <c r="J1494" s="13" t="s">
        <v>8890</v>
      </c>
      <c r="K1494" s="13" t="s">
        <v>8422</v>
      </c>
      <c r="L1494" s="13" t="s">
        <v>158</v>
      </c>
      <c r="M1494" t="s">
        <v>3</v>
      </c>
    </row>
    <row r="1495" spans="1:13" x14ac:dyDescent="0.25">
      <c r="A1495" s="13" t="s">
        <v>3561</v>
      </c>
      <c r="B1495" s="13" t="s">
        <v>3561</v>
      </c>
      <c r="C1495" s="13" t="s">
        <v>3562</v>
      </c>
      <c r="D1495" s="13">
        <v>5</v>
      </c>
      <c r="E1495" s="13" t="s">
        <v>3563</v>
      </c>
      <c r="F1495" s="13" t="s">
        <v>8867</v>
      </c>
      <c r="G1495" s="13" t="s">
        <v>2</v>
      </c>
      <c r="H1495" s="13" t="s">
        <v>3</v>
      </c>
      <c r="I1495" s="13" t="s">
        <v>1263</v>
      </c>
      <c r="J1495" s="13" t="s">
        <v>8890</v>
      </c>
      <c r="K1495" s="13" t="s">
        <v>8422</v>
      </c>
      <c r="L1495" s="13" t="s">
        <v>158</v>
      </c>
      <c r="M1495" t="s">
        <v>3</v>
      </c>
    </row>
    <row r="1496" spans="1:13" x14ac:dyDescent="0.25">
      <c r="A1496" s="13" t="s">
        <v>3564</v>
      </c>
      <c r="B1496" s="13" t="s">
        <v>3565</v>
      </c>
      <c r="C1496" s="13" t="s">
        <v>3566</v>
      </c>
      <c r="D1496" s="13">
        <v>10</v>
      </c>
      <c r="E1496" s="13" t="s">
        <v>3567</v>
      </c>
      <c r="F1496" s="13" t="s">
        <v>8867</v>
      </c>
      <c r="G1496" s="13" t="s">
        <v>2</v>
      </c>
      <c r="H1496" s="13" t="s">
        <v>3</v>
      </c>
      <c r="I1496" s="13" t="s">
        <v>1263</v>
      </c>
      <c r="J1496" s="13" t="s">
        <v>8890</v>
      </c>
      <c r="K1496" s="13" t="s">
        <v>8422</v>
      </c>
      <c r="L1496" s="13" t="s">
        <v>158</v>
      </c>
      <c r="M1496" t="s">
        <v>3</v>
      </c>
    </row>
    <row r="1497" spans="1:13" x14ac:dyDescent="0.25">
      <c r="A1497" s="13" t="s">
        <v>10907</v>
      </c>
      <c r="B1497" s="13" t="s">
        <v>10908</v>
      </c>
      <c r="C1497" s="13" t="s">
        <v>10908</v>
      </c>
      <c r="D1497" s="13">
        <v>10</v>
      </c>
      <c r="E1497" s="13" t="s">
        <v>10909</v>
      </c>
      <c r="F1497" s="13" t="s">
        <v>8867</v>
      </c>
      <c r="G1497" s="13" t="s">
        <v>2</v>
      </c>
      <c r="H1497" s="13" t="s">
        <v>11195</v>
      </c>
      <c r="I1497" s="13" t="s">
        <v>809</v>
      </c>
      <c r="J1497" s="13" t="s">
        <v>8890</v>
      </c>
      <c r="K1497" s="13" t="s">
        <v>8512</v>
      </c>
      <c r="L1497" s="13" t="s">
        <v>158</v>
      </c>
      <c r="M1497" t="s">
        <v>11195</v>
      </c>
    </row>
    <row r="1498" spans="1:13" ht="26.25" x14ac:dyDescent="0.25">
      <c r="A1498" s="13" t="s">
        <v>3568</v>
      </c>
      <c r="B1498" s="13" t="s">
        <v>3568</v>
      </c>
      <c r="C1498" s="13" t="s">
        <v>3569</v>
      </c>
      <c r="D1498" s="13">
        <v>0</v>
      </c>
      <c r="E1498" s="13" t="s">
        <v>3570</v>
      </c>
      <c r="F1498" s="13" t="s">
        <v>8860</v>
      </c>
      <c r="G1498" s="13" t="s">
        <v>19</v>
      </c>
      <c r="H1498" s="13" t="s">
        <v>3</v>
      </c>
      <c r="I1498" s="13" t="s">
        <v>3571</v>
      </c>
      <c r="J1498" s="13" t="s">
        <v>21</v>
      </c>
      <c r="K1498" s="13" t="s">
        <v>8623</v>
      </c>
      <c r="L1498" s="13" t="s">
        <v>18</v>
      </c>
      <c r="M1498" t="s">
        <v>3</v>
      </c>
    </row>
    <row r="1499" spans="1:13" x14ac:dyDescent="0.25">
      <c r="A1499" s="13" t="s">
        <v>11554</v>
      </c>
      <c r="B1499" s="13" t="s">
        <v>11555</v>
      </c>
      <c r="C1499" s="13" t="s">
        <v>11556</v>
      </c>
      <c r="D1499" s="13">
        <v>31.3</v>
      </c>
      <c r="E1499" s="13" t="s">
        <v>11557</v>
      </c>
      <c r="F1499" s="13" t="s">
        <v>8867</v>
      </c>
      <c r="G1499" s="13" t="s">
        <v>2</v>
      </c>
      <c r="H1499" s="13" t="s">
        <v>3</v>
      </c>
      <c r="I1499" s="13" t="s">
        <v>1263</v>
      </c>
      <c r="J1499" s="13" t="s">
        <v>8890</v>
      </c>
      <c r="K1499" s="13" t="s">
        <v>8422</v>
      </c>
      <c r="L1499" s="13" t="s">
        <v>158</v>
      </c>
      <c r="M1499" t="s">
        <v>3</v>
      </c>
    </row>
    <row r="1500" spans="1:13" ht="26.25" x14ac:dyDescent="0.25">
      <c r="A1500" s="13" t="s">
        <v>3572</v>
      </c>
      <c r="B1500" s="13" t="s">
        <v>3572</v>
      </c>
      <c r="C1500" s="13" t="s">
        <v>3572</v>
      </c>
      <c r="D1500" s="13">
        <v>3.5</v>
      </c>
      <c r="E1500" s="13" t="s">
        <v>3573</v>
      </c>
      <c r="F1500" s="13" t="s">
        <v>8867</v>
      </c>
      <c r="G1500" s="13" t="s">
        <v>2</v>
      </c>
      <c r="H1500" s="13" t="s">
        <v>3</v>
      </c>
      <c r="I1500" s="13" t="s">
        <v>706</v>
      </c>
      <c r="J1500" s="13" t="s">
        <v>8890</v>
      </c>
      <c r="K1500" s="13" t="s">
        <v>8419</v>
      </c>
      <c r="L1500" s="13" t="s">
        <v>158</v>
      </c>
      <c r="M1500" t="s">
        <v>3</v>
      </c>
    </row>
    <row r="1501" spans="1:13" x14ac:dyDescent="0.25">
      <c r="A1501" s="13" t="s">
        <v>3574</v>
      </c>
      <c r="B1501" s="13" t="s">
        <v>3575</v>
      </c>
      <c r="C1501" s="13" t="s">
        <v>3576</v>
      </c>
      <c r="D1501" s="13">
        <v>0</v>
      </c>
      <c r="E1501" s="13" t="s">
        <v>3577</v>
      </c>
      <c r="F1501" s="13" t="s">
        <v>8867</v>
      </c>
      <c r="G1501" s="13" t="s">
        <v>2</v>
      </c>
      <c r="H1501" s="13" t="s">
        <v>3</v>
      </c>
      <c r="I1501" s="13" t="s">
        <v>1514</v>
      </c>
      <c r="J1501" s="13" t="s">
        <v>8890</v>
      </c>
      <c r="K1501" s="13" t="s">
        <v>8423</v>
      </c>
      <c r="L1501" s="13" t="s">
        <v>158</v>
      </c>
      <c r="M1501" t="s">
        <v>3</v>
      </c>
    </row>
    <row r="1502" spans="1:13" ht="26.25" x14ac:dyDescent="0.25">
      <c r="A1502" s="13" t="s">
        <v>3578</v>
      </c>
      <c r="B1502" s="13" t="s">
        <v>3578</v>
      </c>
      <c r="C1502" s="13" t="s">
        <v>3579</v>
      </c>
      <c r="D1502" s="13">
        <v>68.599999999999994</v>
      </c>
      <c r="E1502" s="13" t="s">
        <v>3580</v>
      </c>
      <c r="F1502" s="13" t="s">
        <v>8867</v>
      </c>
      <c r="G1502" s="13" t="s">
        <v>2</v>
      </c>
      <c r="H1502" s="13" t="s">
        <v>3</v>
      </c>
      <c r="I1502" s="13" t="s">
        <v>1514</v>
      </c>
      <c r="J1502" s="13" t="s">
        <v>8890</v>
      </c>
      <c r="K1502" s="13" t="s">
        <v>8423</v>
      </c>
      <c r="L1502" s="13" t="s">
        <v>158</v>
      </c>
      <c r="M1502" t="s">
        <v>3</v>
      </c>
    </row>
    <row r="1503" spans="1:13" x14ac:dyDescent="0.25">
      <c r="A1503" s="13" t="s">
        <v>3581</v>
      </c>
      <c r="B1503" s="13" t="s">
        <v>3581</v>
      </c>
      <c r="C1503" s="13" t="s">
        <v>3582</v>
      </c>
      <c r="D1503" s="13">
        <v>25.9</v>
      </c>
      <c r="E1503" s="13" t="s">
        <v>3583</v>
      </c>
      <c r="F1503" s="13" t="s">
        <v>8867</v>
      </c>
      <c r="G1503" s="13" t="s">
        <v>2</v>
      </c>
      <c r="H1503" s="13" t="s">
        <v>3</v>
      </c>
      <c r="I1503" s="13" t="s">
        <v>1263</v>
      </c>
      <c r="J1503" s="13" t="s">
        <v>8890</v>
      </c>
      <c r="K1503" s="13" t="s">
        <v>8422</v>
      </c>
      <c r="L1503" s="13" t="s">
        <v>158</v>
      </c>
      <c r="M1503" t="s">
        <v>3</v>
      </c>
    </row>
    <row r="1504" spans="1:13" x14ac:dyDescent="0.25">
      <c r="A1504" s="13" t="s">
        <v>10225</v>
      </c>
      <c r="B1504" s="13" t="s">
        <v>10225</v>
      </c>
      <c r="C1504" s="13" t="s">
        <v>10225</v>
      </c>
      <c r="D1504" s="13">
        <v>5</v>
      </c>
      <c r="E1504" s="13" t="s">
        <v>10226</v>
      </c>
      <c r="F1504" s="13" t="s">
        <v>8867</v>
      </c>
      <c r="G1504" s="13" t="s">
        <v>2</v>
      </c>
      <c r="H1504" s="13" t="s">
        <v>9060</v>
      </c>
      <c r="I1504" s="13" t="s">
        <v>706</v>
      </c>
      <c r="J1504" s="13" t="s">
        <v>8890</v>
      </c>
      <c r="K1504" s="13" t="s">
        <v>8419</v>
      </c>
      <c r="L1504" s="13" t="s">
        <v>158</v>
      </c>
      <c r="M1504" t="s">
        <v>9060</v>
      </c>
    </row>
    <row r="1505" spans="1:13" x14ac:dyDescent="0.25">
      <c r="A1505" s="13" t="s">
        <v>9792</v>
      </c>
      <c r="B1505" s="13" t="s">
        <v>9792</v>
      </c>
      <c r="C1505" s="13" t="s">
        <v>9792</v>
      </c>
      <c r="D1505" s="13">
        <v>2.9</v>
      </c>
      <c r="E1505" s="13" t="s">
        <v>9793</v>
      </c>
      <c r="F1505" s="13" t="s">
        <v>8867</v>
      </c>
      <c r="G1505" s="13" t="s">
        <v>2</v>
      </c>
      <c r="H1505" s="13" t="s">
        <v>3</v>
      </c>
      <c r="I1505" s="13" t="s">
        <v>2736</v>
      </c>
      <c r="J1505" s="13" t="s">
        <v>8890</v>
      </c>
      <c r="K1505" s="13" t="s">
        <v>8616</v>
      </c>
      <c r="L1505" s="13" t="s">
        <v>158</v>
      </c>
      <c r="M1505" t="s">
        <v>3</v>
      </c>
    </row>
    <row r="1506" spans="1:13" ht="26.25" x14ac:dyDescent="0.25">
      <c r="A1506" s="13" t="s">
        <v>10740</v>
      </c>
      <c r="B1506" s="13" t="s">
        <v>10740</v>
      </c>
      <c r="C1506" s="13" t="s">
        <v>10741</v>
      </c>
      <c r="D1506" s="13">
        <v>3.3</v>
      </c>
      <c r="E1506" s="13" t="s">
        <v>10742</v>
      </c>
      <c r="F1506" s="13" t="s">
        <v>8867</v>
      </c>
      <c r="G1506" s="13" t="s">
        <v>2</v>
      </c>
      <c r="H1506" s="13" t="s">
        <v>3</v>
      </c>
      <c r="I1506" s="13" t="s">
        <v>1263</v>
      </c>
      <c r="J1506" s="13" t="s">
        <v>8890</v>
      </c>
      <c r="K1506" s="13" t="s">
        <v>8422</v>
      </c>
      <c r="L1506" s="13" t="s">
        <v>158</v>
      </c>
      <c r="M1506" t="s">
        <v>3</v>
      </c>
    </row>
    <row r="1507" spans="1:13" ht="26.25" x14ac:dyDescent="0.25">
      <c r="A1507" s="13" t="s">
        <v>10743</v>
      </c>
      <c r="B1507" s="13" t="s">
        <v>10743</v>
      </c>
      <c r="C1507" s="13" t="s">
        <v>10744</v>
      </c>
      <c r="D1507" s="13">
        <v>3.3</v>
      </c>
      <c r="E1507" s="13" t="s">
        <v>10745</v>
      </c>
      <c r="F1507" s="13" t="s">
        <v>8867</v>
      </c>
      <c r="G1507" s="13" t="s">
        <v>2</v>
      </c>
      <c r="H1507" s="13" t="s">
        <v>3</v>
      </c>
      <c r="I1507" s="13" t="s">
        <v>1263</v>
      </c>
      <c r="J1507" s="13" t="s">
        <v>8890</v>
      </c>
      <c r="K1507" s="13" t="s">
        <v>8422</v>
      </c>
      <c r="L1507" s="13" t="s">
        <v>158</v>
      </c>
      <c r="M1507" t="s">
        <v>3</v>
      </c>
    </row>
    <row r="1508" spans="1:13" x14ac:dyDescent="0.25">
      <c r="A1508" s="13" t="s">
        <v>10227</v>
      </c>
      <c r="B1508" s="13" t="s">
        <v>10227</v>
      </c>
      <c r="C1508" s="13" t="s">
        <v>10227</v>
      </c>
      <c r="D1508" s="13">
        <v>5</v>
      </c>
      <c r="E1508" s="13" t="s">
        <v>10228</v>
      </c>
      <c r="F1508" s="13" t="s">
        <v>8867</v>
      </c>
      <c r="G1508" s="13" t="s">
        <v>2</v>
      </c>
      <c r="H1508" s="13" t="s">
        <v>9060</v>
      </c>
      <c r="I1508" s="13" t="s">
        <v>706</v>
      </c>
      <c r="J1508" s="13" t="s">
        <v>8890</v>
      </c>
      <c r="K1508" s="13" t="s">
        <v>8419</v>
      </c>
      <c r="L1508" s="13" t="s">
        <v>158</v>
      </c>
      <c r="M1508" t="s">
        <v>9060</v>
      </c>
    </row>
    <row r="1509" spans="1:13" x14ac:dyDescent="0.25">
      <c r="A1509" s="13" t="s">
        <v>3584</v>
      </c>
      <c r="B1509" s="13" t="s">
        <v>3584</v>
      </c>
      <c r="C1509" s="13" t="s">
        <v>3585</v>
      </c>
      <c r="D1509" s="13">
        <v>12</v>
      </c>
      <c r="E1509" s="13" t="s">
        <v>3586</v>
      </c>
      <c r="F1509" s="13" t="s">
        <v>8867</v>
      </c>
      <c r="G1509" s="13" t="s">
        <v>2</v>
      </c>
      <c r="H1509" s="13" t="s">
        <v>3</v>
      </c>
      <c r="I1509" s="13" t="s">
        <v>1263</v>
      </c>
      <c r="J1509" s="13" t="s">
        <v>8890</v>
      </c>
      <c r="K1509" s="13" t="s">
        <v>8422</v>
      </c>
      <c r="L1509" s="13" t="s">
        <v>158</v>
      </c>
      <c r="M1509" t="s">
        <v>3</v>
      </c>
    </row>
    <row r="1510" spans="1:13" x14ac:dyDescent="0.25">
      <c r="A1510" s="13" t="s">
        <v>3587</v>
      </c>
      <c r="B1510" s="13" t="s">
        <v>3587</v>
      </c>
      <c r="C1510" s="13" t="s">
        <v>3587</v>
      </c>
      <c r="D1510" s="13">
        <v>5</v>
      </c>
      <c r="E1510" s="13" t="s">
        <v>3588</v>
      </c>
      <c r="F1510" s="13" t="s">
        <v>8867</v>
      </c>
      <c r="G1510" s="13" t="s">
        <v>2</v>
      </c>
      <c r="H1510" s="13" t="s">
        <v>3</v>
      </c>
      <c r="I1510" s="13" t="s">
        <v>706</v>
      </c>
      <c r="J1510" s="13" t="s">
        <v>8890</v>
      </c>
      <c r="K1510" s="13" t="s">
        <v>8419</v>
      </c>
      <c r="L1510" s="13" t="s">
        <v>158</v>
      </c>
      <c r="M1510" t="s">
        <v>3</v>
      </c>
    </row>
    <row r="1511" spans="1:13" ht="26.25" x14ac:dyDescent="0.25">
      <c r="A1511" s="13" t="s">
        <v>3589</v>
      </c>
      <c r="B1511" s="13" t="s">
        <v>3589</v>
      </c>
      <c r="C1511" s="13" t="s">
        <v>3589</v>
      </c>
      <c r="D1511" s="13">
        <v>5</v>
      </c>
      <c r="E1511" s="13" t="s">
        <v>3590</v>
      </c>
      <c r="F1511" s="13" t="s">
        <v>8867</v>
      </c>
      <c r="G1511" s="13" t="s">
        <v>2</v>
      </c>
      <c r="H1511" s="13" t="s">
        <v>3</v>
      </c>
      <c r="I1511" s="13" t="s">
        <v>706</v>
      </c>
      <c r="J1511" s="13" t="s">
        <v>8890</v>
      </c>
      <c r="K1511" s="13" t="s">
        <v>8419</v>
      </c>
      <c r="L1511" s="13" t="s">
        <v>158</v>
      </c>
      <c r="M1511" t="s">
        <v>3</v>
      </c>
    </row>
    <row r="1512" spans="1:13" x14ac:dyDescent="0.25">
      <c r="A1512" s="13" t="s">
        <v>12013</v>
      </c>
      <c r="B1512" s="13" t="s">
        <v>12013</v>
      </c>
      <c r="C1512" s="13" t="s">
        <v>12014</v>
      </c>
      <c r="D1512" s="13">
        <v>5</v>
      </c>
      <c r="E1512" s="13" t="s">
        <v>12015</v>
      </c>
      <c r="F1512" s="13" t="s">
        <v>8867</v>
      </c>
      <c r="G1512" s="13" t="s">
        <v>2</v>
      </c>
      <c r="H1512" s="13" t="s">
        <v>3</v>
      </c>
      <c r="I1512" s="13" t="s">
        <v>1263</v>
      </c>
      <c r="J1512" s="13" t="s">
        <v>8890</v>
      </c>
      <c r="K1512" s="13" t="s">
        <v>8422</v>
      </c>
      <c r="L1512" s="13" t="s">
        <v>158</v>
      </c>
      <c r="M1512" t="s">
        <v>3</v>
      </c>
    </row>
    <row r="1513" spans="1:13" x14ac:dyDescent="0.25">
      <c r="A1513" s="13" t="s">
        <v>3591</v>
      </c>
      <c r="B1513" s="13" t="s">
        <v>3592</v>
      </c>
      <c r="C1513" s="13" t="s">
        <v>3593</v>
      </c>
      <c r="D1513" s="13">
        <v>17.5</v>
      </c>
      <c r="E1513" s="13" t="s">
        <v>3594</v>
      </c>
      <c r="F1513" s="13" t="s">
        <v>8867</v>
      </c>
      <c r="G1513" s="13" t="s">
        <v>2</v>
      </c>
      <c r="H1513" s="13" t="s">
        <v>3</v>
      </c>
      <c r="I1513" s="13" t="s">
        <v>228</v>
      </c>
      <c r="J1513" s="13" t="s">
        <v>8890</v>
      </c>
      <c r="K1513" s="13" t="s">
        <v>8418</v>
      </c>
      <c r="L1513" s="13" t="s">
        <v>158</v>
      </c>
      <c r="M1513" t="s">
        <v>3</v>
      </c>
    </row>
    <row r="1514" spans="1:13" x14ac:dyDescent="0.25">
      <c r="A1514" s="13" t="s">
        <v>3595</v>
      </c>
      <c r="B1514" s="13" t="s">
        <v>3596</v>
      </c>
      <c r="C1514" s="13" t="s">
        <v>3597</v>
      </c>
      <c r="D1514" s="13">
        <v>17.5</v>
      </c>
      <c r="E1514" s="13" t="s">
        <v>3598</v>
      </c>
      <c r="F1514" s="13" t="s">
        <v>8867</v>
      </c>
      <c r="G1514" s="13" t="s">
        <v>2</v>
      </c>
      <c r="H1514" s="13" t="s">
        <v>3</v>
      </c>
      <c r="I1514" s="13" t="s">
        <v>228</v>
      </c>
      <c r="J1514" s="13" t="s">
        <v>8890</v>
      </c>
      <c r="K1514" s="13" t="s">
        <v>8418</v>
      </c>
      <c r="L1514" s="13" t="s">
        <v>158</v>
      </c>
      <c r="M1514" t="s">
        <v>3</v>
      </c>
    </row>
    <row r="1515" spans="1:13" x14ac:dyDescent="0.25">
      <c r="A1515" s="13" t="s">
        <v>3599</v>
      </c>
      <c r="B1515" s="13" t="s">
        <v>3600</v>
      </c>
      <c r="C1515" s="13" t="s">
        <v>3601</v>
      </c>
      <c r="D1515" s="13">
        <v>34.5</v>
      </c>
      <c r="E1515" s="13" t="s">
        <v>3602</v>
      </c>
      <c r="F1515" s="13" t="s">
        <v>8867</v>
      </c>
      <c r="G1515" s="13" t="s">
        <v>2</v>
      </c>
      <c r="H1515" s="13" t="s">
        <v>3</v>
      </c>
      <c r="I1515" s="13" t="s">
        <v>228</v>
      </c>
      <c r="J1515" s="13" t="s">
        <v>8890</v>
      </c>
      <c r="K1515" s="13" t="s">
        <v>8418</v>
      </c>
      <c r="L1515" s="13" t="s">
        <v>158</v>
      </c>
      <c r="M1515" t="s">
        <v>3</v>
      </c>
    </row>
    <row r="1516" spans="1:13" x14ac:dyDescent="0.25">
      <c r="A1516" s="13" t="s">
        <v>11296</v>
      </c>
      <c r="B1516" s="13" t="s">
        <v>11296</v>
      </c>
      <c r="C1516" s="13" t="s">
        <v>11296</v>
      </c>
      <c r="D1516" s="13">
        <v>31.5</v>
      </c>
      <c r="E1516" s="13" t="s">
        <v>11297</v>
      </c>
      <c r="F1516" s="13" t="s">
        <v>8867</v>
      </c>
      <c r="G1516" s="13" t="s">
        <v>2</v>
      </c>
      <c r="H1516" s="13" t="s">
        <v>3</v>
      </c>
      <c r="I1516" s="13" t="s">
        <v>706</v>
      </c>
      <c r="J1516" s="13" t="s">
        <v>8890</v>
      </c>
      <c r="K1516" s="13" t="s">
        <v>8419</v>
      </c>
      <c r="L1516" s="13" t="s">
        <v>158</v>
      </c>
      <c r="M1516" t="s">
        <v>3</v>
      </c>
    </row>
    <row r="1517" spans="1:13" x14ac:dyDescent="0.25">
      <c r="A1517" s="13" t="s">
        <v>10229</v>
      </c>
      <c r="B1517" s="13" t="s">
        <v>10229</v>
      </c>
      <c r="C1517" s="13" t="s">
        <v>10230</v>
      </c>
      <c r="D1517" s="13">
        <v>38.4</v>
      </c>
      <c r="E1517" s="13" t="s">
        <v>10231</v>
      </c>
      <c r="F1517" s="13" t="s">
        <v>8867</v>
      </c>
      <c r="G1517" s="13" t="s">
        <v>2</v>
      </c>
      <c r="H1517" s="13" t="s">
        <v>3</v>
      </c>
      <c r="I1517" s="13" t="s">
        <v>447</v>
      </c>
      <c r="J1517" s="13" t="s">
        <v>8890</v>
      </c>
      <c r="K1517" s="13" t="s">
        <v>8421</v>
      </c>
      <c r="L1517" s="13" t="s">
        <v>158</v>
      </c>
      <c r="M1517" t="s">
        <v>3</v>
      </c>
    </row>
    <row r="1518" spans="1:13" x14ac:dyDescent="0.25">
      <c r="A1518" s="13" t="s">
        <v>3603</v>
      </c>
      <c r="B1518" s="13" t="s">
        <v>3603</v>
      </c>
      <c r="C1518" s="13" t="s">
        <v>3603</v>
      </c>
      <c r="D1518" s="13">
        <v>169.5</v>
      </c>
      <c r="E1518" s="13" t="s">
        <v>3604</v>
      </c>
      <c r="F1518" s="13" t="s">
        <v>8867</v>
      </c>
      <c r="G1518" s="13" t="s">
        <v>2</v>
      </c>
      <c r="H1518" s="13" t="s">
        <v>3</v>
      </c>
      <c r="I1518" s="13" t="s">
        <v>164</v>
      </c>
      <c r="J1518" s="13" t="s">
        <v>8890</v>
      </c>
      <c r="K1518" s="13" t="s">
        <v>8443</v>
      </c>
      <c r="L1518" s="13" t="s">
        <v>158</v>
      </c>
      <c r="M1518" t="s">
        <v>3</v>
      </c>
    </row>
    <row r="1519" spans="1:13" x14ac:dyDescent="0.25">
      <c r="A1519" s="13" t="s">
        <v>3605</v>
      </c>
      <c r="B1519" s="13" t="s">
        <v>3605</v>
      </c>
      <c r="C1519" s="13" t="s">
        <v>3606</v>
      </c>
      <c r="D1519" s="13">
        <v>1.2</v>
      </c>
      <c r="E1519" s="13" t="s">
        <v>3607</v>
      </c>
      <c r="F1519" s="13" t="s">
        <v>8867</v>
      </c>
      <c r="G1519" s="13" t="s">
        <v>2</v>
      </c>
      <c r="H1519" s="13" t="s">
        <v>3</v>
      </c>
      <c r="I1519" s="13" t="s">
        <v>706</v>
      </c>
      <c r="J1519" s="13" t="s">
        <v>8890</v>
      </c>
      <c r="K1519" s="13" t="s">
        <v>8419</v>
      </c>
      <c r="L1519" s="13" t="s">
        <v>158</v>
      </c>
      <c r="M1519" t="s">
        <v>3</v>
      </c>
    </row>
    <row r="1520" spans="1:13" x14ac:dyDescent="0.25">
      <c r="A1520" s="13" t="s">
        <v>11298</v>
      </c>
      <c r="B1520" s="13" t="s">
        <v>11298</v>
      </c>
      <c r="C1520" s="13" t="s">
        <v>11299</v>
      </c>
      <c r="D1520" s="13">
        <v>1</v>
      </c>
      <c r="E1520" s="13" t="s">
        <v>11300</v>
      </c>
      <c r="F1520" s="13" t="s">
        <v>8867</v>
      </c>
      <c r="G1520" s="13" t="s">
        <v>2</v>
      </c>
      <c r="H1520" s="13" t="s">
        <v>3</v>
      </c>
      <c r="I1520" s="13" t="s">
        <v>1263</v>
      </c>
      <c r="J1520" s="13" t="s">
        <v>8890</v>
      </c>
      <c r="K1520" s="13" t="s">
        <v>8422</v>
      </c>
      <c r="L1520" s="13" t="s">
        <v>158</v>
      </c>
      <c r="M1520" t="s">
        <v>3</v>
      </c>
    </row>
    <row r="1521" spans="1:13" x14ac:dyDescent="0.25">
      <c r="A1521" s="13" t="s">
        <v>3608</v>
      </c>
      <c r="B1521" s="13" t="s">
        <v>3608</v>
      </c>
      <c r="C1521" s="13" t="s">
        <v>3609</v>
      </c>
      <c r="D1521" s="13">
        <v>2.2999999999999998</v>
      </c>
      <c r="E1521" s="13" t="s">
        <v>3610</v>
      </c>
      <c r="F1521" s="13" t="s">
        <v>8867</v>
      </c>
      <c r="G1521" s="13" t="s">
        <v>2</v>
      </c>
      <c r="H1521" s="13" t="s">
        <v>3</v>
      </c>
      <c r="I1521" s="13" t="s">
        <v>1263</v>
      </c>
      <c r="J1521" s="13" t="s">
        <v>8890</v>
      </c>
      <c r="K1521" s="13" t="s">
        <v>8422</v>
      </c>
      <c r="L1521" s="13" t="s">
        <v>158</v>
      </c>
      <c r="M1521" t="s">
        <v>3</v>
      </c>
    </row>
    <row r="1522" spans="1:13" x14ac:dyDescent="0.25">
      <c r="A1522" s="13" t="s">
        <v>3611</v>
      </c>
      <c r="B1522" s="13" t="s">
        <v>3612</v>
      </c>
      <c r="C1522" s="13" t="s">
        <v>3612</v>
      </c>
      <c r="D1522" s="13">
        <v>38</v>
      </c>
      <c r="E1522" s="13" t="s">
        <v>3613</v>
      </c>
      <c r="F1522" s="13" t="s">
        <v>8867</v>
      </c>
      <c r="G1522" s="13" t="s">
        <v>2</v>
      </c>
      <c r="H1522" s="13" t="s">
        <v>3</v>
      </c>
      <c r="I1522" s="13" t="s">
        <v>119</v>
      </c>
      <c r="J1522" s="13" t="s">
        <v>8890</v>
      </c>
      <c r="K1522" s="13" t="s">
        <v>8883</v>
      </c>
      <c r="L1522" s="13" t="s">
        <v>158</v>
      </c>
      <c r="M1522" t="s">
        <v>3</v>
      </c>
    </row>
    <row r="1523" spans="1:13" x14ac:dyDescent="0.25">
      <c r="A1523" s="13" t="s">
        <v>11067</v>
      </c>
      <c r="B1523" s="13" t="s">
        <v>11067</v>
      </c>
      <c r="C1523" s="13" t="s">
        <v>10881</v>
      </c>
      <c r="D1523" s="13">
        <v>5</v>
      </c>
      <c r="E1523" s="13" t="s">
        <v>11068</v>
      </c>
      <c r="F1523" s="13" t="s">
        <v>8867</v>
      </c>
      <c r="G1523" s="13" t="s">
        <v>2</v>
      </c>
      <c r="H1523" s="13" t="s">
        <v>3</v>
      </c>
      <c r="I1523" s="13" t="s">
        <v>1263</v>
      </c>
      <c r="J1523" s="13" t="s">
        <v>8890</v>
      </c>
      <c r="K1523" s="13" t="s">
        <v>8422</v>
      </c>
      <c r="L1523" s="13" t="s">
        <v>158</v>
      </c>
      <c r="M1523" t="s">
        <v>3</v>
      </c>
    </row>
    <row r="1524" spans="1:13" x14ac:dyDescent="0.25">
      <c r="A1524" s="13" t="s">
        <v>3614</v>
      </c>
      <c r="B1524" s="13" t="s">
        <v>3614</v>
      </c>
      <c r="C1524" s="13" t="s">
        <v>3615</v>
      </c>
      <c r="D1524" s="13">
        <v>1.6</v>
      </c>
      <c r="E1524" s="13" t="s">
        <v>3616</v>
      </c>
      <c r="F1524" s="13" t="s">
        <v>8867</v>
      </c>
      <c r="G1524" s="13" t="s">
        <v>2</v>
      </c>
      <c r="H1524" s="13" t="s">
        <v>3</v>
      </c>
      <c r="I1524" s="13" t="s">
        <v>1263</v>
      </c>
      <c r="J1524" s="13" t="s">
        <v>8890</v>
      </c>
      <c r="K1524" s="13" t="s">
        <v>8422</v>
      </c>
      <c r="L1524" s="13" t="s">
        <v>158</v>
      </c>
      <c r="M1524" t="s">
        <v>3</v>
      </c>
    </row>
    <row r="1525" spans="1:13" x14ac:dyDescent="0.25">
      <c r="A1525" s="13" t="s">
        <v>3617</v>
      </c>
      <c r="B1525" s="13" t="s">
        <v>3617</v>
      </c>
      <c r="C1525" s="13" t="s">
        <v>3618</v>
      </c>
      <c r="D1525" s="13">
        <v>6.3</v>
      </c>
      <c r="E1525" s="13" t="s">
        <v>3619</v>
      </c>
      <c r="F1525" s="13" t="s">
        <v>8867</v>
      </c>
      <c r="G1525" s="13" t="s">
        <v>2</v>
      </c>
      <c r="H1525" s="13" t="s">
        <v>3</v>
      </c>
      <c r="I1525" s="13" t="s">
        <v>1263</v>
      </c>
      <c r="J1525" s="13" t="s">
        <v>8890</v>
      </c>
      <c r="K1525" s="13" t="s">
        <v>8422</v>
      </c>
      <c r="L1525" s="13" t="s">
        <v>158</v>
      </c>
      <c r="M1525" t="s">
        <v>3</v>
      </c>
    </row>
    <row r="1526" spans="1:13" x14ac:dyDescent="0.25">
      <c r="A1526" s="13" t="s">
        <v>3620</v>
      </c>
      <c r="B1526" s="13" t="s">
        <v>3621</v>
      </c>
      <c r="C1526" s="13" t="s">
        <v>3622</v>
      </c>
      <c r="D1526" s="13">
        <v>3.6</v>
      </c>
      <c r="E1526" s="13" t="s">
        <v>3623</v>
      </c>
      <c r="F1526" s="13" t="s">
        <v>8867</v>
      </c>
      <c r="G1526" s="13" t="s">
        <v>2</v>
      </c>
      <c r="H1526" s="13" t="s">
        <v>3</v>
      </c>
      <c r="I1526" s="13" t="s">
        <v>1978</v>
      </c>
      <c r="J1526" s="13" t="s">
        <v>8890</v>
      </c>
      <c r="K1526" s="13" t="s">
        <v>8570</v>
      </c>
      <c r="L1526" s="13" t="s">
        <v>158</v>
      </c>
      <c r="M1526" t="s">
        <v>3</v>
      </c>
    </row>
    <row r="1527" spans="1:13" x14ac:dyDescent="0.25">
      <c r="A1527" s="13" t="s">
        <v>3624</v>
      </c>
      <c r="B1527" s="13" t="s">
        <v>3625</v>
      </c>
      <c r="C1527" s="13" t="s">
        <v>3626</v>
      </c>
      <c r="D1527" s="13">
        <v>17.3</v>
      </c>
      <c r="E1527" s="13" t="s">
        <v>3627</v>
      </c>
      <c r="F1527" s="13" t="s">
        <v>8867</v>
      </c>
      <c r="G1527" s="13" t="s">
        <v>2</v>
      </c>
      <c r="H1527" s="13" t="s">
        <v>9886</v>
      </c>
      <c r="I1527" s="13" t="s">
        <v>1978</v>
      </c>
      <c r="J1527" s="13" t="s">
        <v>8890</v>
      </c>
      <c r="K1527" s="13" t="s">
        <v>8570</v>
      </c>
      <c r="L1527" s="13" t="s">
        <v>158</v>
      </c>
      <c r="M1527" t="s">
        <v>4305</v>
      </c>
    </row>
    <row r="1528" spans="1:13" x14ac:dyDescent="0.25">
      <c r="A1528" s="13" t="s">
        <v>3628</v>
      </c>
      <c r="B1528" s="13" t="s">
        <v>3628</v>
      </c>
      <c r="C1528" s="13" t="s">
        <v>3629</v>
      </c>
      <c r="D1528" s="13">
        <v>19.8</v>
      </c>
      <c r="E1528" s="13" t="s">
        <v>3630</v>
      </c>
      <c r="F1528" s="13" t="s">
        <v>8867</v>
      </c>
      <c r="G1528" s="13" t="s">
        <v>2</v>
      </c>
      <c r="H1528" s="13" t="s">
        <v>3</v>
      </c>
      <c r="I1528" s="13" t="s">
        <v>1263</v>
      </c>
      <c r="J1528" s="13" t="s">
        <v>8890</v>
      </c>
      <c r="K1528" s="13" t="s">
        <v>8422</v>
      </c>
      <c r="L1528" s="13" t="s">
        <v>158</v>
      </c>
      <c r="M1528" t="s">
        <v>3</v>
      </c>
    </row>
    <row r="1529" spans="1:13" x14ac:dyDescent="0.25">
      <c r="A1529" s="13" t="s">
        <v>10041</v>
      </c>
      <c r="B1529" s="13" t="s">
        <v>10042</v>
      </c>
      <c r="C1529" s="13" t="s">
        <v>10043</v>
      </c>
      <c r="D1529" s="13">
        <v>2</v>
      </c>
      <c r="E1529" s="13" t="s">
        <v>10044</v>
      </c>
      <c r="F1529" s="13" t="s">
        <v>8867</v>
      </c>
      <c r="G1529" s="13" t="s">
        <v>2</v>
      </c>
      <c r="H1529" s="13" t="s">
        <v>3</v>
      </c>
      <c r="I1529" s="13" t="s">
        <v>1026</v>
      </c>
      <c r="J1529" s="13" t="s">
        <v>8890</v>
      </c>
      <c r="K1529" s="13" t="s">
        <v>8519</v>
      </c>
      <c r="L1529" s="13" t="s">
        <v>158</v>
      </c>
      <c r="M1529" t="s">
        <v>3</v>
      </c>
    </row>
    <row r="1530" spans="1:13" x14ac:dyDescent="0.25">
      <c r="A1530" s="13" t="s">
        <v>10045</v>
      </c>
      <c r="B1530" s="13" t="s">
        <v>10045</v>
      </c>
      <c r="C1530" s="13" t="s">
        <v>10045</v>
      </c>
      <c r="D1530" s="13">
        <v>49.9</v>
      </c>
      <c r="E1530" s="13" t="s">
        <v>10046</v>
      </c>
      <c r="F1530" s="13" t="s">
        <v>8867</v>
      </c>
      <c r="G1530" s="13" t="s">
        <v>2</v>
      </c>
      <c r="H1530" s="13" t="s">
        <v>9060</v>
      </c>
      <c r="I1530" s="13" t="s">
        <v>706</v>
      </c>
      <c r="J1530" s="13" t="s">
        <v>8890</v>
      </c>
      <c r="K1530" s="13" t="s">
        <v>8419</v>
      </c>
      <c r="L1530" s="13" t="s">
        <v>158</v>
      </c>
      <c r="M1530" t="s">
        <v>9060</v>
      </c>
    </row>
    <row r="1531" spans="1:13" ht="26.25" x14ac:dyDescent="0.25">
      <c r="A1531" s="13" t="s">
        <v>3631</v>
      </c>
      <c r="B1531" s="13" t="s">
        <v>3631</v>
      </c>
      <c r="C1531" s="13" t="s">
        <v>3632</v>
      </c>
      <c r="D1531" s="13">
        <v>4.5999999999999996</v>
      </c>
      <c r="E1531" s="13" t="s">
        <v>3633</v>
      </c>
      <c r="F1531" s="13" t="s">
        <v>8867</v>
      </c>
      <c r="G1531" s="13" t="s">
        <v>2</v>
      </c>
      <c r="H1531" s="13" t="s">
        <v>3</v>
      </c>
      <c r="I1531" s="13" t="s">
        <v>1263</v>
      </c>
      <c r="J1531" s="13" t="s">
        <v>8890</v>
      </c>
      <c r="K1531" s="13" t="s">
        <v>8422</v>
      </c>
      <c r="L1531" s="13" t="s">
        <v>158</v>
      </c>
      <c r="M1531" t="s">
        <v>3</v>
      </c>
    </row>
    <row r="1532" spans="1:13" x14ac:dyDescent="0.25">
      <c r="A1532" s="13" t="s">
        <v>3634</v>
      </c>
      <c r="B1532" s="13" t="s">
        <v>3635</v>
      </c>
      <c r="C1532" s="13" t="s">
        <v>3636</v>
      </c>
      <c r="D1532" s="13">
        <v>41.6</v>
      </c>
      <c r="E1532" s="13" t="s">
        <v>3637</v>
      </c>
      <c r="F1532" s="13" t="s">
        <v>8867</v>
      </c>
      <c r="G1532" s="13" t="s">
        <v>2</v>
      </c>
      <c r="H1532" s="13" t="s">
        <v>3</v>
      </c>
      <c r="I1532" s="13" t="s">
        <v>1978</v>
      </c>
      <c r="J1532" s="13" t="s">
        <v>8890</v>
      </c>
      <c r="K1532" s="13" t="s">
        <v>8570</v>
      </c>
      <c r="L1532" s="13" t="s">
        <v>158</v>
      </c>
      <c r="M1532" t="s">
        <v>3</v>
      </c>
    </row>
    <row r="1533" spans="1:13" x14ac:dyDescent="0.25">
      <c r="A1533" s="13" t="s">
        <v>3638</v>
      </c>
      <c r="B1533" s="13" t="s">
        <v>3639</v>
      </c>
      <c r="C1533" s="13" t="s">
        <v>3640</v>
      </c>
      <c r="D1533" s="13">
        <v>41.6</v>
      </c>
      <c r="E1533" s="13" t="s">
        <v>3641</v>
      </c>
      <c r="F1533" s="13" t="s">
        <v>8867</v>
      </c>
      <c r="G1533" s="13" t="s">
        <v>2</v>
      </c>
      <c r="H1533" s="13" t="s">
        <v>3</v>
      </c>
      <c r="I1533" s="13" t="s">
        <v>1978</v>
      </c>
      <c r="J1533" s="13" t="s">
        <v>8890</v>
      </c>
      <c r="K1533" s="13" t="s">
        <v>8570</v>
      </c>
      <c r="L1533" s="13" t="s">
        <v>158</v>
      </c>
      <c r="M1533" t="s">
        <v>3</v>
      </c>
    </row>
    <row r="1534" spans="1:13" x14ac:dyDescent="0.25">
      <c r="A1534" s="13" t="s">
        <v>3642</v>
      </c>
      <c r="B1534" s="13" t="s">
        <v>3643</v>
      </c>
      <c r="C1534" s="13" t="s">
        <v>3644</v>
      </c>
      <c r="D1534" s="13">
        <v>41.6</v>
      </c>
      <c r="E1534" s="13" t="s">
        <v>3645</v>
      </c>
      <c r="F1534" s="13" t="s">
        <v>8867</v>
      </c>
      <c r="G1534" s="13" t="s">
        <v>2</v>
      </c>
      <c r="H1534" s="13" t="s">
        <v>3</v>
      </c>
      <c r="I1534" s="13" t="s">
        <v>1978</v>
      </c>
      <c r="J1534" s="13" t="s">
        <v>8890</v>
      </c>
      <c r="K1534" s="13" t="s">
        <v>8570</v>
      </c>
      <c r="L1534" s="13" t="s">
        <v>158</v>
      </c>
      <c r="M1534" t="s">
        <v>3</v>
      </c>
    </row>
    <row r="1535" spans="1:13" x14ac:dyDescent="0.25">
      <c r="A1535" s="13" t="s">
        <v>3646</v>
      </c>
      <c r="B1535" s="13" t="s">
        <v>3646</v>
      </c>
      <c r="C1535" s="13" t="s">
        <v>3647</v>
      </c>
      <c r="D1535" s="13">
        <v>10</v>
      </c>
      <c r="E1535" s="13" t="s">
        <v>3648</v>
      </c>
      <c r="F1535" s="13" t="s">
        <v>8867</v>
      </c>
      <c r="G1535" s="13" t="s">
        <v>2</v>
      </c>
      <c r="H1535" s="13" t="s">
        <v>3</v>
      </c>
      <c r="I1535" s="13" t="s">
        <v>1263</v>
      </c>
      <c r="J1535" s="13" t="s">
        <v>8890</v>
      </c>
      <c r="K1535" s="13" t="s">
        <v>8422</v>
      </c>
      <c r="L1535" s="13" t="s">
        <v>158</v>
      </c>
      <c r="M1535" t="s">
        <v>3</v>
      </c>
    </row>
    <row r="1536" spans="1:13" x14ac:dyDescent="0.25">
      <c r="A1536" s="13" t="s">
        <v>3649</v>
      </c>
      <c r="B1536" s="13" t="s">
        <v>3650</v>
      </c>
      <c r="C1536" s="13" t="s">
        <v>3651</v>
      </c>
      <c r="D1536" s="13">
        <v>33.200000000000003</v>
      </c>
      <c r="E1536" s="13" t="s">
        <v>3652</v>
      </c>
      <c r="F1536" s="13" t="s">
        <v>8867</v>
      </c>
      <c r="G1536" s="13" t="s">
        <v>2</v>
      </c>
      <c r="H1536" s="13" t="s">
        <v>8422</v>
      </c>
      <c r="I1536" s="13" t="s">
        <v>1263</v>
      </c>
      <c r="J1536" s="13" t="s">
        <v>8890</v>
      </c>
      <c r="K1536" s="13" t="s">
        <v>8422</v>
      </c>
      <c r="L1536" s="13" t="s">
        <v>158</v>
      </c>
      <c r="M1536" t="s">
        <v>10689</v>
      </c>
    </row>
    <row r="1537" spans="1:13" x14ac:dyDescent="0.25">
      <c r="A1537" s="13" t="s">
        <v>10518</v>
      </c>
      <c r="B1537" s="13" t="s">
        <v>10518</v>
      </c>
      <c r="C1537" s="13" t="s">
        <v>10519</v>
      </c>
      <c r="D1537" s="13">
        <v>10</v>
      </c>
      <c r="E1537" s="13" t="s">
        <v>10520</v>
      </c>
      <c r="F1537" s="13" t="s">
        <v>8867</v>
      </c>
      <c r="G1537" s="13" t="s">
        <v>2</v>
      </c>
      <c r="H1537" s="13" t="s">
        <v>3</v>
      </c>
      <c r="I1537" s="13" t="s">
        <v>1263</v>
      </c>
      <c r="J1537" s="13" t="s">
        <v>8890</v>
      </c>
      <c r="K1537" s="13" t="s">
        <v>8422</v>
      </c>
      <c r="L1537" s="13" t="s">
        <v>158</v>
      </c>
      <c r="M1537" t="s">
        <v>3</v>
      </c>
    </row>
    <row r="1538" spans="1:13" x14ac:dyDescent="0.25">
      <c r="A1538" s="13" t="s">
        <v>3653</v>
      </c>
      <c r="B1538" s="13" t="s">
        <v>3654</v>
      </c>
      <c r="C1538" s="13" t="s">
        <v>3654</v>
      </c>
      <c r="D1538" s="13">
        <v>24.1</v>
      </c>
      <c r="E1538" s="13" t="s">
        <v>3655</v>
      </c>
      <c r="F1538" s="13" t="s">
        <v>8867</v>
      </c>
      <c r="G1538" s="13" t="s">
        <v>2</v>
      </c>
      <c r="H1538" s="13" t="s">
        <v>9243</v>
      </c>
      <c r="I1538" s="13" t="s">
        <v>119</v>
      </c>
      <c r="J1538" s="13" t="s">
        <v>8890</v>
      </c>
      <c r="K1538" s="13" t="s">
        <v>8883</v>
      </c>
      <c r="L1538" s="13" t="s">
        <v>158</v>
      </c>
      <c r="M1538" t="s">
        <v>9243</v>
      </c>
    </row>
    <row r="1539" spans="1:13" ht="26.25" x14ac:dyDescent="0.25">
      <c r="A1539" s="13" t="s">
        <v>3656</v>
      </c>
      <c r="B1539" s="13" t="s">
        <v>3657</v>
      </c>
      <c r="C1539" s="13" t="s">
        <v>3658</v>
      </c>
      <c r="D1539" s="13">
        <v>57.5</v>
      </c>
      <c r="E1539" s="13" t="s">
        <v>3659</v>
      </c>
      <c r="F1539" s="13" t="s">
        <v>8867</v>
      </c>
      <c r="G1539" s="13" t="s">
        <v>2</v>
      </c>
      <c r="H1539" s="13" t="s">
        <v>3</v>
      </c>
      <c r="I1539" s="13" t="s">
        <v>1978</v>
      </c>
      <c r="J1539" s="13" t="s">
        <v>8890</v>
      </c>
      <c r="K1539" s="13" t="s">
        <v>8570</v>
      </c>
      <c r="L1539" s="13" t="s">
        <v>158</v>
      </c>
      <c r="M1539" t="s">
        <v>3</v>
      </c>
    </row>
    <row r="1540" spans="1:13" x14ac:dyDescent="0.25">
      <c r="A1540" s="13" t="s">
        <v>3660</v>
      </c>
      <c r="B1540" s="13" t="s">
        <v>3660</v>
      </c>
      <c r="C1540" s="13" t="s">
        <v>3661</v>
      </c>
      <c r="D1540" s="13">
        <v>21.2</v>
      </c>
      <c r="E1540" s="13" t="s">
        <v>3662</v>
      </c>
      <c r="F1540" s="13" t="s">
        <v>8867</v>
      </c>
      <c r="G1540" s="13" t="s">
        <v>2</v>
      </c>
      <c r="H1540" s="13" t="s">
        <v>8422</v>
      </c>
      <c r="I1540" s="13" t="s">
        <v>1263</v>
      </c>
      <c r="J1540" s="13" t="s">
        <v>8890</v>
      </c>
      <c r="K1540" s="13" t="s">
        <v>8422</v>
      </c>
      <c r="L1540" s="13" t="s">
        <v>158</v>
      </c>
      <c r="M1540" t="s">
        <v>10689</v>
      </c>
    </row>
    <row r="1541" spans="1:13" x14ac:dyDescent="0.25">
      <c r="A1541" s="13" t="s">
        <v>3663</v>
      </c>
      <c r="B1541" s="13" t="s">
        <v>3664</v>
      </c>
      <c r="C1541" s="13" t="s">
        <v>3665</v>
      </c>
      <c r="D1541" s="13">
        <v>25.5</v>
      </c>
      <c r="E1541" s="13" t="s">
        <v>3666</v>
      </c>
      <c r="F1541" s="13" t="s">
        <v>8867</v>
      </c>
      <c r="G1541" s="13" t="s">
        <v>2</v>
      </c>
      <c r="H1541" s="13" t="s">
        <v>3</v>
      </c>
      <c r="I1541" s="13" t="s">
        <v>228</v>
      </c>
      <c r="J1541" s="13" t="s">
        <v>8890</v>
      </c>
      <c r="K1541" s="13" t="s">
        <v>8418</v>
      </c>
      <c r="L1541" s="13" t="s">
        <v>158</v>
      </c>
      <c r="M1541" t="s">
        <v>3</v>
      </c>
    </row>
    <row r="1542" spans="1:13" x14ac:dyDescent="0.25">
      <c r="A1542" s="13" t="s">
        <v>3667</v>
      </c>
      <c r="B1542" s="13" t="s">
        <v>3667</v>
      </c>
      <c r="C1542" s="13" t="s">
        <v>3668</v>
      </c>
      <c r="D1542" s="13">
        <v>1.8</v>
      </c>
      <c r="E1542" s="13" t="s">
        <v>3669</v>
      </c>
      <c r="F1542" s="13" t="s">
        <v>8867</v>
      </c>
      <c r="G1542" s="13" t="s">
        <v>2</v>
      </c>
      <c r="H1542" s="13" t="s">
        <v>3</v>
      </c>
      <c r="I1542" s="13" t="s">
        <v>1263</v>
      </c>
      <c r="J1542" s="13" t="s">
        <v>8890</v>
      </c>
      <c r="K1542" s="13" t="s">
        <v>8422</v>
      </c>
      <c r="L1542" s="13" t="s">
        <v>158</v>
      </c>
      <c r="M1542" t="s">
        <v>3</v>
      </c>
    </row>
    <row r="1543" spans="1:13" ht="26.25" x14ac:dyDescent="0.25">
      <c r="A1543" s="13" t="s">
        <v>3670</v>
      </c>
      <c r="B1543" s="13" t="s">
        <v>3671</v>
      </c>
      <c r="C1543" s="13" t="s">
        <v>3672</v>
      </c>
      <c r="D1543" s="13">
        <v>2.7</v>
      </c>
      <c r="E1543" s="13" t="s">
        <v>3673</v>
      </c>
      <c r="F1543" s="13" t="s">
        <v>8867</v>
      </c>
      <c r="G1543" s="13" t="s">
        <v>2</v>
      </c>
      <c r="H1543" s="13" t="s">
        <v>3</v>
      </c>
      <c r="I1543" s="13" t="s">
        <v>1263</v>
      </c>
      <c r="J1543" s="13" t="s">
        <v>8890</v>
      </c>
      <c r="K1543" s="13" t="s">
        <v>8422</v>
      </c>
      <c r="L1543" s="13" t="s">
        <v>158</v>
      </c>
      <c r="M1543" t="s">
        <v>3</v>
      </c>
    </row>
    <row r="1544" spans="1:13" x14ac:dyDescent="0.25">
      <c r="A1544" s="13" t="s">
        <v>3674</v>
      </c>
      <c r="B1544" s="13" t="s">
        <v>3674</v>
      </c>
      <c r="C1544" s="13" t="s">
        <v>3675</v>
      </c>
      <c r="D1544" s="13">
        <v>3.3</v>
      </c>
      <c r="E1544" s="13" t="s">
        <v>3676</v>
      </c>
      <c r="F1544" s="13" t="s">
        <v>8867</v>
      </c>
      <c r="G1544" s="13" t="s">
        <v>2</v>
      </c>
      <c r="H1544" s="13" t="s">
        <v>3</v>
      </c>
      <c r="I1544" s="13" t="s">
        <v>1263</v>
      </c>
      <c r="J1544" s="13" t="s">
        <v>8890</v>
      </c>
      <c r="K1544" s="13" t="s">
        <v>8422</v>
      </c>
      <c r="L1544" s="13" t="s">
        <v>158</v>
      </c>
      <c r="M1544" t="s">
        <v>3</v>
      </c>
    </row>
    <row r="1545" spans="1:13" x14ac:dyDescent="0.25">
      <c r="A1545" s="13" t="s">
        <v>11558</v>
      </c>
      <c r="B1545" s="13" t="s">
        <v>11559</v>
      </c>
      <c r="C1545" s="13" t="s">
        <v>11560</v>
      </c>
      <c r="D1545" s="13">
        <v>37</v>
      </c>
      <c r="E1545" s="13" t="s">
        <v>11561</v>
      </c>
      <c r="F1545" s="13" t="s">
        <v>8867</v>
      </c>
      <c r="G1545" s="13" t="s">
        <v>2</v>
      </c>
      <c r="H1545" s="13" t="s">
        <v>3</v>
      </c>
      <c r="I1545" s="13" t="s">
        <v>1263</v>
      </c>
      <c r="J1545" s="13" t="s">
        <v>8890</v>
      </c>
      <c r="K1545" s="13" t="s">
        <v>8422</v>
      </c>
      <c r="L1545" s="13" t="s">
        <v>158</v>
      </c>
      <c r="M1545" t="s">
        <v>3</v>
      </c>
    </row>
    <row r="1546" spans="1:13" x14ac:dyDescent="0.25">
      <c r="A1546" s="13" t="s">
        <v>12016</v>
      </c>
      <c r="B1546" s="13" t="s">
        <v>12016</v>
      </c>
      <c r="C1546" s="13" t="s">
        <v>12016</v>
      </c>
      <c r="D1546" s="13">
        <v>25.6</v>
      </c>
      <c r="E1546" s="13" t="s">
        <v>12017</v>
      </c>
      <c r="F1546" s="13" t="s">
        <v>8867</v>
      </c>
      <c r="G1546" s="13" t="s">
        <v>2</v>
      </c>
      <c r="H1546" s="13" t="s">
        <v>3</v>
      </c>
      <c r="I1546" s="13" t="s">
        <v>706</v>
      </c>
      <c r="J1546" s="13" t="s">
        <v>8890</v>
      </c>
      <c r="K1546" s="13" t="s">
        <v>8419</v>
      </c>
      <c r="L1546" s="13" t="s">
        <v>158</v>
      </c>
      <c r="M1546" t="s">
        <v>3</v>
      </c>
    </row>
    <row r="1547" spans="1:13" x14ac:dyDescent="0.25">
      <c r="A1547" s="13" t="s">
        <v>11806</v>
      </c>
      <c r="B1547" s="13" t="s">
        <v>11806</v>
      </c>
      <c r="C1547" s="13" t="s">
        <v>11807</v>
      </c>
      <c r="D1547" s="13">
        <v>6</v>
      </c>
      <c r="E1547" s="13" t="s">
        <v>11808</v>
      </c>
      <c r="F1547" s="13" t="s">
        <v>8867</v>
      </c>
      <c r="G1547" s="13" t="s">
        <v>2</v>
      </c>
      <c r="H1547" s="13" t="s">
        <v>3</v>
      </c>
      <c r="I1547" s="13" t="s">
        <v>447</v>
      </c>
      <c r="J1547" s="13" t="s">
        <v>8890</v>
      </c>
      <c r="K1547" s="13" t="s">
        <v>8421</v>
      </c>
      <c r="L1547" s="13" t="s">
        <v>158</v>
      </c>
      <c r="M1547" t="s">
        <v>3</v>
      </c>
    </row>
    <row r="1548" spans="1:13" x14ac:dyDescent="0.25">
      <c r="A1548" s="13" t="s">
        <v>11809</v>
      </c>
      <c r="B1548" s="13" t="s">
        <v>11809</v>
      </c>
      <c r="C1548" s="13" t="s">
        <v>11810</v>
      </c>
      <c r="D1548" s="13">
        <v>6</v>
      </c>
      <c r="E1548" s="13" t="s">
        <v>11811</v>
      </c>
      <c r="F1548" s="13" t="s">
        <v>8867</v>
      </c>
      <c r="G1548" s="13" t="s">
        <v>2</v>
      </c>
      <c r="H1548" s="13" t="s">
        <v>3</v>
      </c>
      <c r="I1548" s="13" t="s">
        <v>447</v>
      </c>
      <c r="J1548" s="13" t="s">
        <v>8890</v>
      </c>
      <c r="K1548" s="13" t="s">
        <v>8421</v>
      </c>
      <c r="L1548" s="13" t="s">
        <v>158</v>
      </c>
      <c r="M1548" t="s">
        <v>3</v>
      </c>
    </row>
    <row r="1549" spans="1:13" x14ac:dyDescent="0.25">
      <c r="A1549" s="13" t="s">
        <v>3677</v>
      </c>
      <c r="B1549" s="13" t="s">
        <v>3677</v>
      </c>
      <c r="C1549" s="13" t="s">
        <v>3677</v>
      </c>
      <c r="D1549" s="13">
        <v>9.1</v>
      </c>
      <c r="E1549" s="13" t="s">
        <v>3678</v>
      </c>
      <c r="F1549" s="13" t="s">
        <v>8867</v>
      </c>
      <c r="G1549" s="13" t="s">
        <v>2</v>
      </c>
      <c r="H1549" s="13" t="s">
        <v>3</v>
      </c>
      <c r="I1549" s="13" t="s">
        <v>706</v>
      </c>
      <c r="J1549" s="13" t="s">
        <v>8890</v>
      </c>
      <c r="K1549" s="13" t="s">
        <v>8419</v>
      </c>
      <c r="L1549" s="13" t="s">
        <v>158</v>
      </c>
      <c r="M1549" t="s">
        <v>3</v>
      </c>
    </row>
    <row r="1550" spans="1:13" x14ac:dyDescent="0.25">
      <c r="A1550" s="13" t="s">
        <v>3679</v>
      </c>
      <c r="B1550" s="13" t="s">
        <v>3679</v>
      </c>
      <c r="C1550" s="13" t="s">
        <v>3679</v>
      </c>
      <c r="D1550" s="13">
        <v>7</v>
      </c>
      <c r="E1550" s="13" t="s">
        <v>3680</v>
      </c>
      <c r="F1550" s="13" t="s">
        <v>8867</v>
      </c>
      <c r="G1550" s="13" t="s">
        <v>2</v>
      </c>
      <c r="H1550" s="13" t="s">
        <v>3</v>
      </c>
      <c r="I1550" s="13" t="s">
        <v>706</v>
      </c>
      <c r="J1550" s="13" t="s">
        <v>8890</v>
      </c>
      <c r="K1550" s="13" t="s">
        <v>8419</v>
      </c>
      <c r="L1550" s="13" t="s">
        <v>158</v>
      </c>
      <c r="M1550" t="s">
        <v>3</v>
      </c>
    </row>
    <row r="1551" spans="1:13" ht="26.25" x14ac:dyDescent="0.25">
      <c r="A1551" s="13" t="s">
        <v>3681</v>
      </c>
      <c r="B1551" s="13" t="s">
        <v>3681</v>
      </c>
      <c r="C1551" s="13" t="s">
        <v>3682</v>
      </c>
      <c r="D1551" s="13">
        <v>1.2</v>
      </c>
      <c r="E1551" s="13" t="s">
        <v>3683</v>
      </c>
      <c r="F1551" s="13" t="s">
        <v>8867</v>
      </c>
      <c r="G1551" s="13" t="s">
        <v>2</v>
      </c>
      <c r="H1551" s="13" t="s">
        <v>3</v>
      </c>
      <c r="I1551" s="13" t="s">
        <v>1263</v>
      </c>
      <c r="J1551" s="13" t="s">
        <v>8890</v>
      </c>
      <c r="K1551" s="13" t="s">
        <v>8422</v>
      </c>
      <c r="L1551" s="13" t="s">
        <v>158</v>
      </c>
      <c r="M1551" t="s">
        <v>3</v>
      </c>
    </row>
    <row r="1552" spans="1:13" x14ac:dyDescent="0.25">
      <c r="A1552" s="13" t="s">
        <v>3684</v>
      </c>
      <c r="B1552" s="13" t="s">
        <v>3685</v>
      </c>
      <c r="C1552" s="13" t="s">
        <v>3685</v>
      </c>
      <c r="D1552" s="13">
        <v>0.1</v>
      </c>
      <c r="E1552" s="13" t="s">
        <v>3686</v>
      </c>
      <c r="F1552" s="13" t="s">
        <v>8867</v>
      </c>
      <c r="G1552" s="13" t="s">
        <v>2</v>
      </c>
      <c r="H1552" s="13" t="s">
        <v>3</v>
      </c>
      <c r="I1552" s="13" t="s">
        <v>3687</v>
      </c>
      <c r="J1552" s="13" t="s">
        <v>8890</v>
      </c>
      <c r="K1552" s="13" t="s">
        <v>8624</v>
      </c>
      <c r="L1552" s="13" t="s">
        <v>158</v>
      </c>
      <c r="M1552" t="s">
        <v>3</v>
      </c>
    </row>
    <row r="1553" spans="1:13" x14ac:dyDescent="0.25">
      <c r="A1553" s="13" t="s">
        <v>11069</v>
      </c>
      <c r="B1553" s="13" t="s">
        <v>11069</v>
      </c>
      <c r="C1553" s="13" t="s">
        <v>11069</v>
      </c>
      <c r="D1553" s="13">
        <v>10</v>
      </c>
      <c r="E1553" s="13" t="s">
        <v>11070</v>
      </c>
      <c r="F1553" s="13" t="s">
        <v>8867</v>
      </c>
      <c r="G1553" s="13" t="s">
        <v>2</v>
      </c>
      <c r="H1553" s="13" t="s">
        <v>3</v>
      </c>
      <c r="I1553" s="13" t="s">
        <v>11071</v>
      </c>
      <c r="J1553" s="13" t="s">
        <v>8890</v>
      </c>
      <c r="K1553" s="13" t="s">
        <v>11984</v>
      </c>
      <c r="L1553" s="13" t="s">
        <v>158</v>
      </c>
      <c r="M1553" t="s">
        <v>3</v>
      </c>
    </row>
    <row r="1554" spans="1:13" x14ac:dyDescent="0.25">
      <c r="A1554" s="13" t="s">
        <v>11301</v>
      </c>
      <c r="B1554" s="13" t="s">
        <v>11301</v>
      </c>
      <c r="C1554" s="13" t="s">
        <v>11302</v>
      </c>
      <c r="D1554" s="13">
        <v>45</v>
      </c>
      <c r="E1554" s="13" t="s">
        <v>11303</v>
      </c>
      <c r="F1554" s="13" t="s">
        <v>8867</v>
      </c>
      <c r="G1554" s="13" t="s">
        <v>2</v>
      </c>
      <c r="H1554" s="13" t="s">
        <v>3</v>
      </c>
      <c r="I1554" s="13" t="s">
        <v>447</v>
      </c>
      <c r="J1554" s="13" t="s">
        <v>8890</v>
      </c>
      <c r="K1554" s="13" t="s">
        <v>8421</v>
      </c>
      <c r="L1554" s="13" t="s">
        <v>158</v>
      </c>
      <c r="M1554" t="s">
        <v>3</v>
      </c>
    </row>
    <row r="1555" spans="1:13" x14ac:dyDescent="0.25">
      <c r="A1555" s="13" t="s">
        <v>11072</v>
      </c>
      <c r="B1555" s="13" t="s">
        <v>11072</v>
      </c>
      <c r="C1555" s="13" t="s">
        <v>11073</v>
      </c>
      <c r="D1555" s="13">
        <v>1.1000000000000001</v>
      </c>
      <c r="E1555" s="13" t="s">
        <v>11074</v>
      </c>
      <c r="F1555" s="13" t="s">
        <v>8867</v>
      </c>
      <c r="G1555" s="13" t="s">
        <v>2</v>
      </c>
      <c r="H1555" s="13" t="s">
        <v>3</v>
      </c>
      <c r="I1555" s="13" t="s">
        <v>1263</v>
      </c>
      <c r="J1555" s="13" t="s">
        <v>8890</v>
      </c>
      <c r="K1555" s="13" t="s">
        <v>8422</v>
      </c>
      <c r="L1555" s="13" t="s">
        <v>158</v>
      </c>
      <c r="M1555" t="s">
        <v>3</v>
      </c>
    </row>
    <row r="1556" spans="1:13" x14ac:dyDescent="0.25">
      <c r="A1556" s="13" t="s">
        <v>11075</v>
      </c>
      <c r="B1556" s="13" t="s">
        <v>11075</v>
      </c>
      <c r="C1556" s="13" t="s">
        <v>11076</v>
      </c>
      <c r="D1556" s="13">
        <v>45</v>
      </c>
      <c r="E1556" s="13" t="s">
        <v>11077</v>
      </c>
      <c r="F1556" s="13" t="s">
        <v>8867</v>
      </c>
      <c r="G1556" s="13" t="s">
        <v>2</v>
      </c>
      <c r="H1556" s="13" t="s">
        <v>3</v>
      </c>
      <c r="I1556" s="13" t="s">
        <v>447</v>
      </c>
      <c r="J1556" s="13" t="s">
        <v>8890</v>
      </c>
      <c r="K1556" s="13" t="s">
        <v>8421</v>
      </c>
      <c r="L1556" s="13" t="s">
        <v>158</v>
      </c>
      <c r="M1556" t="s">
        <v>3</v>
      </c>
    </row>
    <row r="1557" spans="1:13" x14ac:dyDescent="0.25">
      <c r="A1557" s="13" t="s">
        <v>3688</v>
      </c>
      <c r="B1557" s="13" t="s">
        <v>3688</v>
      </c>
      <c r="C1557" s="13" t="s">
        <v>3689</v>
      </c>
      <c r="D1557" s="13">
        <v>12</v>
      </c>
      <c r="E1557" s="13" t="s">
        <v>3690</v>
      </c>
      <c r="F1557" s="13" t="s">
        <v>8867</v>
      </c>
      <c r="G1557" s="13" t="s">
        <v>2</v>
      </c>
      <c r="H1557" s="13" t="s">
        <v>3</v>
      </c>
      <c r="I1557" s="13" t="s">
        <v>228</v>
      </c>
      <c r="J1557" s="13" t="s">
        <v>8890</v>
      </c>
      <c r="K1557" s="13" t="s">
        <v>8418</v>
      </c>
      <c r="L1557" s="13" t="s">
        <v>158</v>
      </c>
      <c r="M1557" t="s">
        <v>3</v>
      </c>
    </row>
    <row r="1558" spans="1:13" x14ac:dyDescent="0.25">
      <c r="A1558" s="13" t="s">
        <v>3691</v>
      </c>
      <c r="B1558" s="13" t="s">
        <v>3691</v>
      </c>
      <c r="C1558" s="13" t="s">
        <v>3692</v>
      </c>
      <c r="D1558" s="13">
        <v>2.8</v>
      </c>
      <c r="E1558" s="13" t="s">
        <v>3693</v>
      </c>
      <c r="F1558" s="13" t="s">
        <v>8867</v>
      </c>
      <c r="G1558" s="13" t="s">
        <v>2</v>
      </c>
      <c r="H1558" s="13" t="s">
        <v>3</v>
      </c>
      <c r="I1558" s="13" t="s">
        <v>1263</v>
      </c>
      <c r="J1558" s="13" t="s">
        <v>8890</v>
      </c>
      <c r="K1558" s="13" t="s">
        <v>8422</v>
      </c>
      <c r="L1558" s="13" t="s">
        <v>158</v>
      </c>
      <c r="M1558" t="s">
        <v>3</v>
      </c>
    </row>
    <row r="1559" spans="1:13" x14ac:dyDescent="0.25">
      <c r="A1559" s="13" t="s">
        <v>9187</v>
      </c>
      <c r="B1559" s="13" t="s">
        <v>9187</v>
      </c>
      <c r="C1559" s="13" t="s">
        <v>9188</v>
      </c>
      <c r="D1559" s="13">
        <v>30.8</v>
      </c>
      <c r="E1559" s="13" t="s">
        <v>9189</v>
      </c>
      <c r="F1559" s="13" t="s">
        <v>8867</v>
      </c>
      <c r="G1559" s="13" t="s">
        <v>2</v>
      </c>
      <c r="H1559" s="13" t="s">
        <v>3</v>
      </c>
      <c r="I1559" s="13" t="s">
        <v>447</v>
      </c>
      <c r="J1559" s="13" t="s">
        <v>8890</v>
      </c>
      <c r="K1559" s="13" t="s">
        <v>8421</v>
      </c>
      <c r="L1559" s="13" t="s">
        <v>158</v>
      </c>
      <c r="M1559" t="s">
        <v>3</v>
      </c>
    </row>
    <row r="1560" spans="1:13" x14ac:dyDescent="0.25">
      <c r="A1560" s="13" t="s">
        <v>9190</v>
      </c>
      <c r="B1560" s="13" t="s">
        <v>9190</v>
      </c>
      <c r="C1560" s="13" t="s">
        <v>9191</v>
      </c>
      <c r="D1560" s="13">
        <v>17</v>
      </c>
      <c r="E1560" s="13" t="s">
        <v>9192</v>
      </c>
      <c r="F1560" s="13" t="s">
        <v>8867</v>
      </c>
      <c r="G1560" s="13" t="s">
        <v>2</v>
      </c>
      <c r="H1560" s="13" t="s">
        <v>3</v>
      </c>
      <c r="I1560" s="13" t="s">
        <v>447</v>
      </c>
      <c r="J1560" s="13" t="s">
        <v>8890</v>
      </c>
      <c r="K1560" s="13" t="s">
        <v>8421</v>
      </c>
      <c r="L1560" s="13" t="s">
        <v>158</v>
      </c>
      <c r="M1560" t="s">
        <v>3</v>
      </c>
    </row>
    <row r="1561" spans="1:13" x14ac:dyDescent="0.25">
      <c r="A1561" s="13" t="s">
        <v>3694</v>
      </c>
      <c r="B1561" s="13" t="s">
        <v>3694</v>
      </c>
      <c r="C1561" s="13" t="s">
        <v>3695</v>
      </c>
      <c r="D1561" s="13">
        <v>5.5</v>
      </c>
      <c r="E1561" s="13" t="s">
        <v>3696</v>
      </c>
      <c r="F1561" s="13" t="s">
        <v>8867</v>
      </c>
      <c r="G1561" s="13" t="s">
        <v>2</v>
      </c>
      <c r="H1561" s="13" t="s">
        <v>3</v>
      </c>
      <c r="I1561" s="13" t="s">
        <v>1263</v>
      </c>
      <c r="J1561" s="13" t="s">
        <v>8890</v>
      </c>
      <c r="K1561" s="13" t="s">
        <v>8422</v>
      </c>
      <c r="L1561" s="13" t="s">
        <v>158</v>
      </c>
      <c r="M1561" t="s">
        <v>3</v>
      </c>
    </row>
    <row r="1562" spans="1:13" x14ac:dyDescent="0.25">
      <c r="A1562" s="13" t="s">
        <v>11078</v>
      </c>
      <c r="B1562" s="13" t="s">
        <v>11078</v>
      </c>
      <c r="C1562" s="13" t="s">
        <v>11079</v>
      </c>
      <c r="D1562" s="13">
        <v>3</v>
      </c>
      <c r="E1562" s="13" t="s">
        <v>11080</v>
      </c>
      <c r="F1562" s="13" t="s">
        <v>8867</v>
      </c>
      <c r="G1562" s="13" t="s">
        <v>2</v>
      </c>
      <c r="H1562" s="13" t="s">
        <v>3</v>
      </c>
      <c r="I1562" s="13" t="s">
        <v>1263</v>
      </c>
      <c r="J1562" s="13" t="s">
        <v>8890</v>
      </c>
      <c r="K1562" s="13" t="s">
        <v>8422</v>
      </c>
      <c r="L1562" s="13" t="s">
        <v>158</v>
      </c>
      <c r="M1562" t="s">
        <v>3</v>
      </c>
    </row>
    <row r="1563" spans="1:13" x14ac:dyDescent="0.25">
      <c r="A1563" s="13" t="s">
        <v>3697</v>
      </c>
      <c r="B1563" s="13" t="s">
        <v>3697</v>
      </c>
      <c r="C1563" s="13" t="s">
        <v>3698</v>
      </c>
      <c r="D1563" s="13">
        <v>17.2</v>
      </c>
      <c r="E1563" s="13" t="s">
        <v>3699</v>
      </c>
      <c r="F1563" s="13" t="s">
        <v>8867</v>
      </c>
      <c r="G1563" s="13" t="s">
        <v>2</v>
      </c>
      <c r="H1563" s="13" t="s">
        <v>3</v>
      </c>
      <c r="I1563" s="13" t="s">
        <v>1263</v>
      </c>
      <c r="J1563" s="13" t="s">
        <v>8890</v>
      </c>
      <c r="K1563" s="13" t="s">
        <v>8422</v>
      </c>
      <c r="L1563" s="13" t="s">
        <v>158</v>
      </c>
      <c r="M1563" t="s">
        <v>3</v>
      </c>
    </row>
    <row r="1564" spans="1:13" ht="26.25" x14ac:dyDescent="0.25">
      <c r="A1564" s="13" t="s">
        <v>3700</v>
      </c>
      <c r="B1564" s="13" t="s">
        <v>3701</v>
      </c>
      <c r="C1564" s="13" t="s">
        <v>3702</v>
      </c>
      <c r="D1564" s="13">
        <v>41.6</v>
      </c>
      <c r="E1564" s="13" t="s">
        <v>3703</v>
      </c>
      <c r="F1564" s="13" t="s">
        <v>8867</v>
      </c>
      <c r="G1564" s="13" t="s">
        <v>2</v>
      </c>
      <c r="H1564" s="13" t="s">
        <v>3</v>
      </c>
      <c r="I1564" s="13" t="s">
        <v>1978</v>
      </c>
      <c r="J1564" s="13" t="s">
        <v>8890</v>
      </c>
      <c r="K1564" s="13" t="s">
        <v>8570</v>
      </c>
      <c r="L1564" s="13" t="s">
        <v>158</v>
      </c>
      <c r="M1564" t="s">
        <v>3</v>
      </c>
    </row>
    <row r="1565" spans="1:13" x14ac:dyDescent="0.25">
      <c r="A1565" s="13" t="s">
        <v>3704</v>
      </c>
      <c r="B1565" s="13" t="s">
        <v>3704</v>
      </c>
      <c r="C1565" s="13" t="s">
        <v>3705</v>
      </c>
      <c r="D1565" s="13">
        <v>34.299999999999997</v>
      </c>
      <c r="E1565" s="13" t="s">
        <v>3706</v>
      </c>
      <c r="F1565" s="13" t="s">
        <v>8867</v>
      </c>
      <c r="G1565" s="13" t="s">
        <v>2</v>
      </c>
      <c r="H1565" s="13" t="s">
        <v>8422</v>
      </c>
      <c r="I1565" s="13" t="s">
        <v>1263</v>
      </c>
      <c r="J1565" s="13" t="s">
        <v>8890</v>
      </c>
      <c r="K1565" s="13" t="s">
        <v>8422</v>
      </c>
      <c r="L1565" s="13" t="s">
        <v>158</v>
      </c>
      <c r="M1565" t="s">
        <v>10689</v>
      </c>
    </row>
    <row r="1566" spans="1:13" x14ac:dyDescent="0.25">
      <c r="A1566" s="13" t="s">
        <v>3707</v>
      </c>
      <c r="B1566" s="13" t="s">
        <v>3707</v>
      </c>
      <c r="C1566" s="13" t="s">
        <v>3708</v>
      </c>
      <c r="D1566" s="13">
        <v>34.299999999999997</v>
      </c>
      <c r="E1566" s="13" t="s">
        <v>3709</v>
      </c>
      <c r="F1566" s="13" t="s">
        <v>8867</v>
      </c>
      <c r="G1566" s="13" t="s">
        <v>2</v>
      </c>
      <c r="H1566" s="13" t="s">
        <v>8422</v>
      </c>
      <c r="I1566" s="13" t="s">
        <v>1263</v>
      </c>
      <c r="J1566" s="13" t="s">
        <v>8890</v>
      </c>
      <c r="K1566" s="13" t="s">
        <v>8422</v>
      </c>
      <c r="L1566" s="13" t="s">
        <v>158</v>
      </c>
      <c r="M1566" t="s">
        <v>10689</v>
      </c>
    </row>
    <row r="1567" spans="1:13" x14ac:dyDescent="0.25">
      <c r="A1567" s="13" t="s">
        <v>3710</v>
      </c>
      <c r="B1567" s="13" t="s">
        <v>3710</v>
      </c>
      <c r="C1567" s="13" t="s">
        <v>3711</v>
      </c>
      <c r="D1567" s="13">
        <v>1.9</v>
      </c>
      <c r="E1567" s="13" t="s">
        <v>3712</v>
      </c>
      <c r="F1567" s="13" t="s">
        <v>8867</v>
      </c>
      <c r="G1567" s="13" t="s">
        <v>2</v>
      </c>
      <c r="H1567" s="13" t="s">
        <v>3</v>
      </c>
      <c r="I1567" s="13" t="s">
        <v>1978</v>
      </c>
      <c r="J1567" s="13" t="s">
        <v>8890</v>
      </c>
      <c r="K1567" s="13" t="s">
        <v>8570</v>
      </c>
      <c r="L1567" s="13" t="s">
        <v>158</v>
      </c>
      <c r="M1567" t="s">
        <v>3</v>
      </c>
    </row>
    <row r="1568" spans="1:13" x14ac:dyDescent="0.25">
      <c r="A1568" s="13" t="s">
        <v>9193</v>
      </c>
      <c r="B1568" s="13" t="s">
        <v>9193</v>
      </c>
      <c r="C1568" s="13" t="s">
        <v>9193</v>
      </c>
      <c r="D1568" s="13">
        <v>1.6</v>
      </c>
      <c r="E1568" s="13" t="s">
        <v>9194</v>
      </c>
      <c r="F1568" s="13" t="s">
        <v>8867</v>
      </c>
      <c r="G1568" s="13" t="s">
        <v>2</v>
      </c>
      <c r="H1568" s="13" t="s">
        <v>3</v>
      </c>
      <c r="I1568" s="13" t="s">
        <v>706</v>
      </c>
      <c r="J1568" s="13" t="s">
        <v>8890</v>
      </c>
      <c r="K1568" s="13" t="s">
        <v>8419</v>
      </c>
      <c r="L1568" s="13" t="s">
        <v>158</v>
      </c>
      <c r="M1568" t="s">
        <v>3</v>
      </c>
    </row>
    <row r="1569" spans="1:13" ht="26.25" x14ac:dyDescent="0.25">
      <c r="A1569" s="13" t="s">
        <v>11812</v>
      </c>
      <c r="B1569" s="13" t="s">
        <v>11812</v>
      </c>
      <c r="C1569" s="13" t="s">
        <v>11812</v>
      </c>
      <c r="D1569" s="13">
        <v>5.0999999999999996</v>
      </c>
      <c r="E1569" s="13" t="s">
        <v>11813</v>
      </c>
      <c r="F1569" s="13" t="s">
        <v>8867</v>
      </c>
      <c r="G1569" s="13" t="s">
        <v>2</v>
      </c>
      <c r="H1569" s="13" t="s">
        <v>3</v>
      </c>
      <c r="I1569" s="13" t="s">
        <v>421</v>
      </c>
      <c r="J1569" s="13" t="s">
        <v>8890</v>
      </c>
      <c r="K1569" s="13" t="s">
        <v>8467</v>
      </c>
      <c r="L1569" s="13" t="s">
        <v>158</v>
      </c>
      <c r="M1569" t="s">
        <v>3</v>
      </c>
    </row>
    <row r="1570" spans="1:13" x14ac:dyDescent="0.25">
      <c r="A1570" s="13" t="s">
        <v>11814</v>
      </c>
      <c r="B1570" s="13" t="s">
        <v>11814</v>
      </c>
      <c r="C1570" s="13" t="s">
        <v>11814</v>
      </c>
      <c r="D1570" s="13">
        <v>7.8</v>
      </c>
      <c r="E1570" s="13" t="s">
        <v>11815</v>
      </c>
      <c r="F1570" s="13" t="s">
        <v>8867</v>
      </c>
      <c r="G1570" s="13" t="s">
        <v>2</v>
      </c>
      <c r="H1570" s="13" t="s">
        <v>3</v>
      </c>
      <c r="I1570" s="13" t="s">
        <v>421</v>
      </c>
      <c r="J1570" s="13" t="s">
        <v>8890</v>
      </c>
      <c r="K1570" s="13" t="s">
        <v>8467</v>
      </c>
      <c r="L1570" s="13" t="s">
        <v>158</v>
      </c>
      <c r="M1570" t="s">
        <v>3</v>
      </c>
    </row>
    <row r="1571" spans="1:13" x14ac:dyDescent="0.25">
      <c r="A1571" s="13" t="s">
        <v>10232</v>
      </c>
      <c r="B1571" s="13" t="s">
        <v>10232</v>
      </c>
      <c r="C1571" s="13" t="s">
        <v>10232</v>
      </c>
      <c r="D1571" s="13">
        <v>1.8</v>
      </c>
      <c r="E1571" s="13" t="s">
        <v>10233</v>
      </c>
      <c r="F1571" s="13" t="s">
        <v>8867</v>
      </c>
      <c r="G1571" s="13" t="s">
        <v>2</v>
      </c>
      <c r="H1571" s="13" t="s">
        <v>3</v>
      </c>
      <c r="I1571" s="13" t="s">
        <v>429</v>
      </c>
      <c r="J1571" s="13" t="s">
        <v>8890</v>
      </c>
      <c r="K1571" s="13" t="s">
        <v>6051</v>
      </c>
      <c r="L1571" s="13" t="s">
        <v>158</v>
      </c>
      <c r="M1571" t="s">
        <v>3</v>
      </c>
    </row>
    <row r="1572" spans="1:13" ht="26.25" x14ac:dyDescent="0.25">
      <c r="A1572" s="13" t="s">
        <v>3713</v>
      </c>
      <c r="B1572" s="13" t="s">
        <v>3714</v>
      </c>
      <c r="C1572" s="13" t="s">
        <v>3715</v>
      </c>
      <c r="D1572" s="13">
        <v>44</v>
      </c>
      <c r="E1572" s="13" t="s">
        <v>3716</v>
      </c>
      <c r="F1572" s="13" t="s">
        <v>8867</v>
      </c>
      <c r="G1572" s="13" t="s">
        <v>2</v>
      </c>
      <c r="H1572" s="13" t="s">
        <v>9886</v>
      </c>
      <c r="I1572" s="13" t="s">
        <v>1978</v>
      </c>
      <c r="J1572" s="13" t="s">
        <v>8890</v>
      </c>
      <c r="K1572" s="13" t="s">
        <v>8570</v>
      </c>
      <c r="L1572" s="13" t="s">
        <v>158</v>
      </c>
      <c r="M1572" t="s">
        <v>4305</v>
      </c>
    </row>
    <row r="1573" spans="1:13" x14ac:dyDescent="0.25">
      <c r="A1573" s="13" t="s">
        <v>3717</v>
      </c>
      <c r="B1573" s="13" t="s">
        <v>3718</v>
      </c>
      <c r="C1573" s="13" t="s">
        <v>3719</v>
      </c>
      <c r="D1573" s="13">
        <v>6.6</v>
      </c>
      <c r="E1573" s="13" t="s">
        <v>3720</v>
      </c>
      <c r="F1573" s="13" t="s">
        <v>8867</v>
      </c>
      <c r="G1573" s="13" t="s">
        <v>2</v>
      </c>
      <c r="H1573" s="13" t="s">
        <v>3</v>
      </c>
      <c r="I1573" s="13" t="s">
        <v>1978</v>
      </c>
      <c r="J1573" s="13" t="s">
        <v>8890</v>
      </c>
      <c r="K1573" s="13" t="s">
        <v>8570</v>
      </c>
      <c r="L1573" s="13" t="s">
        <v>158</v>
      </c>
      <c r="M1573" t="s">
        <v>3</v>
      </c>
    </row>
    <row r="1574" spans="1:13" ht="26.25" x14ac:dyDescent="0.25">
      <c r="A1574" s="13" t="s">
        <v>3721</v>
      </c>
      <c r="B1574" s="13" t="s">
        <v>3722</v>
      </c>
      <c r="C1574" s="13" t="s">
        <v>3723</v>
      </c>
      <c r="D1574" s="13">
        <v>5.0999999999999996</v>
      </c>
      <c r="E1574" s="13" t="s">
        <v>3724</v>
      </c>
      <c r="F1574" s="13" t="s">
        <v>8867</v>
      </c>
      <c r="G1574" s="13" t="s">
        <v>2</v>
      </c>
      <c r="H1574" s="13" t="s">
        <v>3</v>
      </c>
      <c r="I1574" s="13" t="s">
        <v>1978</v>
      </c>
      <c r="J1574" s="13" t="s">
        <v>8890</v>
      </c>
      <c r="K1574" s="13" t="s">
        <v>8570</v>
      </c>
      <c r="L1574" s="13" t="s">
        <v>158</v>
      </c>
      <c r="M1574" t="s">
        <v>3</v>
      </c>
    </row>
    <row r="1575" spans="1:13" ht="26.25" x14ac:dyDescent="0.25">
      <c r="A1575" s="13" t="s">
        <v>3725</v>
      </c>
      <c r="B1575" s="13" t="s">
        <v>3725</v>
      </c>
      <c r="C1575" s="13" t="s">
        <v>3726</v>
      </c>
      <c r="D1575" s="13">
        <v>243.9</v>
      </c>
      <c r="E1575" s="13" t="s">
        <v>3727</v>
      </c>
      <c r="F1575" s="13" t="s">
        <v>8867</v>
      </c>
      <c r="G1575" s="13" t="s">
        <v>2</v>
      </c>
      <c r="H1575" s="13" t="s">
        <v>3</v>
      </c>
      <c r="I1575" s="13" t="s">
        <v>447</v>
      </c>
      <c r="J1575" s="13" t="s">
        <v>8890</v>
      </c>
      <c r="K1575" s="13" t="s">
        <v>8421</v>
      </c>
      <c r="L1575" s="13" t="s">
        <v>158</v>
      </c>
      <c r="M1575" t="s">
        <v>3</v>
      </c>
    </row>
    <row r="1576" spans="1:13" x14ac:dyDescent="0.25">
      <c r="A1576" s="13" t="s">
        <v>11304</v>
      </c>
      <c r="B1576" s="13" t="s">
        <v>11304</v>
      </c>
      <c r="C1576" s="13" t="s">
        <v>11305</v>
      </c>
      <c r="D1576" s="13">
        <v>1.9</v>
      </c>
      <c r="E1576" s="13" t="s">
        <v>11306</v>
      </c>
      <c r="F1576" s="13" t="s">
        <v>8867</v>
      </c>
      <c r="G1576" s="13" t="s">
        <v>2</v>
      </c>
      <c r="H1576" s="13" t="s">
        <v>3</v>
      </c>
      <c r="I1576" s="13" t="s">
        <v>1263</v>
      </c>
      <c r="J1576" s="13" t="s">
        <v>8890</v>
      </c>
      <c r="K1576" s="13" t="s">
        <v>8422</v>
      </c>
      <c r="L1576" s="13" t="s">
        <v>158</v>
      </c>
      <c r="M1576" t="s">
        <v>3</v>
      </c>
    </row>
    <row r="1577" spans="1:13" x14ac:dyDescent="0.25">
      <c r="A1577" s="13" t="s">
        <v>11307</v>
      </c>
      <c r="B1577" s="13" t="s">
        <v>11307</v>
      </c>
      <c r="C1577" s="13" t="s">
        <v>11308</v>
      </c>
      <c r="D1577" s="13">
        <v>1</v>
      </c>
      <c r="E1577" s="13" t="s">
        <v>11309</v>
      </c>
      <c r="F1577" s="13" t="s">
        <v>8867</v>
      </c>
      <c r="G1577" s="13" t="s">
        <v>2</v>
      </c>
      <c r="H1577" s="13" t="s">
        <v>3</v>
      </c>
      <c r="I1577" s="13" t="s">
        <v>1263</v>
      </c>
      <c r="J1577" s="13" t="s">
        <v>8890</v>
      </c>
      <c r="K1577" s="13" t="s">
        <v>8422</v>
      </c>
      <c r="L1577" s="13" t="s">
        <v>158</v>
      </c>
      <c r="M1577" t="s">
        <v>3</v>
      </c>
    </row>
    <row r="1578" spans="1:13" x14ac:dyDescent="0.25">
      <c r="A1578" s="13" t="s">
        <v>3728</v>
      </c>
      <c r="B1578" s="13" t="s">
        <v>3728</v>
      </c>
      <c r="C1578" s="13" t="s">
        <v>3728</v>
      </c>
      <c r="D1578" s="13">
        <v>5</v>
      </c>
      <c r="E1578" s="13" t="s">
        <v>3729</v>
      </c>
      <c r="F1578" s="13" t="s">
        <v>8867</v>
      </c>
      <c r="G1578" s="13" t="s">
        <v>2</v>
      </c>
      <c r="H1578" s="13" t="s">
        <v>3</v>
      </c>
      <c r="I1578" s="13" t="s">
        <v>706</v>
      </c>
      <c r="J1578" s="13" t="s">
        <v>8890</v>
      </c>
      <c r="K1578" s="13" t="s">
        <v>8419</v>
      </c>
      <c r="L1578" s="13" t="s">
        <v>158</v>
      </c>
      <c r="M1578" t="s">
        <v>3</v>
      </c>
    </row>
    <row r="1579" spans="1:13" x14ac:dyDescent="0.25">
      <c r="A1579" s="13" t="s">
        <v>9195</v>
      </c>
      <c r="B1579" s="13" t="s">
        <v>9195</v>
      </c>
      <c r="C1579" s="13" t="s">
        <v>9196</v>
      </c>
      <c r="D1579" s="13">
        <v>5</v>
      </c>
      <c r="E1579" s="13" t="s">
        <v>9197</v>
      </c>
      <c r="F1579" s="13" t="s">
        <v>8867</v>
      </c>
      <c r="G1579" s="13" t="s">
        <v>2</v>
      </c>
      <c r="H1579" s="13" t="s">
        <v>3</v>
      </c>
      <c r="I1579" s="13" t="s">
        <v>1263</v>
      </c>
      <c r="J1579" s="13" t="s">
        <v>8890</v>
      </c>
      <c r="K1579" s="13" t="s">
        <v>8422</v>
      </c>
      <c r="L1579" s="13" t="s">
        <v>158</v>
      </c>
      <c r="M1579" t="s">
        <v>3</v>
      </c>
    </row>
    <row r="1580" spans="1:13" ht="26.25" x14ac:dyDescent="0.25">
      <c r="A1580" s="13" t="s">
        <v>3730</v>
      </c>
      <c r="B1580" s="13" t="s">
        <v>3731</v>
      </c>
      <c r="C1580" s="13" t="s">
        <v>3732</v>
      </c>
      <c r="D1580" s="13">
        <v>0.8</v>
      </c>
      <c r="E1580" s="13" t="s">
        <v>3733</v>
      </c>
      <c r="F1580" s="13" t="s">
        <v>35</v>
      </c>
      <c r="G1580" s="13" t="s">
        <v>19</v>
      </c>
      <c r="H1580" s="13" t="s">
        <v>3</v>
      </c>
      <c r="I1580" s="13" t="s">
        <v>3734</v>
      </c>
      <c r="J1580" s="13" t="s">
        <v>37</v>
      </c>
      <c r="K1580" s="13" t="s">
        <v>8625</v>
      </c>
      <c r="L1580" s="13" t="s">
        <v>35</v>
      </c>
      <c r="M1580" t="s">
        <v>3</v>
      </c>
    </row>
    <row r="1581" spans="1:13" x14ac:dyDescent="0.25">
      <c r="A1581" s="13" t="s">
        <v>11816</v>
      </c>
      <c r="B1581" s="13" t="s">
        <v>11816</v>
      </c>
      <c r="C1581" s="13" t="s">
        <v>11817</v>
      </c>
      <c r="D1581" s="13">
        <v>107.5</v>
      </c>
      <c r="E1581" s="13" t="s">
        <v>11818</v>
      </c>
      <c r="F1581" s="13" t="s">
        <v>8867</v>
      </c>
      <c r="G1581" s="13" t="s">
        <v>2</v>
      </c>
      <c r="H1581" s="13" t="s">
        <v>3</v>
      </c>
      <c r="I1581" s="13" t="s">
        <v>1263</v>
      </c>
      <c r="J1581" s="13" t="s">
        <v>8890</v>
      </c>
      <c r="K1581" s="13" t="s">
        <v>8422</v>
      </c>
      <c r="L1581" s="13" t="s">
        <v>158</v>
      </c>
      <c r="M1581" t="s">
        <v>3</v>
      </c>
    </row>
    <row r="1582" spans="1:13" x14ac:dyDescent="0.25">
      <c r="A1582" s="13" t="s">
        <v>3735</v>
      </c>
      <c r="B1582" s="13" t="s">
        <v>3736</v>
      </c>
      <c r="C1582" s="13" t="s">
        <v>3737</v>
      </c>
      <c r="D1582" s="13">
        <v>10</v>
      </c>
      <c r="E1582" s="13" t="s">
        <v>3738</v>
      </c>
      <c r="F1582" s="13" t="s">
        <v>8867</v>
      </c>
      <c r="G1582" s="13" t="s">
        <v>2</v>
      </c>
      <c r="H1582" s="13" t="s">
        <v>3</v>
      </c>
      <c r="I1582" s="13" t="s">
        <v>1263</v>
      </c>
      <c r="J1582" s="13" t="s">
        <v>8890</v>
      </c>
      <c r="K1582" s="13" t="s">
        <v>8422</v>
      </c>
      <c r="L1582" s="13" t="s">
        <v>158</v>
      </c>
      <c r="M1582" t="s">
        <v>3</v>
      </c>
    </row>
    <row r="1583" spans="1:13" x14ac:dyDescent="0.25">
      <c r="A1583" s="13" t="s">
        <v>3739</v>
      </c>
      <c r="B1583" s="13" t="s">
        <v>3739</v>
      </c>
      <c r="C1583" s="13" t="s">
        <v>3740</v>
      </c>
      <c r="D1583" s="13">
        <v>5</v>
      </c>
      <c r="E1583" s="13" t="s">
        <v>3741</v>
      </c>
      <c r="F1583" s="13" t="s">
        <v>8867</v>
      </c>
      <c r="G1583" s="13" t="s">
        <v>2</v>
      </c>
      <c r="H1583" s="13" t="s">
        <v>3</v>
      </c>
      <c r="I1583" s="13" t="s">
        <v>1263</v>
      </c>
      <c r="J1583" s="13" t="s">
        <v>8890</v>
      </c>
      <c r="K1583" s="13" t="s">
        <v>8422</v>
      </c>
      <c r="L1583" s="13" t="s">
        <v>158</v>
      </c>
      <c r="M1583" t="s">
        <v>3</v>
      </c>
    </row>
    <row r="1584" spans="1:13" x14ac:dyDescent="0.25">
      <c r="A1584" s="13" t="s">
        <v>3742</v>
      </c>
      <c r="B1584" s="13" t="s">
        <v>3742</v>
      </c>
      <c r="C1584" s="13" t="s">
        <v>3743</v>
      </c>
      <c r="D1584" s="13">
        <v>5</v>
      </c>
      <c r="E1584" s="13" t="s">
        <v>3744</v>
      </c>
      <c r="F1584" s="13" t="s">
        <v>8867</v>
      </c>
      <c r="G1584" s="13" t="s">
        <v>2</v>
      </c>
      <c r="H1584" s="13" t="s">
        <v>3</v>
      </c>
      <c r="I1584" s="13" t="s">
        <v>1263</v>
      </c>
      <c r="J1584" s="13" t="s">
        <v>8890</v>
      </c>
      <c r="K1584" s="13" t="s">
        <v>8422</v>
      </c>
      <c r="L1584" s="13" t="s">
        <v>158</v>
      </c>
      <c r="M1584" t="s">
        <v>3</v>
      </c>
    </row>
    <row r="1585" spans="1:13" x14ac:dyDescent="0.25">
      <c r="A1585" s="13" t="s">
        <v>9198</v>
      </c>
      <c r="B1585" s="13" t="s">
        <v>9198</v>
      </c>
      <c r="C1585" s="13" t="s">
        <v>9199</v>
      </c>
      <c r="D1585" s="13">
        <v>5</v>
      </c>
      <c r="E1585" s="13" t="s">
        <v>9200</v>
      </c>
      <c r="F1585" s="13" t="s">
        <v>8867</v>
      </c>
      <c r="G1585" s="13" t="s">
        <v>2</v>
      </c>
      <c r="H1585" s="13" t="s">
        <v>3</v>
      </c>
      <c r="I1585" s="13" t="s">
        <v>1263</v>
      </c>
      <c r="J1585" s="13" t="s">
        <v>8890</v>
      </c>
      <c r="K1585" s="13" t="s">
        <v>8422</v>
      </c>
      <c r="L1585" s="13" t="s">
        <v>158</v>
      </c>
      <c r="M1585" t="s">
        <v>3</v>
      </c>
    </row>
    <row r="1586" spans="1:13" x14ac:dyDescent="0.25">
      <c r="A1586" s="13" t="s">
        <v>9201</v>
      </c>
      <c r="B1586" s="13" t="s">
        <v>9201</v>
      </c>
      <c r="C1586" s="13" t="s">
        <v>9202</v>
      </c>
      <c r="D1586" s="13">
        <v>5</v>
      </c>
      <c r="E1586" s="13" t="s">
        <v>9203</v>
      </c>
      <c r="F1586" s="13" t="s">
        <v>8867</v>
      </c>
      <c r="G1586" s="13" t="s">
        <v>2</v>
      </c>
      <c r="H1586" s="13" t="s">
        <v>3</v>
      </c>
      <c r="I1586" s="13" t="s">
        <v>1263</v>
      </c>
      <c r="J1586" s="13" t="s">
        <v>8890</v>
      </c>
      <c r="K1586" s="13" t="s">
        <v>8422</v>
      </c>
      <c r="L1586" s="13" t="s">
        <v>158</v>
      </c>
      <c r="M1586" t="s">
        <v>3</v>
      </c>
    </row>
    <row r="1587" spans="1:13" x14ac:dyDescent="0.25">
      <c r="A1587" s="13" t="s">
        <v>10521</v>
      </c>
      <c r="B1587" s="13" t="s">
        <v>10521</v>
      </c>
      <c r="C1587" s="13" t="s">
        <v>10522</v>
      </c>
      <c r="D1587" s="13">
        <v>4</v>
      </c>
      <c r="E1587" s="13" t="s">
        <v>10523</v>
      </c>
      <c r="F1587" s="13" t="s">
        <v>8867</v>
      </c>
      <c r="G1587" s="13" t="s">
        <v>2</v>
      </c>
      <c r="H1587" s="13" t="s">
        <v>3</v>
      </c>
      <c r="I1587" s="13" t="s">
        <v>1263</v>
      </c>
      <c r="J1587" s="13" t="s">
        <v>8890</v>
      </c>
      <c r="K1587" s="13" t="s">
        <v>8422</v>
      </c>
      <c r="L1587" s="13" t="s">
        <v>158</v>
      </c>
      <c r="M1587" t="s">
        <v>3</v>
      </c>
    </row>
    <row r="1588" spans="1:13" x14ac:dyDescent="0.25">
      <c r="A1588" s="13" t="s">
        <v>10524</v>
      </c>
      <c r="B1588" s="13" t="s">
        <v>10524</v>
      </c>
      <c r="C1588" s="13" t="s">
        <v>10525</v>
      </c>
      <c r="D1588" s="13">
        <v>2.9</v>
      </c>
      <c r="E1588" s="13" t="s">
        <v>10526</v>
      </c>
      <c r="F1588" s="13" t="s">
        <v>8867</v>
      </c>
      <c r="G1588" s="13" t="s">
        <v>2</v>
      </c>
      <c r="H1588" s="13" t="s">
        <v>3</v>
      </c>
      <c r="I1588" s="13" t="s">
        <v>1263</v>
      </c>
      <c r="J1588" s="13" t="s">
        <v>8890</v>
      </c>
      <c r="K1588" s="13" t="s">
        <v>8422</v>
      </c>
      <c r="L1588" s="13" t="s">
        <v>158</v>
      </c>
      <c r="M1588" t="s">
        <v>3</v>
      </c>
    </row>
    <row r="1589" spans="1:13" x14ac:dyDescent="0.25">
      <c r="A1589" s="13" t="s">
        <v>10527</v>
      </c>
      <c r="B1589" s="13" t="s">
        <v>10527</v>
      </c>
      <c r="C1589" s="13" t="s">
        <v>10528</v>
      </c>
      <c r="D1589" s="13">
        <v>3</v>
      </c>
      <c r="E1589" s="13" t="s">
        <v>10529</v>
      </c>
      <c r="F1589" s="13" t="s">
        <v>8867</v>
      </c>
      <c r="G1589" s="13" t="s">
        <v>2</v>
      </c>
      <c r="H1589" s="13" t="s">
        <v>3</v>
      </c>
      <c r="I1589" s="13" t="s">
        <v>1263</v>
      </c>
      <c r="J1589" s="13" t="s">
        <v>8890</v>
      </c>
      <c r="K1589" s="13" t="s">
        <v>8422</v>
      </c>
      <c r="L1589" s="13" t="s">
        <v>158</v>
      </c>
      <c r="M1589" t="s">
        <v>3</v>
      </c>
    </row>
    <row r="1590" spans="1:13" ht="26.25" x14ac:dyDescent="0.25">
      <c r="A1590" s="13" t="s">
        <v>9204</v>
      </c>
      <c r="B1590" s="13" t="s">
        <v>9204</v>
      </c>
      <c r="C1590" s="13" t="s">
        <v>9205</v>
      </c>
      <c r="D1590" s="13">
        <v>13</v>
      </c>
      <c r="E1590" s="13" t="s">
        <v>9206</v>
      </c>
      <c r="F1590" s="13" t="s">
        <v>8867</v>
      </c>
      <c r="G1590" s="13" t="s">
        <v>2</v>
      </c>
      <c r="H1590" s="13" t="s">
        <v>8443</v>
      </c>
      <c r="I1590" s="13" t="s">
        <v>164</v>
      </c>
      <c r="J1590" s="13" t="s">
        <v>8890</v>
      </c>
      <c r="K1590" s="13" t="s">
        <v>8443</v>
      </c>
      <c r="L1590" s="13" t="s">
        <v>158</v>
      </c>
      <c r="M1590" t="s">
        <v>10687</v>
      </c>
    </row>
    <row r="1591" spans="1:13" x14ac:dyDescent="0.25">
      <c r="A1591" s="13" t="s">
        <v>3745</v>
      </c>
      <c r="B1591" s="13" t="s">
        <v>3746</v>
      </c>
      <c r="C1591" s="13" t="s">
        <v>3747</v>
      </c>
      <c r="D1591" s="13">
        <v>34.299999999999997</v>
      </c>
      <c r="E1591" s="13" t="s">
        <v>3748</v>
      </c>
      <c r="F1591" s="13" t="s">
        <v>8867</v>
      </c>
      <c r="G1591" s="13" t="s">
        <v>2</v>
      </c>
      <c r="H1591" s="13" t="s">
        <v>3</v>
      </c>
      <c r="I1591" s="13" t="s">
        <v>1978</v>
      </c>
      <c r="J1591" s="13" t="s">
        <v>8890</v>
      </c>
      <c r="K1591" s="13" t="s">
        <v>8570</v>
      </c>
      <c r="L1591" s="13" t="s">
        <v>158</v>
      </c>
      <c r="M1591" t="s">
        <v>3</v>
      </c>
    </row>
    <row r="1592" spans="1:13" x14ac:dyDescent="0.25">
      <c r="A1592" s="13" t="s">
        <v>3749</v>
      </c>
      <c r="B1592" s="13" t="s">
        <v>3750</v>
      </c>
      <c r="C1592" s="13" t="s">
        <v>3751</v>
      </c>
      <c r="D1592" s="13">
        <v>4.7</v>
      </c>
      <c r="E1592" s="13" t="s">
        <v>3752</v>
      </c>
      <c r="F1592" s="13" t="s">
        <v>8867</v>
      </c>
      <c r="G1592" s="13" t="s">
        <v>2</v>
      </c>
      <c r="H1592" s="13" t="s">
        <v>3</v>
      </c>
      <c r="I1592" s="13" t="s">
        <v>1978</v>
      </c>
      <c r="J1592" s="13" t="s">
        <v>8890</v>
      </c>
      <c r="K1592" s="13" t="s">
        <v>8570</v>
      </c>
      <c r="L1592" s="13" t="s">
        <v>158</v>
      </c>
      <c r="M1592" t="s">
        <v>3</v>
      </c>
    </row>
    <row r="1593" spans="1:13" x14ac:dyDescent="0.25">
      <c r="A1593" s="13" t="s">
        <v>3753</v>
      </c>
      <c r="B1593" s="13" t="s">
        <v>3754</v>
      </c>
      <c r="C1593" s="13" t="s">
        <v>3755</v>
      </c>
      <c r="D1593" s="13">
        <v>4.7</v>
      </c>
      <c r="E1593" s="13" t="s">
        <v>3756</v>
      </c>
      <c r="F1593" s="13" t="s">
        <v>8867</v>
      </c>
      <c r="G1593" s="13" t="s">
        <v>2</v>
      </c>
      <c r="H1593" s="13" t="s">
        <v>3</v>
      </c>
      <c r="I1593" s="13" t="s">
        <v>1978</v>
      </c>
      <c r="J1593" s="13" t="s">
        <v>8890</v>
      </c>
      <c r="K1593" s="13" t="s">
        <v>8570</v>
      </c>
      <c r="L1593" s="13" t="s">
        <v>158</v>
      </c>
      <c r="M1593" t="s">
        <v>3</v>
      </c>
    </row>
    <row r="1594" spans="1:13" x14ac:dyDescent="0.25">
      <c r="A1594" s="13" t="s">
        <v>3757</v>
      </c>
      <c r="B1594" s="13" t="s">
        <v>3758</v>
      </c>
      <c r="C1594" s="13" t="s">
        <v>3759</v>
      </c>
      <c r="D1594" s="13">
        <v>4.7</v>
      </c>
      <c r="E1594" s="13" t="s">
        <v>3760</v>
      </c>
      <c r="F1594" s="13" t="s">
        <v>8867</v>
      </c>
      <c r="G1594" s="13" t="s">
        <v>2</v>
      </c>
      <c r="H1594" s="13" t="s">
        <v>3</v>
      </c>
      <c r="I1594" s="13" t="s">
        <v>1978</v>
      </c>
      <c r="J1594" s="13" t="s">
        <v>8890</v>
      </c>
      <c r="K1594" s="13" t="s">
        <v>8570</v>
      </c>
      <c r="L1594" s="13" t="s">
        <v>158</v>
      </c>
      <c r="M1594" t="s">
        <v>3</v>
      </c>
    </row>
    <row r="1595" spans="1:13" x14ac:dyDescent="0.25">
      <c r="A1595" s="13" t="s">
        <v>3761</v>
      </c>
      <c r="B1595" s="13" t="s">
        <v>3762</v>
      </c>
      <c r="C1595" s="13" t="s">
        <v>3763</v>
      </c>
      <c r="D1595" s="13">
        <v>42.5</v>
      </c>
      <c r="E1595" s="13" t="s">
        <v>3764</v>
      </c>
      <c r="F1595" s="13" t="s">
        <v>8867</v>
      </c>
      <c r="G1595" s="13" t="s">
        <v>2</v>
      </c>
      <c r="H1595" s="13" t="s">
        <v>8958</v>
      </c>
      <c r="I1595" s="13" t="s">
        <v>516</v>
      </c>
      <c r="J1595" s="13" t="s">
        <v>8890</v>
      </c>
      <c r="K1595" s="13" t="s">
        <v>516</v>
      </c>
      <c r="L1595" s="13" t="s">
        <v>158</v>
      </c>
      <c r="M1595" t="s">
        <v>8958</v>
      </c>
    </row>
    <row r="1596" spans="1:13" x14ac:dyDescent="0.25">
      <c r="A1596" s="13" t="s">
        <v>3765</v>
      </c>
      <c r="B1596" s="13" t="s">
        <v>3766</v>
      </c>
      <c r="C1596" s="13" t="s">
        <v>3767</v>
      </c>
      <c r="D1596" s="13">
        <v>30</v>
      </c>
      <c r="E1596" s="13" t="s">
        <v>3768</v>
      </c>
      <c r="F1596" s="13" t="s">
        <v>8867</v>
      </c>
      <c r="G1596" s="13" t="s">
        <v>2</v>
      </c>
      <c r="H1596" s="13" t="s">
        <v>8958</v>
      </c>
      <c r="I1596" s="13" t="s">
        <v>516</v>
      </c>
      <c r="J1596" s="13" t="s">
        <v>8890</v>
      </c>
      <c r="K1596" s="13" t="s">
        <v>516</v>
      </c>
      <c r="L1596" s="13" t="s">
        <v>158</v>
      </c>
      <c r="M1596" t="s">
        <v>8958</v>
      </c>
    </row>
    <row r="1597" spans="1:13" x14ac:dyDescent="0.25">
      <c r="A1597" s="13" t="s">
        <v>9207</v>
      </c>
      <c r="B1597" s="13" t="s">
        <v>9207</v>
      </c>
      <c r="C1597" s="13" t="s">
        <v>9208</v>
      </c>
      <c r="D1597" s="13">
        <v>4.5</v>
      </c>
      <c r="E1597" s="13" t="s">
        <v>9209</v>
      </c>
      <c r="F1597" s="13" t="s">
        <v>8867</v>
      </c>
      <c r="G1597" s="13" t="s">
        <v>2</v>
      </c>
      <c r="H1597" s="13" t="s">
        <v>3</v>
      </c>
      <c r="I1597" s="13" t="s">
        <v>1263</v>
      </c>
      <c r="J1597" s="13" t="s">
        <v>8890</v>
      </c>
      <c r="K1597" s="13" t="s">
        <v>8422</v>
      </c>
      <c r="L1597" s="13" t="s">
        <v>158</v>
      </c>
      <c r="M1597" t="s">
        <v>3</v>
      </c>
    </row>
    <row r="1598" spans="1:13" x14ac:dyDescent="0.25">
      <c r="A1598" s="13" t="s">
        <v>3769</v>
      </c>
      <c r="B1598" s="13" t="s">
        <v>3769</v>
      </c>
      <c r="C1598" s="13" t="s">
        <v>3770</v>
      </c>
      <c r="D1598" s="13">
        <v>9.9</v>
      </c>
      <c r="E1598" s="13" t="s">
        <v>3771</v>
      </c>
      <c r="F1598" s="13" t="s">
        <v>8867</v>
      </c>
      <c r="G1598" s="13" t="s">
        <v>2</v>
      </c>
      <c r="H1598" s="13" t="s">
        <v>3</v>
      </c>
      <c r="I1598" s="13" t="s">
        <v>1263</v>
      </c>
      <c r="J1598" s="13" t="s">
        <v>8890</v>
      </c>
      <c r="K1598" s="13" t="s">
        <v>8422</v>
      </c>
      <c r="L1598" s="13" t="s">
        <v>158</v>
      </c>
      <c r="M1598" t="s">
        <v>3</v>
      </c>
    </row>
    <row r="1599" spans="1:13" x14ac:dyDescent="0.25">
      <c r="A1599" s="13" t="s">
        <v>9210</v>
      </c>
      <c r="B1599" s="13" t="s">
        <v>9210</v>
      </c>
      <c r="C1599" s="13" t="s">
        <v>9211</v>
      </c>
      <c r="D1599" s="13">
        <v>2.9</v>
      </c>
      <c r="E1599" s="13" t="s">
        <v>9212</v>
      </c>
      <c r="F1599" s="13" t="s">
        <v>8867</v>
      </c>
      <c r="G1599" s="13" t="s">
        <v>2</v>
      </c>
      <c r="H1599" s="13" t="s">
        <v>3</v>
      </c>
      <c r="I1599" s="13" t="s">
        <v>1263</v>
      </c>
      <c r="J1599" s="13" t="s">
        <v>8890</v>
      </c>
      <c r="K1599" s="13" t="s">
        <v>8422</v>
      </c>
      <c r="L1599" s="13" t="s">
        <v>158</v>
      </c>
      <c r="M1599" t="s">
        <v>3</v>
      </c>
    </row>
    <row r="1600" spans="1:13" x14ac:dyDescent="0.25">
      <c r="A1600" s="13" t="s">
        <v>10530</v>
      </c>
      <c r="B1600" s="13" t="s">
        <v>10530</v>
      </c>
      <c r="C1600" s="13" t="s">
        <v>10531</v>
      </c>
      <c r="D1600" s="13">
        <v>59.9</v>
      </c>
      <c r="E1600" s="13" t="s">
        <v>10532</v>
      </c>
      <c r="F1600" s="13" t="s">
        <v>8867</v>
      </c>
      <c r="G1600" s="13" t="s">
        <v>2</v>
      </c>
      <c r="H1600" s="13" t="s">
        <v>8923</v>
      </c>
      <c r="I1600" s="13" t="s">
        <v>1514</v>
      </c>
      <c r="J1600" s="13" t="s">
        <v>8890</v>
      </c>
      <c r="K1600" s="13" t="s">
        <v>8423</v>
      </c>
      <c r="L1600" s="13" t="s">
        <v>158</v>
      </c>
      <c r="M1600" t="s">
        <v>8923</v>
      </c>
    </row>
    <row r="1601" spans="1:13" x14ac:dyDescent="0.25">
      <c r="A1601" s="13" t="s">
        <v>10533</v>
      </c>
      <c r="B1601" s="13" t="s">
        <v>10533</v>
      </c>
      <c r="C1601" s="13" t="s">
        <v>10534</v>
      </c>
      <c r="D1601" s="13">
        <v>170</v>
      </c>
      <c r="E1601" s="13" t="s">
        <v>10535</v>
      </c>
      <c r="F1601" s="13" t="s">
        <v>8867</v>
      </c>
      <c r="G1601" s="13" t="s">
        <v>2</v>
      </c>
      <c r="H1601" s="13" t="s">
        <v>3</v>
      </c>
      <c r="I1601" s="13" t="s">
        <v>164</v>
      </c>
      <c r="J1601" s="13" t="s">
        <v>8890</v>
      </c>
      <c r="K1601" s="13" t="s">
        <v>8443</v>
      </c>
      <c r="L1601" s="13" t="s">
        <v>158</v>
      </c>
      <c r="M1601" t="s">
        <v>3</v>
      </c>
    </row>
    <row r="1602" spans="1:13" x14ac:dyDescent="0.25">
      <c r="A1602" s="13" t="s">
        <v>9213</v>
      </c>
      <c r="B1602" s="13" t="s">
        <v>9213</v>
      </c>
      <c r="C1602" s="13" t="s">
        <v>9214</v>
      </c>
      <c r="D1602" s="13">
        <v>33</v>
      </c>
      <c r="E1602" s="13" t="s">
        <v>9215</v>
      </c>
      <c r="F1602" s="13" t="s">
        <v>8867</v>
      </c>
      <c r="G1602" s="13" t="s">
        <v>2</v>
      </c>
      <c r="H1602" s="13" t="s">
        <v>8422</v>
      </c>
      <c r="I1602" s="13" t="s">
        <v>1263</v>
      </c>
      <c r="J1602" s="13" t="s">
        <v>8890</v>
      </c>
      <c r="K1602" s="13" t="s">
        <v>8422</v>
      </c>
      <c r="L1602" s="13" t="s">
        <v>158</v>
      </c>
      <c r="M1602" t="s">
        <v>10689</v>
      </c>
    </row>
    <row r="1603" spans="1:13" ht="26.25" x14ac:dyDescent="0.25">
      <c r="A1603" s="13" t="s">
        <v>3772</v>
      </c>
      <c r="B1603" s="13" t="s">
        <v>3773</v>
      </c>
      <c r="C1603" s="13" t="s">
        <v>3774</v>
      </c>
      <c r="D1603" s="13">
        <v>1</v>
      </c>
      <c r="E1603" s="13" t="s">
        <v>3775</v>
      </c>
      <c r="F1603" s="13" t="s">
        <v>8860</v>
      </c>
      <c r="G1603" s="13" t="s">
        <v>19</v>
      </c>
      <c r="H1603" s="13" t="s">
        <v>3</v>
      </c>
      <c r="I1603" s="13" t="s">
        <v>3776</v>
      </c>
      <c r="J1603" s="13" t="s">
        <v>21</v>
      </c>
      <c r="K1603" s="13" t="s">
        <v>8626</v>
      </c>
      <c r="L1603" s="13" t="s">
        <v>18</v>
      </c>
      <c r="M1603" t="s">
        <v>3</v>
      </c>
    </row>
    <row r="1604" spans="1:13" ht="26.25" x14ac:dyDescent="0.25">
      <c r="A1604" s="13" t="s">
        <v>3777</v>
      </c>
      <c r="B1604" s="13" t="s">
        <v>3777</v>
      </c>
      <c r="C1604" s="13" t="s">
        <v>3778</v>
      </c>
      <c r="D1604" s="13">
        <v>2</v>
      </c>
      <c r="E1604" s="13" t="s">
        <v>3779</v>
      </c>
      <c r="F1604" s="13" t="s">
        <v>8867</v>
      </c>
      <c r="G1604" s="13" t="s">
        <v>2</v>
      </c>
      <c r="H1604" s="13" t="s">
        <v>3</v>
      </c>
      <c r="I1604" s="13" t="s">
        <v>1263</v>
      </c>
      <c r="J1604" s="13" t="s">
        <v>8890</v>
      </c>
      <c r="K1604" s="13" t="s">
        <v>8422</v>
      </c>
      <c r="L1604" s="13" t="s">
        <v>158</v>
      </c>
      <c r="M1604" t="s">
        <v>3</v>
      </c>
    </row>
    <row r="1605" spans="1:13" x14ac:dyDescent="0.25">
      <c r="A1605" s="13" t="s">
        <v>3780</v>
      </c>
      <c r="B1605" s="13" t="s">
        <v>3780</v>
      </c>
      <c r="C1605" s="13" t="s">
        <v>3781</v>
      </c>
      <c r="D1605" s="13">
        <v>42.2</v>
      </c>
      <c r="E1605" s="13" t="s">
        <v>3782</v>
      </c>
      <c r="F1605" s="13" t="s">
        <v>8867</v>
      </c>
      <c r="G1605" s="13" t="s">
        <v>2</v>
      </c>
      <c r="H1605" s="13" t="s">
        <v>3</v>
      </c>
      <c r="I1605" s="13" t="s">
        <v>1263</v>
      </c>
      <c r="J1605" s="13" t="s">
        <v>8890</v>
      </c>
      <c r="K1605" s="13" t="s">
        <v>8422</v>
      </c>
      <c r="L1605" s="13" t="s">
        <v>158</v>
      </c>
      <c r="M1605" t="s">
        <v>3</v>
      </c>
    </row>
    <row r="1606" spans="1:13" x14ac:dyDescent="0.25">
      <c r="A1606" s="13" t="s">
        <v>11562</v>
      </c>
      <c r="B1606" s="13" t="s">
        <v>11562</v>
      </c>
      <c r="C1606" s="13" t="s">
        <v>11563</v>
      </c>
      <c r="D1606" s="13">
        <v>1.5</v>
      </c>
      <c r="E1606" s="13" t="s">
        <v>11564</v>
      </c>
      <c r="F1606" s="13" t="s">
        <v>8867</v>
      </c>
      <c r="G1606" s="13" t="s">
        <v>2</v>
      </c>
      <c r="H1606" s="13" t="s">
        <v>3</v>
      </c>
      <c r="I1606" s="13" t="s">
        <v>1263</v>
      </c>
      <c r="J1606" s="13" t="s">
        <v>8890</v>
      </c>
      <c r="K1606" s="13" t="s">
        <v>8422</v>
      </c>
      <c r="L1606" s="13" t="s">
        <v>158</v>
      </c>
      <c r="M1606" t="s">
        <v>3</v>
      </c>
    </row>
    <row r="1607" spans="1:13" x14ac:dyDescent="0.25">
      <c r="A1607" s="13" t="s">
        <v>3783</v>
      </c>
      <c r="B1607" s="13" t="s">
        <v>3783</v>
      </c>
      <c r="C1607" s="13" t="s">
        <v>3783</v>
      </c>
      <c r="D1607" s="13">
        <v>6.1</v>
      </c>
      <c r="E1607" s="13" t="s">
        <v>3784</v>
      </c>
      <c r="F1607" s="13" t="s">
        <v>8867</v>
      </c>
      <c r="G1607" s="13" t="s">
        <v>2</v>
      </c>
      <c r="H1607" s="13" t="s">
        <v>3</v>
      </c>
      <c r="I1607" s="13" t="s">
        <v>228</v>
      </c>
      <c r="J1607" s="13" t="s">
        <v>8890</v>
      </c>
      <c r="K1607" s="13" t="s">
        <v>8418</v>
      </c>
      <c r="L1607" s="13" t="s">
        <v>158</v>
      </c>
      <c r="M1607" t="s">
        <v>3</v>
      </c>
    </row>
    <row r="1608" spans="1:13" ht="26.25" x14ac:dyDescent="0.25">
      <c r="A1608" s="13" t="s">
        <v>11310</v>
      </c>
      <c r="B1608" s="13" t="s">
        <v>11310</v>
      </c>
      <c r="C1608" s="13" t="s">
        <v>205</v>
      </c>
      <c r="D1608" s="13">
        <v>1</v>
      </c>
      <c r="E1608" s="13" t="s">
        <v>11311</v>
      </c>
      <c r="F1608" s="13" t="s">
        <v>8860</v>
      </c>
      <c r="G1608" s="13" t="s">
        <v>19</v>
      </c>
      <c r="H1608" s="13" t="s">
        <v>3</v>
      </c>
      <c r="I1608" s="13" t="s">
        <v>11312</v>
      </c>
      <c r="J1608" s="13" t="s">
        <v>21</v>
      </c>
      <c r="K1608" s="13" t="s">
        <v>11313</v>
      </c>
      <c r="L1608" s="13" t="s">
        <v>18</v>
      </c>
      <c r="M1608" t="s">
        <v>3</v>
      </c>
    </row>
    <row r="1609" spans="1:13" x14ac:dyDescent="0.25">
      <c r="A1609" s="13" t="s">
        <v>11081</v>
      </c>
      <c r="B1609" s="13" t="s">
        <v>11081</v>
      </c>
      <c r="C1609" s="13" t="s">
        <v>11082</v>
      </c>
      <c r="D1609" s="13">
        <v>2</v>
      </c>
      <c r="E1609" s="13" t="s">
        <v>11083</v>
      </c>
      <c r="F1609" s="13" t="s">
        <v>8867</v>
      </c>
      <c r="G1609" s="13" t="s">
        <v>2</v>
      </c>
      <c r="H1609" s="13" t="s">
        <v>3</v>
      </c>
      <c r="I1609" s="13" t="s">
        <v>1263</v>
      </c>
      <c r="J1609" s="13" t="s">
        <v>8890</v>
      </c>
      <c r="K1609" s="13" t="s">
        <v>8422</v>
      </c>
      <c r="L1609" s="13" t="s">
        <v>158</v>
      </c>
      <c r="M1609" t="s">
        <v>3</v>
      </c>
    </row>
    <row r="1610" spans="1:13" ht="26.25" x14ac:dyDescent="0.25">
      <c r="A1610" s="13" t="s">
        <v>3785</v>
      </c>
      <c r="B1610" s="13" t="s">
        <v>3786</v>
      </c>
      <c r="C1610" s="13" t="s">
        <v>3787</v>
      </c>
      <c r="D1610" s="13">
        <v>42.5</v>
      </c>
      <c r="E1610" s="13" t="s">
        <v>3788</v>
      </c>
      <c r="F1610" s="13" t="s">
        <v>8867</v>
      </c>
      <c r="G1610" s="13" t="s">
        <v>2</v>
      </c>
      <c r="H1610" s="13" t="s">
        <v>3</v>
      </c>
      <c r="I1610" s="13" t="s">
        <v>1978</v>
      </c>
      <c r="J1610" s="13" t="s">
        <v>8890</v>
      </c>
      <c r="K1610" s="13" t="s">
        <v>8570</v>
      </c>
      <c r="L1610" s="13" t="s">
        <v>158</v>
      </c>
      <c r="M1610" t="s">
        <v>3</v>
      </c>
    </row>
    <row r="1611" spans="1:13" x14ac:dyDescent="0.25">
      <c r="A1611" s="13" t="s">
        <v>3789</v>
      </c>
      <c r="B1611" s="13" t="s">
        <v>3789</v>
      </c>
      <c r="C1611" s="13" t="s">
        <v>3790</v>
      </c>
      <c r="D1611" s="13">
        <v>0.2</v>
      </c>
      <c r="E1611" s="13" t="s">
        <v>3791</v>
      </c>
      <c r="F1611" s="13" t="s">
        <v>8867</v>
      </c>
      <c r="G1611" s="13" t="s">
        <v>2</v>
      </c>
      <c r="H1611" s="13" t="s">
        <v>3</v>
      </c>
      <c r="I1611" s="13" t="s">
        <v>1254</v>
      </c>
      <c r="J1611" s="13" t="s">
        <v>8890</v>
      </c>
      <c r="K1611" s="13" t="s">
        <v>8508</v>
      </c>
      <c r="L1611" s="13" t="s">
        <v>158</v>
      </c>
      <c r="M1611" t="s">
        <v>3</v>
      </c>
    </row>
    <row r="1612" spans="1:13" x14ac:dyDescent="0.25">
      <c r="A1612" s="13" t="s">
        <v>10536</v>
      </c>
      <c r="B1612" s="13" t="s">
        <v>10537</v>
      </c>
      <c r="C1612" s="13" t="s">
        <v>10538</v>
      </c>
      <c r="D1612" s="13">
        <v>3</v>
      </c>
      <c r="E1612" s="13" t="s">
        <v>10539</v>
      </c>
      <c r="F1612" s="13" t="s">
        <v>8867</v>
      </c>
      <c r="G1612" s="13" t="s">
        <v>2</v>
      </c>
      <c r="H1612" s="13" t="s">
        <v>3</v>
      </c>
      <c r="I1612" s="13" t="s">
        <v>517</v>
      </c>
      <c r="J1612" s="13" t="s">
        <v>8890</v>
      </c>
      <c r="K1612" s="13" t="s">
        <v>8477</v>
      </c>
      <c r="L1612" s="13" t="s">
        <v>158</v>
      </c>
      <c r="M1612" t="s">
        <v>3</v>
      </c>
    </row>
    <row r="1613" spans="1:13" x14ac:dyDescent="0.25">
      <c r="A1613" s="13" t="s">
        <v>10746</v>
      </c>
      <c r="B1613" s="13" t="s">
        <v>10746</v>
      </c>
      <c r="C1613" s="13" t="s">
        <v>10747</v>
      </c>
      <c r="D1613" s="13">
        <v>40.799999999999997</v>
      </c>
      <c r="E1613" s="13" t="s">
        <v>10748</v>
      </c>
      <c r="F1613" s="13" t="s">
        <v>8867</v>
      </c>
      <c r="G1613" s="13" t="s">
        <v>2</v>
      </c>
      <c r="H1613" s="13" t="s">
        <v>3</v>
      </c>
      <c r="I1613" s="13" t="s">
        <v>809</v>
      </c>
      <c r="J1613" s="13" t="s">
        <v>8890</v>
      </c>
      <c r="K1613" s="13" t="s">
        <v>8512</v>
      </c>
      <c r="L1613" s="13" t="s">
        <v>158</v>
      </c>
      <c r="M1613" t="s">
        <v>3</v>
      </c>
    </row>
    <row r="1614" spans="1:13" x14ac:dyDescent="0.25">
      <c r="A1614" s="13" t="s">
        <v>3792</v>
      </c>
      <c r="B1614" s="13" t="s">
        <v>3792</v>
      </c>
      <c r="C1614" s="13" t="s">
        <v>3793</v>
      </c>
      <c r="D1614" s="13">
        <v>15</v>
      </c>
      <c r="E1614" s="13" t="s">
        <v>3794</v>
      </c>
      <c r="F1614" s="13" t="s">
        <v>8867</v>
      </c>
      <c r="G1614" s="13" t="s">
        <v>2</v>
      </c>
      <c r="H1614" s="13" t="s">
        <v>9060</v>
      </c>
      <c r="I1614" s="13" t="s">
        <v>706</v>
      </c>
      <c r="J1614" s="13" t="s">
        <v>8890</v>
      </c>
      <c r="K1614" s="13" t="s">
        <v>8419</v>
      </c>
      <c r="L1614" s="13" t="s">
        <v>158</v>
      </c>
      <c r="M1614" t="s">
        <v>9060</v>
      </c>
    </row>
    <row r="1615" spans="1:13" x14ac:dyDescent="0.25">
      <c r="A1615" s="13" t="s">
        <v>11819</v>
      </c>
      <c r="B1615" s="13" t="s">
        <v>11820</v>
      </c>
      <c r="C1615" s="13" t="s">
        <v>11821</v>
      </c>
      <c r="D1615" s="13">
        <v>2</v>
      </c>
      <c r="E1615" s="13" t="s">
        <v>11822</v>
      </c>
      <c r="F1615" s="13" t="s">
        <v>8867</v>
      </c>
      <c r="G1615" s="13" t="s">
        <v>2</v>
      </c>
      <c r="H1615" s="13" t="s">
        <v>3</v>
      </c>
      <c r="I1615" s="13" t="s">
        <v>809</v>
      </c>
      <c r="J1615" s="13" t="s">
        <v>8890</v>
      </c>
      <c r="K1615" s="13" t="s">
        <v>8512</v>
      </c>
      <c r="L1615" s="13" t="s">
        <v>158</v>
      </c>
      <c r="M1615" t="s">
        <v>3</v>
      </c>
    </row>
    <row r="1616" spans="1:13" x14ac:dyDescent="0.25">
      <c r="A1616" s="13" t="s">
        <v>11823</v>
      </c>
      <c r="B1616" s="13" t="s">
        <v>11824</v>
      </c>
      <c r="C1616" s="13" t="s">
        <v>11825</v>
      </c>
      <c r="D1616" s="13">
        <v>4.7</v>
      </c>
      <c r="E1616" s="13" t="s">
        <v>11826</v>
      </c>
      <c r="F1616" s="13" t="s">
        <v>8867</v>
      </c>
      <c r="G1616" s="13" t="s">
        <v>2</v>
      </c>
      <c r="H1616" s="13" t="s">
        <v>3</v>
      </c>
      <c r="I1616" s="13" t="s">
        <v>809</v>
      </c>
      <c r="J1616" s="13" t="s">
        <v>8890</v>
      </c>
      <c r="K1616" s="13" t="s">
        <v>8512</v>
      </c>
      <c r="L1616" s="13" t="s">
        <v>158</v>
      </c>
      <c r="M1616" t="s">
        <v>3</v>
      </c>
    </row>
    <row r="1617" spans="1:13" x14ac:dyDescent="0.25">
      <c r="A1617" s="13" t="s">
        <v>10234</v>
      </c>
      <c r="B1617" s="13" t="s">
        <v>10234</v>
      </c>
      <c r="C1617" s="13" t="s">
        <v>10234</v>
      </c>
      <c r="D1617" s="13">
        <v>3.8</v>
      </c>
      <c r="E1617" s="13" t="s">
        <v>10235</v>
      </c>
      <c r="F1617" s="13" t="s">
        <v>8867</v>
      </c>
      <c r="G1617" s="13" t="s">
        <v>2</v>
      </c>
      <c r="H1617" s="13" t="s">
        <v>9060</v>
      </c>
      <c r="I1617" s="13" t="s">
        <v>706</v>
      </c>
      <c r="J1617" s="13" t="s">
        <v>8890</v>
      </c>
      <c r="K1617" s="13" t="s">
        <v>8419</v>
      </c>
      <c r="L1617" s="13" t="s">
        <v>158</v>
      </c>
      <c r="M1617" t="s">
        <v>9060</v>
      </c>
    </row>
    <row r="1618" spans="1:13" x14ac:dyDescent="0.25">
      <c r="A1618" s="13" t="s">
        <v>10236</v>
      </c>
      <c r="B1618" s="13" t="s">
        <v>10236</v>
      </c>
      <c r="C1618" s="13" t="s">
        <v>10236</v>
      </c>
      <c r="D1618" s="13">
        <v>5</v>
      </c>
      <c r="E1618" s="13" t="s">
        <v>10237</v>
      </c>
      <c r="F1618" s="13" t="s">
        <v>8867</v>
      </c>
      <c r="G1618" s="13" t="s">
        <v>2</v>
      </c>
      <c r="H1618" s="13" t="s">
        <v>9060</v>
      </c>
      <c r="I1618" s="13" t="s">
        <v>706</v>
      </c>
      <c r="J1618" s="13" t="s">
        <v>8890</v>
      </c>
      <c r="K1618" s="13" t="s">
        <v>8419</v>
      </c>
      <c r="L1618" s="13" t="s">
        <v>158</v>
      </c>
      <c r="M1618" t="s">
        <v>9060</v>
      </c>
    </row>
    <row r="1619" spans="1:13" x14ac:dyDescent="0.25">
      <c r="A1619" s="13" t="s">
        <v>3795</v>
      </c>
      <c r="B1619" s="13" t="s">
        <v>3795</v>
      </c>
      <c r="C1619" s="13" t="s">
        <v>3796</v>
      </c>
      <c r="D1619" s="13">
        <v>30</v>
      </c>
      <c r="E1619" s="13" t="s">
        <v>3797</v>
      </c>
      <c r="F1619" s="13" t="s">
        <v>8867</v>
      </c>
      <c r="G1619" s="13" t="s">
        <v>2</v>
      </c>
      <c r="H1619" s="13" t="s">
        <v>3</v>
      </c>
      <c r="I1619" s="13" t="s">
        <v>1263</v>
      </c>
      <c r="J1619" s="13" t="s">
        <v>8890</v>
      </c>
      <c r="K1619" s="13" t="s">
        <v>8422</v>
      </c>
      <c r="L1619" s="13" t="s">
        <v>158</v>
      </c>
      <c r="M1619" t="s">
        <v>3</v>
      </c>
    </row>
    <row r="1620" spans="1:13" x14ac:dyDescent="0.25">
      <c r="A1620" s="13" t="s">
        <v>3798</v>
      </c>
      <c r="B1620" s="13" t="s">
        <v>3799</v>
      </c>
      <c r="C1620" s="13" t="s">
        <v>3799</v>
      </c>
      <c r="D1620" s="13">
        <v>206.2</v>
      </c>
      <c r="E1620" s="13" t="s">
        <v>3800</v>
      </c>
      <c r="F1620" s="13" t="s">
        <v>8867</v>
      </c>
      <c r="G1620" s="13" t="s">
        <v>2</v>
      </c>
      <c r="H1620" s="13" t="s">
        <v>8443</v>
      </c>
      <c r="I1620" s="13" t="s">
        <v>164</v>
      </c>
      <c r="J1620" s="13" t="s">
        <v>8890</v>
      </c>
      <c r="K1620" s="13" t="s">
        <v>8443</v>
      </c>
      <c r="L1620" s="13" t="s">
        <v>158</v>
      </c>
      <c r="M1620" t="s">
        <v>10687</v>
      </c>
    </row>
    <row r="1621" spans="1:13" x14ac:dyDescent="0.25">
      <c r="A1621" s="13" t="s">
        <v>12018</v>
      </c>
      <c r="B1621" s="13" t="s">
        <v>12018</v>
      </c>
      <c r="C1621" s="13" t="s">
        <v>12019</v>
      </c>
      <c r="D1621" s="13">
        <v>9</v>
      </c>
      <c r="E1621" s="13" t="s">
        <v>12020</v>
      </c>
      <c r="F1621" s="13" t="s">
        <v>8867</v>
      </c>
      <c r="G1621" s="13" t="s">
        <v>2</v>
      </c>
      <c r="H1621" s="13" t="s">
        <v>3</v>
      </c>
      <c r="I1621" s="13" t="s">
        <v>1263</v>
      </c>
      <c r="J1621" s="13" t="s">
        <v>8890</v>
      </c>
      <c r="K1621" s="13" t="s">
        <v>8422</v>
      </c>
      <c r="L1621" s="13" t="s">
        <v>158</v>
      </c>
      <c r="M1621" t="s">
        <v>3</v>
      </c>
    </row>
    <row r="1622" spans="1:13" x14ac:dyDescent="0.25">
      <c r="A1622" s="13" t="s">
        <v>3801</v>
      </c>
      <c r="B1622" s="13" t="s">
        <v>3802</v>
      </c>
      <c r="C1622" s="13" t="s">
        <v>3802</v>
      </c>
      <c r="D1622" s="13">
        <v>10</v>
      </c>
      <c r="E1622" s="13" t="s">
        <v>3803</v>
      </c>
      <c r="F1622" s="13" t="s">
        <v>8867</v>
      </c>
      <c r="G1622" s="13" t="s">
        <v>2</v>
      </c>
      <c r="H1622" s="13" t="s">
        <v>3</v>
      </c>
      <c r="I1622" s="13" t="s">
        <v>228</v>
      </c>
      <c r="J1622" s="13" t="s">
        <v>8890</v>
      </c>
      <c r="K1622" s="13" t="s">
        <v>8418</v>
      </c>
      <c r="L1622" s="13" t="s">
        <v>158</v>
      </c>
      <c r="M1622" t="s">
        <v>3</v>
      </c>
    </row>
    <row r="1623" spans="1:13" x14ac:dyDescent="0.25">
      <c r="A1623" s="13" t="s">
        <v>3804</v>
      </c>
      <c r="B1623" s="13" t="s">
        <v>3804</v>
      </c>
      <c r="C1623" s="13" t="s">
        <v>3804</v>
      </c>
      <c r="D1623" s="13">
        <v>1.2</v>
      </c>
      <c r="E1623" s="13" t="s">
        <v>3805</v>
      </c>
      <c r="F1623" s="13" t="s">
        <v>8867</v>
      </c>
      <c r="G1623" s="13" t="s">
        <v>2</v>
      </c>
      <c r="H1623" s="13" t="s">
        <v>3</v>
      </c>
      <c r="I1623" s="13" t="s">
        <v>706</v>
      </c>
      <c r="J1623" s="13" t="s">
        <v>8890</v>
      </c>
      <c r="K1623" s="13" t="s">
        <v>8419</v>
      </c>
      <c r="L1623" s="13" t="s">
        <v>158</v>
      </c>
      <c r="M1623" t="s">
        <v>3</v>
      </c>
    </row>
    <row r="1624" spans="1:13" x14ac:dyDescent="0.25">
      <c r="A1624" s="13" t="s">
        <v>9794</v>
      </c>
      <c r="B1624" s="13" t="s">
        <v>9794</v>
      </c>
      <c r="C1624" s="13" t="s">
        <v>9795</v>
      </c>
      <c r="D1624" s="13">
        <v>40</v>
      </c>
      <c r="E1624" s="13" t="s">
        <v>9796</v>
      </c>
      <c r="F1624" s="13" t="s">
        <v>8867</v>
      </c>
      <c r="G1624" s="13" t="s">
        <v>2</v>
      </c>
      <c r="H1624" s="13" t="s">
        <v>3</v>
      </c>
      <c r="I1624" s="13" t="s">
        <v>1263</v>
      </c>
      <c r="J1624" s="13" t="s">
        <v>8890</v>
      </c>
      <c r="K1624" s="13" t="s">
        <v>8422</v>
      </c>
      <c r="L1624" s="13" t="s">
        <v>158</v>
      </c>
      <c r="M1624" t="s">
        <v>3</v>
      </c>
    </row>
    <row r="1625" spans="1:13" x14ac:dyDescent="0.25">
      <c r="A1625" s="13" t="s">
        <v>9216</v>
      </c>
      <c r="B1625" s="13" t="s">
        <v>9217</v>
      </c>
      <c r="C1625" s="13" t="s">
        <v>9218</v>
      </c>
      <c r="D1625" s="13">
        <v>19.100000000000001</v>
      </c>
      <c r="E1625" s="13" t="s">
        <v>9219</v>
      </c>
      <c r="F1625" s="13" t="s">
        <v>8867</v>
      </c>
      <c r="G1625" s="13" t="s">
        <v>2</v>
      </c>
      <c r="H1625" s="13" t="s">
        <v>8422</v>
      </c>
      <c r="I1625" s="13" t="s">
        <v>1263</v>
      </c>
      <c r="J1625" s="13" t="s">
        <v>8890</v>
      </c>
      <c r="K1625" s="13" t="s">
        <v>8422</v>
      </c>
      <c r="L1625" s="13" t="s">
        <v>158</v>
      </c>
      <c r="M1625" t="s">
        <v>10689</v>
      </c>
    </row>
    <row r="1626" spans="1:13" x14ac:dyDescent="0.25">
      <c r="A1626" s="13" t="s">
        <v>9220</v>
      </c>
      <c r="B1626" s="13" t="s">
        <v>9221</v>
      </c>
      <c r="C1626" s="13" t="s">
        <v>9222</v>
      </c>
      <c r="D1626" s="13">
        <v>41</v>
      </c>
      <c r="E1626" s="13" t="s">
        <v>9223</v>
      </c>
      <c r="F1626" s="13" t="s">
        <v>8867</v>
      </c>
      <c r="G1626" s="13" t="s">
        <v>2</v>
      </c>
      <c r="H1626" s="13" t="s">
        <v>8422</v>
      </c>
      <c r="I1626" s="13" t="s">
        <v>1263</v>
      </c>
      <c r="J1626" s="13" t="s">
        <v>8890</v>
      </c>
      <c r="K1626" s="13" t="s">
        <v>8422</v>
      </c>
      <c r="L1626" s="13" t="s">
        <v>158</v>
      </c>
      <c r="M1626" t="s">
        <v>10689</v>
      </c>
    </row>
    <row r="1627" spans="1:13" x14ac:dyDescent="0.25">
      <c r="A1627" s="13" t="s">
        <v>10749</v>
      </c>
      <c r="B1627" s="13" t="s">
        <v>10749</v>
      </c>
      <c r="C1627" s="13" t="s">
        <v>10750</v>
      </c>
      <c r="D1627" s="13">
        <v>40.799999999999997</v>
      </c>
      <c r="E1627" s="13" t="s">
        <v>10751</v>
      </c>
      <c r="F1627" s="13" t="s">
        <v>8867</v>
      </c>
      <c r="G1627" s="13" t="s">
        <v>2</v>
      </c>
      <c r="H1627" s="13" t="s">
        <v>3</v>
      </c>
      <c r="I1627" s="13" t="s">
        <v>809</v>
      </c>
      <c r="J1627" s="13" t="s">
        <v>8890</v>
      </c>
      <c r="K1627" s="13" t="s">
        <v>8512</v>
      </c>
      <c r="L1627" s="13" t="s">
        <v>158</v>
      </c>
      <c r="M1627" t="s">
        <v>3</v>
      </c>
    </row>
    <row r="1628" spans="1:13" x14ac:dyDescent="0.25">
      <c r="A1628" s="13" t="s">
        <v>10540</v>
      </c>
      <c r="B1628" s="13" t="s">
        <v>10541</v>
      </c>
      <c r="C1628" s="13" t="s">
        <v>10542</v>
      </c>
      <c r="D1628" s="13">
        <v>45</v>
      </c>
      <c r="E1628" s="13" t="s">
        <v>10543</v>
      </c>
      <c r="F1628" s="13" t="s">
        <v>8867</v>
      </c>
      <c r="G1628" s="13" t="s">
        <v>2</v>
      </c>
      <c r="H1628" s="13" t="s">
        <v>3</v>
      </c>
      <c r="I1628" s="13" t="s">
        <v>4522</v>
      </c>
      <c r="J1628" s="13" t="s">
        <v>8890</v>
      </c>
      <c r="K1628" s="13" t="s">
        <v>8514</v>
      </c>
      <c r="L1628" s="13" t="s">
        <v>158</v>
      </c>
      <c r="M1628" t="s">
        <v>3</v>
      </c>
    </row>
    <row r="1629" spans="1:13" x14ac:dyDescent="0.25">
      <c r="A1629" s="13" t="s">
        <v>3806</v>
      </c>
      <c r="B1629" s="13" t="s">
        <v>3807</v>
      </c>
      <c r="C1629" s="13" t="s">
        <v>3808</v>
      </c>
      <c r="D1629" s="13">
        <v>41.2</v>
      </c>
      <c r="E1629" s="13" t="s">
        <v>3809</v>
      </c>
      <c r="F1629" s="13" t="s">
        <v>8867</v>
      </c>
      <c r="G1629" s="13" t="s">
        <v>2</v>
      </c>
      <c r="H1629" s="13" t="s">
        <v>3</v>
      </c>
      <c r="I1629" s="13" t="s">
        <v>399</v>
      </c>
      <c r="J1629" s="13" t="s">
        <v>8890</v>
      </c>
      <c r="K1629" s="13" t="s">
        <v>8464</v>
      </c>
      <c r="L1629" s="13" t="s">
        <v>158</v>
      </c>
      <c r="M1629" t="s">
        <v>3</v>
      </c>
    </row>
    <row r="1630" spans="1:13" x14ac:dyDescent="0.25">
      <c r="A1630" s="13" t="s">
        <v>3810</v>
      </c>
      <c r="B1630" s="13" t="s">
        <v>3810</v>
      </c>
      <c r="C1630" s="13" t="s">
        <v>3811</v>
      </c>
      <c r="D1630" s="13">
        <v>2.5</v>
      </c>
      <c r="E1630" s="13" t="s">
        <v>3812</v>
      </c>
      <c r="F1630" s="13" t="s">
        <v>8867</v>
      </c>
      <c r="G1630" s="13" t="s">
        <v>2</v>
      </c>
      <c r="H1630" s="13" t="s">
        <v>3</v>
      </c>
      <c r="I1630" s="13" t="s">
        <v>1978</v>
      </c>
      <c r="J1630" s="13" t="s">
        <v>8890</v>
      </c>
      <c r="K1630" s="13" t="s">
        <v>8570</v>
      </c>
      <c r="L1630" s="13" t="s">
        <v>158</v>
      </c>
      <c r="M1630" t="s">
        <v>3</v>
      </c>
    </row>
    <row r="1631" spans="1:13" x14ac:dyDescent="0.25">
      <c r="A1631" s="13" t="s">
        <v>10544</v>
      </c>
      <c r="B1631" s="13" t="s">
        <v>10545</v>
      </c>
      <c r="C1631" s="13" t="s">
        <v>10546</v>
      </c>
      <c r="D1631" s="13">
        <v>42.6</v>
      </c>
      <c r="E1631" s="13" t="s">
        <v>10547</v>
      </c>
      <c r="F1631" s="13" t="s">
        <v>8867</v>
      </c>
      <c r="G1631" s="13" t="s">
        <v>2</v>
      </c>
      <c r="H1631" s="13" t="s">
        <v>3</v>
      </c>
      <c r="I1631" s="13" t="s">
        <v>4522</v>
      </c>
      <c r="J1631" s="13" t="s">
        <v>8890</v>
      </c>
      <c r="K1631" s="13" t="s">
        <v>8514</v>
      </c>
      <c r="L1631" s="13" t="s">
        <v>158</v>
      </c>
      <c r="M1631" t="s">
        <v>3</v>
      </c>
    </row>
    <row r="1632" spans="1:13" ht="26.25" x14ac:dyDescent="0.25">
      <c r="A1632" s="13" t="s">
        <v>3813</v>
      </c>
      <c r="B1632" s="13" t="s">
        <v>3813</v>
      </c>
      <c r="C1632" s="13" t="s">
        <v>3813</v>
      </c>
      <c r="D1632" s="13">
        <v>17.5</v>
      </c>
      <c r="E1632" s="13" t="s">
        <v>3814</v>
      </c>
      <c r="F1632" s="13" t="s">
        <v>8867</v>
      </c>
      <c r="G1632" s="13" t="s">
        <v>2</v>
      </c>
      <c r="H1632" s="13" t="s">
        <v>10910</v>
      </c>
      <c r="I1632" s="13" t="s">
        <v>228</v>
      </c>
      <c r="J1632" s="13" t="s">
        <v>8890</v>
      </c>
      <c r="K1632" s="13" t="s">
        <v>8418</v>
      </c>
      <c r="L1632" s="13" t="s">
        <v>158</v>
      </c>
      <c r="M1632" t="s">
        <v>10910</v>
      </c>
    </row>
    <row r="1633" spans="1:13" x14ac:dyDescent="0.25">
      <c r="A1633" s="13" t="s">
        <v>11827</v>
      </c>
      <c r="B1633" s="13" t="s">
        <v>11828</v>
      </c>
      <c r="C1633" s="13" t="s">
        <v>11829</v>
      </c>
      <c r="D1633" s="13">
        <v>5.3</v>
      </c>
      <c r="E1633" s="13" t="s">
        <v>11830</v>
      </c>
      <c r="F1633" s="13" t="s">
        <v>8867</v>
      </c>
      <c r="G1633" s="13" t="s">
        <v>2</v>
      </c>
      <c r="H1633" s="13" t="s">
        <v>3</v>
      </c>
      <c r="I1633" s="13" t="s">
        <v>809</v>
      </c>
      <c r="J1633" s="13" t="s">
        <v>8890</v>
      </c>
      <c r="K1633" s="13" t="s">
        <v>8512</v>
      </c>
      <c r="L1633" s="13" t="s">
        <v>158</v>
      </c>
      <c r="M1633" t="s">
        <v>3</v>
      </c>
    </row>
    <row r="1634" spans="1:13" x14ac:dyDescent="0.25">
      <c r="A1634" s="13" t="s">
        <v>11831</v>
      </c>
      <c r="B1634" s="13" t="s">
        <v>11832</v>
      </c>
      <c r="C1634" s="13" t="s">
        <v>11833</v>
      </c>
      <c r="D1634" s="13">
        <v>3.3</v>
      </c>
      <c r="E1634" s="13" t="s">
        <v>11834</v>
      </c>
      <c r="F1634" s="13" t="s">
        <v>8867</v>
      </c>
      <c r="G1634" s="13" t="s">
        <v>2</v>
      </c>
      <c r="H1634" s="13" t="s">
        <v>3</v>
      </c>
      <c r="I1634" s="13" t="s">
        <v>809</v>
      </c>
      <c r="J1634" s="13" t="s">
        <v>8890</v>
      </c>
      <c r="K1634" s="13" t="s">
        <v>8512</v>
      </c>
      <c r="L1634" s="13" t="s">
        <v>158</v>
      </c>
      <c r="M1634" t="s">
        <v>3</v>
      </c>
    </row>
    <row r="1635" spans="1:13" x14ac:dyDescent="0.25">
      <c r="A1635" s="13" t="s">
        <v>10752</v>
      </c>
      <c r="B1635" s="13" t="s">
        <v>10752</v>
      </c>
      <c r="C1635" s="13" t="s">
        <v>10753</v>
      </c>
      <c r="D1635" s="13">
        <v>40.799999999999997</v>
      </c>
      <c r="E1635" s="13" t="s">
        <v>10754</v>
      </c>
      <c r="F1635" s="13" t="s">
        <v>8867</v>
      </c>
      <c r="G1635" s="13" t="s">
        <v>2</v>
      </c>
      <c r="H1635" s="13" t="s">
        <v>3</v>
      </c>
      <c r="I1635" s="13" t="s">
        <v>809</v>
      </c>
      <c r="J1635" s="13" t="s">
        <v>8890</v>
      </c>
      <c r="K1635" s="13" t="s">
        <v>8512</v>
      </c>
      <c r="L1635" s="13" t="s">
        <v>158</v>
      </c>
      <c r="M1635" t="s">
        <v>3</v>
      </c>
    </row>
    <row r="1636" spans="1:13" x14ac:dyDescent="0.25">
      <c r="A1636" s="13" t="s">
        <v>11835</v>
      </c>
      <c r="B1636" s="13" t="s">
        <v>11836</v>
      </c>
      <c r="C1636" s="13" t="s">
        <v>11837</v>
      </c>
      <c r="D1636" s="13">
        <v>46.2</v>
      </c>
      <c r="E1636" s="13" t="s">
        <v>11838</v>
      </c>
      <c r="F1636" s="13" t="s">
        <v>8867</v>
      </c>
      <c r="G1636" s="13" t="s">
        <v>2</v>
      </c>
      <c r="H1636" s="13" t="s">
        <v>3</v>
      </c>
      <c r="I1636" s="13" t="s">
        <v>4522</v>
      </c>
      <c r="J1636" s="13" t="s">
        <v>8890</v>
      </c>
      <c r="K1636" s="13" t="s">
        <v>8514</v>
      </c>
      <c r="L1636" s="13" t="s">
        <v>158</v>
      </c>
      <c r="M1636" t="s">
        <v>3</v>
      </c>
    </row>
    <row r="1637" spans="1:13" ht="26.25" x14ac:dyDescent="0.25">
      <c r="A1637" s="13" t="s">
        <v>3815</v>
      </c>
      <c r="B1637" s="13" t="s">
        <v>3815</v>
      </c>
      <c r="C1637" s="13" t="s">
        <v>3815</v>
      </c>
      <c r="D1637" s="13">
        <v>10</v>
      </c>
      <c r="E1637" s="13" t="s">
        <v>3816</v>
      </c>
      <c r="F1637" s="13" t="s">
        <v>8867</v>
      </c>
      <c r="G1637" s="13" t="s">
        <v>2</v>
      </c>
      <c r="H1637" s="13" t="s">
        <v>3</v>
      </c>
      <c r="I1637" s="13" t="s">
        <v>706</v>
      </c>
      <c r="J1637" s="13" t="s">
        <v>8890</v>
      </c>
      <c r="K1637" s="13" t="s">
        <v>8419</v>
      </c>
      <c r="L1637" s="13" t="s">
        <v>158</v>
      </c>
      <c r="M1637" t="s">
        <v>3</v>
      </c>
    </row>
    <row r="1638" spans="1:13" x14ac:dyDescent="0.25">
      <c r="A1638" s="13" t="s">
        <v>10911</v>
      </c>
      <c r="B1638" s="13" t="s">
        <v>10912</v>
      </c>
      <c r="C1638" s="13" t="s">
        <v>10913</v>
      </c>
      <c r="D1638" s="13">
        <v>4</v>
      </c>
      <c r="E1638" s="13" t="s">
        <v>10914</v>
      </c>
      <c r="F1638" s="13" t="s">
        <v>8867</v>
      </c>
      <c r="G1638" s="13" t="s">
        <v>2</v>
      </c>
      <c r="H1638" s="13" t="s">
        <v>3</v>
      </c>
      <c r="I1638" s="13" t="s">
        <v>809</v>
      </c>
      <c r="J1638" s="13" t="s">
        <v>8890</v>
      </c>
      <c r="K1638" s="13" t="s">
        <v>8512</v>
      </c>
      <c r="L1638" s="13" t="s">
        <v>158</v>
      </c>
      <c r="M1638" t="s">
        <v>3</v>
      </c>
    </row>
    <row r="1639" spans="1:13" x14ac:dyDescent="0.25">
      <c r="A1639" s="13" t="s">
        <v>3817</v>
      </c>
      <c r="B1639" s="13" t="s">
        <v>3817</v>
      </c>
      <c r="C1639" s="13" t="s">
        <v>3818</v>
      </c>
      <c r="D1639" s="13">
        <v>1.8</v>
      </c>
      <c r="E1639" s="13" t="s">
        <v>3819</v>
      </c>
      <c r="F1639" s="13" t="s">
        <v>8867</v>
      </c>
      <c r="G1639" s="13" t="s">
        <v>2</v>
      </c>
      <c r="H1639" s="13" t="s">
        <v>3</v>
      </c>
      <c r="I1639" s="13" t="s">
        <v>137</v>
      </c>
      <c r="J1639" s="13" t="s">
        <v>8890</v>
      </c>
      <c r="K1639" s="13" t="s">
        <v>8429</v>
      </c>
      <c r="L1639" s="13" t="s">
        <v>158</v>
      </c>
      <c r="M1639" t="s">
        <v>3</v>
      </c>
    </row>
    <row r="1640" spans="1:13" x14ac:dyDescent="0.25">
      <c r="A1640" s="13" t="s">
        <v>9225</v>
      </c>
      <c r="B1640" s="13" t="s">
        <v>9225</v>
      </c>
      <c r="C1640" s="13" t="s">
        <v>9225</v>
      </c>
      <c r="D1640" s="13">
        <v>124</v>
      </c>
      <c r="E1640" s="13" t="s">
        <v>9226</v>
      </c>
      <c r="F1640" s="13" t="s">
        <v>8867</v>
      </c>
      <c r="G1640" s="13" t="s">
        <v>2</v>
      </c>
      <c r="H1640" s="13" t="s">
        <v>8923</v>
      </c>
      <c r="I1640" s="13" t="s">
        <v>1514</v>
      </c>
      <c r="J1640" s="13" t="s">
        <v>8890</v>
      </c>
      <c r="K1640" s="13" t="s">
        <v>8423</v>
      </c>
      <c r="L1640" s="13" t="s">
        <v>158</v>
      </c>
      <c r="M1640" t="s">
        <v>8923</v>
      </c>
    </row>
    <row r="1641" spans="1:13" x14ac:dyDescent="0.25">
      <c r="A1641" s="13" t="s">
        <v>3820</v>
      </c>
      <c r="B1641" s="13" t="s">
        <v>3821</v>
      </c>
      <c r="C1641" s="13" t="s">
        <v>3822</v>
      </c>
      <c r="D1641" s="13">
        <v>4.7</v>
      </c>
      <c r="E1641" s="13" t="s">
        <v>3823</v>
      </c>
      <c r="F1641" s="13" t="s">
        <v>8867</v>
      </c>
      <c r="G1641" s="13" t="s">
        <v>2</v>
      </c>
      <c r="H1641" s="13" t="s">
        <v>3</v>
      </c>
      <c r="I1641" s="13" t="s">
        <v>1978</v>
      </c>
      <c r="J1641" s="13" t="s">
        <v>8890</v>
      </c>
      <c r="K1641" s="13" t="s">
        <v>8570</v>
      </c>
      <c r="L1641" s="13" t="s">
        <v>158</v>
      </c>
      <c r="M1641" t="s">
        <v>3</v>
      </c>
    </row>
    <row r="1642" spans="1:13" x14ac:dyDescent="0.25">
      <c r="A1642" s="13" t="s">
        <v>10238</v>
      </c>
      <c r="B1642" s="13" t="s">
        <v>10238</v>
      </c>
      <c r="C1642" s="13" t="s">
        <v>10239</v>
      </c>
      <c r="D1642" s="13">
        <v>15</v>
      </c>
      <c r="E1642" s="13" t="s">
        <v>10240</v>
      </c>
      <c r="F1642" s="13" t="s">
        <v>8867</v>
      </c>
      <c r="G1642" s="13" t="s">
        <v>2</v>
      </c>
      <c r="H1642" s="13" t="s">
        <v>3</v>
      </c>
      <c r="I1642" s="13" t="s">
        <v>1263</v>
      </c>
      <c r="J1642" s="13" t="s">
        <v>8890</v>
      </c>
      <c r="K1642" s="13" t="s">
        <v>8422</v>
      </c>
      <c r="L1642" s="13" t="s">
        <v>158</v>
      </c>
      <c r="M1642" t="s">
        <v>3</v>
      </c>
    </row>
    <row r="1643" spans="1:13" x14ac:dyDescent="0.25">
      <c r="A1643" s="13" t="s">
        <v>11839</v>
      </c>
      <c r="B1643" s="13" t="s">
        <v>11840</v>
      </c>
      <c r="C1643" s="13" t="s">
        <v>11841</v>
      </c>
      <c r="D1643" s="13">
        <v>4.7</v>
      </c>
      <c r="E1643" s="13" t="s">
        <v>11842</v>
      </c>
      <c r="F1643" s="13" t="s">
        <v>8867</v>
      </c>
      <c r="G1643" s="13" t="s">
        <v>2</v>
      </c>
      <c r="H1643" s="13" t="s">
        <v>3</v>
      </c>
      <c r="I1643" s="13" t="s">
        <v>809</v>
      </c>
      <c r="J1643" s="13" t="s">
        <v>8890</v>
      </c>
      <c r="K1643" s="13" t="s">
        <v>8512</v>
      </c>
      <c r="L1643" s="13" t="s">
        <v>158</v>
      </c>
      <c r="M1643" t="s">
        <v>3</v>
      </c>
    </row>
    <row r="1644" spans="1:13" x14ac:dyDescent="0.25">
      <c r="A1644" s="13" t="s">
        <v>11843</v>
      </c>
      <c r="B1644" s="13" t="s">
        <v>11844</v>
      </c>
      <c r="C1644" s="13" t="s">
        <v>11845</v>
      </c>
      <c r="D1644" s="13">
        <v>4.7</v>
      </c>
      <c r="E1644" s="13" t="s">
        <v>11846</v>
      </c>
      <c r="F1644" s="13" t="s">
        <v>8867</v>
      </c>
      <c r="G1644" s="13" t="s">
        <v>2</v>
      </c>
      <c r="H1644" s="13" t="s">
        <v>3</v>
      </c>
      <c r="I1644" s="13" t="s">
        <v>809</v>
      </c>
      <c r="J1644" s="13" t="s">
        <v>8890</v>
      </c>
      <c r="K1644" s="13" t="s">
        <v>8512</v>
      </c>
      <c r="L1644" s="13" t="s">
        <v>158</v>
      </c>
      <c r="M1644" t="s">
        <v>3</v>
      </c>
    </row>
    <row r="1645" spans="1:13" x14ac:dyDescent="0.25">
      <c r="A1645" s="13" t="s">
        <v>3824</v>
      </c>
      <c r="B1645" s="13" t="s">
        <v>3824</v>
      </c>
      <c r="C1645" s="13" t="s">
        <v>3824</v>
      </c>
      <c r="D1645" s="13">
        <v>40.200000000000003</v>
      </c>
      <c r="E1645" s="13" t="s">
        <v>3825</v>
      </c>
      <c r="F1645" s="13" t="s">
        <v>8867</v>
      </c>
      <c r="G1645" s="13" t="s">
        <v>2</v>
      </c>
      <c r="H1645" s="13" t="s">
        <v>3</v>
      </c>
      <c r="I1645" s="13" t="s">
        <v>228</v>
      </c>
      <c r="J1645" s="13" t="s">
        <v>8890</v>
      </c>
      <c r="K1645" s="13" t="s">
        <v>8418</v>
      </c>
      <c r="L1645" s="13" t="s">
        <v>158</v>
      </c>
      <c r="M1645" t="s">
        <v>3</v>
      </c>
    </row>
    <row r="1646" spans="1:13" x14ac:dyDescent="0.25">
      <c r="A1646" s="13" t="s">
        <v>3826</v>
      </c>
      <c r="B1646" s="13" t="s">
        <v>3827</v>
      </c>
      <c r="C1646" s="13" t="s">
        <v>3828</v>
      </c>
      <c r="D1646" s="13">
        <v>2.5</v>
      </c>
      <c r="E1646" s="13" t="s">
        <v>3829</v>
      </c>
      <c r="F1646" s="13" t="s">
        <v>8867</v>
      </c>
      <c r="G1646" s="13" t="s">
        <v>2</v>
      </c>
      <c r="H1646" s="13" t="s">
        <v>3</v>
      </c>
      <c r="I1646" s="13" t="s">
        <v>1978</v>
      </c>
      <c r="J1646" s="13" t="s">
        <v>8890</v>
      </c>
      <c r="K1646" s="13" t="s">
        <v>8570</v>
      </c>
      <c r="L1646" s="13" t="s">
        <v>158</v>
      </c>
      <c r="M1646" t="s">
        <v>3</v>
      </c>
    </row>
    <row r="1647" spans="1:13" ht="26.25" x14ac:dyDescent="0.25">
      <c r="A1647" s="13" t="s">
        <v>9922</v>
      </c>
      <c r="B1647" s="13" t="s">
        <v>9922</v>
      </c>
      <c r="C1647" s="13" t="s">
        <v>9923</v>
      </c>
      <c r="D1647" s="13">
        <v>4.8</v>
      </c>
      <c r="E1647" s="13" t="s">
        <v>9924</v>
      </c>
      <c r="F1647" s="13" t="s">
        <v>8867</v>
      </c>
      <c r="G1647" s="13" t="s">
        <v>2</v>
      </c>
      <c r="H1647" s="13" t="s">
        <v>3</v>
      </c>
      <c r="I1647" s="13" t="s">
        <v>809</v>
      </c>
      <c r="J1647" s="13" t="s">
        <v>8890</v>
      </c>
      <c r="K1647" s="13" t="s">
        <v>8512</v>
      </c>
      <c r="L1647" s="13" t="s">
        <v>158</v>
      </c>
      <c r="M1647" t="s">
        <v>3</v>
      </c>
    </row>
    <row r="1648" spans="1:13" x14ac:dyDescent="0.25">
      <c r="A1648" s="13" t="s">
        <v>3830</v>
      </c>
      <c r="B1648" s="13" t="s">
        <v>3831</v>
      </c>
      <c r="C1648" s="13" t="s">
        <v>3832</v>
      </c>
      <c r="D1648" s="13">
        <v>678.9</v>
      </c>
      <c r="E1648" s="13" t="s">
        <v>3833</v>
      </c>
      <c r="F1648" s="13" t="s">
        <v>8867</v>
      </c>
      <c r="G1648" s="13" t="s">
        <v>2</v>
      </c>
      <c r="H1648" s="13" t="s">
        <v>3</v>
      </c>
      <c r="I1648" s="13" t="s">
        <v>228</v>
      </c>
      <c r="J1648" s="13" t="s">
        <v>8890</v>
      </c>
      <c r="K1648" s="13" t="s">
        <v>8418</v>
      </c>
      <c r="L1648" s="13" t="s">
        <v>158</v>
      </c>
      <c r="M1648" t="s">
        <v>3</v>
      </c>
    </row>
    <row r="1649" spans="1:13" x14ac:dyDescent="0.25">
      <c r="A1649" s="13" t="s">
        <v>3834</v>
      </c>
      <c r="B1649" s="13" t="s">
        <v>3834</v>
      </c>
      <c r="C1649" s="13" t="s">
        <v>3835</v>
      </c>
      <c r="D1649" s="13">
        <v>208</v>
      </c>
      <c r="E1649" s="13" t="s">
        <v>3836</v>
      </c>
      <c r="F1649" s="13" t="s">
        <v>8867</v>
      </c>
      <c r="G1649" s="13" t="s">
        <v>2</v>
      </c>
      <c r="H1649" s="13" t="s">
        <v>8976</v>
      </c>
      <c r="I1649" s="13" t="s">
        <v>1254</v>
      </c>
      <c r="J1649" s="13" t="s">
        <v>8890</v>
      </c>
      <c r="K1649" s="13" t="s">
        <v>8508</v>
      </c>
      <c r="L1649" s="13" t="s">
        <v>158</v>
      </c>
      <c r="M1649" t="s">
        <v>8976</v>
      </c>
    </row>
    <row r="1650" spans="1:13" ht="26.25" x14ac:dyDescent="0.25">
      <c r="A1650" s="13" t="s">
        <v>11847</v>
      </c>
      <c r="B1650" s="13" t="s">
        <v>11847</v>
      </c>
      <c r="C1650" s="13" t="s">
        <v>11848</v>
      </c>
      <c r="D1650" s="13">
        <v>2.2000000000000002</v>
      </c>
      <c r="E1650" s="13" t="s">
        <v>11849</v>
      </c>
      <c r="F1650" s="13" t="s">
        <v>8902</v>
      </c>
      <c r="G1650" s="13" t="s">
        <v>19</v>
      </c>
      <c r="H1650" s="13" t="s">
        <v>3</v>
      </c>
      <c r="I1650" s="13" t="s">
        <v>1254</v>
      </c>
      <c r="J1650" s="13" t="s">
        <v>138</v>
      </c>
      <c r="K1650" s="13" t="s">
        <v>8508</v>
      </c>
      <c r="L1650" s="13" t="s">
        <v>136</v>
      </c>
      <c r="M1650" t="s">
        <v>3</v>
      </c>
    </row>
    <row r="1651" spans="1:13" ht="26.25" x14ac:dyDescent="0.25">
      <c r="A1651" s="13" t="s">
        <v>12021</v>
      </c>
      <c r="B1651" s="13" t="s">
        <v>12021</v>
      </c>
      <c r="C1651" s="13" t="s">
        <v>12022</v>
      </c>
      <c r="D1651" s="13">
        <v>21.8</v>
      </c>
      <c r="E1651" s="13" t="s">
        <v>12023</v>
      </c>
      <c r="F1651" s="13" t="s">
        <v>9717</v>
      </c>
      <c r="G1651" s="13" t="s">
        <v>2</v>
      </c>
      <c r="H1651" s="13" t="s">
        <v>3</v>
      </c>
      <c r="I1651" s="13" t="s">
        <v>1254</v>
      </c>
      <c r="J1651" s="13" t="s">
        <v>9004</v>
      </c>
      <c r="K1651" s="13" t="s">
        <v>8508</v>
      </c>
      <c r="L1651" s="13" t="s">
        <v>10021</v>
      </c>
      <c r="M1651" t="s">
        <v>3</v>
      </c>
    </row>
    <row r="1652" spans="1:13" x14ac:dyDescent="0.25">
      <c r="A1652" s="13" t="s">
        <v>9797</v>
      </c>
      <c r="B1652" s="13" t="s">
        <v>9797</v>
      </c>
      <c r="C1652" s="13" t="s">
        <v>9797</v>
      </c>
      <c r="D1652" s="13">
        <v>1.7</v>
      </c>
      <c r="E1652" s="13" t="s">
        <v>9798</v>
      </c>
      <c r="F1652" s="13" t="s">
        <v>8867</v>
      </c>
      <c r="G1652" s="13" t="s">
        <v>2</v>
      </c>
      <c r="H1652" s="13" t="s">
        <v>3</v>
      </c>
      <c r="I1652" s="13" t="s">
        <v>706</v>
      </c>
      <c r="J1652" s="13" t="s">
        <v>8890</v>
      </c>
      <c r="K1652" s="13" t="s">
        <v>8419</v>
      </c>
      <c r="L1652" s="13" t="s">
        <v>158</v>
      </c>
      <c r="M1652" t="s">
        <v>3</v>
      </c>
    </row>
    <row r="1653" spans="1:13" x14ac:dyDescent="0.25">
      <c r="A1653" s="13" t="s">
        <v>11314</v>
      </c>
      <c r="B1653" s="13" t="s">
        <v>11314</v>
      </c>
      <c r="C1653" s="13" t="s">
        <v>11315</v>
      </c>
      <c r="D1653" s="13">
        <v>1.8</v>
      </c>
      <c r="E1653" s="13" t="s">
        <v>11316</v>
      </c>
      <c r="F1653" s="13" t="s">
        <v>8867</v>
      </c>
      <c r="G1653" s="13" t="s">
        <v>2</v>
      </c>
      <c r="H1653" s="13" t="s">
        <v>3</v>
      </c>
      <c r="I1653" s="13" t="s">
        <v>1263</v>
      </c>
      <c r="J1653" s="13" t="s">
        <v>8890</v>
      </c>
      <c r="K1653" s="13" t="s">
        <v>8422</v>
      </c>
      <c r="L1653" s="13" t="s">
        <v>158</v>
      </c>
      <c r="M1653" t="s">
        <v>3</v>
      </c>
    </row>
    <row r="1654" spans="1:13" x14ac:dyDescent="0.25">
      <c r="A1654" s="13" t="s">
        <v>3837</v>
      </c>
      <c r="B1654" s="13" t="s">
        <v>3838</v>
      </c>
      <c r="C1654" s="13" t="s">
        <v>3839</v>
      </c>
      <c r="D1654" s="13">
        <v>4</v>
      </c>
      <c r="E1654" s="13" t="s">
        <v>3840</v>
      </c>
      <c r="F1654" s="13" t="s">
        <v>8867</v>
      </c>
      <c r="G1654" s="13" t="s">
        <v>2</v>
      </c>
      <c r="H1654" s="13" t="s">
        <v>3</v>
      </c>
      <c r="I1654" s="13" t="s">
        <v>1978</v>
      </c>
      <c r="J1654" s="13" t="s">
        <v>8890</v>
      </c>
      <c r="K1654" s="13" t="s">
        <v>8570</v>
      </c>
      <c r="L1654" s="13" t="s">
        <v>158</v>
      </c>
      <c r="M1654" t="s">
        <v>3</v>
      </c>
    </row>
    <row r="1655" spans="1:13" x14ac:dyDescent="0.25">
      <c r="A1655" s="13" t="s">
        <v>9639</v>
      </c>
      <c r="B1655" s="13" t="s">
        <v>9640</v>
      </c>
      <c r="C1655" s="13" t="s">
        <v>9641</v>
      </c>
      <c r="D1655" s="13">
        <v>2.8</v>
      </c>
      <c r="E1655" s="13" t="s">
        <v>9642</v>
      </c>
      <c r="F1655" s="13" t="s">
        <v>8867</v>
      </c>
      <c r="G1655" s="13" t="s">
        <v>2</v>
      </c>
      <c r="H1655" s="13" t="s">
        <v>3</v>
      </c>
      <c r="I1655" s="13" t="s">
        <v>1978</v>
      </c>
      <c r="J1655" s="13" t="s">
        <v>8890</v>
      </c>
      <c r="K1655" s="13" t="s">
        <v>8570</v>
      </c>
      <c r="L1655" s="13" t="s">
        <v>158</v>
      </c>
      <c r="M1655" t="s">
        <v>3</v>
      </c>
    </row>
    <row r="1656" spans="1:13" x14ac:dyDescent="0.25">
      <c r="A1656" s="13" t="s">
        <v>3841</v>
      </c>
      <c r="B1656" s="13" t="s">
        <v>3841</v>
      </c>
      <c r="C1656" s="13" t="s">
        <v>3841</v>
      </c>
      <c r="D1656" s="13">
        <v>3.4</v>
      </c>
      <c r="E1656" s="13" t="s">
        <v>3842</v>
      </c>
      <c r="F1656" s="13" t="s">
        <v>8867</v>
      </c>
      <c r="G1656" s="13" t="s">
        <v>2</v>
      </c>
      <c r="H1656" s="13" t="s">
        <v>3</v>
      </c>
      <c r="I1656" s="13" t="s">
        <v>3843</v>
      </c>
      <c r="J1656" s="13" t="s">
        <v>8890</v>
      </c>
      <c r="K1656" s="13" t="s">
        <v>8627</v>
      </c>
      <c r="L1656" s="13" t="s">
        <v>158</v>
      </c>
      <c r="M1656" t="s">
        <v>3</v>
      </c>
    </row>
    <row r="1657" spans="1:13" x14ac:dyDescent="0.25">
      <c r="A1657" s="13" t="s">
        <v>11850</v>
      </c>
      <c r="B1657" s="13" t="s">
        <v>11850</v>
      </c>
      <c r="C1657" s="13" t="s">
        <v>11851</v>
      </c>
      <c r="D1657" s="13">
        <v>1.9</v>
      </c>
      <c r="E1657" s="13" t="s">
        <v>11852</v>
      </c>
      <c r="F1657" s="13" t="s">
        <v>8867</v>
      </c>
      <c r="G1657" s="13" t="s">
        <v>2</v>
      </c>
      <c r="H1657" s="13" t="s">
        <v>3</v>
      </c>
      <c r="I1657" s="13" t="s">
        <v>3843</v>
      </c>
      <c r="J1657" s="13" t="s">
        <v>8890</v>
      </c>
      <c r="K1657" s="13" t="s">
        <v>8627</v>
      </c>
      <c r="L1657" s="13" t="s">
        <v>158</v>
      </c>
      <c r="M1657" t="s">
        <v>3</v>
      </c>
    </row>
    <row r="1658" spans="1:13" x14ac:dyDescent="0.25">
      <c r="A1658" s="13" t="s">
        <v>9799</v>
      </c>
      <c r="B1658" s="13" t="s">
        <v>9800</v>
      </c>
      <c r="C1658" s="13" t="s">
        <v>9801</v>
      </c>
      <c r="D1658" s="13">
        <v>3</v>
      </c>
      <c r="E1658" s="13" t="s">
        <v>9802</v>
      </c>
      <c r="F1658" s="13" t="s">
        <v>8867</v>
      </c>
      <c r="G1658" s="13" t="s">
        <v>2</v>
      </c>
      <c r="H1658" s="13" t="s">
        <v>3</v>
      </c>
      <c r="I1658" s="13" t="s">
        <v>1283</v>
      </c>
      <c r="J1658" s="13" t="s">
        <v>8890</v>
      </c>
      <c r="K1658" s="13" t="s">
        <v>8524</v>
      </c>
      <c r="L1658" s="13" t="s">
        <v>158</v>
      </c>
      <c r="M1658" t="s">
        <v>3</v>
      </c>
    </row>
    <row r="1659" spans="1:13" x14ac:dyDescent="0.25">
      <c r="A1659" s="13" t="s">
        <v>3844</v>
      </c>
      <c r="B1659" s="13" t="s">
        <v>3845</v>
      </c>
      <c r="C1659" s="13" t="s">
        <v>3846</v>
      </c>
      <c r="D1659" s="13">
        <v>1.2</v>
      </c>
      <c r="E1659" s="13" t="s">
        <v>3847</v>
      </c>
      <c r="F1659" s="13" t="s">
        <v>8867</v>
      </c>
      <c r="G1659" s="13" t="s">
        <v>2</v>
      </c>
      <c r="H1659" s="13" t="s">
        <v>3</v>
      </c>
      <c r="I1659" s="13" t="s">
        <v>1978</v>
      </c>
      <c r="J1659" s="13" t="s">
        <v>8890</v>
      </c>
      <c r="K1659" s="13" t="s">
        <v>8570</v>
      </c>
      <c r="L1659" s="13" t="s">
        <v>158</v>
      </c>
      <c r="M1659" t="s">
        <v>3</v>
      </c>
    </row>
    <row r="1660" spans="1:13" x14ac:dyDescent="0.25">
      <c r="A1660" s="13" t="s">
        <v>10241</v>
      </c>
      <c r="B1660" s="13" t="s">
        <v>10241</v>
      </c>
      <c r="C1660" s="13" t="s">
        <v>10242</v>
      </c>
      <c r="D1660" s="13">
        <v>2</v>
      </c>
      <c r="E1660" s="13" t="s">
        <v>10243</v>
      </c>
      <c r="F1660" s="13" t="s">
        <v>8867</v>
      </c>
      <c r="G1660" s="13" t="s">
        <v>2</v>
      </c>
      <c r="H1660" s="13" t="s">
        <v>3</v>
      </c>
      <c r="I1660" s="13" t="s">
        <v>809</v>
      </c>
      <c r="J1660" s="13" t="s">
        <v>8890</v>
      </c>
      <c r="K1660" s="13" t="s">
        <v>8512</v>
      </c>
      <c r="L1660" s="13" t="s">
        <v>158</v>
      </c>
      <c r="M1660" t="s">
        <v>3</v>
      </c>
    </row>
    <row r="1661" spans="1:13" ht="26.25" x14ac:dyDescent="0.25">
      <c r="A1661" s="13" t="s">
        <v>3848</v>
      </c>
      <c r="B1661" s="13" t="s">
        <v>3848</v>
      </c>
      <c r="C1661" s="13" t="s">
        <v>3849</v>
      </c>
      <c r="D1661" s="13">
        <v>3.2</v>
      </c>
      <c r="E1661" s="13" t="s">
        <v>3850</v>
      </c>
      <c r="F1661" s="13" t="s">
        <v>8867</v>
      </c>
      <c r="G1661" s="13" t="s">
        <v>2</v>
      </c>
      <c r="H1661" s="13" t="s">
        <v>3</v>
      </c>
      <c r="I1661" s="13" t="s">
        <v>3851</v>
      </c>
      <c r="J1661" s="13" t="s">
        <v>8890</v>
      </c>
      <c r="K1661" s="13" t="s">
        <v>8628</v>
      </c>
      <c r="L1661" s="13" t="s">
        <v>158</v>
      </c>
      <c r="M1661" t="s">
        <v>3</v>
      </c>
    </row>
    <row r="1662" spans="1:13" ht="26.25" x14ac:dyDescent="0.25">
      <c r="A1662" s="13" t="s">
        <v>3852</v>
      </c>
      <c r="B1662" s="13" t="s">
        <v>3853</v>
      </c>
      <c r="C1662" s="13" t="s">
        <v>3854</v>
      </c>
      <c r="D1662" s="13">
        <v>42.2</v>
      </c>
      <c r="E1662" s="13" t="s">
        <v>3855</v>
      </c>
      <c r="F1662" s="13" t="s">
        <v>8867</v>
      </c>
      <c r="G1662" s="13" t="s">
        <v>2</v>
      </c>
      <c r="H1662" s="13" t="s">
        <v>9886</v>
      </c>
      <c r="I1662" s="13" t="s">
        <v>1978</v>
      </c>
      <c r="J1662" s="13" t="s">
        <v>8890</v>
      </c>
      <c r="K1662" s="13" t="s">
        <v>8570</v>
      </c>
      <c r="L1662" s="13" t="s">
        <v>158</v>
      </c>
      <c r="M1662" t="s">
        <v>4305</v>
      </c>
    </row>
    <row r="1663" spans="1:13" x14ac:dyDescent="0.25">
      <c r="A1663" s="13" t="s">
        <v>9643</v>
      </c>
      <c r="B1663" s="13" t="s">
        <v>9643</v>
      </c>
      <c r="C1663" s="13" t="s">
        <v>9644</v>
      </c>
      <c r="D1663" s="13">
        <v>3.6</v>
      </c>
      <c r="E1663" s="13" t="s">
        <v>9645</v>
      </c>
      <c r="F1663" s="13" t="s">
        <v>8867</v>
      </c>
      <c r="G1663" s="13" t="s">
        <v>2</v>
      </c>
      <c r="H1663" s="13" t="s">
        <v>3</v>
      </c>
      <c r="I1663" s="13" t="s">
        <v>809</v>
      </c>
      <c r="J1663" s="13" t="s">
        <v>8890</v>
      </c>
      <c r="K1663" s="13" t="s">
        <v>8512</v>
      </c>
      <c r="L1663" s="13" t="s">
        <v>158</v>
      </c>
      <c r="M1663" t="s">
        <v>3</v>
      </c>
    </row>
    <row r="1664" spans="1:13" ht="26.25" x14ac:dyDescent="0.25">
      <c r="A1664" s="13" t="s">
        <v>3856</v>
      </c>
      <c r="B1664" s="13" t="s">
        <v>3856</v>
      </c>
      <c r="C1664" s="13" t="s">
        <v>3857</v>
      </c>
      <c r="D1664" s="13">
        <v>2.4</v>
      </c>
      <c r="E1664" s="13" t="s">
        <v>3858</v>
      </c>
      <c r="F1664" s="13" t="s">
        <v>8867</v>
      </c>
      <c r="G1664" s="13" t="s">
        <v>2</v>
      </c>
      <c r="H1664" s="13" t="s">
        <v>3</v>
      </c>
      <c r="I1664" s="13" t="s">
        <v>1263</v>
      </c>
      <c r="J1664" s="13" t="s">
        <v>8890</v>
      </c>
      <c r="K1664" s="13" t="s">
        <v>8422</v>
      </c>
      <c r="L1664" s="13" t="s">
        <v>158</v>
      </c>
      <c r="M1664" t="s">
        <v>3</v>
      </c>
    </row>
    <row r="1665" spans="1:13" x14ac:dyDescent="0.25">
      <c r="A1665" s="13" t="s">
        <v>10915</v>
      </c>
      <c r="B1665" s="13" t="s">
        <v>10915</v>
      </c>
      <c r="C1665" s="13" t="s">
        <v>10916</v>
      </c>
      <c r="D1665" s="13">
        <v>8.6</v>
      </c>
      <c r="E1665" s="13" t="s">
        <v>10917</v>
      </c>
      <c r="F1665" s="13" t="s">
        <v>8867</v>
      </c>
      <c r="G1665" s="13" t="s">
        <v>2</v>
      </c>
      <c r="H1665" s="13" t="s">
        <v>3</v>
      </c>
      <c r="I1665" s="13" t="s">
        <v>1263</v>
      </c>
      <c r="J1665" s="13" t="s">
        <v>8890</v>
      </c>
      <c r="K1665" s="13" t="s">
        <v>8422</v>
      </c>
      <c r="L1665" s="13" t="s">
        <v>158</v>
      </c>
      <c r="M1665" t="s">
        <v>3</v>
      </c>
    </row>
    <row r="1666" spans="1:13" x14ac:dyDescent="0.25">
      <c r="A1666" s="13" t="s">
        <v>3859</v>
      </c>
      <c r="B1666" s="13" t="s">
        <v>3859</v>
      </c>
      <c r="C1666" s="13" t="s">
        <v>3859</v>
      </c>
      <c r="D1666" s="13">
        <v>12.5</v>
      </c>
      <c r="E1666" s="13" t="s">
        <v>3860</v>
      </c>
      <c r="F1666" s="13" t="s">
        <v>8867</v>
      </c>
      <c r="G1666" s="13" t="s">
        <v>2</v>
      </c>
      <c r="H1666" s="13" t="s">
        <v>10910</v>
      </c>
      <c r="I1666" s="13" t="s">
        <v>228</v>
      </c>
      <c r="J1666" s="13" t="s">
        <v>8890</v>
      </c>
      <c r="K1666" s="13" t="s">
        <v>8418</v>
      </c>
      <c r="L1666" s="13" t="s">
        <v>158</v>
      </c>
      <c r="M1666" t="s">
        <v>10910</v>
      </c>
    </row>
    <row r="1667" spans="1:13" x14ac:dyDescent="0.25">
      <c r="A1667" s="13" t="s">
        <v>10548</v>
      </c>
      <c r="B1667" s="13" t="s">
        <v>10549</v>
      </c>
      <c r="C1667" s="13" t="s">
        <v>10550</v>
      </c>
      <c r="D1667" s="13">
        <v>42.6</v>
      </c>
      <c r="E1667" s="13" t="s">
        <v>10551</v>
      </c>
      <c r="F1667" s="13" t="s">
        <v>8867</v>
      </c>
      <c r="G1667" s="13" t="s">
        <v>2</v>
      </c>
      <c r="H1667" s="13" t="s">
        <v>3</v>
      </c>
      <c r="I1667" s="13" t="s">
        <v>4522</v>
      </c>
      <c r="J1667" s="13" t="s">
        <v>8890</v>
      </c>
      <c r="K1667" s="13" t="s">
        <v>8514</v>
      </c>
      <c r="L1667" s="13" t="s">
        <v>158</v>
      </c>
      <c r="M1667" t="s">
        <v>3</v>
      </c>
    </row>
    <row r="1668" spans="1:13" x14ac:dyDescent="0.25">
      <c r="A1668" s="13" t="s">
        <v>3861</v>
      </c>
      <c r="B1668" s="13" t="s">
        <v>3861</v>
      </c>
      <c r="C1668" s="13" t="s">
        <v>3861</v>
      </c>
      <c r="D1668" s="13">
        <v>40</v>
      </c>
      <c r="E1668" s="13" t="s">
        <v>3862</v>
      </c>
      <c r="F1668" s="13" t="s">
        <v>8867</v>
      </c>
      <c r="G1668" s="13" t="s">
        <v>2</v>
      </c>
      <c r="H1668" s="13" t="s">
        <v>3</v>
      </c>
      <c r="I1668" s="13" t="s">
        <v>228</v>
      </c>
      <c r="J1668" s="13" t="s">
        <v>8890</v>
      </c>
      <c r="K1668" s="13" t="s">
        <v>8418</v>
      </c>
      <c r="L1668" s="13" t="s">
        <v>158</v>
      </c>
      <c r="M1668" t="s">
        <v>3</v>
      </c>
    </row>
    <row r="1669" spans="1:13" x14ac:dyDescent="0.25">
      <c r="A1669" s="13" t="s">
        <v>11853</v>
      </c>
      <c r="B1669" s="13" t="s">
        <v>11854</v>
      </c>
      <c r="C1669" s="13" t="s">
        <v>11855</v>
      </c>
      <c r="D1669" s="13">
        <v>3.2</v>
      </c>
      <c r="E1669" s="13" t="s">
        <v>11856</v>
      </c>
      <c r="F1669" s="13" t="s">
        <v>8867</v>
      </c>
      <c r="G1669" s="13" t="s">
        <v>2</v>
      </c>
      <c r="H1669" s="13" t="s">
        <v>3</v>
      </c>
      <c r="I1669" s="13" t="s">
        <v>809</v>
      </c>
      <c r="J1669" s="13" t="s">
        <v>8890</v>
      </c>
      <c r="K1669" s="13" t="s">
        <v>8512</v>
      </c>
      <c r="L1669" s="13" t="s">
        <v>158</v>
      </c>
      <c r="M1669" t="s">
        <v>3</v>
      </c>
    </row>
    <row r="1670" spans="1:13" x14ac:dyDescent="0.25">
      <c r="A1670" s="13" t="s">
        <v>10244</v>
      </c>
      <c r="B1670" s="13" t="s">
        <v>10245</v>
      </c>
      <c r="C1670" s="13" t="s">
        <v>10246</v>
      </c>
      <c r="D1670" s="13">
        <v>40</v>
      </c>
      <c r="E1670" s="13" t="s">
        <v>10247</v>
      </c>
      <c r="F1670" s="13" t="s">
        <v>8867</v>
      </c>
      <c r="G1670" s="13" t="s">
        <v>2</v>
      </c>
      <c r="H1670" s="13" t="s">
        <v>3</v>
      </c>
      <c r="I1670" s="13" t="s">
        <v>4522</v>
      </c>
      <c r="J1670" s="13" t="s">
        <v>8890</v>
      </c>
      <c r="K1670" s="13" t="s">
        <v>8514</v>
      </c>
      <c r="L1670" s="13" t="s">
        <v>158</v>
      </c>
      <c r="M1670" t="s">
        <v>3</v>
      </c>
    </row>
    <row r="1671" spans="1:13" x14ac:dyDescent="0.25">
      <c r="A1671" s="13" t="s">
        <v>3863</v>
      </c>
      <c r="B1671" s="13" t="s">
        <v>3863</v>
      </c>
      <c r="C1671" s="13" t="s">
        <v>3863</v>
      </c>
      <c r="D1671" s="13">
        <v>12.5</v>
      </c>
      <c r="E1671" s="13" t="s">
        <v>3864</v>
      </c>
      <c r="F1671" s="13" t="s">
        <v>8867</v>
      </c>
      <c r="G1671" s="13" t="s">
        <v>2</v>
      </c>
      <c r="H1671" s="13" t="s">
        <v>10910</v>
      </c>
      <c r="I1671" s="13" t="s">
        <v>228</v>
      </c>
      <c r="J1671" s="13" t="s">
        <v>8890</v>
      </c>
      <c r="K1671" s="13" t="s">
        <v>8418</v>
      </c>
      <c r="L1671" s="13" t="s">
        <v>158</v>
      </c>
      <c r="M1671" t="s">
        <v>10910</v>
      </c>
    </row>
    <row r="1672" spans="1:13" x14ac:dyDescent="0.25">
      <c r="A1672" s="13" t="s">
        <v>3865</v>
      </c>
      <c r="B1672" s="13" t="s">
        <v>3865</v>
      </c>
      <c r="C1672" s="13" t="s">
        <v>3865</v>
      </c>
      <c r="D1672" s="13">
        <v>10</v>
      </c>
      <c r="E1672" s="13" t="s">
        <v>3866</v>
      </c>
      <c r="F1672" s="13" t="s">
        <v>8867</v>
      </c>
      <c r="G1672" s="13" t="s">
        <v>2</v>
      </c>
      <c r="H1672" s="13" t="s">
        <v>10910</v>
      </c>
      <c r="I1672" s="13" t="s">
        <v>228</v>
      </c>
      <c r="J1672" s="13" t="s">
        <v>8890</v>
      </c>
      <c r="K1672" s="13" t="s">
        <v>8418</v>
      </c>
      <c r="L1672" s="13" t="s">
        <v>158</v>
      </c>
      <c r="M1672" t="s">
        <v>10910</v>
      </c>
    </row>
    <row r="1673" spans="1:13" x14ac:dyDescent="0.25">
      <c r="A1673" s="13" t="s">
        <v>10248</v>
      </c>
      <c r="B1673" s="13" t="s">
        <v>10249</v>
      </c>
      <c r="C1673" s="13" t="s">
        <v>10250</v>
      </c>
      <c r="D1673" s="13">
        <v>40</v>
      </c>
      <c r="E1673" s="13" t="s">
        <v>10251</v>
      </c>
      <c r="F1673" s="13" t="s">
        <v>8867</v>
      </c>
      <c r="G1673" s="13" t="s">
        <v>2</v>
      </c>
      <c r="H1673" s="13" t="s">
        <v>8984</v>
      </c>
      <c r="I1673" s="13" t="s">
        <v>4522</v>
      </c>
      <c r="J1673" s="13" t="s">
        <v>8890</v>
      </c>
      <c r="K1673" s="13" t="s">
        <v>8514</v>
      </c>
      <c r="L1673" s="13" t="s">
        <v>158</v>
      </c>
      <c r="M1673" t="s">
        <v>10686</v>
      </c>
    </row>
    <row r="1674" spans="1:13" x14ac:dyDescent="0.25">
      <c r="A1674" s="13" t="s">
        <v>3867</v>
      </c>
      <c r="B1674" s="13" t="s">
        <v>3868</v>
      </c>
      <c r="C1674" s="13" t="s">
        <v>3868</v>
      </c>
      <c r="D1674" s="13">
        <v>1.7</v>
      </c>
      <c r="E1674" s="13" t="s">
        <v>3869</v>
      </c>
      <c r="F1674" s="13" t="s">
        <v>8867</v>
      </c>
      <c r="G1674" s="13" t="s">
        <v>2</v>
      </c>
      <c r="H1674" s="13" t="s">
        <v>3</v>
      </c>
      <c r="I1674" s="13" t="s">
        <v>497</v>
      </c>
      <c r="J1674" s="13" t="s">
        <v>8890</v>
      </c>
      <c r="K1674" s="13" t="s">
        <v>8475</v>
      </c>
      <c r="L1674" s="13" t="s">
        <v>158</v>
      </c>
      <c r="M1674" t="s">
        <v>3</v>
      </c>
    </row>
    <row r="1675" spans="1:13" x14ac:dyDescent="0.25">
      <c r="A1675" s="13" t="s">
        <v>11317</v>
      </c>
      <c r="B1675" s="13" t="s">
        <v>11318</v>
      </c>
      <c r="C1675" s="13" t="s">
        <v>11319</v>
      </c>
      <c r="D1675" s="13">
        <v>33.200000000000003</v>
      </c>
      <c r="E1675" s="13" t="s">
        <v>11320</v>
      </c>
      <c r="F1675" s="13" t="s">
        <v>8867</v>
      </c>
      <c r="G1675" s="13" t="s">
        <v>2</v>
      </c>
      <c r="H1675" s="13" t="s">
        <v>3</v>
      </c>
      <c r="I1675" s="13" t="s">
        <v>809</v>
      </c>
      <c r="J1675" s="13" t="s">
        <v>8890</v>
      </c>
      <c r="K1675" s="13" t="s">
        <v>8512</v>
      </c>
      <c r="L1675" s="13" t="s">
        <v>158</v>
      </c>
      <c r="M1675" t="s">
        <v>3</v>
      </c>
    </row>
    <row r="1676" spans="1:13" ht="26.25" x14ac:dyDescent="0.25">
      <c r="A1676" s="13" t="s">
        <v>3870</v>
      </c>
      <c r="B1676" s="13" t="s">
        <v>3870</v>
      </c>
      <c r="C1676" s="13" t="s">
        <v>3870</v>
      </c>
      <c r="D1676" s="13">
        <v>39.6</v>
      </c>
      <c r="E1676" s="13" t="s">
        <v>3871</v>
      </c>
      <c r="F1676" s="13" t="s">
        <v>8867</v>
      </c>
      <c r="G1676" s="13" t="s">
        <v>2</v>
      </c>
      <c r="H1676" s="13" t="s">
        <v>3</v>
      </c>
      <c r="I1676" s="13" t="s">
        <v>228</v>
      </c>
      <c r="J1676" s="13" t="s">
        <v>8890</v>
      </c>
      <c r="K1676" s="13" t="s">
        <v>8418</v>
      </c>
      <c r="L1676" s="13" t="s">
        <v>158</v>
      </c>
      <c r="M1676" t="s">
        <v>3</v>
      </c>
    </row>
    <row r="1677" spans="1:13" ht="26.25" x14ac:dyDescent="0.25">
      <c r="A1677" s="13" t="s">
        <v>3872</v>
      </c>
      <c r="B1677" s="13" t="s">
        <v>3872</v>
      </c>
      <c r="C1677" s="13" t="s">
        <v>3872</v>
      </c>
      <c r="D1677" s="13">
        <v>40</v>
      </c>
      <c r="E1677" s="13" t="s">
        <v>3873</v>
      </c>
      <c r="F1677" s="13" t="s">
        <v>8867</v>
      </c>
      <c r="G1677" s="13" t="s">
        <v>2</v>
      </c>
      <c r="H1677" s="13" t="s">
        <v>3</v>
      </c>
      <c r="I1677" s="13" t="s">
        <v>228</v>
      </c>
      <c r="J1677" s="13" t="s">
        <v>8890</v>
      </c>
      <c r="K1677" s="13" t="s">
        <v>8418</v>
      </c>
      <c r="L1677" s="13" t="s">
        <v>158</v>
      </c>
      <c r="M1677" t="s">
        <v>3</v>
      </c>
    </row>
    <row r="1678" spans="1:13" x14ac:dyDescent="0.25">
      <c r="A1678" s="13" t="s">
        <v>3874</v>
      </c>
      <c r="B1678" s="13" t="s">
        <v>3874</v>
      </c>
      <c r="C1678" s="13" t="s">
        <v>3874</v>
      </c>
      <c r="D1678" s="13">
        <v>12.5</v>
      </c>
      <c r="E1678" s="13" t="s">
        <v>3875</v>
      </c>
      <c r="F1678" s="13" t="s">
        <v>8867</v>
      </c>
      <c r="G1678" s="13" t="s">
        <v>2</v>
      </c>
      <c r="H1678" s="13" t="s">
        <v>10910</v>
      </c>
      <c r="I1678" s="13" t="s">
        <v>228</v>
      </c>
      <c r="J1678" s="13" t="s">
        <v>8890</v>
      </c>
      <c r="K1678" s="13" t="s">
        <v>8418</v>
      </c>
      <c r="L1678" s="13" t="s">
        <v>158</v>
      </c>
      <c r="M1678" t="s">
        <v>10910</v>
      </c>
    </row>
    <row r="1679" spans="1:13" x14ac:dyDescent="0.25">
      <c r="A1679" s="13" t="s">
        <v>3876</v>
      </c>
      <c r="B1679" s="13" t="s">
        <v>3876</v>
      </c>
      <c r="C1679" s="13" t="s">
        <v>3876</v>
      </c>
      <c r="D1679" s="13">
        <v>7</v>
      </c>
      <c r="E1679" s="13" t="s">
        <v>3877</v>
      </c>
      <c r="F1679" s="13" t="s">
        <v>8867</v>
      </c>
      <c r="G1679" s="13" t="s">
        <v>2</v>
      </c>
      <c r="H1679" s="13" t="s">
        <v>3</v>
      </c>
      <c r="I1679" s="13" t="s">
        <v>228</v>
      </c>
      <c r="J1679" s="13" t="s">
        <v>8890</v>
      </c>
      <c r="K1679" s="13" t="s">
        <v>8418</v>
      </c>
      <c r="L1679" s="13" t="s">
        <v>158</v>
      </c>
      <c r="M1679" t="s">
        <v>3</v>
      </c>
    </row>
    <row r="1680" spans="1:13" x14ac:dyDescent="0.25">
      <c r="A1680" s="13" t="s">
        <v>11857</v>
      </c>
      <c r="B1680" s="13" t="s">
        <v>11858</v>
      </c>
      <c r="C1680" s="13" t="s">
        <v>11859</v>
      </c>
      <c r="D1680" s="13">
        <v>4.7</v>
      </c>
      <c r="E1680" s="13" t="s">
        <v>11860</v>
      </c>
      <c r="F1680" s="13" t="s">
        <v>8867</v>
      </c>
      <c r="G1680" s="13" t="s">
        <v>2</v>
      </c>
      <c r="H1680" s="13" t="s">
        <v>3</v>
      </c>
      <c r="I1680" s="13" t="s">
        <v>809</v>
      </c>
      <c r="J1680" s="13" t="s">
        <v>8890</v>
      </c>
      <c r="K1680" s="13" t="s">
        <v>8512</v>
      </c>
      <c r="L1680" s="13" t="s">
        <v>158</v>
      </c>
      <c r="M1680" t="s">
        <v>3</v>
      </c>
    </row>
    <row r="1681" spans="1:13" x14ac:dyDescent="0.25">
      <c r="A1681" s="13" t="s">
        <v>11861</v>
      </c>
      <c r="B1681" s="13" t="s">
        <v>11862</v>
      </c>
      <c r="C1681" s="13" t="s">
        <v>11863</v>
      </c>
      <c r="D1681" s="13">
        <v>4.7</v>
      </c>
      <c r="E1681" s="13" t="s">
        <v>11864</v>
      </c>
      <c r="F1681" s="13" t="s">
        <v>8867</v>
      </c>
      <c r="G1681" s="13" t="s">
        <v>2</v>
      </c>
      <c r="H1681" s="13" t="s">
        <v>3</v>
      </c>
      <c r="I1681" s="13" t="s">
        <v>809</v>
      </c>
      <c r="J1681" s="13" t="s">
        <v>8890</v>
      </c>
      <c r="K1681" s="13" t="s">
        <v>8512</v>
      </c>
      <c r="L1681" s="13" t="s">
        <v>158</v>
      </c>
      <c r="M1681" t="s">
        <v>3</v>
      </c>
    </row>
    <row r="1682" spans="1:13" x14ac:dyDescent="0.25">
      <c r="A1682" s="13" t="s">
        <v>10552</v>
      </c>
      <c r="B1682" s="13" t="s">
        <v>10553</v>
      </c>
      <c r="C1682" s="13" t="s">
        <v>10554</v>
      </c>
      <c r="D1682" s="13">
        <v>9</v>
      </c>
      <c r="E1682" s="13" t="s">
        <v>10555</v>
      </c>
      <c r="F1682" s="13" t="s">
        <v>8867</v>
      </c>
      <c r="G1682" s="13" t="s">
        <v>2</v>
      </c>
      <c r="H1682" s="13" t="s">
        <v>3</v>
      </c>
      <c r="I1682" s="13" t="s">
        <v>4522</v>
      </c>
      <c r="J1682" s="13" t="s">
        <v>8890</v>
      </c>
      <c r="K1682" s="13" t="s">
        <v>8514</v>
      </c>
      <c r="L1682" s="13" t="s">
        <v>158</v>
      </c>
      <c r="M1682" t="s">
        <v>3</v>
      </c>
    </row>
    <row r="1683" spans="1:13" x14ac:dyDescent="0.25">
      <c r="A1683" s="13" t="s">
        <v>10556</v>
      </c>
      <c r="B1683" s="13" t="s">
        <v>10557</v>
      </c>
      <c r="C1683" s="13" t="s">
        <v>10558</v>
      </c>
      <c r="D1683" s="13">
        <v>3.6</v>
      </c>
      <c r="E1683" s="13" t="s">
        <v>10559</v>
      </c>
      <c r="F1683" s="13" t="s">
        <v>8867</v>
      </c>
      <c r="G1683" s="13" t="s">
        <v>2</v>
      </c>
      <c r="H1683" s="13" t="s">
        <v>3</v>
      </c>
      <c r="I1683" s="13" t="s">
        <v>4522</v>
      </c>
      <c r="J1683" s="13" t="s">
        <v>8890</v>
      </c>
      <c r="K1683" s="13" t="s">
        <v>8514</v>
      </c>
      <c r="L1683" s="13" t="s">
        <v>158</v>
      </c>
      <c r="M1683" t="s">
        <v>3</v>
      </c>
    </row>
    <row r="1684" spans="1:13" x14ac:dyDescent="0.25">
      <c r="A1684" s="13" t="s">
        <v>3878</v>
      </c>
      <c r="B1684" s="13" t="s">
        <v>3878</v>
      </c>
      <c r="C1684" s="13" t="s">
        <v>3878</v>
      </c>
      <c r="D1684" s="13">
        <v>0.8</v>
      </c>
      <c r="E1684" s="13" t="s">
        <v>3879</v>
      </c>
      <c r="F1684" s="13" t="s">
        <v>8867</v>
      </c>
      <c r="G1684" s="13" t="s">
        <v>2</v>
      </c>
      <c r="H1684" s="13" t="s">
        <v>3</v>
      </c>
      <c r="I1684" s="13" t="s">
        <v>3218</v>
      </c>
      <c r="J1684" s="13" t="s">
        <v>8890</v>
      </c>
      <c r="K1684" s="13" t="s">
        <v>8620</v>
      </c>
      <c r="L1684" s="13" t="s">
        <v>158</v>
      </c>
      <c r="M1684" t="s">
        <v>3</v>
      </c>
    </row>
    <row r="1685" spans="1:13" ht="26.25" x14ac:dyDescent="0.25">
      <c r="A1685" s="13" t="s">
        <v>3880</v>
      </c>
      <c r="B1685" s="13" t="s">
        <v>3880</v>
      </c>
      <c r="C1685" s="13" t="s">
        <v>3881</v>
      </c>
      <c r="D1685" s="13">
        <v>2.1</v>
      </c>
      <c r="E1685" s="13" t="s">
        <v>3882</v>
      </c>
      <c r="F1685" s="13" t="s">
        <v>8867</v>
      </c>
      <c r="G1685" s="13" t="s">
        <v>2</v>
      </c>
      <c r="H1685" s="13" t="s">
        <v>3</v>
      </c>
      <c r="I1685" s="13" t="s">
        <v>3883</v>
      </c>
      <c r="J1685" s="13" t="s">
        <v>8890</v>
      </c>
      <c r="K1685" s="13" t="s">
        <v>8629</v>
      </c>
      <c r="L1685" s="13" t="s">
        <v>158</v>
      </c>
      <c r="M1685" t="s">
        <v>3</v>
      </c>
    </row>
    <row r="1686" spans="1:13" x14ac:dyDescent="0.25">
      <c r="A1686" s="13" t="s">
        <v>9646</v>
      </c>
      <c r="B1686" s="13" t="s">
        <v>9646</v>
      </c>
      <c r="C1686" s="13" t="s">
        <v>9646</v>
      </c>
      <c r="D1686" s="13">
        <v>0.2</v>
      </c>
      <c r="E1686" s="13" t="s">
        <v>9647</v>
      </c>
      <c r="F1686" s="13" t="s">
        <v>8867</v>
      </c>
      <c r="G1686" s="13" t="s">
        <v>2</v>
      </c>
      <c r="H1686" s="13" t="s">
        <v>3</v>
      </c>
      <c r="I1686" s="13" t="s">
        <v>157</v>
      </c>
      <c r="J1686" s="13" t="s">
        <v>8890</v>
      </c>
      <c r="K1686" s="13" t="s">
        <v>8441</v>
      </c>
      <c r="L1686" s="13" t="s">
        <v>158</v>
      </c>
      <c r="M1686" t="s">
        <v>3</v>
      </c>
    </row>
    <row r="1687" spans="1:13" x14ac:dyDescent="0.25">
      <c r="A1687" s="13" t="s">
        <v>3884</v>
      </c>
      <c r="B1687" s="13" t="s">
        <v>3884</v>
      </c>
      <c r="C1687" s="13" t="s">
        <v>3884</v>
      </c>
      <c r="D1687" s="13">
        <v>5.2</v>
      </c>
      <c r="E1687" s="13" t="s">
        <v>3885</v>
      </c>
      <c r="F1687" s="13" t="s">
        <v>8867</v>
      </c>
      <c r="G1687" s="13" t="s">
        <v>2</v>
      </c>
      <c r="H1687" s="13" t="s">
        <v>3</v>
      </c>
      <c r="I1687" s="13" t="s">
        <v>706</v>
      </c>
      <c r="J1687" s="13" t="s">
        <v>8890</v>
      </c>
      <c r="K1687" s="13" t="s">
        <v>8419</v>
      </c>
      <c r="L1687" s="13" t="s">
        <v>158</v>
      </c>
      <c r="M1687" t="s">
        <v>3</v>
      </c>
    </row>
    <row r="1688" spans="1:13" x14ac:dyDescent="0.25">
      <c r="A1688" s="13" t="s">
        <v>3886</v>
      </c>
      <c r="B1688" s="13" t="s">
        <v>3886</v>
      </c>
      <c r="C1688" s="13" t="s">
        <v>3886</v>
      </c>
      <c r="D1688" s="13">
        <v>4.7</v>
      </c>
      <c r="E1688" s="13" t="s">
        <v>3887</v>
      </c>
      <c r="F1688" s="13" t="s">
        <v>8867</v>
      </c>
      <c r="G1688" s="13" t="s">
        <v>2</v>
      </c>
      <c r="H1688" s="13" t="s">
        <v>3</v>
      </c>
      <c r="I1688" s="13" t="s">
        <v>706</v>
      </c>
      <c r="J1688" s="13" t="s">
        <v>8890</v>
      </c>
      <c r="K1688" s="13" t="s">
        <v>8419</v>
      </c>
      <c r="L1688" s="13" t="s">
        <v>158</v>
      </c>
      <c r="M1688" t="s">
        <v>3</v>
      </c>
    </row>
    <row r="1689" spans="1:13" ht="26.25" x14ac:dyDescent="0.25">
      <c r="A1689" s="13" t="s">
        <v>3888</v>
      </c>
      <c r="B1689" s="13" t="s">
        <v>3888</v>
      </c>
      <c r="C1689" s="13" t="s">
        <v>3889</v>
      </c>
      <c r="D1689" s="13">
        <v>1.1000000000000001</v>
      </c>
      <c r="E1689" s="13" t="s">
        <v>3890</v>
      </c>
      <c r="F1689" s="13" t="s">
        <v>8867</v>
      </c>
      <c r="G1689" s="13" t="s">
        <v>2</v>
      </c>
      <c r="H1689" s="13" t="s">
        <v>3</v>
      </c>
      <c r="I1689" s="13" t="s">
        <v>4</v>
      </c>
      <c r="J1689" s="13" t="s">
        <v>8890</v>
      </c>
      <c r="K1689" s="13" t="s">
        <v>8424</v>
      </c>
      <c r="L1689" s="13" t="s">
        <v>158</v>
      </c>
      <c r="M1689" t="s">
        <v>3</v>
      </c>
    </row>
    <row r="1690" spans="1:13" x14ac:dyDescent="0.25">
      <c r="A1690" s="13" t="s">
        <v>3891</v>
      </c>
      <c r="B1690" s="13" t="s">
        <v>3892</v>
      </c>
      <c r="C1690" s="13" t="s">
        <v>3893</v>
      </c>
      <c r="D1690" s="13">
        <v>0</v>
      </c>
      <c r="E1690" s="13" t="s">
        <v>3894</v>
      </c>
      <c r="F1690" s="13" t="s">
        <v>8867</v>
      </c>
      <c r="G1690" s="13" t="s">
        <v>2</v>
      </c>
      <c r="H1690" s="13" t="s">
        <v>3</v>
      </c>
      <c r="I1690" s="13" t="s">
        <v>399</v>
      </c>
      <c r="J1690" s="13" t="s">
        <v>8890</v>
      </c>
      <c r="K1690" s="13" t="s">
        <v>8464</v>
      </c>
      <c r="L1690" s="13" t="s">
        <v>158</v>
      </c>
      <c r="M1690" t="s">
        <v>3</v>
      </c>
    </row>
    <row r="1691" spans="1:13" x14ac:dyDescent="0.25">
      <c r="A1691" s="13" t="s">
        <v>11865</v>
      </c>
      <c r="B1691" s="13" t="s">
        <v>11865</v>
      </c>
      <c r="C1691" s="13" t="s">
        <v>11865</v>
      </c>
      <c r="D1691" s="13">
        <v>1.4</v>
      </c>
      <c r="E1691" s="13" t="s">
        <v>11866</v>
      </c>
      <c r="F1691" s="13" t="s">
        <v>8867</v>
      </c>
      <c r="G1691" s="13" t="s">
        <v>2</v>
      </c>
      <c r="H1691" s="13" t="s">
        <v>3</v>
      </c>
      <c r="I1691" s="13" t="s">
        <v>421</v>
      </c>
      <c r="J1691" s="13" t="s">
        <v>8890</v>
      </c>
      <c r="K1691" s="13" t="s">
        <v>8467</v>
      </c>
      <c r="L1691" s="13" t="s">
        <v>158</v>
      </c>
      <c r="M1691" t="s">
        <v>3</v>
      </c>
    </row>
    <row r="1692" spans="1:13" x14ac:dyDescent="0.25">
      <c r="A1692" s="13" t="s">
        <v>3895</v>
      </c>
      <c r="B1692" s="13" t="s">
        <v>3895</v>
      </c>
      <c r="C1692" s="13" t="s">
        <v>3895</v>
      </c>
      <c r="D1692" s="13">
        <v>2.2000000000000002</v>
      </c>
      <c r="E1692" s="13" t="s">
        <v>3896</v>
      </c>
      <c r="F1692" s="13" t="s">
        <v>8867</v>
      </c>
      <c r="G1692" s="13" t="s">
        <v>2</v>
      </c>
      <c r="H1692" s="13" t="s">
        <v>3</v>
      </c>
      <c r="I1692" s="13" t="s">
        <v>426</v>
      </c>
      <c r="J1692" s="13" t="s">
        <v>8890</v>
      </c>
      <c r="K1692" s="13" t="s">
        <v>8468</v>
      </c>
      <c r="L1692" s="13" t="s">
        <v>158</v>
      </c>
      <c r="M1692" t="s">
        <v>3</v>
      </c>
    </row>
    <row r="1693" spans="1:13" ht="26.25" x14ac:dyDescent="0.25">
      <c r="A1693" s="13" t="s">
        <v>3897</v>
      </c>
      <c r="B1693" s="13" t="s">
        <v>3897</v>
      </c>
      <c r="C1693" s="13" t="s">
        <v>3897</v>
      </c>
      <c r="D1693" s="13">
        <v>14.4</v>
      </c>
      <c r="E1693" s="13" t="s">
        <v>3898</v>
      </c>
      <c r="F1693" s="13" t="s">
        <v>8867</v>
      </c>
      <c r="G1693" s="13" t="s">
        <v>2</v>
      </c>
      <c r="H1693" s="13" t="s">
        <v>3</v>
      </c>
      <c r="I1693" s="13" t="s">
        <v>612</v>
      </c>
      <c r="J1693" s="13" t="s">
        <v>8890</v>
      </c>
      <c r="K1693" s="13" t="s">
        <v>8488</v>
      </c>
      <c r="L1693" s="13" t="s">
        <v>158</v>
      </c>
      <c r="M1693" t="s">
        <v>3</v>
      </c>
    </row>
    <row r="1694" spans="1:13" x14ac:dyDescent="0.25">
      <c r="A1694" s="13" t="s">
        <v>3899</v>
      </c>
      <c r="B1694" s="13" t="s">
        <v>3899</v>
      </c>
      <c r="C1694" s="13" t="s">
        <v>3900</v>
      </c>
      <c r="D1694" s="13">
        <v>51.6</v>
      </c>
      <c r="E1694" s="13" t="s">
        <v>3901</v>
      </c>
      <c r="F1694" s="13" t="s">
        <v>8867</v>
      </c>
      <c r="G1694" s="13" t="s">
        <v>2</v>
      </c>
      <c r="H1694" s="13" t="s">
        <v>3</v>
      </c>
      <c r="I1694" s="13" t="s">
        <v>706</v>
      </c>
      <c r="J1694" s="13" t="s">
        <v>8890</v>
      </c>
      <c r="K1694" s="13" t="s">
        <v>8419</v>
      </c>
      <c r="L1694" s="13" t="s">
        <v>158</v>
      </c>
      <c r="M1694" t="s">
        <v>3</v>
      </c>
    </row>
    <row r="1695" spans="1:13" x14ac:dyDescent="0.25">
      <c r="A1695" s="13" t="s">
        <v>3902</v>
      </c>
      <c r="B1695" s="13" t="s">
        <v>3902</v>
      </c>
      <c r="C1695" s="13" t="s">
        <v>3903</v>
      </c>
      <c r="D1695" s="13">
        <v>0.5</v>
      </c>
      <c r="E1695" s="13" t="s">
        <v>3904</v>
      </c>
      <c r="F1695" s="13" t="s">
        <v>8867</v>
      </c>
      <c r="G1695" s="13" t="s">
        <v>2</v>
      </c>
      <c r="H1695" s="13" t="s">
        <v>3</v>
      </c>
      <c r="I1695" s="13" t="s">
        <v>744</v>
      </c>
      <c r="J1695" s="13" t="s">
        <v>8890</v>
      </c>
      <c r="K1695" s="13" t="s">
        <v>8417</v>
      </c>
      <c r="L1695" s="13" t="s">
        <v>158</v>
      </c>
      <c r="M1695" t="s">
        <v>3</v>
      </c>
    </row>
    <row r="1696" spans="1:13" ht="26.25" x14ac:dyDescent="0.25">
      <c r="A1696" s="13" t="s">
        <v>3905</v>
      </c>
      <c r="B1696" s="13" t="s">
        <v>3905</v>
      </c>
      <c r="C1696" s="13" t="s">
        <v>3906</v>
      </c>
      <c r="D1696" s="13">
        <v>0</v>
      </c>
      <c r="E1696" s="13" t="s">
        <v>3907</v>
      </c>
      <c r="F1696" s="13" t="s">
        <v>8867</v>
      </c>
      <c r="G1696" s="13" t="s">
        <v>2</v>
      </c>
      <c r="H1696" s="13" t="s">
        <v>3</v>
      </c>
      <c r="I1696" s="13" t="s">
        <v>1562</v>
      </c>
      <c r="J1696" s="13" t="s">
        <v>8890</v>
      </c>
      <c r="K1696" s="13" t="s">
        <v>8423</v>
      </c>
      <c r="L1696" s="13" t="s">
        <v>158</v>
      </c>
      <c r="M1696" t="s">
        <v>3</v>
      </c>
    </row>
    <row r="1697" spans="1:13" x14ac:dyDescent="0.25">
      <c r="A1697" s="13" t="s">
        <v>3908</v>
      </c>
      <c r="B1697" s="13" t="s">
        <v>3909</v>
      </c>
      <c r="C1697" s="13" t="s">
        <v>3910</v>
      </c>
      <c r="D1697" s="13">
        <v>8.5</v>
      </c>
      <c r="E1697" s="13" t="s">
        <v>3911</v>
      </c>
      <c r="F1697" s="13" t="s">
        <v>8867</v>
      </c>
      <c r="G1697" s="13" t="s">
        <v>2</v>
      </c>
      <c r="H1697" s="13" t="s">
        <v>3</v>
      </c>
      <c r="I1697" s="13" t="s">
        <v>832</v>
      </c>
      <c r="J1697" s="13" t="s">
        <v>8890</v>
      </c>
      <c r="K1697" s="13" t="s">
        <v>8515</v>
      </c>
      <c r="L1697" s="13" t="s">
        <v>158</v>
      </c>
      <c r="M1697" t="s">
        <v>3</v>
      </c>
    </row>
    <row r="1698" spans="1:13" x14ac:dyDescent="0.25">
      <c r="A1698" s="13" t="s">
        <v>3912</v>
      </c>
      <c r="B1698" s="13" t="s">
        <v>3913</v>
      </c>
      <c r="C1698" s="13" t="s">
        <v>3914</v>
      </c>
      <c r="D1698" s="13">
        <v>11.6</v>
      </c>
      <c r="E1698" s="13" t="s">
        <v>3915</v>
      </c>
      <c r="F1698" s="13" t="s">
        <v>8867</v>
      </c>
      <c r="G1698" s="13" t="s">
        <v>2</v>
      </c>
      <c r="H1698" s="13" t="s">
        <v>3</v>
      </c>
      <c r="I1698" s="13" t="s">
        <v>1127</v>
      </c>
      <c r="J1698" s="13" t="s">
        <v>8890</v>
      </c>
      <c r="K1698" s="13" t="s">
        <v>8526</v>
      </c>
      <c r="L1698" s="13" t="s">
        <v>158</v>
      </c>
      <c r="M1698" t="s">
        <v>3</v>
      </c>
    </row>
    <row r="1699" spans="1:13" ht="26.25" x14ac:dyDescent="0.25">
      <c r="A1699" s="13" t="s">
        <v>3916</v>
      </c>
      <c r="B1699" s="13" t="s">
        <v>3916</v>
      </c>
      <c r="C1699" s="13" t="s">
        <v>3917</v>
      </c>
      <c r="D1699" s="13">
        <v>4.2</v>
      </c>
      <c r="E1699" s="13" t="s">
        <v>3918</v>
      </c>
      <c r="F1699" s="13" t="s">
        <v>8867</v>
      </c>
      <c r="G1699" s="13" t="s">
        <v>2</v>
      </c>
      <c r="H1699" s="13" t="s">
        <v>3</v>
      </c>
      <c r="I1699" s="13" t="s">
        <v>429</v>
      </c>
      <c r="J1699" s="13" t="s">
        <v>8890</v>
      </c>
      <c r="K1699" s="13" t="s">
        <v>6051</v>
      </c>
      <c r="L1699" s="13" t="s">
        <v>158</v>
      </c>
      <c r="M1699" t="s">
        <v>3</v>
      </c>
    </row>
    <row r="1700" spans="1:13" x14ac:dyDescent="0.25">
      <c r="A1700" s="13" t="s">
        <v>3919</v>
      </c>
      <c r="B1700" s="13" t="s">
        <v>3919</v>
      </c>
      <c r="C1700" s="13" t="s">
        <v>3920</v>
      </c>
      <c r="D1700" s="13">
        <v>1</v>
      </c>
      <c r="E1700" s="13" t="s">
        <v>3921</v>
      </c>
      <c r="F1700" s="13" t="s">
        <v>8867</v>
      </c>
      <c r="G1700" s="13" t="s">
        <v>2</v>
      </c>
      <c r="H1700" s="13" t="s">
        <v>3</v>
      </c>
      <c r="I1700" s="13" t="s">
        <v>447</v>
      </c>
      <c r="J1700" s="13" t="s">
        <v>8890</v>
      </c>
      <c r="K1700" s="13" t="s">
        <v>8421</v>
      </c>
      <c r="L1700" s="13" t="s">
        <v>158</v>
      </c>
      <c r="M1700" t="s">
        <v>3</v>
      </c>
    </row>
    <row r="1701" spans="1:13" ht="26.25" x14ac:dyDescent="0.25">
      <c r="A1701" s="13" t="s">
        <v>3922</v>
      </c>
      <c r="B1701" s="13" t="s">
        <v>3922</v>
      </c>
      <c r="C1701" s="13" t="s">
        <v>3923</v>
      </c>
      <c r="D1701" s="13">
        <v>5.5</v>
      </c>
      <c r="E1701" s="13" t="s">
        <v>3924</v>
      </c>
      <c r="F1701" s="13" t="s">
        <v>8867</v>
      </c>
      <c r="G1701" s="13" t="s">
        <v>2</v>
      </c>
      <c r="H1701" s="13" t="s">
        <v>3</v>
      </c>
      <c r="I1701" s="13" t="s">
        <v>1283</v>
      </c>
      <c r="J1701" s="13" t="s">
        <v>8890</v>
      </c>
      <c r="K1701" s="13" t="s">
        <v>8524</v>
      </c>
      <c r="L1701" s="13" t="s">
        <v>158</v>
      </c>
      <c r="M1701" t="s">
        <v>3</v>
      </c>
    </row>
    <row r="1702" spans="1:13" ht="26.25" x14ac:dyDescent="0.25">
      <c r="A1702" s="13" t="s">
        <v>3925</v>
      </c>
      <c r="B1702" s="13" t="s">
        <v>3925</v>
      </c>
      <c r="C1702" s="13" t="s">
        <v>9227</v>
      </c>
      <c r="D1702" s="13">
        <v>281.3</v>
      </c>
      <c r="E1702" s="13" t="s">
        <v>3926</v>
      </c>
      <c r="F1702" s="13" t="s">
        <v>8867</v>
      </c>
      <c r="G1702" s="13" t="s">
        <v>2</v>
      </c>
      <c r="H1702" s="13" t="s">
        <v>3</v>
      </c>
      <c r="I1702" s="13" t="s">
        <v>1562</v>
      </c>
      <c r="J1702" s="13" t="s">
        <v>8890</v>
      </c>
      <c r="K1702" s="13" t="s">
        <v>8423</v>
      </c>
      <c r="L1702" s="13" t="s">
        <v>158</v>
      </c>
      <c r="M1702" t="s">
        <v>3</v>
      </c>
    </row>
    <row r="1703" spans="1:13" x14ac:dyDescent="0.25">
      <c r="A1703" s="13" t="s">
        <v>3927</v>
      </c>
      <c r="B1703" s="13" t="s">
        <v>3927</v>
      </c>
      <c r="C1703" s="13" t="s">
        <v>3928</v>
      </c>
      <c r="D1703" s="13">
        <v>67.8</v>
      </c>
      <c r="E1703" s="13" t="s">
        <v>3929</v>
      </c>
      <c r="F1703" s="13" t="s">
        <v>8867</v>
      </c>
      <c r="G1703" s="13" t="s">
        <v>2</v>
      </c>
      <c r="H1703" s="13" t="s">
        <v>3</v>
      </c>
      <c r="I1703" s="13" t="s">
        <v>159</v>
      </c>
      <c r="J1703" s="13" t="s">
        <v>8890</v>
      </c>
      <c r="K1703" s="13" t="s">
        <v>8442</v>
      </c>
      <c r="L1703" s="13" t="s">
        <v>158</v>
      </c>
      <c r="M1703" t="s">
        <v>3</v>
      </c>
    </row>
    <row r="1704" spans="1:13" x14ac:dyDescent="0.25">
      <c r="A1704" s="13" t="s">
        <v>3930</v>
      </c>
      <c r="B1704" s="13" t="s">
        <v>3930</v>
      </c>
      <c r="C1704" s="13" t="s">
        <v>3930</v>
      </c>
      <c r="D1704" s="13">
        <v>0.8</v>
      </c>
      <c r="E1704" s="13" t="s">
        <v>3931</v>
      </c>
      <c r="F1704" s="13" t="s">
        <v>8867</v>
      </c>
      <c r="G1704" s="13" t="s">
        <v>2</v>
      </c>
      <c r="H1704" s="13" t="s">
        <v>3</v>
      </c>
      <c r="I1704" s="13" t="s">
        <v>1254</v>
      </c>
      <c r="J1704" s="13" t="s">
        <v>8890</v>
      </c>
      <c r="K1704" s="13" t="s">
        <v>8508</v>
      </c>
      <c r="L1704" s="13" t="s">
        <v>158</v>
      </c>
      <c r="M1704" t="s">
        <v>3</v>
      </c>
    </row>
    <row r="1705" spans="1:13" x14ac:dyDescent="0.25">
      <c r="A1705" s="13" t="s">
        <v>3932</v>
      </c>
      <c r="B1705" s="13" t="s">
        <v>3932</v>
      </c>
      <c r="C1705" s="13" t="s">
        <v>3933</v>
      </c>
      <c r="D1705" s="13">
        <v>9</v>
      </c>
      <c r="E1705" s="13" t="s">
        <v>3934</v>
      </c>
      <c r="F1705" s="13" t="s">
        <v>8867</v>
      </c>
      <c r="G1705" s="13" t="s">
        <v>2</v>
      </c>
      <c r="H1705" s="13" t="s">
        <v>3</v>
      </c>
      <c r="I1705" s="13" t="s">
        <v>447</v>
      </c>
      <c r="J1705" s="13" t="s">
        <v>8890</v>
      </c>
      <c r="K1705" s="13" t="s">
        <v>8421</v>
      </c>
      <c r="L1705" s="13" t="s">
        <v>158</v>
      </c>
      <c r="M1705" t="s">
        <v>3</v>
      </c>
    </row>
    <row r="1706" spans="1:13" x14ac:dyDescent="0.25">
      <c r="A1706" s="13" t="s">
        <v>10755</v>
      </c>
      <c r="B1706" s="13" t="s">
        <v>10755</v>
      </c>
      <c r="C1706" s="13" t="s">
        <v>10755</v>
      </c>
      <c r="D1706" s="13">
        <v>3</v>
      </c>
      <c r="E1706" s="13" t="s">
        <v>10756</v>
      </c>
      <c r="F1706" s="13" t="s">
        <v>8867</v>
      </c>
      <c r="G1706" s="13" t="s">
        <v>2</v>
      </c>
      <c r="H1706" s="13" t="s">
        <v>3</v>
      </c>
      <c r="I1706" s="13" t="s">
        <v>706</v>
      </c>
      <c r="J1706" s="13" t="s">
        <v>8890</v>
      </c>
      <c r="K1706" s="13" t="s">
        <v>8419</v>
      </c>
      <c r="L1706" s="13" t="s">
        <v>158</v>
      </c>
      <c r="M1706" t="s">
        <v>3</v>
      </c>
    </row>
    <row r="1707" spans="1:13" x14ac:dyDescent="0.25">
      <c r="A1707" s="13" t="s">
        <v>3935</v>
      </c>
      <c r="B1707" s="13" t="s">
        <v>3935</v>
      </c>
      <c r="C1707" s="13" t="s">
        <v>3935</v>
      </c>
      <c r="D1707" s="13">
        <v>0.4</v>
      </c>
      <c r="E1707" s="13" t="s">
        <v>3936</v>
      </c>
      <c r="F1707" s="13" t="s">
        <v>8867</v>
      </c>
      <c r="G1707" s="13" t="s">
        <v>2</v>
      </c>
      <c r="H1707" s="13" t="s">
        <v>3</v>
      </c>
      <c r="I1707" s="13" t="s">
        <v>390</v>
      </c>
      <c r="J1707" s="13" t="s">
        <v>8890</v>
      </c>
      <c r="K1707" s="13" t="s">
        <v>8423</v>
      </c>
      <c r="L1707" s="13" t="s">
        <v>158</v>
      </c>
      <c r="M1707" t="s">
        <v>3</v>
      </c>
    </row>
    <row r="1708" spans="1:13" ht="26.25" x14ac:dyDescent="0.25">
      <c r="A1708" s="13" t="s">
        <v>3937</v>
      </c>
      <c r="B1708" s="13" t="s">
        <v>3937</v>
      </c>
      <c r="C1708" s="13" t="s">
        <v>3938</v>
      </c>
      <c r="D1708" s="13">
        <v>2.4</v>
      </c>
      <c r="E1708" s="13" t="s">
        <v>3939</v>
      </c>
      <c r="F1708" s="13" t="s">
        <v>8867</v>
      </c>
      <c r="G1708" s="13" t="s">
        <v>2</v>
      </c>
      <c r="H1708" s="13" t="s">
        <v>3</v>
      </c>
      <c r="I1708" s="13" t="s">
        <v>2280</v>
      </c>
      <c r="J1708" s="13" t="s">
        <v>8890</v>
      </c>
      <c r="K1708" s="13" t="s">
        <v>8596</v>
      </c>
      <c r="L1708" s="13" t="s">
        <v>158</v>
      </c>
      <c r="M1708" t="s">
        <v>3</v>
      </c>
    </row>
    <row r="1709" spans="1:13" ht="26.25" x14ac:dyDescent="0.25">
      <c r="A1709" s="13" t="s">
        <v>3940</v>
      </c>
      <c r="B1709" s="13" t="s">
        <v>3941</v>
      </c>
      <c r="C1709" s="13" t="s">
        <v>3942</v>
      </c>
      <c r="D1709" s="13">
        <v>2.8</v>
      </c>
      <c r="E1709" s="13" t="s">
        <v>3943</v>
      </c>
      <c r="F1709" s="13" t="s">
        <v>8867</v>
      </c>
      <c r="G1709" s="13" t="s">
        <v>2</v>
      </c>
      <c r="H1709" s="13" t="s">
        <v>3</v>
      </c>
      <c r="I1709" s="13" t="s">
        <v>1978</v>
      </c>
      <c r="J1709" s="13" t="s">
        <v>8890</v>
      </c>
      <c r="K1709" s="13" t="s">
        <v>8570</v>
      </c>
      <c r="L1709" s="13" t="s">
        <v>158</v>
      </c>
      <c r="M1709" t="s">
        <v>3</v>
      </c>
    </row>
    <row r="1710" spans="1:13" x14ac:dyDescent="0.25">
      <c r="A1710" s="13" t="s">
        <v>3944</v>
      </c>
      <c r="B1710" s="13" t="s">
        <v>3944</v>
      </c>
      <c r="C1710" s="13" t="s">
        <v>3945</v>
      </c>
      <c r="D1710" s="13">
        <v>10.199999999999999</v>
      </c>
      <c r="E1710" s="13" t="s">
        <v>3946</v>
      </c>
      <c r="F1710" s="13" t="s">
        <v>8867</v>
      </c>
      <c r="G1710" s="13" t="s">
        <v>2</v>
      </c>
      <c r="H1710" s="13" t="s">
        <v>8422</v>
      </c>
      <c r="I1710" s="13" t="s">
        <v>1263</v>
      </c>
      <c r="J1710" s="13" t="s">
        <v>8890</v>
      </c>
      <c r="K1710" s="13" t="s">
        <v>8422</v>
      </c>
      <c r="L1710" s="13" t="s">
        <v>158</v>
      </c>
      <c r="M1710" t="s">
        <v>10689</v>
      </c>
    </row>
    <row r="1711" spans="1:13" x14ac:dyDescent="0.25">
      <c r="A1711" s="13" t="s">
        <v>3947</v>
      </c>
      <c r="B1711" s="13" t="s">
        <v>3947</v>
      </c>
      <c r="C1711" s="13" t="s">
        <v>3948</v>
      </c>
      <c r="D1711" s="13">
        <v>210.7</v>
      </c>
      <c r="E1711" s="13" t="s">
        <v>3949</v>
      </c>
      <c r="F1711" s="13" t="s">
        <v>8867</v>
      </c>
      <c r="G1711" s="13" t="s">
        <v>2</v>
      </c>
      <c r="H1711" s="13" t="s">
        <v>3</v>
      </c>
      <c r="I1711" s="13" t="s">
        <v>1834</v>
      </c>
      <c r="J1711" s="13" t="s">
        <v>8890</v>
      </c>
      <c r="K1711" s="13" t="s">
        <v>3164</v>
      </c>
      <c r="L1711" s="13" t="s">
        <v>158</v>
      </c>
      <c r="M1711" t="s">
        <v>3</v>
      </c>
    </row>
    <row r="1712" spans="1:13" x14ac:dyDescent="0.25">
      <c r="A1712" s="13" t="s">
        <v>3950</v>
      </c>
      <c r="B1712" s="13" t="s">
        <v>3951</v>
      </c>
      <c r="C1712" s="13" t="s">
        <v>3952</v>
      </c>
      <c r="D1712" s="13">
        <v>0.6</v>
      </c>
      <c r="E1712" s="13" t="s">
        <v>3953</v>
      </c>
      <c r="F1712" s="13" t="s">
        <v>8867</v>
      </c>
      <c r="G1712" s="13" t="s">
        <v>2</v>
      </c>
      <c r="H1712" s="13" t="s">
        <v>3</v>
      </c>
      <c r="I1712" s="13" t="s">
        <v>948</v>
      </c>
      <c r="J1712" s="13" t="s">
        <v>8890</v>
      </c>
      <c r="K1712" s="13" t="s">
        <v>8518</v>
      </c>
      <c r="L1712" s="13" t="s">
        <v>158</v>
      </c>
      <c r="M1712" t="s">
        <v>3</v>
      </c>
    </row>
    <row r="1713" spans="1:13" x14ac:dyDescent="0.25">
      <c r="A1713" s="13" t="s">
        <v>3954</v>
      </c>
      <c r="B1713" s="13" t="s">
        <v>3954</v>
      </c>
      <c r="C1713" s="13" t="s">
        <v>3955</v>
      </c>
      <c r="D1713" s="13">
        <v>30.1</v>
      </c>
      <c r="E1713" s="13" t="s">
        <v>3956</v>
      </c>
      <c r="F1713" s="13" t="s">
        <v>8867</v>
      </c>
      <c r="G1713" s="13" t="s">
        <v>2</v>
      </c>
      <c r="H1713" s="13" t="s">
        <v>3</v>
      </c>
      <c r="I1713" s="13" t="s">
        <v>2736</v>
      </c>
      <c r="J1713" s="13" t="s">
        <v>8890</v>
      </c>
      <c r="K1713" s="13" t="s">
        <v>8616</v>
      </c>
      <c r="L1713" s="13" t="s">
        <v>158</v>
      </c>
      <c r="M1713" t="s">
        <v>3</v>
      </c>
    </row>
    <row r="1714" spans="1:13" ht="26.25" x14ac:dyDescent="0.25">
      <c r="A1714" s="13" t="s">
        <v>3957</v>
      </c>
      <c r="B1714" s="13" t="s">
        <v>3958</v>
      </c>
      <c r="C1714" s="13" t="s">
        <v>3958</v>
      </c>
      <c r="D1714" s="13">
        <v>0.1</v>
      </c>
      <c r="E1714" s="13" t="s">
        <v>3959</v>
      </c>
      <c r="F1714" s="13" t="s">
        <v>8867</v>
      </c>
      <c r="G1714" s="13" t="s">
        <v>2</v>
      </c>
      <c r="H1714" s="13" t="s">
        <v>3</v>
      </c>
      <c r="I1714" s="13" t="s">
        <v>2465</v>
      </c>
      <c r="J1714" s="13" t="s">
        <v>8890</v>
      </c>
      <c r="K1714" s="13" t="s">
        <v>8605</v>
      </c>
      <c r="L1714" s="13" t="s">
        <v>158</v>
      </c>
      <c r="M1714" t="s">
        <v>3</v>
      </c>
    </row>
    <row r="1715" spans="1:13" ht="26.25" x14ac:dyDescent="0.25">
      <c r="A1715" s="13" t="s">
        <v>3960</v>
      </c>
      <c r="B1715" s="13" t="s">
        <v>3960</v>
      </c>
      <c r="C1715" s="13" t="s">
        <v>3961</v>
      </c>
      <c r="D1715" s="13">
        <v>1.4</v>
      </c>
      <c r="E1715" s="13" t="s">
        <v>3962</v>
      </c>
      <c r="F1715" s="13" t="s">
        <v>8867</v>
      </c>
      <c r="G1715" s="13" t="s">
        <v>2</v>
      </c>
      <c r="H1715" s="13" t="s">
        <v>3</v>
      </c>
      <c r="I1715" s="13" t="s">
        <v>435</v>
      </c>
      <c r="J1715" s="13" t="s">
        <v>8890</v>
      </c>
      <c r="K1715" s="13" t="s">
        <v>8469</v>
      </c>
      <c r="L1715" s="13" t="s">
        <v>158</v>
      </c>
      <c r="M1715" t="s">
        <v>3</v>
      </c>
    </row>
    <row r="1716" spans="1:13" ht="26.25" x14ac:dyDescent="0.25">
      <c r="A1716" s="13" t="s">
        <v>3963</v>
      </c>
      <c r="B1716" s="13" t="s">
        <v>3963</v>
      </c>
      <c r="C1716" s="13" t="s">
        <v>3964</v>
      </c>
      <c r="D1716" s="13">
        <v>334.1</v>
      </c>
      <c r="E1716" s="13" t="s">
        <v>3965</v>
      </c>
      <c r="F1716" s="13" t="s">
        <v>8867</v>
      </c>
      <c r="G1716" s="13" t="s">
        <v>2</v>
      </c>
      <c r="H1716" s="13" t="s">
        <v>3</v>
      </c>
      <c r="I1716" s="13" t="s">
        <v>1978</v>
      </c>
      <c r="J1716" s="13" t="s">
        <v>8890</v>
      </c>
      <c r="K1716" s="13" t="s">
        <v>8570</v>
      </c>
      <c r="L1716" s="13" t="s">
        <v>158</v>
      </c>
      <c r="M1716" t="s">
        <v>3</v>
      </c>
    </row>
    <row r="1717" spans="1:13" ht="26.25" x14ac:dyDescent="0.25">
      <c r="A1717" s="13" t="s">
        <v>3966</v>
      </c>
      <c r="B1717" s="13" t="s">
        <v>3966</v>
      </c>
      <c r="C1717" s="13" t="s">
        <v>3967</v>
      </c>
      <c r="D1717" s="13">
        <v>183.5</v>
      </c>
      <c r="E1717" s="13" t="s">
        <v>3968</v>
      </c>
      <c r="F1717" s="13" t="s">
        <v>8867</v>
      </c>
      <c r="G1717" s="13" t="s">
        <v>2</v>
      </c>
      <c r="H1717" s="13" t="s">
        <v>3</v>
      </c>
      <c r="I1717" s="13" t="s">
        <v>228</v>
      </c>
      <c r="J1717" s="13" t="s">
        <v>8890</v>
      </c>
      <c r="K1717" s="13" t="s">
        <v>8418</v>
      </c>
      <c r="L1717" s="13" t="s">
        <v>158</v>
      </c>
      <c r="M1717" t="s">
        <v>3</v>
      </c>
    </row>
    <row r="1718" spans="1:13" ht="26.25" x14ac:dyDescent="0.25">
      <c r="A1718" s="13" t="s">
        <v>3969</v>
      </c>
      <c r="B1718" s="13" t="s">
        <v>3969</v>
      </c>
      <c r="C1718" s="13" t="s">
        <v>3970</v>
      </c>
      <c r="D1718" s="13">
        <v>316.89999999999998</v>
      </c>
      <c r="E1718" s="13" t="s">
        <v>3971</v>
      </c>
      <c r="F1718" s="13" t="s">
        <v>8867</v>
      </c>
      <c r="G1718" s="13" t="s">
        <v>2</v>
      </c>
      <c r="H1718" s="13" t="s">
        <v>3</v>
      </c>
      <c r="I1718" s="13" t="s">
        <v>2688</v>
      </c>
      <c r="J1718" s="13" t="s">
        <v>8890</v>
      </c>
      <c r="K1718" s="13" t="s">
        <v>8430</v>
      </c>
      <c r="L1718" s="13" t="s">
        <v>158</v>
      </c>
      <c r="M1718" t="s">
        <v>3</v>
      </c>
    </row>
    <row r="1719" spans="1:13" x14ac:dyDescent="0.25">
      <c r="A1719" s="13" t="s">
        <v>3972</v>
      </c>
      <c r="B1719" s="13" t="s">
        <v>3973</v>
      </c>
      <c r="C1719" s="13" t="s">
        <v>3974</v>
      </c>
      <c r="D1719" s="13">
        <v>12.6</v>
      </c>
      <c r="E1719" s="13" t="s">
        <v>3975</v>
      </c>
      <c r="F1719" s="13" t="s">
        <v>8867</v>
      </c>
      <c r="G1719" s="13" t="s">
        <v>2</v>
      </c>
      <c r="H1719" s="13" t="s">
        <v>3</v>
      </c>
      <c r="I1719" s="13" t="s">
        <v>3976</v>
      </c>
      <c r="J1719" s="13" t="s">
        <v>8890</v>
      </c>
      <c r="K1719" s="13" t="s">
        <v>8630</v>
      </c>
      <c r="L1719" s="13" t="s">
        <v>158</v>
      </c>
      <c r="M1719" t="s">
        <v>3</v>
      </c>
    </row>
    <row r="1720" spans="1:13" ht="26.25" x14ac:dyDescent="0.25">
      <c r="A1720" s="13" t="s">
        <v>3977</v>
      </c>
      <c r="B1720" s="13" t="s">
        <v>3977</v>
      </c>
      <c r="C1720" s="13" t="s">
        <v>3978</v>
      </c>
      <c r="D1720" s="13">
        <v>4.2</v>
      </c>
      <c r="E1720" s="13" t="s">
        <v>3979</v>
      </c>
      <c r="F1720" s="13" t="s">
        <v>8867</v>
      </c>
      <c r="G1720" s="13" t="s">
        <v>2</v>
      </c>
      <c r="H1720" s="13" t="s">
        <v>3</v>
      </c>
      <c r="I1720" s="13" t="s">
        <v>2349</v>
      </c>
      <c r="J1720" s="13" t="s">
        <v>8890</v>
      </c>
      <c r="K1720" s="13" t="s">
        <v>8599</v>
      </c>
      <c r="L1720" s="13" t="s">
        <v>158</v>
      </c>
      <c r="M1720" t="s">
        <v>3</v>
      </c>
    </row>
    <row r="1721" spans="1:13" x14ac:dyDescent="0.25">
      <c r="A1721" s="13" t="s">
        <v>3980</v>
      </c>
      <c r="B1721" s="13" t="s">
        <v>3980</v>
      </c>
      <c r="C1721" s="13" t="s">
        <v>3981</v>
      </c>
      <c r="D1721" s="13">
        <v>0</v>
      </c>
      <c r="E1721" s="13" t="s">
        <v>3982</v>
      </c>
      <c r="F1721" s="13" t="s">
        <v>8867</v>
      </c>
      <c r="G1721" s="13" t="s">
        <v>2</v>
      </c>
      <c r="H1721" s="13" t="s">
        <v>3</v>
      </c>
      <c r="I1721" s="13" t="s">
        <v>1366</v>
      </c>
      <c r="J1721" s="13" t="s">
        <v>8890</v>
      </c>
      <c r="K1721" s="13" t="s">
        <v>8417</v>
      </c>
      <c r="L1721" s="13" t="s">
        <v>158</v>
      </c>
      <c r="M1721" t="s">
        <v>3</v>
      </c>
    </row>
    <row r="1722" spans="1:13" ht="26.25" x14ac:dyDescent="0.25">
      <c r="A1722" s="13" t="s">
        <v>3983</v>
      </c>
      <c r="B1722" s="13" t="s">
        <v>3983</v>
      </c>
      <c r="C1722" s="13" t="s">
        <v>3984</v>
      </c>
      <c r="D1722" s="13">
        <v>2.9</v>
      </c>
      <c r="E1722" s="13" t="s">
        <v>3985</v>
      </c>
      <c r="F1722" s="13" t="s">
        <v>8867</v>
      </c>
      <c r="G1722" s="13" t="s">
        <v>2</v>
      </c>
      <c r="H1722" s="13" t="s">
        <v>3</v>
      </c>
      <c r="I1722" s="13" t="s">
        <v>3986</v>
      </c>
      <c r="J1722" s="13" t="s">
        <v>8890</v>
      </c>
      <c r="K1722" s="13" t="s">
        <v>8631</v>
      </c>
      <c r="L1722" s="13" t="s">
        <v>158</v>
      </c>
      <c r="M1722" t="s">
        <v>3</v>
      </c>
    </row>
    <row r="1723" spans="1:13" ht="26.25" x14ac:dyDescent="0.25">
      <c r="A1723" s="13" t="s">
        <v>3987</v>
      </c>
      <c r="B1723" s="13" t="s">
        <v>3987</v>
      </c>
      <c r="C1723" s="13" t="s">
        <v>9228</v>
      </c>
      <c r="D1723" s="13">
        <v>574.9</v>
      </c>
      <c r="E1723" s="13" t="s">
        <v>3988</v>
      </c>
      <c r="F1723" s="13" t="s">
        <v>8867</v>
      </c>
      <c r="G1723" s="13" t="s">
        <v>2</v>
      </c>
      <c r="H1723" s="13" t="s">
        <v>3</v>
      </c>
      <c r="I1723" s="13" t="s">
        <v>2356</v>
      </c>
      <c r="J1723" s="13" t="s">
        <v>8890</v>
      </c>
      <c r="K1723" s="13" t="s">
        <v>8429</v>
      </c>
      <c r="L1723" s="13" t="s">
        <v>158</v>
      </c>
      <c r="M1723" t="s">
        <v>3</v>
      </c>
    </row>
    <row r="1724" spans="1:13" x14ac:dyDescent="0.25">
      <c r="A1724" s="13" t="s">
        <v>3989</v>
      </c>
      <c r="B1724" s="13" t="s">
        <v>3989</v>
      </c>
      <c r="C1724" s="13" t="s">
        <v>3989</v>
      </c>
      <c r="D1724" s="13">
        <v>0</v>
      </c>
      <c r="E1724" s="13" t="s">
        <v>3990</v>
      </c>
      <c r="F1724" s="13" t="s">
        <v>8867</v>
      </c>
      <c r="G1724" s="13" t="s">
        <v>2</v>
      </c>
      <c r="H1724" s="13" t="s">
        <v>3</v>
      </c>
      <c r="I1724" s="13" t="s">
        <v>137</v>
      </c>
      <c r="J1724" s="13" t="s">
        <v>8890</v>
      </c>
      <c r="K1724" s="13" t="s">
        <v>8429</v>
      </c>
      <c r="L1724" s="13" t="s">
        <v>158</v>
      </c>
      <c r="M1724" t="s">
        <v>3</v>
      </c>
    </row>
    <row r="1725" spans="1:13" x14ac:dyDescent="0.25">
      <c r="A1725" s="13" t="s">
        <v>3991</v>
      </c>
      <c r="B1725" s="13" t="s">
        <v>3992</v>
      </c>
      <c r="C1725" s="13" t="s">
        <v>3993</v>
      </c>
      <c r="D1725" s="13">
        <v>1.8</v>
      </c>
      <c r="E1725" s="13" t="s">
        <v>3994</v>
      </c>
      <c r="F1725" s="13" t="s">
        <v>8867</v>
      </c>
      <c r="G1725" s="13" t="s">
        <v>2</v>
      </c>
      <c r="H1725" s="13" t="s">
        <v>3</v>
      </c>
      <c r="I1725" s="13" t="s">
        <v>516</v>
      </c>
      <c r="J1725" s="13" t="s">
        <v>8890</v>
      </c>
      <c r="K1725" s="13" t="s">
        <v>516</v>
      </c>
      <c r="L1725" s="13" t="s">
        <v>158</v>
      </c>
      <c r="M1725" t="s">
        <v>3</v>
      </c>
    </row>
    <row r="1726" spans="1:13" ht="26.25" x14ac:dyDescent="0.25">
      <c r="A1726" s="13" t="s">
        <v>3995</v>
      </c>
      <c r="B1726" s="13" t="s">
        <v>3995</v>
      </c>
      <c r="C1726" s="13" t="s">
        <v>3996</v>
      </c>
      <c r="D1726" s="13">
        <v>15.1</v>
      </c>
      <c r="E1726" s="13" t="s">
        <v>3997</v>
      </c>
      <c r="F1726" s="13" t="s">
        <v>8867</v>
      </c>
      <c r="G1726" s="13" t="s">
        <v>2</v>
      </c>
      <c r="H1726" s="13" t="s">
        <v>3</v>
      </c>
      <c r="I1726" s="13" t="s">
        <v>3851</v>
      </c>
      <c r="J1726" s="13" t="s">
        <v>8890</v>
      </c>
      <c r="K1726" s="13" t="s">
        <v>8628</v>
      </c>
      <c r="L1726" s="13" t="s">
        <v>158</v>
      </c>
      <c r="M1726" t="s">
        <v>3</v>
      </c>
    </row>
    <row r="1727" spans="1:13" ht="26.25" x14ac:dyDescent="0.25">
      <c r="A1727" s="13" t="s">
        <v>3998</v>
      </c>
      <c r="B1727" s="13" t="s">
        <v>3998</v>
      </c>
      <c r="C1727" s="13" t="s">
        <v>3999</v>
      </c>
      <c r="D1727" s="13">
        <v>7.5</v>
      </c>
      <c r="E1727" s="13" t="s">
        <v>4000</v>
      </c>
      <c r="F1727" s="13" t="s">
        <v>8867</v>
      </c>
      <c r="G1727" s="13" t="s">
        <v>2</v>
      </c>
      <c r="H1727" s="13" t="s">
        <v>3</v>
      </c>
      <c r="I1727" s="13" t="s">
        <v>497</v>
      </c>
      <c r="J1727" s="13" t="s">
        <v>8890</v>
      </c>
      <c r="K1727" s="13" t="s">
        <v>8475</v>
      </c>
      <c r="L1727" s="13" t="s">
        <v>158</v>
      </c>
      <c r="M1727" t="s">
        <v>3</v>
      </c>
    </row>
    <row r="1728" spans="1:13" ht="26.25" x14ac:dyDescent="0.25">
      <c r="A1728" s="13" t="s">
        <v>4001</v>
      </c>
      <c r="B1728" s="13" t="s">
        <v>4001</v>
      </c>
      <c r="C1728" s="13" t="s">
        <v>4002</v>
      </c>
      <c r="D1728" s="13">
        <v>838.1</v>
      </c>
      <c r="E1728" s="13" t="s">
        <v>4003</v>
      </c>
      <c r="F1728" s="13" t="s">
        <v>8867</v>
      </c>
      <c r="G1728" s="13" t="s">
        <v>2</v>
      </c>
      <c r="H1728" s="13" t="s">
        <v>3</v>
      </c>
      <c r="I1728" s="13" t="s">
        <v>1263</v>
      </c>
      <c r="J1728" s="13" t="s">
        <v>8890</v>
      </c>
      <c r="K1728" s="13" t="s">
        <v>8422</v>
      </c>
      <c r="L1728" s="13" t="s">
        <v>158</v>
      </c>
      <c r="M1728" t="s">
        <v>3</v>
      </c>
    </row>
    <row r="1729" spans="1:13" ht="26.25" x14ac:dyDescent="0.25">
      <c r="A1729" s="13" t="s">
        <v>4004</v>
      </c>
      <c r="B1729" s="13" t="s">
        <v>4004</v>
      </c>
      <c r="C1729" s="13" t="s">
        <v>4005</v>
      </c>
      <c r="D1729" s="13">
        <v>1.8</v>
      </c>
      <c r="E1729" s="13" t="s">
        <v>4006</v>
      </c>
      <c r="F1729" s="13" t="s">
        <v>8867</v>
      </c>
      <c r="G1729" s="13" t="s">
        <v>2</v>
      </c>
      <c r="H1729" s="13" t="s">
        <v>3</v>
      </c>
      <c r="I1729" s="13" t="s">
        <v>4007</v>
      </c>
      <c r="J1729" s="13" t="s">
        <v>8890</v>
      </c>
      <c r="K1729" s="13" t="s">
        <v>8422</v>
      </c>
      <c r="L1729" s="13" t="s">
        <v>158</v>
      </c>
      <c r="M1729" t="s">
        <v>3</v>
      </c>
    </row>
    <row r="1730" spans="1:13" ht="26.25" x14ac:dyDescent="0.25">
      <c r="A1730" s="13" t="s">
        <v>4008</v>
      </c>
      <c r="B1730" s="13" t="s">
        <v>4008</v>
      </c>
      <c r="C1730" s="13" t="s">
        <v>4008</v>
      </c>
      <c r="D1730" s="13">
        <v>95.1</v>
      </c>
      <c r="E1730" s="13" t="s">
        <v>4009</v>
      </c>
      <c r="F1730" s="13" t="s">
        <v>8867</v>
      </c>
      <c r="G1730" s="13" t="s">
        <v>2</v>
      </c>
      <c r="H1730" s="13" t="s">
        <v>3</v>
      </c>
      <c r="I1730" s="13" t="s">
        <v>706</v>
      </c>
      <c r="J1730" s="13" t="s">
        <v>8890</v>
      </c>
      <c r="K1730" s="13" t="s">
        <v>8419</v>
      </c>
      <c r="L1730" s="13" t="s">
        <v>158</v>
      </c>
      <c r="M1730" t="s">
        <v>3</v>
      </c>
    </row>
    <row r="1731" spans="1:13" x14ac:dyDescent="0.25">
      <c r="A1731" s="13" t="s">
        <v>4010</v>
      </c>
      <c r="B1731" s="13" t="s">
        <v>4010</v>
      </c>
      <c r="C1731" s="13" t="s">
        <v>4010</v>
      </c>
      <c r="D1731" s="13">
        <v>31.5</v>
      </c>
      <c r="E1731" s="13" t="s">
        <v>4011</v>
      </c>
      <c r="F1731" s="13" t="s">
        <v>8867</v>
      </c>
      <c r="G1731" s="13" t="s">
        <v>2</v>
      </c>
      <c r="H1731" s="13" t="s">
        <v>3</v>
      </c>
      <c r="I1731" s="13" t="s">
        <v>564</v>
      </c>
      <c r="J1731" s="13" t="s">
        <v>8890</v>
      </c>
      <c r="K1731" s="13" t="s">
        <v>8483</v>
      </c>
      <c r="L1731" s="13" t="s">
        <v>158</v>
      </c>
      <c r="M1731" t="s">
        <v>3</v>
      </c>
    </row>
    <row r="1732" spans="1:13" ht="26.25" x14ac:dyDescent="0.25">
      <c r="A1732" s="13" t="s">
        <v>4012</v>
      </c>
      <c r="B1732" s="13" t="s">
        <v>4013</v>
      </c>
      <c r="C1732" s="13" t="s">
        <v>4014</v>
      </c>
      <c r="D1732" s="13">
        <v>7.3</v>
      </c>
      <c r="E1732" s="13" t="s">
        <v>4015</v>
      </c>
      <c r="F1732" s="13" t="s">
        <v>8867</v>
      </c>
      <c r="G1732" s="13" t="s">
        <v>2</v>
      </c>
      <c r="H1732" s="13" t="s">
        <v>3</v>
      </c>
      <c r="I1732" s="13" t="s">
        <v>4016</v>
      </c>
      <c r="J1732" s="13" t="s">
        <v>8890</v>
      </c>
      <c r="K1732" s="13" t="s">
        <v>4016</v>
      </c>
      <c r="L1732" s="13" t="s">
        <v>158</v>
      </c>
      <c r="M1732" t="s">
        <v>3</v>
      </c>
    </row>
    <row r="1733" spans="1:13" ht="26.25" x14ac:dyDescent="0.25">
      <c r="A1733" s="13" t="s">
        <v>4017</v>
      </c>
      <c r="B1733" s="13" t="s">
        <v>4018</v>
      </c>
      <c r="C1733" s="13" t="s">
        <v>4019</v>
      </c>
      <c r="D1733" s="13">
        <v>2.6</v>
      </c>
      <c r="E1733" s="13" t="s">
        <v>4020</v>
      </c>
      <c r="F1733" s="13" t="s">
        <v>8867</v>
      </c>
      <c r="G1733" s="13" t="s">
        <v>2</v>
      </c>
      <c r="H1733" s="13" t="s">
        <v>3</v>
      </c>
      <c r="I1733" s="13" t="s">
        <v>4021</v>
      </c>
      <c r="J1733" s="13" t="s">
        <v>8890</v>
      </c>
      <c r="K1733" s="13" t="s">
        <v>8632</v>
      </c>
      <c r="L1733" s="13" t="s">
        <v>158</v>
      </c>
      <c r="M1733" t="s">
        <v>3</v>
      </c>
    </row>
    <row r="1734" spans="1:13" x14ac:dyDescent="0.25">
      <c r="A1734" s="13" t="s">
        <v>11084</v>
      </c>
      <c r="B1734" s="13" t="s">
        <v>11084</v>
      </c>
      <c r="C1734" s="13" t="s">
        <v>11085</v>
      </c>
      <c r="D1734" s="13">
        <v>1.1000000000000001</v>
      </c>
      <c r="E1734" s="13" t="s">
        <v>11086</v>
      </c>
      <c r="F1734" s="13" t="s">
        <v>8867</v>
      </c>
      <c r="G1734" s="13" t="s">
        <v>2</v>
      </c>
      <c r="H1734" s="13" t="s">
        <v>3</v>
      </c>
      <c r="I1734" s="13" t="s">
        <v>1263</v>
      </c>
      <c r="J1734" s="13" t="s">
        <v>8890</v>
      </c>
      <c r="K1734" s="13" t="s">
        <v>8422</v>
      </c>
      <c r="L1734" s="13" t="s">
        <v>158</v>
      </c>
      <c r="M1734" t="s">
        <v>3</v>
      </c>
    </row>
    <row r="1735" spans="1:13" ht="26.25" x14ac:dyDescent="0.25">
      <c r="A1735" s="13" t="s">
        <v>4022</v>
      </c>
      <c r="B1735" s="13" t="s">
        <v>4022</v>
      </c>
      <c r="C1735" s="13" t="s">
        <v>4023</v>
      </c>
      <c r="D1735" s="13">
        <v>37</v>
      </c>
      <c r="E1735" s="13" t="s">
        <v>4024</v>
      </c>
      <c r="F1735" s="13" t="s">
        <v>8867</v>
      </c>
      <c r="G1735" s="13" t="s">
        <v>2</v>
      </c>
      <c r="H1735" s="13" t="s">
        <v>3</v>
      </c>
      <c r="I1735" s="13" t="s">
        <v>809</v>
      </c>
      <c r="J1735" s="13" t="s">
        <v>8890</v>
      </c>
      <c r="K1735" s="13" t="s">
        <v>8512</v>
      </c>
      <c r="L1735" s="13" t="s">
        <v>158</v>
      </c>
      <c r="M1735" t="s">
        <v>3</v>
      </c>
    </row>
    <row r="1736" spans="1:13" x14ac:dyDescent="0.25">
      <c r="A1736" s="13" t="s">
        <v>4025</v>
      </c>
      <c r="B1736" s="13" t="s">
        <v>4026</v>
      </c>
      <c r="C1736" s="13" t="s">
        <v>4027</v>
      </c>
      <c r="D1736" s="13">
        <v>45.8</v>
      </c>
      <c r="E1736" s="13" t="s">
        <v>4028</v>
      </c>
      <c r="F1736" s="13" t="s">
        <v>8867</v>
      </c>
      <c r="G1736" s="13" t="s">
        <v>2</v>
      </c>
      <c r="H1736" s="13" t="s">
        <v>3</v>
      </c>
      <c r="I1736" s="13" t="s">
        <v>1263</v>
      </c>
      <c r="J1736" s="13" t="s">
        <v>8890</v>
      </c>
      <c r="K1736" s="13" t="s">
        <v>8422</v>
      </c>
      <c r="L1736" s="13" t="s">
        <v>158</v>
      </c>
      <c r="M1736" t="s">
        <v>3</v>
      </c>
    </row>
    <row r="1737" spans="1:13" x14ac:dyDescent="0.25">
      <c r="A1737" s="13" t="s">
        <v>4029</v>
      </c>
      <c r="B1737" s="13" t="s">
        <v>4029</v>
      </c>
      <c r="C1737" s="13" t="s">
        <v>4030</v>
      </c>
      <c r="D1737" s="13">
        <v>7</v>
      </c>
      <c r="E1737" s="13" t="s">
        <v>4031</v>
      </c>
      <c r="F1737" s="13" t="s">
        <v>8867</v>
      </c>
      <c r="G1737" s="13" t="s">
        <v>2</v>
      </c>
      <c r="H1737" s="13" t="s">
        <v>3</v>
      </c>
      <c r="I1737" s="13" t="s">
        <v>1263</v>
      </c>
      <c r="J1737" s="13" t="s">
        <v>8890</v>
      </c>
      <c r="K1737" s="13" t="s">
        <v>8422</v>
      </c>
      <c r="L1737" s="13" t="s">
        <v>158</v>
      </c>
      <c r="M1737" t="s">
        <v>3</v>
      </c>
    </row>
    <row r="1738" spans="1:13" ht="26.25" x14ac:dyDescent="0.25">
      <c r="A1738" s="13" t="s">
        <v>10918</v>
      </c>
      <c r="B1738" s="13" t="s">
        <v>10918</v>
      </c>
      <c r="C1738" s="13" t="s">
        <v>10919</v>
      </c>
      <c r="D1738" s="13">
        <v>6</v>
      </c>
      <c r="E1738" s="13" t="s">
        <v>10920</v>
      </c>
      <c r="F1738" s="13" t="s">
        <v>8867</v>
      </c>
      <c r="G1738" s="13" t="s">
        <v>2</v>
      </c>
      <c r="H1738" s="13" t="s">
        <v>3</v>
      </c>
      <c r="I1738" s="13" t="s">
        <v>1263</v>
      </c>
      <c r="J1738" s="13" t="s">
        <v>8890</v>
      </c>
      <c r="K1738" s="13" t="s">
        <v>8422</v>
      </c>
      <c r="L1738" s="13" t="s">
        <v>158</v>
      </c>
      <c r="M1738" t="s">
        <v>3</v>
      </c>
    </row>
    <row r="1739" spans="1:13" x14ac:dyDescent="0.25">
      <c r="A1739" s="13" t="s">
        <v>10921</v>
      </c>
      <c r="B1739" s="13" t="s">
        <v>10921</v>
      </c>
      <c r="C1739" s="13" t="s">
        <v>10921</v>
      </c>
      <c r="D1739" s="13">
        <v>38.200000000000003</v>
      </c>
      <c r="E1739" s="13" t="s">
        <v>10922</v>
      </c>
      <c r="F1739" s="13" t="s">
        <v>8867</v>
      </c>
      <c r="G1739" s="13" t="s">
        <v>2</v>
      </c>
      <c r="H1739" s="13" t="s">
        <v>3</v>
      </c>
      <c r="I1739" s="13" t="s">
        <v>706</v>
      </c>
      <c r="J1739" s="13" t="s">
        <v>8890</v>
      </c>
      <c r="K1739" s="13" t="s">
        <v>8419</v>
      </c>
      <c r="L1739" s="13" t="s">
        <v>158</v>
      </c>
      <c r="M1739" t="s">
        <v>3</v>
      </c>
    </row>
    <row r="1740" spans="1:13" x14ac:dyDescent="0.25">
      <c r="A1740" s="13" t="s">
        <v>12024</v>
      </c>
      <c r="B1740" s="13" t="s">
        <v>12024</v>
      </c>
      <c r="C1740" s="13" t="s">
        <v>12025</v>
      </c>
      <c r="D1740" s="13">
        <v>20.5</v>
      </c>
      <c r="E1740" s="13" t="s">
        <v>12026</v>
      </c>
      <c r="F1740" s="13" t="s">
        <v>8867</v>
      </c>
      <c r="G1740" s="13" t="s">
        <v>2</v>
      </c>
      <c r="H1740" s="13" t="s">
        <v>3</v>
      </c>
      <c r="I1740" s="13" t="s">
        <v>1263</v>
      </c>
      <c r="J1740" s="13" t="s">
        <v>8890</v>
      </c>
      <c r="K1740" s="13" t="s">
        <v>8422</v>
      </c>
      <c r="L1740" s="13" t="s">
        <v>158</v>
      </c>
      <c r="M1740" t="s">
        <v>3</v>
      </c>
    </row>
    <row r="1741" spans="1:13" x14ac:dyDescent="0.25">
      <c r="A1741" s="13" t="s">
        <v>9229</v>
      </c>
      <c r="B1741" s="13" t="s">
        <v>9229</v>
      </c>
      <c r="C1741" s="13" t="s">
        <v>9230</v>
      </c>
      <c r="D1741" s="13">
        <v>1.7</v>
      </c>
      <c r="E1741" s="13" t="s">
        <v>9231</v>
      </c>
      <c r="F1741" s="13" t="s">
        <v>8867</v>
      </c>
      <c r="G1741" s="13" t="s">
        <v>2</v>
      </c>
      <c r="H1741" s="13" t="s">
        <v>3</v>
      </c>
      <c r="I1741" s="13" t="s">
        <v>1263</v>
      </c>
      <c r="J1741" s="13" t="s">
        <v>8890</v>
      </c>
      <c r="K1741" s="13" t="s">
        <v>8422</v>
      </c>
      <c r="L1741" s="13" t="s">
        <v>158</v>
      </c>
      <c r="M1741" t="s">
        <v>3</v>
      </c>
    </row>
    <row r="1742" spans="1:13" ht="26.25" x14ac:dyDescent="0.25">
      <c r="A1742" s="13" t="s">
        <v>4032</v>
      </c>
      <c r="B1742" s="13" t="s">
        <v>4033</v>
      </c>
      <c r="C1742" s="13" t="s">
        <v>4033</v>
      </c>
      <c r="D1742" s="13">
        <v>9.9</v>
      </c>
      <c r="E1742" s="13" t="s">
        <v>4034</v>
      </c>
      <c r="F1742" s="13" t="s">
        <v>8867</v>
      </c>
      <c r="G1742" s="13" t="s">
        <v>2</v>
      </c>
      <c r="H1742" s="13" t="s">
        <v>3</v>
      </c>
      <c r="I1742" s="13" t="s">
        <v>1263</v>
      </c>
      <c r="J1742" s="13" t="s">
        <v>8890</v>
      </c>
      <c r="K1742" s="13" t="s">
        <v>8422</v>
      </c>
      <c r="L1742" s="13" t="s">
        <v>158</v>
      </c>
      <c r="M1742" t="s">
        <v>3</v>
      </c>
    </row>
    <row r="1743" spans="1:13" x14ac:dyDescent="0.25">
      <c r="A1743" s="13" t="s">
        <v>4035</v>
      </c>
      <c r="B1743" s="13" t="s">
        <v>4036</v>
      </c>
      <c r="C1743" s="13" t="s">
        <v>4036</v>
      </c>
      <c r="D1743" s="13">
        <v>9</v>
      </c>
      <c r="E1743" s="13" t="s">
        <v>4037</v>
      </c>
      <c r="F1743" s="13" t="s">
        <v>8867</v>
      </c>
      <c r="G1743" s="13" t="s">
        <v>2</v>
      </c>
      <c r="H1743" s="13" t="s">
        <v>3</v>
      </c>
      <c r="I1743" s="13" t="s">
        <v>1263</v>
      </c>
      <c r="J1743" s="13" t="s">
        <v>8890</v>
      </c>
      <c r="K1743" s="13" t="s">
        <v>8422</v>
      </c>
      <c r="L1743" s="13" t="s">
        <v>158</v>
      </c>
      <c r="M1743" t="s">
        <v>3</v>
      </c>
    </row>
    <row r="1744" spans="1:13" ht="26.25" x14ac:dyDescent="0.25">
      <c r="A1744" s="13" t="s">
        <v>4038</v>
      </c>
      <c r="B1744" s="13" t="s">
        <v>4039</v>
      </c>
      <c r="C1744" s="13" t="s">
        <v>4040</v>
      </c>
      <c r="D1744" s="13">
        <v>3</v>
      </c>
      <c r="E1744" s="13" t="s">
        <v>4041</v>
      </c>
      <c r="F1744" s="13" t="s">
        <v>8860</v>
      </c>
      <c r="G1744" s="13" t="s">
        <v>19</v>
      </c>
      <c r="H1744" s="13" t="s">
        <v>3</v>
      </c>
      <c r="I1744" s="13" t="s">
        <v>4042</v>
      </c>
      <c r="J1744" s="13" t="s">
        <v>21</v>
      </c>
      <c r="K1744" s="13" t="s">
        <v>4040</v>
      </c>
      <c r="L1744" s="13" t="s">
        <v>18</v>
      </c>
      <c r="M1744" t="s">
        <v>3</v>
      </c>
    </row>
    <row r="1745" spans="1:13" ht="26.25" x14ac:dyDescent="0.25">
      <c r="A1745" s="13" t="s">
        <v>4043</v>
      </c>
      <c r="B1745" s="13" t="s">
        <v>4043</v>
      </c>
      <c r="C1745" s="13" t="s">
        <v>4044</v>
      </c>
      <c r="D1745" s="13">
        <v>0.8</v>
      </c>
      <c r="E1745" s="13" t="s">
        <v>4045</v>
      </c>
      <c r="F1745" s="13" t="s">
        <v>8860</v>
      </c>
      <c r="G1745" s="13" t="s">
        <v>19</v>
      </c>
      <c r="H1745" s="13" t="s">
        <v>3</v>
      </c>
      <c r="I1745" s="13" t="s">
        <v>2736</v>
      </c>
      <c r="J1745" s="13" t="s">
        <v>21</v>
      </c>
      <c r="K1745" s="13" t="s">
        <v>8616</v>
      </c>
      <c r="L1745" s="13" t="s">
        <v>18</v>
      </c>
      <c r="M1745" t="s">
        <v>3</v>
      </c>
    </row>
    <row r="1746" spans="1:13" ht="26.25" x14ac:dyDescent="0.25">
      <c r="A1746" s="13" t="s">
        <v>4046</v>
      </c>
      <c r="B1746" s="13" t="s">
        <v>4046</v>
      </c>
      <c r="C1746" s="13" t="s">
        <v>4046</v>
      </c>
      <c r="D1746" s="13">
        <v>100</v>
      </c>
      <c r="E1746" s="13" t="s">
        <v>4047</v>
      </c>
      <c r="F1746" s="13" t="s">
        <v>8875</v>
      </c>
      <c r="G1746" s="13" t="s">
        <v>19</v>
      </c>
      <c r="H1746" s="13" t="s">
        <v>3</v>
      </c>
      <c r="I1746" s="13" t="s">
        <v>132</v>
      </c>
      <c r="J1746" s="13" t="s">
        <v>9232</v>
      </c>
      <c r="K1746" s="13" t="s">
        <v>8438</v>
      </c>
      <c r="L1746" s="13" t="s">
        <v>9233</v>
      </c>
      <c r="M1746" t="s">
        <v>3</v>
      </c>
    </row>
    <row r="1747" spans="1:13" ht="26.25" x14ac:dyDescent="0.25">
      <c r="A1747" s="13" t="s">
        <v>4048</v>
      </c>
      <c r="B1747" s="13" t="s">
        <v>4049</v>
      </c>
      <c r="C1747" s="13" t="s">
        <v>4050</v>
      </c>
      <c r="D1747" s="13">
        <v>0.1</v>
      </c>
      <c r="E1747" s="13" t="s">
        <v>4051</v>
      </c>
      <c r="F1747" s="13" t="s">
        <v>8860</v>
      </c>
      <c r="G1747" s="13" t="s">
        <v>19</v>
      </c>
      <c r="H1747" s="13" t="s">
        <v>3</v>
      </c>
      <c r="I1747" s="13" t="s">
        <v>4052</v>
      </c>
      <c r="J1747" s="13" t="s">
        <v>21</v>
      </c>
      <c r="K1747" s="13" t="s">
        <v>8633</v>
      </c>
      <c r="L1747" s="13" t="s">
        <v>18</v>
      </c>
      <c r="M1747" t="s">
        <v>3</v>
      </c>
    </row>
    <row r="1748" spans="1:13" ht="26.25" x14ac:dyDescent="0.25">
      <c r="A1748" s="13" t="s">
        <v>4053</v>
      </c>
      <c r="B1748" s="13" t="s">
        <v>4053</v>
      </c>
      <c r="C1748" s="13" t="s">
        <v>4053</v>
      </c>
      <c r="D1748" s="13">
        <v>0.5</v>
      </c>
      <c r="E1748" s="13" t="s">
        <v>4054</v>
      </c>
      <c r="F1748" s="13" t="s">
        <v>8860</v>
      </c>
      <c r="G1748" s="13" t="s">
        <v>19</v>
      </c>
      <c r="H1748" s="13" t="s">
        <v>3</v>
      </c>
      <c r="I1748" s="13" t="s">
        <v>4055</v>
      </c>
      <c r="J1748" s="13" t="s">
        <v>21</v>
      </c>
      <c r="K1748" s="13" t="s">
        <v>8634</v>
      </c>
      <c r="L1748" s="13" t="s">
        <v>18</v>
      </c>
      <c r="M1748" t="s">
        <v>3</v>
      </c>
    </row>
    <row r="1749" spans="1:13" ht="26.25" x14ac:dyDescent="0.25">
      <c r="A1749" s="13" t="s">
        <v>4056</v>
      </c>
      <c r="B1749" s="13" t="s">
        <v>4057</v>
      </c>
      <c r="C1749" s="13" t="s">
        <v>9234</v>
      </c>
      <c r="D1749" s="13">
        <v>9.3000000000000007</v>
      </c>
      <c r="E1749" s="13" t="s">
        <v>4058</v>
      </c>
      <c r="F1749" s="13" t="s">
        <v>8860</v>
      </c>
      <c r="G1749" s="13" t="s">
        <v>19</v>
      </c>
      <c r="H1749" s="13" t="s">
        <v>3</v>
      </c>
      <c r="I1749" s="13" t="s">
        <v>4059</v>
      </c>
      <c r="J1749" s="13" t="s">
        <v>21</v>
      </c>
      <c r="K1749" s="13" t="s">
        <v>4059</v>
      </c>
      <c r="L1749" s="13" t="s">
        <v>18</v>
      </c>
      <c r="M1749" t="s">
        <v>3</v>
      </c>
    </row>
    <row r="1750" spans="1:13" ht="26.25" x14ac:dyDescent="0.25">
      <c r="A1750" s="13" t="s">
        <v>4060</v>
      </c>
      <c r="B1750" s="13" t="s">
        <v>4061</v>
      </c>
      <c r="C1750" s="13" t="s">
        <v>4061</v>
      </c>
      <c r="D1750" s="13">
        <v>8</v>
      </c>
      <c r="E1750" s="13" t="s">
        <v>4062</v>
      </c>
      <c r="F1750" s="13" t="s">
        <v>8860</v>
      </c>
      <c r="G1750" s="13" t="s">
        <v>19</v>
      </c>
      <c r="H1750" s="13" t="s">
        <v>3</v>
      </c>
      <c r="I1750" s="13" t="s">
        <v>4059</v>
      </c>
      <c r="J1750" s="13" t="s">
        <v>21</v>
      </c>
      <c r="K1750" s="13" t="s">
        <v>4059</v>
      </c>
      <c r="L1750" s="13" t="s">
        <v>18</v>
      </c>
      <c r="M1750" t="s">
        <v>3</v>
      </c>
    </row>
    <row r="1751" spans="1:13" x14ac:dyDescent="0.25">
      <c r="A1751" s="13" t="s">
        <v>4063</v>
      </c>
      <c r="B1751" s="13" t="s">
        <v>4064</v>
      </c>
      <c r="C1751" s="13" t="s">
        <v>4065</v>
      </c>
      <c r="D1751" s="13">
        <v>41</v>
      </c>
      <c r="E1751" s="13" t="s">
        <v>4066</v>
      </c>
      <c r="F1751" s="13" t="s">
        <v>8867</v>
      </c>
      <c r="G1751" s="13" t="s">
        <v>2</v>
      </c>
      <c r="H1751" s="13" t="s">
        <v>10252</v>
      </c>
      <c r="I1751" s="13" t="s">
        <v>4059</v>
      </c>
      <c r="J1751" s="13" t="s">
        <v>8890</v>
      </c>
      <c r="K1751" s="13" t="s">
        <v>4059</v>
      </c>
      <c r="L1751" s="13" t="s">
        <v>158</v>
      </c>
      <c r="M1751" t="s">
        <v>10252</v>
      </c>
    </row>
    <row r="1752" spans="1:13" x14ac:dyDescent="0.25">
      <c r="A1752" s="13" t="s">
        <v>4067</v>
      </c>
      <c r="B1752" s="13" t="s">
        <v>4067</v>
      </c>
      <c r="C1752" s="13" t="s">
        <v>4068</v>
      </c>
      <c r="D1752" s="13">
        <v>36</v>
      </c>
      <c r="E1752" s="13" t="s">
        <v>4069</v>
      </c>
      <c r="F1752" s="13" t="s">
        <v>8867</v>
      </c>
      <c r="G1752" s="13" t="s">
        <v>2</v>
      </c>
      <c r="H1752" s="13" t="s">
        <v>10252</v>
      </c>
      <c r="I1752" s="13" t="s">
        <v>4059</v>
      </c>
      <c r="J1752" s="13" t="s">
        <v>8890</v>
      </c>
      <c r="K1752" s="13" t="s">
        <v>4059</v>
      </c>
      <c r="L1752" s="13" t="s">
        <v>158</v>
      </c>
      <c r="M1752" t="s">
        <v>10252</v>
      </c>
    </row>
    <row r="1753" spans="1:13" x14ac:dyDescent="0.25">
      <c r="A1753" s="13" t="s">
        <v>4070</v>
      </c>
      <c r="B1753" s="13" t="s">
        <v>4071</v>
      </c>
      <c r="C1753" s="13" t="s">
        <v>4072</v>
      </c>
      <c r="D1753" s="13">
        <v>44.1</v>
      </c>
      <c r="E1753" s="13" t="s">
        <v>4073</v>
      </c>
      <c r="F1753" s="13" t="s">
        <v>8867</v>
      </c>
      <c r="G1753" s="13" t="s">
        <v>2</v>
      </c>
      <c r="H1753" s="13" t="s">
        <v>10252</v>
      </c>
      <c r="I1753" s="13" t="s">
        <v>4059</v>
      </c>
      <c r="J1753" s="13" t="s">
        <v>8890</v>
      </c>
      <c r="K1753" s="13" t="s">
        <v>4059</v>
      </c>
      <c r="L1753" s="13" t="s">
        <v>158</v>
      </c>
      <c r="M1753" t="s">
        <v>10252</v>
      </c>
    </row>
    <row r="1754" spans="1:13" x14ac:dyDescent="0.25">
      <c r="A1754" s="13" t="s">
        <v>4074</v>
      </c>
      <c r="B1754" s="13" t="s">
        <v>4075</v>
      </c>
      <c r="C1754" s="13" t="s">
        <v>4076</v>
      </c>
      <c r="D1754" s="13">
        <v>44.4</v>
      </c>
      <c r="E1754" s="13" t="s">
        <v>4077</v>
      </c>
      <c r="F1754" s="13" t="s">
        <v>8867</v>
      </c>
      <c r="G1754" s="13" t="s">
        <v>2</v>
      </c>
      <c r="H1754" s="13" t="s">
        <v>10252</v>
      </c>
      <c r="I1754" s="13" t="s">
        <v>4059</v>
      </c>
      <c r="J1754" s="13" t="s">
        <v>8890</v>
      </c>
      <c r="K1754" s="13" t="s">
        <v>4059</v>
      </c>
      <c r="L1754" s="13" t="s">
        <v>158</v>
      </c>
      <c r="M1754" t="s">
        <v>10252</v>
      </c>
    </row>
    <row r="1755" spans="1:13" x14ac:dyDescent="0.25">
      <c r="A1755" s="13" t="s">
        <v>4078</v>
      </c>
      <c r="B1755" s="13" t="s">
        <v>4075</v>
      </c>
      <c r="C1755" s="13" t="s">
        <v>4079</v>
      </c>
      <c r="D1755" s="13">
        <v>44.4</v>
      </c>
      <c r="E1755" s="13" t="s">
        <v>4080</v>
      </c>
      <c r="F1755" s="13" t="s">
        <v>8867</v>
      </c>
      <c r="G1755" s="13" t="s">
        <v>2</v>
      </c>
      <c r="H1755" s="13" t="s">
        <v>10252</v>
      </c>
      <c r="I1755" s="13" t="s">
        <v>4059</v>
      </c>
      <c r="J1755" s="13" t="s">
        <v>8890</v>
      </c>
      <c r="K1755" s="13" t="s">
        <v>4059</v>
      </c>
      <c r="L1755" s="13" t="s">
        <v>158</v>
      </c>
      <c r="M1755" t="s">
        <v>10252</v>
      </c>
    </row>
    <row r="1756" spans="1:13" x14ac:dyDescent="0.25">
      <c r="A1756" s="13" t="s">
        <v>4081</v>
      </c>
      <c r="B1756" s="13" t="s">
        <v>4082</v>
      </c>
      <c r="C1756" s="13" t="s">
        <v>4083</v>
      </c>
      <c r="D1756" s="13">
        <v>44.4</v>
      </c>
      <c r="E1756" s="13" t="s">
        <v>4084</v>
      </c>
      <c r="F1756" s="13" t="s">
        <v>8867</v>
      </c>
      <c r="G1756" s="13" t="s">
        <v>2</v>
      </c>
      <c r="H1756" s="13" t="s">
        <v>10252</v>
      </c>
      <c r="I1756" s="13" t="s">
        <v>4059</v>
      </c>
      <c r="J1756" s="13" t="s">
        <v>8890</v>
      </c>
      <c r="K1756" s="13" t="s">
        <v>4059</v>
      </c>
      <c r="L1756" s="13" t="s">
        <v>158</v>
      </c>
      <c r="M1756" t="s">
        <v>10252</v>
      </c>
    </row>
    <row r="1757" spans="1:13" x14ac:dyDescent="0.25">
      <c r="A1757" s="13" t="s">
        <v>4085</v>
      </c>
      <c r="B1757" s="13" t="s">
        <v>4086</v>
      </c>
      <c r="C1757" s="13" t="s">
        <v>4086</v>
      </c>
      <c r="D1757" s="13">
        <v>36</v>
      </c>
      <c r="E1757" s="13" t="s">
        <v>4087</v>
      </c>
      <c r="F1757" s="13" t="s">
        <v>8867</v>
      </c>
      <c r="G1757" s="13" t="s">
        <v>2</v>
      </c>
      <c r="H1757" s="13" t="s">
        <v>10252</v>
      </c>
      <c r="I1757" s="13" t="s">
        <v>4059</v>
      </c>
      <c r="J1757" s="13" t="s">
        <v>8890</v>
      </c>
      <c r="K1757" s="13" t="s">
        <v>4059</v>
      </c>
      <c r="L1757" s="13" t="s">
        <v>158</v>
      </c>
      <c r="M1757" t="s">
        <v>10252</v>
      </c>
    </row>
    <row r="1758" spans="1:13" x14ac:dyDescent="0.25">
      <c r="A1758" s="13" t="s">
        <v>4088</v>
      </c>
      <c r="B1758" s="13" t="s">
        <v>4089</v>
      </c>
      <c r="C1758" s="13" t="s">
        <v>4089</v>
      </c>
      <c r="D1758" s="13">
        <v>41</v>
      </c>
      <c r="E1758" s="13" t="s">
        <v>4090</v>
      </c>
      <c r="F1758" s="13" t="s">
        <v>8867</v>
      </c>
      <c r="G1758" s="13" t="s">
        <v>2</v>
      </c>
      <c r="H1758" s="13" t="s">
        <v>10252</v>
      </c>
      <c r="I1758" s="13" t="s">
        <v>4059</v>
      </c>
      <c r="J1758" s="13" t="s">
        <v>8890</v>
      </c>
      <c r="K1758" s="13" t="s">
        <v>4059</v>
      </c>
      <c r="L1758" s="13" t="s">
        <v>158</v>
      </c>
      <c r="M1758" t="s">
        <v>10252</v>
      </c>
    </row>
    <row r="1759" spans="1:13" x14ac:dyDescent="0.25">
      <c r="A1759" s="13" t="s">
        <v>4091</v>
      </c>
      <c r="B1759" s="13" t="s">
        <v>4092</v>
      </c>
      <c r="C1759" s="13" t="s">
        <v>4092</v>
      </c>
      <c r="D1759" s="13">
        <v>38.1</v>
      </c>
      <c r="E1759" s="13" t="s">
        <v>4093</v>
      </c>
      <c r="F1759" s="13" t="s">
        <v>8867</v>
      </c>
      <c r="G1759" s="13" t="s">
        <v>2</v>
      </c>
      <c r="H1759" s="13" t="s">
        <v>10252</v>
      </c>
      <c r="I1759" s="13" t="s">
        <v>4059</v>
      </c>
      <c r="J1759" s="13" t="s">
        <v>8890</v>
      </c>
      <c r="K1759" s="13" t="s">
        <v>4059</v>
      </c>
      <c r="L1759" s="13" t="s">
        <v>158</v>
      </c>
      <c r="M1759" t="s">
        <v>10252</v>
      </c>
    </row>
    <row r="1760" spans="1:13" ht="26.25" x14ac:dyDescent="0.25">
      <c r="A1760" s="13" t="s">
        <v>4094</v>
      </c>
      <c r="B1760" s="13" t="s">
        <v>4094</v>
      </c>
      <c r="C1760" s="13" t="s">
        <v>4095</v>
      </c>
      <c r="D1760" s="13">
        <v>35</v>
      </c>
      <c r="E1760" s="13" t="s">
        <v>4096</v>
      </c>
      <c r="F1760" s="13" t="s">
        <v>8867</v>
      </c>
      <c r="G1760" s="13" t="s">
        <v>2</v>
      </c>
      <c r="H1760" s="13" t="s">
        <v>10252</v>
      </c>
      <c r="I1760" s="13" t="s">
        <v>4059</v>
      </c>
      <c r="J1760" s="13" t="s">
        <v>8890</v>
      </c>
      <c r="K1760" s="13" t="s">
        <v>4059</v>
      </c>
      <c r="L1760" s="13" t="s">
        <v>158</v>
      </c>
      <c r="M1760" t="s">
        <v>10252</v>
      </c>
    </row>
    <row r="1761" spans="1:13" x14ac:dyDescent="0.25">
      <c r="A1761" s="13" t="s">
        <v>4097</v>
      </c>
      <c r="B1761" s="13" t="s">
        <v>4098</v>
      </c>
      <c r="C1761" s="13" t="s">
        <v>4099</v>
      </c>
      <c r="D1761" s="13">
        <v>38.200000000000003</v>
      </c>
      <c r="E1761" s="13" t="s">
        <v>4100</v>
      </c>
      <c r="F1761" s="13" t="s">
        <v>8867</v>
      </c>
      <c r="G1761" s="13" t="s">
        <v>2</v>
      </c>
      <c r="H1761" s="13" t="s">
        <v>10252</v>
      </c>
      <c r="I1761" s="13" t="s">
        <v>4059</v>
      </c>
      <c r="J1761" s="13" t="s">
        <v>8890</v>
      </c>
      <c r="K1761" s="13" t="s">
        <v>4059</v>
      </c>
      <c r="L1761" s="13" t="s">
        <v>158</v>
      </c>
      <c r="M1761" t="s">
        <v>10252</v>
      </c>
    </row>
    <row r="1762" spans="1:13" x14ac:dyDescent="0.25">
      <c r="A1762" s="13" t="s">
        <v>4101</v>
      </c>
      <c r="B1762" s="13" t="s">
        <v>4102</v>
      </c>
      <c r="C1762" s="13" t="s">
        <v>4102</v>
      </c>
      <c r="D1762" s="13">
        <v>32.799999999999997</v>
      </c>
      <c r="E1762" s="13" t="s">
        <v>4103</v>
      </c>
      <c r="F1762" s="13" t="s">
        <v>8867</v>
      </c>
      <c r="G1762" s="13" t="s">
        <v>2</v>
      </c>
      <c r="H1762" s="13" t="s">
        <v>10252</v>
      </c>
      <c r="I1762" s="13" t="s">
        <v>4059</v>
      </c>
      <c r="J1762" s="13" t="s">
        <v>8890</v>
      </c>
      <c r="K1762" s="13" t="s">
        <v>4059</v>
      </c>
      <c r="L1762" s="13" t="s">
        <v>158</v>
      </c>
      <c r="M1762" t="s">
        <v>10252</v>
      </c>
    </row>
    <row r="1763" spans="1:13" x14ac:dyDescent="0.25">
      <c r="A1763" s="13" t="s">
        <v>4104</v>
      </c>
      <c r="B1763" s="13" t="s">
        <v>4105</v>
      </c>
      <c r="C1763" s="13" t="s">
        <v>4105</v>
      </c>
      <c r="D1763" s="13">
        <v>35</v>
      </c>
      <c r="E1763" s="13" t="s">
        <v>4106</v>
      </c>
      <c r="F1763" s="13" t="s">
        <v>8867</v>
      </c>
      <c r="G1763" s="13" t="s">
        <v>2</v>
      </c>
      <c r="H1763" s="13" t="s">
        <v>10252</v>
      </c>
      <c r="I1763" s="13" t="s">
        <v>4059</v>
      </c>
      <c r="J1763" s="13" t="s">
        <v>8890</v>
      </c>
      <c r="K1763" s="13" t="s">
        <v>4059</v>
      </c>
      <c r="L1763" s="13" t="s">
        <v>158</v>
      </c>
      <c r="M1763" t="s">
        <v>10252</v>
      </c>
    </row>
    <row r="1764" spans="1:13" x14ac:dyDescent="0.25">
      <c r="A1764" s="13" t="s">
        <v>4107</v>
      </c>
      <c r="B1764" s="13" t="s">
        <v>4108</v>
      </c>
      <c r="C1764" s="13" t="s">
        <v>4108</v>
      </c>
      <c r="D1764" s="13">
        <v>30.3</v>
      </c>
      <c r="E1764" s="13" t="s">
        <v>4109</v>
      </c>
      <c r="F1764" s="13" t="s">
        <v>8867</v>
      </c>
      <c r="G1764" s="13" t="s">
        <v>2</v>
      </c>
      <c r="H1764" s="13" t="s">
        <v>10252</v>
      </c>
      <c r="I1764" s="13" t="s">
        <v>4059</v>
      </c>
      <c r="J1764" s="13" t="s">
        <v>8890</v>
      </c>
      <c r="K1764" s="13" t="s">
        <v>4059</v>
      </c>
      <c r="L1764" s="13" t="s">
        <v>158</v>
      </c>
      <c r="M1764" t="s">
        <v>10252</v>
      </c>
    </row>
    <row r="1765" spans="1:13" x14ac:dyDescent="0.25">
      <c r="A1765" s="13" t="s">
        <v>4110</v>
      </c>
      <c r="B1765" s="13" t="s">
        <v>4111</v>
      </c>
      <c r="C1765" s="13" t="s">
        <v>4112</v>
      </c>
      <c r="D1765" s="13">
        <v>37.9</v>
      </c>
      <c r="E1765" s="13" t="s">
        <v>4113</v>
      </c>
      <c r="F1765" s="13" t="s">
        <v>8867</v>
      </c>
      <c r="G1765" s="13" t="s">
        <v>2</v>
      </c>
      <c r="H1765" s="13" t="s">
        <v>10252</v>
      </c>
      <c r="I1765" s="13" t="s">
        <v>4059</v>
      </c>
      <c r="J1765" s="13" t="s">
        <v>8890</v>
      </c>
      <c r="K1765" s="13" t="s">
        <v>4059</v>
      </c>
      <c r="L1765" s="13" t="s">
        <v>158</v>
      </c>
      <c r="M1765" t="s">
        <v>10252</v>
      </c>
    </row>
    <row r="1766" spans="1:13" x14ac:dyDescent="0.25">
      <c r="A1766" s="13" t="s">
        <v>4114</v>
      </c>
      <c r="B1766" s="13" t="s">
        <v>4115</v>
      </c>
      <c r="C1766" s="13" t="s">
        <v>4115</v>
      </c>
      <c r="D1766" s="13">
        <v>37.9</v>
      </c>
      <c r="E1766" s="13" t="s">
        <v>4116</v>
      </c>
      <c r="F1766" s="13" t="s">
        <v>8867</v>
      </c>
      <c r="G1766" s="13" t="s">
        <v>2</v>
      </c>
      <c r="H1766" s="13" t="s">
        <v>10252</v>
      </c>
      <c r="I1766" s="13" t="s">
        <v>4059</v>
      </c>
      <c r="J1766" s="13" t="s">
        <v>8890</v>
      </c>
      <c r="K1766" s="13" t="s">
        <v>4059</v>
      </c>
      <c r="L1766" s="13" t="s">
        <v>158</v>
      </c>
      <c r="M1766" t="s">
        <v>10252</v>
      </c>
    </row>
    <row r="1767" spans="1:13" x14ac:dyDescent="0.25">
      <c r="A1767" s="13" t="s">
        <v>4117</v>
      </c>
      <c r="B1767" s="13" t="s">
        <v>4118</v>
      </c>
      <c r="C1767" s="13" t="s">
        <v>4118</v>
      </c>
      <c r="D1767" s="13">
        <v>38.1</v>
      </c>
      <c r="E1767" s="13" t="s">
        <v>4119</v>
      </c>
      <c r="F1767" s="13" t="s">
        <v>8867</v>
      </c>
      <c r="G1767" s="13" t="s">
        <v>2</v>
      </c>
      <c r="H1767" s="13" t="s">
        <v>10252</v>
      </c>
      <c r="I1767" s="13" t="s">
        <v>4059</v>
      </c>
      <c r="J1767" s="13" t="s">
        <v>8890</v>
      </c>
      <c r="K1767" s="13" t="s">
        <v>4059</v>
      </c>
      <c r="L1767" s="13" t="s">
        <v>158</v>
      </c>
      <c r="M1767" t="s">
        <v>10252</v>
      </c>
    </row>
    <row r="1768" spans="1:13" ht="26.25" x14ac:dyDescent="0.25">
      <c r="A1768" s="13" t="s">
        <v>4120</v>
      </c>
      <c r="B1768" s="13" t="s">
        <v>4121</v>
      </c>
      <c r="C1768" s="13" t="s">
        <v>4122</v>
      </c>
      <c r="D1768" s="13">
        <v>38</v>
      </c>
      <c r="E1768" s="13" t="s">
        <v>4123</v>
      </c>
      <c r="F1768" s="13" t="s">
        <v>8867</v>
      </c>
      <c r="G1768" s="13" t="s">
        <v>2</v>
      </c>
      <c r="H1768" s="13" t="s">
        <v>10252</v>
      </c>
      <c r="I1768" s="13" t="s">
        <v>4059</v>
      </c>
      <c r="J1768" s="13" t="s">
        <v>8890</v>
      </c>
      <c r="K1768" s="13" t="s">
        <v>4059</v>
      </c>
      <c r="L1768" s="13" t="s">
        <v>158</v>
      </c>
      <c r="M1768" t="s">
        <v>10252</v>
      </c>
    </row>
    <row r="1769" spans="1:13" x14ac:dyDescent="0.25">
      <c r="A1769" s="13" t="s">
        <v>4124</v>
      </c>
      <c r="B1769" s="13" t="s">
        <v>4125</v>
      </c>
      <c r="C1769" s="13" t="s">
        <v>4125</v>
      </c>
      <c r="D1769" s="13">
        <v>40.200000000000003</v>
      </c>
      <c r="E1769" s="13" t="s">
        <v>4126</v>
      </c>
      <c r="F1769" s="13" t="s">
        <v>8867</v>
      </c>
      <c r="G1769" s="13" t="s">
        <v>2</v>
      </c>
      <c r="H1769" s="13" t="s">
        <v>10252</v>
      </c>
      <c r="I1769" s="13" t="s">
        <v>4059</v>
      </c>
      <c r="J1769" s="13" t="s">
        <v>8890</v>
      </c>
      <c r="K1769" s="13" t="s">
        <v>4059</v>
      </c>
      <c r="L1769" s="13" t="s">
        <v>158</v>
      </c>
      <c r="M1769" t="s">
        <v>10252</v>
      </c>
    </row>
    <row r="1770" spans="1:13" ht="26.25" x14ac:dyDescent="0.25">
      <c r="A1770" s="13" t="s">
        <v>4127</v>
      </c>
      <c r="B1770" s="13" t="s">
        <v>4128</v>
      </c>
      <c r="C1770" s="13" t="s">
        <v>4128</v>
      </c>
      <c r="D1770" s="13">
        <v>40.4</v>
      </c>
      <c r="E1770" s="13" t="s">
        <v>4129</v>
      </c>
      <c r="F1770" s="13" t="s">
        <v>8867</v>
      </c>
      <c r="G1770" s="13" t="s">
        <v>2</v>
      </c>
      <c r="H1770" s="13" t="s">
        <v>10252</v>
      </c>
      <c r="I1770" s="13" t="s">
        <v>4059</v>
      </c>
      <c r="J1770" s="13" t="s">
        <v>8890</v>
      </c>
      <c r="K1770" s="13" t="s">
        <v>4059</v>
      </c>
      <c r="L1770" s="13" t="s">
        <v>158</v>
      </c>
      <c r="M1770" t="s">
        <v>10252</v>
      </c>
    </row>
    <row r="1771" spans="1:13" ht="26.25" x14ac:dyDescent="0.25">
      <c r="A1771" s="13" t="s">
        <v>4130</v>
      </c>
      <c r="B1771" s="13" t="s">
        <v>4131</v>
      </c>
      <c r="C1771" s="13" t="s">
        <v>4131</v>
      </c>
      <c r="D1771" s="13">
        <v>38</v>
      </c>
      <c r="E1771" s="13" t="s">
        <v>4132</v>
      </c>
      <c r="F1771" s="13" t="s">
        <v>8867</v>
      </c>
      <c r="G1771" s="13" t="s">
        <v>2</v>
      </c>
      <c r="H1771" s="13" t="s">
        <v>10252</v>
      </c>
      <c r="I1771" s="13" t="s">
        <v>4059</v>
      </c>
      <c r="J1771" s="13" t="s">
        <v>8890</v>
      </c>
      <c r="K1771" s="13" t="s">
        <v>4059</v>
      </c>
      <c r="L1771" s="13" t="s">
        <v>158</v>
      </c>
      <c r="M1771" t="s">
        <v>10252</v>
      </c>
    </row>
    <row r="1772" spans="1:13" x14ac:dyDescent="0.25">
      <c r="A1772" s="13" t="s">
        <v>4133</v>
      </c>
      <c r="B1772" s="13" t="s">
        <v>9235</v>
      </c>
      <c r="C1772" s="13" t="s">
        <v>9236</v>
      </c>
      <c r="D1772" s="13">
        <v>38.1</v>
      </c>
      <c r="E1772" s="13" t="s">
        <v>4134</v>
      </c>
      <c r="F1772" s="13" t="s">
        <v>8867</v>
      </c>
      <c r="G1772" s="13" t="s">
        <v>2</v>
      </c>
      <c r="H1772" s="13" t="s">
        <v>10252</v>
      </c>
      <c r="I1772" s="13" t="s">
        <v>4059</v>
      </c>
      <c r="J1772" s="13" t="s">
        <v>8890</v>
      </c>
      <c r="K1772" s="13" t="s">
        <v>4059</v>
      </c>
      <c r="L1772" s="13" t="s">
        <v>158</v>
      </c>
      <c r="M1772" t="s">
        <v>10252</v>
      </c>
    </row>
    <row r="1773" spans="1:13" x14ac:dyDescent="0.25">
      <c r="A1773" s="13" t="s">
        <v>4135</v>
      </c>
      <c r="B1773" s="13" t="s">
        <v>4136</v>
      </c>
      <c r="C1773" s="13" t="s">
        <v>4136</v>
      </c>
      <c r="D1773" s="13">
        <v>38.200000000000003</v>
      </c>
      <c r="E1773" s="13" t="s">
        <v>4137</v>
      </c>
      <c r="F1773" s="13" t="s">
        <v>8867</v>
      </c>
      <c r="G1773" s="13" t="s">
        <v>2</v>
      </c>
      <c r="H1773" s="13" t="s">
        <v>10252</v>
      </c>
      <c r="I1773" s="13" t="s">
        <v>4059</v>
      </c>
      <c r="J1773" s="13" t="s">
        <v>8890</v>
      </c>
      <c r="K1773" s="13" t="s">
        <v>4059</v>
      </c>
      <c r="L1773" s="13" t="s">
        <v>158</v>
      </c>
      <c r="M1773" t="s">
        <v>10252</v>
      </c>
    </row>
    <row r="1774" spans="1:13" x14ac:dyDescent="0.25">
      <c r="A1774" s="13" t="s">
        <v>4138</v>
      </c>
      <c r="B1774" s="13" t="s">
        <v>4139</v>
      </c>
      <c r="C1774" s="13" t="s">
        <v>4139</v>
      </c>
      <c r="D1774" s="13">
        <v>40.200000000000003</v>
      </c>
      <c r="E1774" s="13" t="s">
        <v>4140</v>
      </c>
      <c r="F1774" s="13" t="s">
        <v>8867</v>
      </c>
      <c r="G1774" s="13" t="s">
        <v>2</v>
      </c>
      <c r="H1774" s="13" t="s">
        <v>10252</v>
      </c>
      <c r="I1774" s="13" t="s">
        <v>4059</v>
      </c>
      <c r="J1774" s="13" t="s">
        <v>8890</v>
      </c>
      <c r="K1774" s="13" t="s">
        <v>4059</v>
      </c>
      <c r="L1774" s="13" t="s">
        <v>158</v>
      </c>
      <c r="M1774" t="s">
        <v>10252</v>
      </c>
    </row>
    <row r="1775" spans="1:13" x14ac:dyDescent="0.25">
      <c r="A1775" s="13" t="s">
        <v>4141</v>
      </c>
      <c r="B1775" s="13" t="s">
        <v>4142</v>
      </c>
      <c r="C1775" s="13" t="s">
        <v>4143</v>
      </c>
      <c r="D1775" s="13">
        <v>47.8</v>
      </c>
      <c r="E1775" s="13" t="s">
        <v>4144</v>
      </c>
      <c r="F1775" s="13" t="s">
        <v>8867</v>
      </c>
      <c r="G1775" s="13" t="s">
        <v>2</v>
      </c>
      <c r="H1775" s="13" t="s">
        <v>3</v>
      </c>
      <c r="I1775" s="13" t="s">
        <v>4059</v>
      </c>
      <c r="J1775" s="13" t="s">
        <v>8890</v>
      </c>
      <c r="K1775" s="13" t="s">
        <v>4059</v>
      </c>
      <c r="L1775" s="13" t="s">
        <v>158</v>
      </c>
      <c r="M1775" t="s">
        <v>3</v>
      </c>
    </row>
    <row r="1776" spans="1:13" x14ac:dyDescent="0.25">
      <c r="A1776" s="13" t="s">
        <v>4145</v>
      </c>
      <c r="B1776" s="13" t="s">
        <v>4146</v>
      </c>
      <c r="C1776" s="13" t="s">
        <v>4146</v>
      </c>
      <c r="D1776" s="13">
        <v>44.2</v>
      </c>
      <c r="E1776" s="13" t="s">
        <v>4147</v>
      </c>
      <c r="F1776" s="13" t="s">
        <v>8867</v>
      </c>
      <c r="G1776" s="13" t="s">
        <v>2</v>
      </c>
      <c r="H1776" s="13" t="s">
        <v>3</v>
      </c>
      <c r="I1776" s="13" t="s">
        <v>4059</v>
      </c>
      <c r="J1776" s="13" t="s">
        <v>8890</v>
      </c>
      <c r="K1776" s="13" t="s">
        <v>4059</v>
      </c>
      <c r="L1776" s="13" t="s">
        <v>158</v>
      </c>
      <c r="M1776" t="s">
        <v>3</v>
      </c>
    </row>
    <row r="1777" spans="1:13" x14ac:dyDescent="0.25">
      <c r="A1777" s="13" t="s">
        <v>9237</v>
      </c>
      <c r="B1777" s="13" t="s">
        <v>9237</v>
      </c>
      <c r="C1777" s="13" t="s">
        <v>9237</v>
      </c>
      <c r="D1777" s="13">
        <v>40.799999999999997</v>
      </c>
      <c r="E1777" s="13" t="s">
        <v>9238</v>
      </c>
      <c r="F1777" s="13" t="s">
        <v>8867</v>
      </c>
      <c r="G1777" s="13" t="s">
        <v>2</v>
      </c>
      <c r="H1777" s="13" t="s">
        <v>3</v>
      </c>
      <c r="I1777" s="13" t="s">
        <v>4059</v>
      </c>
      <c r="J1777" s="13" t="s">
        <v>8890</v>
      </c>
      <c r="K1777" s="13" t="s">
        <v>4059</v>
      </c>
      <c r="L1777" s="13" t="s">
        <v>158</v>
      </c>
      <c r="M1777" t="s">
        <v>3</v>
      </c>
    </row>
    <row r="1778" spans="1:13" x14ac:dyDescent="0.25">
      <c r="A1778" s="13" t="s">
        <v>9239</v>
      </c>
      <c r="B1778" s="13" t="s">
        <v>9239</v>
      </c>
      <c r="C1778" s="13" t="s">
        <v>9239</v>
      </c>
      <c r="D1778" s="13">
        <v>40.799999999999997</v>
      </c>
      <c r="E1778" s="13" t="s">
        <v>9240</v>
      </c>
      <c r="F1778" s="13" t="s">
        <v>8867</v>
      </c>
      <c r="G1778" s="13" t="s">
        <v>2</v>
      </c>
      <c r="H1778" s="13" t="s">
        <v>3</v>
      </c>
      <c r="I1778" s="13" t="s">
        <v>4059</v>
      </c>
      <c r="J1778" s="13" t="s">
        <v>8890</v>
      </c>
      <c r="K1778" s="13" t="s">
        <v>4059</v>
      </c>
      <c r="L1778" s="13" t="s">
        <v>158</v>
      </c>
      <c r="M1778" t="s">
        <v>3</v>
      </c>
    </row>
    <row r="1779" spans="1:13" x14ac:dyDescent="0.25">
      <c r="A1779" s="13" t="s">
        <v>9925</v>
      </c>
      <c r="B1779" s="13" t="s">
        <v>9926</v>
      </c>
      <c r="C1779" s="13" t="s">
        <v>9926</v>
      </c>
      <c r="D1779" s="13">
        <v>48</v>
      </c>
      <c r="E1779" s="13" t="s">
        <v>9927</v>
      </c>
      <c r="F1779" s="13" t="s">
        <v>8869</v>
      </c>
      <c r="G1779" s="13" t="s">
        <v>2</v>
      </c>
      <c r="H1779" s="13" t="s">
        <v>3</v>
      </c>
      <c r="I1779" s="13" t="s">
        <v>4059</v>
      </c>
      <c r="J1779" s="13" t="s">
        <v>8890</v>
      </c>
      <c r="K1779" s="13" t="s">
        <v>4059</v>
      </c>
      <c r="L1779" s="13" t="s">
        <v>8918</v>
      </c>
      <c r="M1779" t="s">
        <v>3</v>
      </c>
    </row>
    <row r="1780" spans="1:13" x14ac:dyDescent="0.25">
      <c r="A1780" s="13" t="s">
        <v>9928</v>
      </c>
      <c r="B1780" s="13" t="s">
        <v>9929</v>
      </c>
      <c r="C1780" s="13" t="s">
        <v>9929</v>
      </c>
      <c r="D1780" s="13">
        <v>40</v>
      </c>
      <c r="E1780" s="13" t="s">
        <v>9930</v>
      </c>
      <c r="F1780" s="13" t="s">
        <v>8869</v>
      </c>
      <c r="G1780" s="13" t="s">
        <v>2</v>
      </c>
      <c r="H1780" s="13" t="s">
        <v>10252</v>
      </c>
      <c r="I1780" s="13" t="s">
        <v>4059</v>
      </c>
      <c r="J1780" s="13" t="s">
        <v>8890</v>
      </c>
      <c r="K1780" s="13" t="s">
        <v>4059</v>
      </c>
      <c r="L1780" s="13" t="s">
        <v>8918</v>
      </c>
      <c r="M1780" t="s">
        <v>10252</v>
      </c>
    </row>
    <row r="1781" spans="1:13" x14ac:dyDescent="0.25">
      <c r="A1781" s="13" t="s">
        <v>9931</v>
      </c>
      <c r="B1781" s="13" t="s">
        <v>9932</v>
      </c>
      <c r="C1781" s="13" t="s">
        <v>9932</v>
      </c>
      <c r="D1781" s="13">
        <v>22.5</v>
      </c>
      <c r="E1781" s="13" t="s">
        <v>9933</v>
      </c>
      <c r="F1781" s="13" t="s">
        <v>8869</v>
      </c>
      <c r="G1781" s="13" t="s">
        <v>2</v>
      </c>
      <c r="H1781" s="13" t="s">
        <v>10252</v>
      </c>
      <c r="I1781" s="13" t="s">
        <v>4059</v>
      </c>
      <c r="J1781" s="13" t="s">
        <v>8890</v>
      </c>
      <c r="K1781" s="13" t="s">
        <v>4059</v>
      </c>
      <c r="L1781" s="13" t="s">
        <v>8918</v>
      </c>
      <c r="M1781" t="s">
        <v>10252</v>
      </c>
    </row>
    <row r="1782" spans="1:13" x14ac:dyDescent="0.25">
      <c r="A1782" s="13" t="s">
        <v>9934</v>
      </c>
      <c r="B1782" s="13" t="s">
        <v>9935</v>
      </c>
      <c r="C1782" s="13" t="s">
        <v>9935</v>
      </c>
      <c r="D1782" s="13">
        <v>50</v>
      </c>
      <c r="E1782" s="13" t="s">
        <v>9936</v>
      </c>
      <c r="F1782" s="13" t="s">
        <v>8869</v>
      </c>
      <c r="G1782" s="13" t="s">
        <v>2</v>
      </c>
      <c r="H1782" s="13" t="s">
        <v>10252</v>
      </c>
      <c r="I1782" s="13" t="s">
        <v>4059</v>
      </c>
      <c r="J1782" s="13" t="s">
        <v>8890</v>
      </c>
      <c r="K1782" s="13" t="s">
        <v>4059</v>
      </c>
      <c r="L1782" s="13" t="s">
        <v>8918</v>
      </c>
      <c r="M1782" t="s">
        <v>10252</v>
      </c>
    </row>
    <row r="1783" spans="1:13" ht="26.25" x14ac:dyDescent="0.25">
      <c r="A1783" s="13" t="s">
        <v>9937</v>
      </c>
      <c r="B1783" s="13" t="s">
        <v>9938</v>
      </c>
      <c r="C1783" s="13" t="s">
        <v>9938</v>
      </c>
      <c r="D1783" s="13">
        <v>50</v>
      </c>
      <c r="E1783" s="13" t="s">
        <v>9939</v>
      </c>
      <c r="F1783" s="13" t="s">
        <v>8876</v>
      </c>
      <c r="G1783" s="13" t="s">
        <v>2</v>
      </c>
      <c r="H1783" s="13" t="s">
        <v>3</v>
      </c>
      <c r="I1783" s="13" t="s">
        <v>4059</v>
      </c>
      <c r="J1783" s="13" t="s">
        <v>8890</v>
      </c>
      <c r="K1783" s="13" t="s">
        <v>4059</v>
      </c>
      <c r="L1783" s="13" t="s">
        <v>9244</v>
      </c>
      <c r="M1783" t="s">
        <v>3</v>
      </c>
    </row>
    <row r="1784" spans="1:13" x14ac:dyDescent="0.25">
      <c r="A1784" s="13" t="s">
        <v>10253</v>
      </c>
      <c r="B1784" s="13" t="s">
        <v>10254</v>
      </c>
      <c r="C1784" s="13" t="s">
        <v>10255</v>
      </c>
      <c r="D1784" s="13">
        <v>9.9</v>
      </c>
      <c r="E1784" s="13" t="s">
        <v>10256</v>
      </c>
      <c r="F1784" s="13" t="s">
        <v>8867</v>
      </c>
      <c r="G1784" s="13" t="s">
        <v>2</v>
      </c>
      <c r="H1784" s="13" t="s">
        <v>3</v>
      </c>
      <c r="I1784" s="13" t="s">
        <v>4059</v>
      </c>
      <c r="J1784" s="13" t="s">
        <v>8890</v>
      </c>
      <c r="K1784" s="13" t="s">
        <v>4059</v>
      </c>
      <c r="L1784" s="13" t="s">
        <v>158</v>
      </c>
      <c r="M1784" t="s">
        <v>3</v>
      </c>
    </row>
    <row r="1785" spans="1:13" x14ac:dyDescent="0.25">
      <c r="A1785" s="13" t="s">
        <v>10257</v>
      </c>
      <c r="B1785" s="13" t="s">
        <v>10258</v>
      </c>
      <c r="C1785" s="13" t="s">
        <v>10258</v>
      </c>
      <c r="D1785" s="13">
        <v>10</v>
      </c>
      <c r="E1785" s="13" t="s">
        <v>10259</v>
      </c>
      <c r="F1785" s="13" t="s">
        <v>8867</v>
      </c>
      <c r="G1785" s="13" t="s">
        <v>2</v>
      </c>
      <c r="H1785" s="13" t="s">
        <v>3</v>
      </c>
      <c r="I1785" s="13" t="s">
        <v>4059</v>
      </c>
      <c r="J1785" s="13" t="s">
        <v>8890</v>
      </c>
      <c r="K1785" s="13" t="s">
        <v>4059</v>
      </c>
      <c r="L1785" s="13" t="s">
        <v>158</v>
      </c>
      <c r="M1785" t="s">
        <v>3</v>
      </c>
    </row>
    <row r="1786" spans="1:13" x14ac:dyDescent="0.25">
      <c r="A1786" s="13" t="s">
        <v>10260</v>
      </c>
      <c r="B1786" s="13" t="s">
        <v>10261</v>
      </c>
      <c r="C1786" s="13" t="s">
        <v>10261</v>
      </c>
      <c r="D1786" s="13">
        <v>24.9</v>
      </c>
      <c r="E1786" s="13" t="s">
        <v>10262</v>
      </c>
      <c r="F1786" s="13" t="s">
        <v>8867</v>
      </c>
      <c r="G1786" s="13" t="s">
        <v>2</v>
      </c>
      <c r="H1786" s="13" t="s">
        <v>10252</v>
      </c>
      <c r="I1786" s="13" t="s">
        <v>4059</v>
      </c>
      <c r="J1786" s="13" t="s">
        <v>8890</v>
      </c>
      <c r="K1786" s="13" t="s">
        <v>4059</v>
      </c>
      <c r="L1786" s="13" t="s">
        <v>158</v>
      </c>
      <c r="M1786" t="s">
        <v>10252</v>
      </c>
    </row>
    <row r="1787" spans="1:13" x14ac:dyDescent="0.25">
      <c r="A1787" s="13" t="s">
        <v>10263</v>
      </c>
      <c r="B1787" s="13" t="s">
        <v>10264</v>
      </c>
      <c r="C1787" s="13" t="s">
        <v>10264</v>
      </c>
      <c r="D1787" s="13">
        <v>24.9</v>
      </c>
      <c r="E1787" s="13" t="s">
        <v>10265</v>
      </c>
      <c r="F1787" s="13" t="s">
        <v>8867</v>
      </c>
      <c r="G1787" s="13" t="s">
        <v>2</v>
      </c>
      <c r="H1787" s="13" t="s">
        <v>10252</v>
      </c>
      <c r="I1787" s="13" t="s">
        <v>4059</v>
      </c>
      <c r="J1787" s="13" t="s">
        <v>8890</v>
      </c>
      <c r="K1787" s="13" t="s">
        <v>4059</v>
      </c>
      <c r="L1787" s="13" t="s">
        <v>158</v>
      </c>
      <c r="M1787" t="s">
        <v>10252</v>
      </c>
    </row>
    <row r="1788" spans="1:13" x14ac:dyDescent="0.25">
      <c r="A1788" s="13" t="s">
        <v>10266</v>
      </c>
      <c r="B1788" s="13" t="s">
        <v>10267</v>
      </c>
      <c r="C1788" s="13" t="s">
        <v>10267</v>
      </c>
      <c r="D1788" s="13">
        <v>16.100000000000001</v>
      </c>
      <c r="E1788" s="13" t="s">
        <v>10268</v>
      </c>
      <c r="F1788" s="13" t="s">
        <v>8867</v>
      </c>
      <c r="G1788" s="13" t="s">
        <v>2</v>
      </c>
      <c r="H1788" s="13" t="s">
        <v>10252</v>
      </c>
      <c r="I1788" s="13" t="s">
        <v>4059</v>
      </c>
      <c r="J1788" s="13" t="s">
        <v>8890</v>
      </c>
      <c r="K1788" s="13" t="s">
        <v>4059</v>
      </c>
      <c r="L1788" s="13" t="s">
        <v>158</v>
      </c>
      <c r="M1788" t="s">
        <v>10252</v>
      </c>
    </row>
    <row r="1789" spans="1:13" x14ac:dyDescent="0.25">
      <c r="A1789" s="13" t="s">
        <v>10269</v>
      </c>
      <c r="B1789" s="13" t="s">
        <v>10270</v>
      </c>
      <c r="C1789" s="13" t="s">
        <v>10271</v>
      </c>
      <c r="D1789" s="13">
        <v>11.5</v>
      </c>
      <c r="E1789" s="13" t="s">
        <v>10272</v>
      </c>
      <c r="F1789" s="13" t="s">
        <v>8867</v>
      </c>
      <c r="G1789" s="13" t="s">
        <v>2</v>
      </c>
      <c r="H1789" s="13" t="s">
        <v>10252</v>
      </c>
      <c r="I1789" s="13" t="s">
        <v>4059</v>
      </c>
      <c r="J1789" s="13" t="s">
        <v>8890</v>
      </c>
      <c r="K1789" s="13" t="s">
        <v>4059</v>
      </c>
      <c r="L1789" s="13" t="s">
        <v>158</v>
      </c>
      <c r="M1789" t="s">
        <v>10252</v>
      </c>
    </row>
    <row r="1790" spans="1:13" x14ac:dyDescent="0.25">
      <c r="A1790" s="13" t="s">
        <v>10273</v>
      </c>
      <c r="B1790" s="13" t="s">
        <v>10274</v>
      </c>
      <c r="C1790" s="13" t="s">
        <v>10274</v>
      </c>
      <c r="D1790" s="13">
        <v>24.9</v>
      </c>
      <c r="E1790" s="13" t="s">
        <v>10275</v>
      </c>
      <c r="F1790" s="13" t="s">
        <v>8867</v>
      </c>
      <c r="G1790" s="13" t="s">
        <v>2</v>
      </c>
      <c r="H1790" s="13" t="s">
        <v>3</v>
      </c>
      <c r="I1790" s="13" t="s">
        <v>4059</v>
      </c>
      <c r="J1790" s="13" t="s">
        <v>8890</v>
      </c>
      <c r="K1790" s="13" t="s">
        <v>4059</v>
      </c>
      <c r="L1790" s="13" t="s">
        <v>158</v>
      </c>
      <c r="M1790" t="s">
        <v>3</v>
      </c>
    </row>
    <row r="1791" spans="1:13" x14ac:dyDescent="0.25">
      <c r="A1791" s="13" t="s">
        <v>10276</v>
      </c>
      <c r="B1791" s="13" t="s">
        <v>10277</v>
      </c>
      <c r="C1791" s="13" t="s">
        <v>10277</v>
      </c>
      <c r="D1791" s="13">
        <v>19.899999999999999</v>
      </c>
      <c r="E1791" s="13" t="s">
        <v>10278</v>
      </c>
      <c r="F1791" s="13" t="s">
        <v>8867</v>
      </c>
      <c r="G1791" s="13" t="s">
        <v>2</v>
      </c>
      <c r="H1791" s="13" t="s">
        <v>3</v>
      </c>
      <c r="I1791" s="13" t="s">
        <v>4059</v>
      </c>
      <c r="J1791" s="13" t="s">
        <v>8890</v>
      </c>
      <c r="K1791" s="13" t="s">
        <v>4059</v>
      </c>
      <c r="L1791" s="13" t="s">
        <v>158</v>
      </c>
      <c r="M1791" t="s">
        <v>3</v>
      </c>
    </row>
    <row r="1792" spans="1:13" ht="26.25" x14ac:dyDescent="0.25">
      <c r="A1792" s="13" t="s">
        <v>10279</v>
      </c>
      <c r="B1792" s="13" t="s">
        <v>10280</v>
      </c>
      <c r="C1792" s="13" t="s">
        <v>10280</v>
      </c>
      <c r="D1792" s="13">
        <v>30.4</v>
      </c>
      <c r="E1792" s="13" t="s">
        <v>10281</v>
      </c>
      <c r="F1792" s="13" t="s">
        <v>8867</v>
      </c>
      <c r="G1792" s="13" t="s">
        <v>2</v>
      </c>
      <c r="H1792" s="13" t="s">
        <v>3</v>
      </c>
      <c r="I1792" s="13" t="s">
        <v>4059</v>
      </c>
      <c r="J1792" s="13" t="s">
        <v>8890</v>
      </c>
      <c r="K1792" s="13" t="s">
        <v>4059</v>
      </c>
      <c r="L1792" s="13" t="s">
        <v>158</v>
      </c>
      <c r="M1792" t="s">
        <v>3</v>
      </c>
    </row>
    <row r="1793" spans="1:13" x14ac:dyDescent="0.25">
      <c r="A1793" s="13" t="s">
        <v>10282</v>
      </c>
      <c r="B1793" s="13" t="s">
        <v>10283</v>
      </c>
      <c r="C1793" s="13" t="s">
        <v>10283</v>
      </c>
      <c r="D1793" s="13">
        <v>24.9</v>
      </c>
      <c r="E1793" s="13" t="s">
        <v>10284</v>
      </c>
      <c r="F1793" s="13" t="s">
        <v>8867</v>
      </c>
      <c r="G1793" s="13" t="s">
        <v>2</v>
      </c>
      <c r="H1793" s="13" t="s">
        <v>3</v>
      </c>
      <c r="I1793" s="13" t="s">
        <v>4059</v>
      </c>
      <c r="J1793" s="13" t="s">
        <v>8890</v>
      </c>
      <c r="K1793" s="13" t="s">
        <v>4059</v>
      </c>
      <c r="L1793" s="13" t="s">
        <v>158</v>
      </c>
      <c r="M1793" t="s">
        <v>3</v>
      </c>
    </row>
    <row r="1794" spans="1:13" x14ac:dyDescent="0.25">
      <c r="A1794" s="13" t="s">
        <v>10285</v>
      </c>
      <c r="B1794" s="13" t="s">
        <v>10286</v>
      </c>
      <c r="C1794" s="13" t="s">
        <v>10286</v>
      </c>
      <c r="D1794" s="13">
        <v>24.1</v>
      </c>
      <c r="E1794" s="13" t="s">
        <v>10287</v>
      </c>
      <c r="F1794" s="13" t="s">
        <v>8867</v>
      </c>
      <c r="G1794" s="13" t="s">
        <v>2</v>
      </c>
      <c r="H1794" s="13" t="s">
        <v>10252</v>
      </c>
      <c r="I1794" s="13" t="s">
        <v>4059</v>
      </c>
      <c r="J1794" s="13" t="s">
        <v>8890</v>
      </c>
      <c r="K1794" s="13" t="s">
        <v>4059</v>
      </c>
      <c r="L1794" s="13" t="s">
        <v>158</v>
      </c>
      <c r="M1794" t="s">
        <v>10252</v>
      </c>
    </row>
    <row r="1795" spans="1:13" x14ac:dyDescent="0.25">
      <c r="A1795" s="13" t="s">
        <v>11867</v>
      </c>
      <c r="B1795" s="13" t="s">
        <v>11868</v>
      </c>
      <c r="C1795" s="13" t="s">
        <v>11868</v>
      </c>
      <c r="D1795" s="13">
        <v>38.200000000000003</v>
      </c>
      <c r="E1795" s="13" t="s">
        <v>11869</v>
      </c>
      <c r="F1795" s="13" t="s">
        <v>8867</v>
      </c>
      <c r="G1795" s="13" t="s">
        <v>2</v>
      </c>
      <c r="H1795" s="13" t="s">
        <v>3</v>
      </c>
      <c r="I1795" s="13" t="s">
        <v>4059</v>
      </c>
      <c r="J1795" s="13" t="s">
        <v>8890</v>
      </c>
      <c r="K1795" s="13" t="s">
        <v>4059</v>
      </c>
      <c r="L1795" s="13" t="s">
        <v>158</v>
      </c>
      <c r="M1795" t="s">
        <v>3</v>
      </c>
    </row>
    <row r="1796" spans="1:13" x14ac:dyDescent="0.25">
      <c r="A1796" s="13" t="s">
        <v>11870</v>
      </c>
      <c r="B1796" s="13" t="s">
        <v>11871</v>
      </c>
      <c r="C1796" s="13" t="s">
        <v>11871</v>
      </c>
      <c r="D1796" s="13">
        <v>42.8</v>
      </c>
      <c r="E1796" s="13" t="s">
        <v>11872</v>
      </c>
      <c r="F1796" s="13" t="s">
        <v>8867</v>
      </c>
      <c r="G1796" s="13" t="s">
        <v>2</v>
      </c>
      <c r="H1796" s="13" t="s">
        <v>3</v>
      </c>
      <c r="I1796" s="13" t="s">
        <v>4059</v>
      </c>
      <c r="J1796" s="13" t="s">
        <v>8890</v>
      </c>
      <c r="K1796" s="13" t="s">
        <v>4059</v>
      </c>
      <c r="L1796" s="13" t="s">
        <v>158</v>
      </c>
      <c r="M1796" t="s">
        <v>3</v>
      </c>
    </row>
    <row r="1797" spans="1:13" x14ac:dyDescent="0.25">
      <c r="A1797" s="13" t="s">
        <v>11873</v>
      </c>
      <c r="B1797" s="13" t="s">
        <v>11874</v>
      </c>
      <c r="C1797" s="13" t="s">
        <v>11874</v>
      </c>
      <c r="D1797" s="13">
        <v>13.1</v>
      </c>
      <c r="E1797" s="13" t="s">
        <v>11875</v>
      </c>
      <c r="F1797" s="13" t="s">
        <v>8867</v>
      </c>
      <c r="G1797" s="13" t="s">
        <v>2</v>
      </c>
      <c r="H1797" s="13" t="s">
        <v>3</v>
      </c>
      <c r="I1797" s="13" t="s">
        <v>4059</v>
      </c>
      <c r="J1797" s="13" t="s">
        <v>8890</v>
      </c>
      <c r="K1797" s="13" t="s">
        <v>4059</v>
      </c>
      <c r="L1797" s="13" t="s">
        <v>158</v>
      </c>
      <c r="M1797" t="s">
        <v>3</v>
      </c>
    </row>
    <row r="1798" spans="1:13" x14ac:dyDescent="0.25">
      <c r="A1798" s="13" t="s">
        <v>12027</v>
      </c>
      <c r="B1798" s="13" t="s">
        <v>12028</v>
      </c>
      <c r="C1798" s="13" t="s">
        <v>12028</v>
      </c>
      <c r="D1798" s="13">
        <v>49.9</v>
      </c>
      <c r="E1798" s="13" t="s">
        <v>12029</v>
      </c>
      <c r="F1798" s="13" t="s">
        <v>8876</v>
      </c>
      <c r="G1798" s="13" t="s">
        <v>2</v>
      </c>
      <c r="H1798" s="13" t="s">
        <v>3</v>
      </c>
      <c r="I1798" s="13" t="s">
        <v>4059</v>
      </c>
      <c r="J1798" s="13" t="s">
        <v>8890</v>
      </c>
      <c r="K1798" s="13" t="s">
        <v>4059</v>
      </c>
      <c r="L1798" s="13" t="s">
        <v>9244</v>
      </c>
      <c r="M1798" t="s">
        <v>3</v>
      </c>
    </row>
    <row r="1799" spans="1:13" x14ac:dyDescent="0.25">
      <c r="A1799" s="13" t="s">
        <v>12030</v>
      </c>
      <c r="B1799" s="13" t="s">
        <v>12031</v>
      </c>
      <c r="C1799" s="13" t="s">
        <v>12031</v>
      </c>
      <c r="D1799" s="13">
        <v>49.5</v>
      </c>
      <c r="E1799" s="13" t="s">
        <v>12032</v>
      </c>
      <c r="F1799" s="13" t="s">
        <v>8869</v>
      </c>
      <c r="G1799" s="13" t="s">
        <v>2</v>
      </c>
      <c r="H1799" s="13" t="s">
        <v>3</v>
      </c>
      <c r="I1799" s="13" t="s">
        <v>4059</v>
      </c>
      <c r="J1799" s="13" t="s">
        <v>8890</v>
      </c>
      <c r="K1799" s="13" t="s">
        <v>4059</v>
      </c>
      <c r="L1799" s="13" t="s">
        <v>8918</v>
      </c>
      <c r="M1799" t="s">
        <v>3</v>
      </c>
    </row>
    <row r="1800" spans="1:13" x14ac:dyDescent="0.25">
      <c r="A1800" s="13" t="s">
        <v>12033</v>
      </c>
      <c r="B1800" s="13" t="s">
        <v>12034</v>
      </c>
      <c r="C1800" s="13" t="s">
        <v>12034</v>
      </c>
      <c r="D1800" s="13">
        <v>28</v>
      </c>
      <c r="E1800" s="13" t="s">
        <v>12035</v>
      </c>
      <c r="F1800" s="13" t="s">
        <v>8869</v>
      </c>
      <c r="G1800" s="13" t="s">
        <v>2</v>
      </c>
      <c r="H1800" s="13" t="s">
        <v>3</v>
      </c>
      <c r="I1800" s="13" t="s">
        <v>4059</v>
      </c>
      <c r="J1800" s="13" t="s">
        <v>8890</v>
      </c>
      <c r="K1800" s="13" t="s">
        <v>4059</v>
      </c>
      <c r="L1800" s="13" t="s">
        <v>8918</v>
      </c>
      <c r="M1800" t="s">
        <v>3</v>
      </c>
    </row>
    <row r="1801" spans="1:13" x14ac:dyDescent="0.25">
      <c r="A1801" s="13" t="s">
        <v>12036</v>
      </c>
      <c r="B1801" s="13" t="s">
        <v>12037</v>
      </c>
      <c r="C1801" s="13" t="s">
        <v>12037</v>
      </c>
      <c r="D1801" s="13">
        <v>28.9</v>
      </c>
      <c r="E1801" s="13" t="s">
        <v>12038</v>
      </c>
      <c r="F1801" s="13" t="s">
        <v>8869</v>
      </c>
      <c r="G1801" s="13" t="s">
        <v>2</v>
      </c>
      <c r="H1801" s="13" t="s">
        <v>3</v>
      </c>
      <c r="I1801" s="13" t="s">
        <v>4059</v>
      </c>
      <c r="J1801" s="13" t="s">
        <v>8890</v>
      </c>
      <c r="K1801" s="13" t="s">
        <v>4059</v>
      </c>
      <c r="L1801" s="13" t="s">
        <v>8918</v>
      </c>
      <c r="M1801" t="s">
        <v>3</v>
      </c>
    </row>
    <row r="1802" spans="1:13" x14ac:dyDescent="0.25">
      <c r="A1802" s="13" t="s">
        <v>12039</v>
      </c>
      <c r="B1802" s="13" t="s">
        <v>12040</v>
      </c>
      <c r="C1802" s="13" t="s">
        <v>12040</v>
      </c>
      <c r="D1802" s="13">
        <v>48</v>
      </c>
      <c r="E1802" s="13" t="s">
        <v>12041</v>
      </c>
      <c r="F1802" s="13" t="s">
        <v>8869</v>
      </c>
      <c r="G1802" s="13" t="s">
        <v>2</v>
      </c>
      <c r="H1802" s="13" t="s">
        <v>3</v>
      </c>
      <c r="I1802" s="13" t="s">
        <v>4059</v>
      </c>
      <c r="J1802" s="13" t="s">
        <v>8890</v>
      </c>
      <c r="K1802" s="13" t="s">
        <v>4059</v>
      </c>
      <c r="L1802" s="13" t="s">
        <v>8918</v>
      </c>
      <c r="M1802" t="s">
        <v>3</v>
      </c>
    </row>
    <row r="1803" spans="1:13" x14ac:dyDescent="0.25">
      <c r="A1803" s="13" t="s">
        <v>12042</v>
      </c>
      <c r="B1803" s="13" t="s">
        <v>12043</v>
      </c>
      <c r="C1803" s="13" t="s">
        <v>12043</v>
      </c>
      <c r="D1803" s="13">
        <v>49.5</v>
      </c>
      <c r="E1803" s="13" t="s">
        <v>12044</v>
      </c>
      <c r="F1803" s="13" t="s">
        <v>8869</v>
      </c>
      <c r="G1803" s="13" t="s">
        <v>2</v>
      </c>
      <c r="H1803" s="13" t="s">
        <v>3</v>
      </c>
      <c r="I1803" s="13" t="s">
        <v>4059</v>
      </c>
      <c r="J1803" s="13" t="s">
        <v>8890</v>
      </c>
      <c r="K1803" s="13" t="s">
        <v>4059</v>
      </c>
      <c r="L1803" s="13" t="s">
        <v>8918</v>
      </c>
      <c r="M1803" t="s">
        <v>3</v>
      </c>
    </row>
    <row r="1804" spans="1:13" x14ac:dyDescent="0.25">
      <c r="A1804" s="13" t="s">
        <v>12045</v>
      </c>
      <c r="B1804" s="13" t="s">
        <v>12046</v>
      </c>
      <c r="C1804" s="13" t="s">
        <v>12046</v>
      </c>
      <c r="D1804" s="13">
        <v>10</v>
      </c>
      <c r="E1804" s="13" t="s">
        <v>12047</v>
      </c>
      <c r="F1804" s="13" t="s">
        <v>8869</v>
      </c>
      <c r="G1804" s="13" t="s">
        <v>2</v>
      </c>
      <c r="H1804" s="13" t="s">
        <v>3</v>
      </c>
      <c r="I1804" s="13" t="s">
        <v>4059</v>
      </c>
      <c r="J1804" s="13" t="s">
        <v>8890</v>
      </c>
      <c r="K1804" s="13" t="s">
        <v>4059</v>
      </c>
      <c r="L1804" s="13" t="s">
        <v>8918</v>
      </c>
      <c r="M1804" t="s">
        <v>3</v>
      </c>
    </row>
    <row r="1805" spans="1:13" x14ac:dyDescent="0.25">
      <c r="A1805" s="13" t="s">
        <v>12048</v>
      </c>
      <c r="B1805" s="13" t="s">
        <v>12049</v>
      </c>
      <c r="C1805" s="13" t="s">
        <v>12049</v>
      </c>
      <c r="D1805" s="13">
        <v>36</v>
      </c>
      <c r="E1805" s="13" t="s">
        <v>12050</v>
      </c>
      <c r="F1805" s="13" t="s">
        <v>8869</v>
      </c>
      <c r="G1805" s="13" t="s">
        <v>2</v>
      </c>
      <c r="H1805" s="13" t="s">
        <v>3</v>
      </c>
      <c r="I1805" s="13" t="s">
        <v>4059</v>
      </c>
      <c r="J1805" s="13" t="s">
        <v>8890</v>
      </c>
      <c r="K1805" s="13" t="s">
        <v>4059</v>
      </c>
      <c r="L1805" s="13" t="s">
        <v>8918</v>
      </c>
      <c r="M1805" t="s">
        <v>3</v>
      </c>
    </row>
    <row r="1806" spans="1:13" ht="26.25" x14ac:dyDescent="0.25">
      <c r="A1806" s="13" t="s">
        <v>4148</v>
      </c>
      <c r="B1806" s="13" t="s">
        <v>4149</v>
      </c>
      <c r="C1806" s="13" t="s">
        <v>4150</v>
      </c>
      <c r="D1806" s="13">
        <v>1</v>
      </c>
      <c r="E1806" s="13" t="s">
        <v>4151</v>
      </c>
      <c r="F1806" s="13" t="s">
        <v>35</v>
      </c>
      <c r="G1806" s="13" t="s">
        <v>19</v>
      </c>
      <c r="H1806" s="13" t="s">
        <v>3</v>
      </c>
      <c r="I1806" s="13" t="s">
        <v>4152</v>
      </c>
      <c r="J1806" s="13" t="s">
        <v>37</v>
      </c>
      <c r="K1806" s="13" t="s">
        <v>4150</v>
      </c>
      <c r="L1806" s="13" t="s">
        <v>35</v>
      </c>
      <c r="M1806" t="s">
        <v>3</v>
      </c>
    </row>
    <row r="1807" spans="1:13" ht="26.25" x14ac:dyDescent="0.25">
      <c r="A1807" s="13" t="s">
        <v>4153</v>
      </c>
      <c r="B1807" s="13" t="s">
        <v>4154</v>
      </c>
      <c r="C1807" s="13" t="s">
        <v>4155</v>
      </c>
      <c r="D1807" s="13">
        <v>0</v>
      </c>
      <c r="E1807" s="13" t="s">
        <v>4156</v>
      </c>
      <c r="F1807" s="13" t="s">
        <v>8860</v>
      </c>
      <c r="G1807" s="13" t="s">
        <v>19</v>
      </c>
      <c r="H1807" s="13" t="s">
        <v>3</v>
      </c>
      <c r="I1807" s="13" t="s">
        <v>4157</v>
      </c>
      <c r="J1807" s="13" t="s">
        <v>21</v>
      </c>
      <c r="K1807" s="13" t="s">
        <v>8635</v>
      </c>
      <c r="L1807" s="13" t="s">
        <v>18</v>
      </c>
      <c r="M1807" t="s">
        <v>3</v>
      </c>
    </row>
    <row r="1808" spans="1:13" ht="26.25" x14ac:dyDescent="0.25">
      <c r="A1808" s="13" t="s">
        <v>4158</v>
      </c>
      <c r="B1808" s="13" t="s">
        <v>4159</v>
      </c>
      <c r="C1808" s="13" t="s">
        <v>9241</v>
      </c>
      <c r="D1808" s="13">
        <v>0.1</v>
      </c>
      <c r="E1808" s="13" t="s">
        <v>4160</v>
      </c>
      <c r="F1808" s="13" t="s">
        <v>8860</v>
      </c>
      <c r="G1808" s="13" t="s">
        <v>19</v>
      </c>
      <c r="H1808" s="13" t="s">
        <v>3</v>
      </c>
      <c r="I1808" s="13" t="s">
        <v>4161</v>
      </c>
      <c r="J1808" s="13" t="s">
        <v>21</v>
      </c>
      <c r="K1808" s="13" t="s">
        <v>8636</v>
      </c>
      <c r="L1808" s="13" t="s">
        <v>18</v>
      </c>
      <c r="M1808" t="s">
        <v>3</v>
      </c>
    </row>
    <row r="1809" spans="1:13" x14ac:dyDescent="0.25">
      <c r="A1809" s="13" t="s">
        <v>4162</v>
      </c>
      <c r="B1809" s="13" t="s">
        <v>4162</v>
      </c>
      <c r="C1809" s="13" t="s">
        <v>4163</v>
      </c>
      <c r="D1809" s="13">
        <v>4.0999999999999996</v>
      </c>
      <c r="E1809" s="13" t="s">
        <v>4164</v>
      </c>
      <c r="F1809" s="13" t="s">
        <v>8873</v>
      </c>
      <c r="G1809" s="13" t="s">
        <v>2</v>
      </c>
      <c r="H1809" s="13" t="s">
        <v>3</v>
      </c>
      <c r="I1809" s="13" t="s">
        <v>497</v>
      </c>
      <c r="J1809" s="13" t="s">
        <v>8890</v>
      </c>
      <c r="K1809" s="13" t="s">
        <v>8475</v>
      </c>
      <c r="L1809" s="13" t="s">
        <v>8964</v>
      </c>
      <c r="M1809" t="s">
        <v>3</v>
      </c>
    </row>
    <row r="1810" spans="1:13" ht="26.25" x14ac:dyDescent="0.25">
      <c r="A1810" s="13" t="s">
        <v>4165</v>
      </c>
      <c r="B1810" s="13" t="s">
        <v>4165</v>
      </c>
      <c r="C1810" s="13" t="s">
        <v>4165</v>
      </c>
      <c r="D1810" s="13">
        <v>2</v>
      </c>
      <c r="E1810" s="13" t="s">
        <v>4166</v>
      </c>
      <c r="F1810" s="13" t="s">
        <v>8875</v>
      </c>
      <c r="G1810" s="13" t="s">
        <v>19</v>
      </c>
      <c r="H1810" s="13" t="s">
        <v>3</v>
      </c>
      <c r="I1810" s="13" t="s">
        <v>407</v>
      </c>
      <c r="J1810" s="13" t="s">
        <v>9232</v>
      </c>
      <c r="K1810" s="13" t="s">
        <v>8465</v>
      </c>
      <c r="L1810" s="13" t="s">
        <v>9233</v>
      </c>
      <c r="M1810" t="s">
        <v>3</v>
      </c>
    </row>
    <row r="1811" spans="1:13" ht="26.25" x14ac:dyDescent="0.25">
      <c r="A1811" s="13" t="s">
        <v>4167</v>
      </c>
      <c r="B1811" s="13" t="s">
        <v>4167</v>
      </c>
      <c r="C1811" s="13" t="s">
        <v>4168</v>
      </c>
      <c r="D1811" s="13">
        <v>700</v>
      </c>
      <c r="E1811" s="13" t="s">
        <v>4169</v>
      </c>
      <c r="F1811" s="13" t="s">
        <v>8875</v>
      </c>
      <c r="G1811" s="13" t="s">
        <v>19</v>
      </c>
      <c r="H1811" s="13" t="s">
        <v>3</v>
      </c>
      <c r="I1811" s="13" t="s">
        <v>435</v>
      </c>
      <c r="J1811" s="13" t="s">
        <v>9232</v>
      </c>
      <c r="K1811" s="13" t="s">
        <v>8469</v>
      </c>
      <c r="L1811" s="13" t="s">
        <v>9233</v>
      </c>
      <c r="M1811" t="s">
        <v>3</v>
      </c>
    </row>
    <row r="1812" spans="1:13" x14ac:dyDescent="0.25">
      <c r="A1812" s="13" t="s">
        <v>4170</v>
      </c>
      <c r="B1812" s="13" t="s">
        <v>4170</v>
      </c>
      <c r="C1812" s="13" t="s">
        <v>4171</v>
      </c>
      <c r="D1812" s="13">
        <v>4.5</v>
      </c>
      <c r="E1812" s="13" t="s">
        <v>4171</v>
      </c>
      <c r="F1812" s="13" t="s">
        <v>8869</v>
      </c>
      <c r="G1812" s="13" t="s">
        <v>2</v>
      </c>
      <c r="H1812" s="13" t="s">
        <v>3</v>
      </c>
      <c r="I1812" s="13" t="s">
        <v>447</v>
      </c>
      <c r="J1812" s="13" t="s">
        <v>8890</v>
      </c>
      <c r="K1812" s="13" t="s">
        <v>8421</v>
      </c>
      <c r="L1812" s="13" t="s">
        <v>8918</v>
      </c>
      <c r="M1812" t="s">
        <v>3</v>
      </c>
    </row>
    <row r="1813" spans="1:13" ht="26.25" x14ac:dyDescent="0.25">
      <c r="A1813" s="13" t="s">
        <v>4172</v>
      </c>
      <c r="B1813" s="13" t="s">
        <v>4173</v>
      </c>
      <c r="C1813" s="13" t="s">
        <v>4173</v>
      </c>
      <c r="D1813" s="13">
        <v>1.3</v>
      </c>
      <c r="E1813" s="13" t="s">
        <v>4174</v>
      </c>
      <c r="F1813" s="13" t="s">
        <v>35</v>
      </c>
      <c r="G1813" s="13" t="s">
        <v>19</v>
      </c>
      <c r="H1813" s="13" t="s">
        <v>3</v>
      </c>
      <c r="I1813" s="13" t="s">
        <v>4175</v>
      </c>
      <c r="J1813" s="13" t="s">
        <v>37</v>
      </c>
      <c r="K1813" s="13" t="s">
        <v>4173</v>
      </c>
      <c r="L1813" s="13" t="s">
        <v>35</v>
      </c>
      <c r="M1813" t="s">
        <v>3</v>
      </c>
    </row>
    <row r="1814" spans="1:13" ht="26.25" x14ac:dyDescent="0.25">
      <c r="A1814" s="13" t="s">
        <v>4176</v>
      </c>
      <c r="B1814" s="13" t="s">
        <v>4177</v>
      </c>
      <c r="C1814" s="13" t="s">
        <v>4178</v>
      </c>
      <c r="D1814" s="13">
        <v>0.1</v>
      </c>
      <c r="E1814" s="13" t="s">
        <v>4179</v>
      </c>
      <c r="F1814" s="13" t="s">
        <v>8860</v>
      </c>
      <c r="G1814" s="13" t="s">
        <v>19</v>
      </c>
      <c r="H1814" s="13" t="s">
        <v>3</v>
      </c>
      <c r="I1814" s="13" t="s">
        <v>4180</v>
      </c>
      <c r="J1814" s="13" t="s">
        <v>21</v>
      </c>
      <c r="K1814" s="13" t="s">
        <v>4178</v>
      </c>
      <c r="L1814" s="13" t="s">
        <v>18</v>
      </c>
      <c r="M1814" t="s">
        <v>3</v>
      </c>
    </row>
    <row r="1815" spans="1:13" ht="26.25" x14ac:dyDescent="0.25">
      <c r="A1815" s="13" t="s">
        <v>4181</v>
      </c>
      <c r="B1815" s="13" t="s">
        <v>4181</v>
      </c>
      <c r="C1815" s="13" t="s">
        <v>4182</v>
      </c>
      <c r="D1815" s="13">
        <v>35</v>
      </c>
      <c r="E1815" s="13" t="s">
        <v>4183</v>
      </c>
      <c r="F1815" s="13" t="s">
        <v>8875</v>
      </c>
      <c r="G1815" s="13" t="s">
        <v>19</v>
      </c>
      <c r="H1815" s="13" t="s">
        <v>3</v>
      </c>
      <c r="I1815" s="13" t="s">
        <v>573</v>
      </c>
      <c r="J1815" s="13" t="s">
        <v>9232</v>
      </c>
      <c r="K1815" s="13" t="s">
        <v>8484</v>
      </c>
      <c r="L1815" s="13" t="s">
        <v>9233</v>
      </c>
      <c r="M1815" t="s">
        <v>3</v>
      </c>
    </row>
    <row r="1816" spans="1:13" ht="26.25" x14ac:dyDescent="0.25">
      <c r="A1816" s="13" t="s">
        <v>11321</v>
      </c>
      <c r="B1816" s="13" t="s">
        <v>11321</v>
      </c>
      <c r="C1816" s="13" t="s">
        <v>11322</v>
      </c>
      <c r="D1816" s="13">
        <v>300</v>
      </c>
      <c r="E1816" s="13" t="s">
        <v>11323</v>
      </c>
      <c r="F1816" s="13" t="s">
        <v>8875</v>
      </c>
      <c r="G1816" s="13" t="s">
        <v>19</v>
      </c>
      <c r="H1816" s="13" t="s">
        <v>3</v>
      </c>
      <c r="I1816" s="13" t="s">
        <v>589</v>
      </c>
      <c r="J1816" s="13" t="s">
        <v>9232</v>
      </c>
      <c r="K1816" s="13" t="s">
        <v>8486</v>
      </c>
      <c r="L1816" s="13" t="s">
        <v>9233</v>
      </c>
      <c r="M1816" t="s">
        <v>3</v>
      </c>
    </row>
    <row r="1817" spans="1:13" ht="26.25" x14ac:dyDescent="0.25">
      <c r="A1817" s="13" t="s">
        <v>4184</v>
      </c>
      <c r="B1817" s="13" t="s">
        <v>4185</v>
      </c>
      <c r="C1817" s="13" t="s">
        <v>4186</v>
      </c>
      <c r="D1817" s="13">
        <v>0.1</v>
      </c>
      <c r="E1817" s="13" t="s">
        <v>4187</v>
      </c>
      <c r="F1817" s="13" t="s">
        <v>8860</v>
      </c>
      <c r="G1817" s="13" t="s">
        <v>19</v>
      </c>
      <c r="H1817" s="13" t="s">
        <v>3</v>
      </c>
      <c r="I1817" s="13" t="s">
        <v>4188</v>
      </c>
      <c r="J1817" s="13" t="s">
        <v>21</v>
      </c>
      <c r="K1817" s="13" t="s">
        <v>4186</v>
      </c>
      <c r="L1817" s="13" t="s">
        <v>18</v>
      </c>
      <c r="M1817" t="s">
        <v>3</v>
      </c>
    </row>
    <row r="1818" spans="1:13" ht="26.25" x14ac:dyDescent="0.25">
      <c r="A1818" s="13" t="s">
        <v>4189</v>
      </c>
      <c r="B1818" s="13" t="s">
        <v>4189</v>
      </c>
      <c r="C1818" s="13" t="s">
        <v>4190</v>
      </c>
      <c r="D1818" s="13">
        <v>0</v>
      </c>
      <c r="E1818" s="13" t="s">
        <v>4191</v>
      </c>
      <c r="F1818" s="13" t="s">
        <v>8875</v>
      </c>
      <c r="G1818" s="13" t="s">
        <v>19</v>
      </c>
      <c r="H1818" s="13" t="s">
        <v>3</v>
      </c>
      <c r="I1818" s="13" t="s">
        <v>701</v>
      </c>
      <c r="J1818" s="13" t="s">
        <v>9232</v>
      </c>
      <c r="K1818" s="13" t="s">
        <v>8419</v>
      </c>
      <c r="L1818" s="13" t="s">
        <v>9233</v>
      </c>
      <c r="M1818" t="s">
        <v>3</v>
      </c>
    </row>
    <row r="1819" spans="1:13" ht="26.25" x14ac:dyDescent="0.25">
      <c r="A1819" s="13" t="s">
        <v>4192</v>
      </c>
      <c r="B1819" s="13" t="s">
        <v>4192</v>
      </c>
      <c r="C1819" s="13" t="s">
        <v>4193</v>
      </c>
      <c r="D1819" s="13">
        <v>500</v>
      </c>
      <c r="E1819" s="13" t="s">
        <v>4194</v>
      </c>
      <c r="F1819" s="13" t="s">
        <v>8875</v>
      </c>
      <c r="G1819" s="13" t="s">
        <v>19</v>
      </c>
      <c r="H1819" s="13" t="s">
        <v>3</v>
      </c>
      <c r="I1819" s="13" t="s">
        <v>728</v>
      </c>
      <c r="J1819" s="13" t="s">
        <v>9232</v>
      </c>
      <c r="K1819" s="13" t="s">
        <v>8419</v>
      </c>
      <c r="L1819" s="13" t="s">
        <v>9233</v>
      </c>
      <c r="M1819" t="s">
        <v>3</v>
      </c>
    </row>
    <row r="1820" spans="1:13" ht="26.25" x14ac:dyDescent="0.25">
      <c r="A1820" s="13" t="s">
        <v>4195</v>
      </c>
      <c r="B1820" s="13" t="s">
        <v>4195</v>
      </c>
      <c r="C1820" s="13" t="s">
        <v>4196</v>
      </c>
      <c r="D1820" s="13">
        <v>0</v>
      </c>
      <c r="E1820" s="13" t="s">
        <v>4197</v>
      </c>
      <c r="F1820" s="13" t="s">
        <v>8875</v>
      </c>
      <c r="G1820" s="13" t="s">
        <v>19</v>
      </c>
      <c r="H1820" s="13" t="s">
        <v>3</v>
      </c>
      <c r="I1820" s="13" t="s">
        <v>429</v>
      </c>
      <c r="J1820" s="13" t="s">
        <v>9232</v>
      </c>
      <c r="K1820" s="13" t="s">
        <v>6051</v>
      </c>
      <c r="L1820" s="13" t="s">
        <v>9233</v>
      </c>
      <c r="M1820" t="s">
        <v>3</v>
      </c>
    </row>
    <row r="1821" spans="1:13" ht="26.25" x14ac:dyDescent="0.25">
      <c r="A1821" s="13" t="s">
        <v>4198</v>
      </c>
      <c r="B1821" s="13" t="s">
        <v>4198</v>
      </c>
      <c r="C1821" s="13" t="s">
        <v>4199</v>
      </c>
      <c r="D1821" s="13">
        <v>0.1</v>
      </c>
      <c r="E1821" s="13" t="s">
        <v>4200</v>
      </c>
      <c r="F1821" s="13" t="s">
        <v>8860</v>
      </c>
      <c r="G1821" s="13" t="s">
        <v>19</v>
      </c>
      <c r="H1821" s="13" t="s">
        <v>3</v>
      </c>
      <c r="I1821" s="13" t="s">
        <v>4201</v>
      </c>
      <c r="J1821" s="13" t="s">
        <v>21</v>
      </c>
      <c r="K1821" s="13" t="s">
        <v>8637</v>
      </c>
      <c r="L1821" s="13" t="s">
        <v>18</v>
      </c>
      <c r="M1821" t="s">
        <v>3</v>
      </c>
    </row>
    <row r="1822" spans="1:13" x14ac:dyDescent="0.25">
      <c r="A1822" s="13" t="s">
        <v>4202</v>
      </c>
      <c r="B1822" s="13" t="s">
        <v>4203</v>
      </c>
      <c r="C1822" s="13" t="s">
        <v>4204</v>
      </c>
      <c r="D1822" s="13">
        <v>423.9</v>
      </c>
      <c r="E1822" s="13" t="s">
        <v>4205</v>
      </c>
      <c r="F1822" s="13" t="s">
        <v>8863</v>
      </c>
      <c r="G1822" s="13" t="s">
        <v>2</v>
      </c>
      <c r="H1822" s="13" t="s">
        <v>8923</v>
      </c>
      <c r="I1822" s="13" t="s">
        <v>390</v>
      </c>
      <c r="J1822" s="13" t="s">
        <v>8890</v>
      </c>
      <c r="K1822" s="13" t="s">
        <v>8423</v>
      </c>
      <c r="L1822" s="13" t="s">
        <v>8893</v>
      </c>
      <c r="M1822" t="s">
        <v>8923</v>
      </c>
    </row>
    <row r="1823" spans="1:13" ht="26.25" x14ac:dyDescent="0.25">
      <c r="A1823" s="13" t="s">
        <v>4206</v>
      </c>
      <c r="B1823" s="13" t="s">
        <v>4206</v>
      </c>
      <c r="C1823" s="13" t="s">
        <v>4207</v>
      </c>
      <c r="D1823" s="13">
        <v>14.4</v>
      </c>
      <c r="E1823" s="13" t="s">
        <v>4208</v>
      </c>
      <c r="F1823" s="13" t="s">
        <v>8907</v>
      </c>
      <c r="G1823" s="13" t="s">
        <v>19</v>
      </c>
      <c r="H1823" s="13" t="s">
        <v>3</v>
      </c>
      <c r="I1823" s="13" t="s">
        <v>390</v>
      </c>
      <c r="J1823" s="13" t="s">
        <v>144</v>
      </c>
      <c r="K1823" s="13" t="s">
        <v>8423</v>
      </c>
      <c r="L1823" s="13" t="s">
        <v>144</v>
      </c>
      <c r="M1823" t="s">
        <v>3</v>
      </c>
    </row>
    <row r="1824" spans="1:13" x14ac:dyDescent="0.25">
      <c r="A1824" s="13" t="s">
        <v>4209</v>
      </c>
      <c r="B1824" s="13" t="s">
        <v>4210</v>
      </c>
      <c r="C1824" s="13" t="s">
        <v>4211</v>
      </c>
      <c r="D1824" s="14">
        <v>218.6</v>
      </c>
      <c r="E1824" s="13" t="s">
        <v>4212</v>
      </c>
      <c r="F1824" s="13" t="s">
        <v>8863</v>
      </c>
      <c r="G1824" s="13" t="s">
        <v>2</v>
      </c>
      <c r="H1824" s="13" t="s">
        <v>8923</v>
      </c>
      <c r="I1824" s="13" t="s">
        <v>390</v>
      </c>
      <c r="J1824" s="13" t="s">
        <v>8890</v>
      </c>
      <c r="K1824" s="13" t="s">
        <v>8423</v>
      </c>
      <c r="L1824" s="13" t="s">
        <v>8893</v>
      </c>
      <c r="M1824" t="s">
        <v>8923</v>
      </c>
    </row>
    <row r="1825" spans="1:13" ht="26.25" x14ac:dyDescent="0.25">
      <c r="A1825" s="13" t="s">
        <v>4213</v>
      </c>
      <c r="B1825" s="13" t="s">
        <v>4214</v>
      </c>
      <c r="C1825" s="13" t="s">
        <v>4215</v>
      </c>
      <c r="D1825" s="14">
        <v>20</v>
      </c>
      <c r="E1825" s="13" t="s">
        <v>4216</v>
      </c>
      <c r="F1825" s="13" t="s">
        <v>8875</v>
      </c>
      <c r="G1825" s="13" t="s">
        <v>19</v>
      </c>
      <c r="H1825" s="13" t="s">
        <v>3</v>
      </c>
      <c r="I1825" s="13" t="s">
        <v>1205</v>
      </c>
      <c r="J1825" s="13" t="s">
        <v>9232</v>
      </c>
      <c r="K1825" s="13" t="s">
        <v>8536</v>
      </c>
      <c r="L1825" s="13" t="s">
        <v>9233</v>
      </c>
      <c r="M1825" t="s">
        <v>3</v>
      </c>
    </row>
    <row r="1826" spans="1:13" ht="26.25" x14ac:dyDescent="0.25">
      <c r="A1826" s="13" t="s">
        <v>4217</v>
      </c>
      <c r="B1826" s="13" t="s">
        <v>4217</v>
      </c>
      <c r="C1826" s="13" t="s">
        <v>4218</v>
      </c>
      <c r="D1826" s="13">
        <v>400</v>
      </c>
      <c r="E1826" s="13" t="s">
        <v>4219</v>
      </c>
      <c r="F1826" s="13" t="s">
        <v>8875</v>
      </c>
      <c r="G1826" s="13" t="s">
        <v>19</v>
      </c>
      <c r="H1826" s="13" t="s">
        <v>3</v>
      </c>
      <c r="I1826" s="13" t="s">
        <v>1231</v>
      </c>
      <c r="J1826" s="13" t="s">
        <v>9232</v>
      </c>
      <c r="K1826" s="13" t="s">
        <v>8539</v>
      </c>
      <c r="L1826" s="13" t="s">
        <v>9233</v>
      </c>
      <c r="M1826" t="s">
        <v>3</v>
      </c>
    </row>
    <row r="1827" spans="1:13" ht="26.25" x14ac:dyDescent="0.25">
      <c r="A1827" s="13" t="s">
        <v>4220</v>
      </c>
      <c r="B1827" s="13" t="s">
        <v>4220</v>
      </c>
      <c r="C1827" s="13" t="s">
        <v>4221</v>
      </c>
      <c r="D1827" s="13">
        <v>200</v>
      </c>
      <c r="E1827" s="13" t="s">
        <v>4222</v>
      </c>
      <c r="F1827" s="13" t="s">
        <v>8875</v>
      </c>
      <c r="G1827" s="13" t="s">
        <v>19</v>
      </c>
      <c r="H1827" s="13" t="s">
        <v>3</v>
      </c>
      <c r="I1827" s="13" t="s">
        <v>1283</v>
      </c>
      <c r="J1827" s="13" t="s">
        <v>9232</v>
      </c>
      <c r="K1827" s="13" t="s">
        <v>8524</v>
      </c>
      <c r="L1827" s="13" t="s">
        <v>9233</v>
      </c>
      <c r="M1827" t="s">
        <v>3</v>
      </c>
    </row>
    <row r="1828" spans="1:13" ht="26.25" x14ac:dyDescent="0.25">
      <c r="A1828" s="13" t="s">
        <v>4223</v>
      </c>
      <c r="B1828" s="13" t="s">
        <v>4223</v>
      </c>
      <c r="C1828" s="13" t="s">
        <v>4224</v>
      </c>
      <c r="D1828" s="13">
        <v>0</v>
      </c>
      <c r="E1828" s="13" t="s">
        <v>4225</v>
      </c>
      <c r="F1828" s="13" t="s">
        <v>8875</v>
      </c>
      <c r="G1828" s="13" t="s">
        <v>19</v>
      </c>
      <c r="H1828" s="13" t="s">
        <v>3</v>
      </c>
      <c r="I1828" s="13" t="s">
        <v>1543</v>
      </c>
      <c r="J1828" s="13" t="s">
        <v>9232</v>
      </c>
      <c r="K1828" s="13" t="s">
        <v>8557</v>
      </c>
      <c r="L1828" s="13" t="s">
        <v>9233</v>
      </c>
      <c r="M1828" t="s">
        <v>3</v>
      </c>
    </row>
    <row r="1829" spans="1:13" ht="26.25" x14ac:dyDescent="0.25">
      <c r="A1829" s="13" t="s">
        <v>4226</v>
      </c>
      <c r="B1829" s="13" t="s">
        <v>4226</v>
      </c>
      <c r="C1829" s="13" t="s">
        <v>4227</v>
      </c>
      <c r="D1829" s="13">
        <v>150</v>
      </c>
      <c r="E1829" s="13" t="s">
        <v>4228</v>
      </c>
      <c r="F1829" s="13" t="s">
        <v>8875</v>
      </c>
      <c r="G1829" s="13" t="s">
        <v>19</v>
      </c>
      <c r="H1829" s="13" t="s">
        <v>3</v>
      </c>
      <c r="I1829" s="13" t="s">
        <v>159</v>
      </c>
      <c r="J1829" s="13" t="s">
        <v>9232</v>
      </c>
      <c r="K1829" s="13" t="s">
        <v>8442</v>
      </c>
      <c r="L1829" s="13" t="s">
        <v>9233</v>
      </c>
      <c r="M1829" t="s">
        <v>3</v>
      </c>
    </row>
    <row r="1830" spans="1:13" ht="26.25" x14ac:dyDescent="0.25">
      <c r="A1830" s="13" t="s">
        <v>4229</v>
      </c>
      <c r="B1830" s="13" t="s">
        <v>4230</v>
      </c>
      <c r="C1830" s="13" t="s">
        <v>4231</v>
      </c>
      <c r="D1830" s="13">
        <v>0.1</v>
      </c>
      <c r="E1830" s="13" t="s">
        <v>4232</v>
      </c>
      <c r="F1830" s="13" t="s">
        <v>8860</v>
      </c>
      <c r="G1830" s="13" t="s">
        <v>19</v>
      </c>
      <c r="H1830" s="13" t="s">
        <v>3</v>
      </c>
      <c r="I1830" s="13" t="s">
        <v>4230</v>
      </c>
      <c r="J1830" s="13" t="s">
        <v>21</v>
      </c>
      <c r="K1830" s="13" t="s">
        <v>8638</v>
      </c>
      <c r="L1830" s="13" t="s">
        <v>18</v>
      </c>
      <c r="M1830" t="s">
        <v>3</v>
      </c>
    </row>
    <row r="1831" spans="1:13" ht="26.25" x14ac:dyDescent="0.25">
      <c r="A1831" s="13" t="s">
        <v>4233</v>
      </c>
      <c r="B1831" s="13" t="s">
        <v>4233</v>
      </c>
      <c r="C1831" s="13" t="s">
        <v>4234</v>
      </c>
      <c r="D1831" s="13">
        <v>0</v>
      </c>
      <c r="E1831" s="13" t="s">
        <v>4235</v>
      </c>
      <c r="F1831" s="13" t="s">
        <v>8875</v>
      </c>
      <c r="G1831" s="13" t="s">
        <v>19</v>
      </c>
      <c r="H1831" s="13" t="s">
        <v>3</v>
      </c>
      <c r="I1831" s="13" t="s">
        <v>1254</v>
      </c>
      <c r="J1831" s="13" t="s">
        <v>9232</v>
      </c>
      <c r="K1831" s="13" t="s">
        <v>8508</v>
      </c>
      <c r="L1831" s="13" t="s">
        <v>9233</v>
      </c>
      <c r="M1831" t="s">
        <v>3</v>
      </c>
    </row>
    <row r="1832" spans="1:13" ht="26.25" x14ac:dyDescent="0.25">
      <c r="A1832" s="13" t="s">
        <v>4236</v>
      </c>
      <c r="B1832" s="13" t="s">
        <v>4236</v>
      </c>
      <c r="C1832" s="13" t="s">
        <v>9242</v>
      </c>
      <c r="D1832" s="13">
        <v>0</v>
      </c>
      <c r="E1832" s="13" t="s">
        <v>4237</v>
      </c>
      <c r="F1832" s="13" t="s">
        <v>8875</v>
      </c>
      <c r="G1832" s="13" t="s">
        <v>19</v>
      </c>
      <c r="H1832" s="13" t="s">
        <v>3</v>
      </c>
      <c r="I1832" s="13" t="s">
        <v>447</v>
      </c>
      <c r="J1832" s="13" t="s">
        <v>9232</v>
      </c>
      <c r="K1832" s="13" t="s">
        <v>8421</v>
      </c>
      <c r="L1832" s="13" t="s">
        <v>9233</v>
      </c>
      <c r="M1832" t="s">
        <v>3</v>
      </c>
    </row>
    <row r="1833" spans="1:13" ht="26.25" x14ac:dyDescent="0.25">
      <c r="A1833" s="13" t="s">
        <v>4238</v>
      </c>
      <c r="B1833" s="13" t="s">
        <v>4239</v>
      </c>
      <c r="C1833" s="13" t="s">
        <v>4240</v>
      </c>
      <c r="D1833" s="13">
        <v>1.3</v>
      </c>
      <c r="E1833" s="13" t="s">
        <v>4241</v>
      </c>
      <c r="F1833" s="13" t="s">
        <v>35</v>
      </c>
      <c r="G1833" s="13" t="s">
        <v>19</v>
      </c>
      <c r="H1833" s="13" t="s">
        <v>3</v>
      </c>
      <c r="I1833" s="13" t="s">
        <v>4242</v>
      </c>
      <c r="J1833" s="13" t="s">
        <v>37</v>
      </c>
      <c r="K1833" s="13" t="s">
        <v>8639</v>
      </c>
      <c r="L1833" s="13" t="s">
        <v>35</v>
      </c>
      <c r="M1833" t="s">
        <v>3</v>
      </c>
    </row>
    <row r="1834" spans="1:13" ht="26.25" x14ac:dyDescent="0.25">
      <c r="A1834" s="13" t="s">
        <v>11324</v>
      </c>
      <c r="B1834" s="13" t="s">
        <v>11324</v>
      </c>
      <c r="C1834" s="13" t="s">
        <v>11324</v>
      </c>
      <c r="D1834" s="13">
        <v>4.5</v>
      </c>
      <c r="E1834" s="13" t="s">
        <v>11325</v>
      </c>
      <c r="F1834" s="13" t="s">
        <v>8873</v>
      </c>
      <c r="G1834" s="13" t="s">
        <v>2</v>
      </c>
      <c r="H1834" s="13" t="s">
        <v>3</v>
      </c>
      <c r="I1834" s="13" t="s">
        <v>4</v>
      </c>
      <c r="J1834" s="13" t="s">
        <v>8890</v>
      </c>
      <c r="K1834" s="13" t="s">
        <v>8424</v>
      </c>
      <c r="L1834" s="13" t="s">
        <v>9260</v>
      </c>
      <c r="M1834" t="s">
        <v>3</v>
      </c>
    </row>
    <row r="1835" spans="1:13" ht="26.25" x14ac:dyDescent="0.25">
      <c r="A1835" s="13" t="s">
        <v>4243</v>
      </c>
      <c r="B1835" s="13" t="s">
        <v>4244</v>
      </c>
      <c r="C1835" s="13" t="s">
        <v>4245</v>
      </c>
      <c r="D1835" s="14">
        <v>30</v>
      </c>
      <c r="E1835" s="13" t="s">
        <v>4246</v>
      </c>
      <c r="F1835" s="13" t="s">
        <v>8875</v>
      </c>
      <c r="G1835" s="13" t="s">
        <v>19</v>
      </c>
      <c r="H1835" s="13" t="s">
        <v>3</v>
      </c>
      <c r="I1835" s="13" t="s">
        <v>1673</v>
      </c>
      <c r="J1835" s="13" t="s">
        <v>9232</v>
      </c>
      <c r="K1835" s="13" t="s">
        <v>8420</v>
      </c>
      <c r="L1835" s="13" t="s">
        <v>9233</v>
      </c>
      <c r="M1835" t="s">
        <v>3</v>
      </c>
    </row>
    <row r="1836" spans="1:13" x14ac:dyDescent="0.25">
      <c r="A1836" s="13" t="s">
        <v>4247</v>
      </c>
      <c r="B1836" s="13" t="s">
        <v>4247</v>
      </c>
      <c r="C1836" s="13" t="s">
        <v>4248</v>
      </c>
      <c r="D1836" s="13">
        <v>0</v>
      </c>
      <c r="E1836" s="13" t="s">
        <v>4249</v>
      </c>
      <c r="F1836" s="13" t="s">
        <v>8875</v>
      </c>
      <c r="G1836" s="13" t="s">
        <v>2</v>
      </c>
      <c r="H1836" s="13" t="s">
        <v>3</v>
      </c>
      <c r="I1836" s="13" t="s">
        <v>390</v>
      </c>
      <c r="J1836" s="13" t="s">
        <v>9232</v>
      </c>
      <c r="K1836" s="13" t="s">
        <v>8423</v>
      </c>
      <c r="L1836" s="13" t="s">
        <v>9233</v>
      </c>
      <c r="M1836" t="s">
        <v>3</v>
      </c>
    </row>
    <row r="1837" spans="1:13" ht="26.25" x14ac:dyDescent="0.25">
      <c r="A1837" s="13" t="s">
        <v>4250</v>
      </c>
      <c r="B1837" s="13" t="s">
        <v>4251</v>
      </c>
      <c r="C1837" s="13" t="s">
        <v>4252</v>
      </c>
      <c r="D1837" s="13">
        <v>24.9</v>
      </c>
      <c r="E1837" s="13" t="s">
        <v>4253</v>
      </c>
      <c r="F1837" s="13" t="s">
        <v>8865</v>
      </c>
      <c r="G1837" s="13" t="s">
        <v>2</v>
      </c>
      <c r="H1837" s="13" t="s">
        <v>9243</v>
      </c>
      <c r="I1837" s="13" t="s">
        <v>119</v>
      </c>
      <c r="J1837" s="13" t="s">
        <v>8890</v>
      </c>
      <c r="K1837" s="13" t="s">
        <v>8883</v>
      </c>
      <c r="L1837" s="13" t="s">
        <v>8901</v>
      </c>
      <c r="M1837" t="s">
        <v>9243</v>
      </c>
    </row>
    <row r="1838" spans="1:13" x14ac:dyDescent="0.25">
      <c r="A1838" s="13" t="s">
        <v>4254</v>
      </c>
      <c r="B1838" s="13" t="s">
        <v>4255</v>
      </c>
      <c r="C1838" s="13" t="s">
        <v>4256</v>
      </c>
      <c r="D1838" s="13">
        <v>24.9</v>
      </c>
      <c r="E1838" s="13" t="s">
        <v>4257</v>
      </c>
      <c r="F1838" s="13" t="s">
        <v>8865</v>
      </c>
      <c r="G1838" s="13" t="s">
        <v>2</v>
      </c>
      <c r="H1838" s="13" t="s">
        <v>9243</v>
      </c>
      <c r="I1838" s="13" t="s">
        <v>119</v>
      </c>
      <c r="J1838" s="13" t="s">
        <v>8890</v>
      </c>
      <c r="K1838" s="13" t="s">
        <v>8883</v>
      </c>
      <c r="L1838" s="13" t="s">
        <v>8901</v>
      </c>
      <c r="M1838" t="s">
        <v>9243</v>
      </c>
    </row>
    <row r="1839" spans="1:13" ht="26.25" x14ac:dyDescent="0.25">
      <c r="A1839" s="13" t="s">
        <v>4258</v>
      </c>
      <c r="B1839" s="13" t="s">
        <v>4258</v>
      </c>
      <c r="C1839" s="13" t="s">
        <v>4259</v>
      </c>
      <c r="D1839" s="13">
        <v>3</v>
      </c>
      <c r="E1839" s="13" t="s">
        <v>4260</v>
      </c>
      <c r="F1839" s="13" t="s">
        <v>8860</v>
      </c>
      <c r="G1839" s="13" t="s">
        <v>19</v>
      </c>
      <c r="H1839" s="13" t="s">
        <v>3</v>
      </c>
      <c r="I1839" s="13" t="s">
        <v>4261</v>
      </c>
      <c r="J1839" s="13" t="s">
        <v>21</v>
      </c>
      <c r="K1839" s="13" t="s">
        <v>4261</v>
      </c>
      <c r="L1839" s="13" t="s">
        <v>18</v>
      </c>
      <c r="M1839" t="s">
        <v>3</v>
      </c>
    </row>
    <row r="1840" spans="1:13" ht="26.25" x14ac:dyDescent="0.25">
      <c r="A1840" s="13" t="s">
        <v>9648</v>
      </c>
      <c r="B1840" s="13" t="s">
        <v>9649</v>
      </c>
      <c r="C1840" s="13" t="s">
        <v>9650</v>
      </c>
      <c r="D1840" s="13">
        <v>0.6</v>
      </c>
      <c r="E1840" s="13" t="s">
        <v>9651</v>
      </c>
      <c r="F1840" s="13" t="s">
        <v>8860</v>
      </c>
      <c r="G1840" s="13" t="s">
        <v>19</v>
      </c>
      <c r="H1840" s="13" t="s">
        <v>3</v>
      </c>
      <c r="I1840" s="13" t="s">
        <v>9652</v>
      </c>
      <c r="J1840" s="13" t="s">
        <v>21</v>
      </c>
      <c r="K1840" s="13" t="s">
        <v>9650</v>
      </c>
      <c r="L1840" s="13" t="s">
        <v>18</v>
      </c>
      <c r="M1840" t="s">
        <v>3</v>
      </c>
    </row>
    <row r="1841" spans="1:13" ht="26.25" x14ac:dyDescent="0.25">
      <c r="A1841" s="13" t="s">
        <v>4262</v>
      </c>
      <c r="B1841" s="13" t="s">
        <v>4262</v>
      </c>
      <c r="C1841" s="13" t="s">
        <v>4263</v>
      </c>
      <c r="D1841" s="14">
        <v>97.9</v>
      </c>
      <c r="E1841" s="13" t="s">
        <v>4264</v>
      </c>
      <c r="F1841" s="13" t="s">
        <v>8865</v>
      </c>
      <c r="G1841" s="13" t="s">
        <v>2</v>
      </c>
      <c r="H1841" s="13" t="s">
        <v>3</v>
      </c>
      <c r="I1841" s="13" t="s">
        <v>4265</v>
      </c>
      <c r="J1841" s="13" t="s">
        <v>8890</v>
      </c>
      <c r="K1841" s="13" t="s">
        <v>8640</v>
      </c>
      <c r="L1841" s="13" t="s">
        <v>8901</v>
      </c>
      <c r="M1841" t="s">
        <v>3</v>
      </c>
    </row>
    <row r="1842" spans="1:13" ht="26.25" x14ac:dyDescent="0.25">
      <c r="A1842" s="13" t="s">
        <v>4266</v>
      </c>
      <c r="B1842" s="13" t="s">
        <v>4267</v>
      </c>
      <c r="C1842" s="13" t="s">
        <v>2428</v>
      </c>
      <c r="D1842" s="14">
        <v>50</v>
      </c>
      <c r="E1842" s="13" t="s">
        <v>4268</v>
      </c>
      <c r="F1842" s="13" t="s">
        <v>8875</v>
      </c>
      <c r="G1842" s="13" t="s">
        <v>19</v>
      </c>
      <c r="H1842" s="13" t="s">
        <v>3</v>
      </c>
      <c r="I1842" s="13" t="s">
        <v>2430</v>
      </c>
      <c r="J1842" s="13" t="s">
        <v>9232</v>
      </c>
      <c r="K1842" s="13" t="s">
        <v>8602</v>
      </c>
      <c r="L1842" s="13" t="s">
        <v>9233</v>
      </c>
      <c r="M1842" t="s">
        <v>3</v>
      </c>
    </row>
    <row r="1843" spans="1:13" ht="26.25" x14ac:dyDescent="0.25">
      <c r="A1843" s="13" t="s">
        <v>4269</v>
      </c>
      <c r="B1843" s="13" t="s">
        <v>4270</v>
      </c>
      <c r="C1843" s="13" t="s">
        <v>4271</v>
      </c>
      <c r="D1843" s="13">
        <v>0.5</v>
      </c>
      <c r="E1843" s="13" t="s">
        <v>4272</v>
      </c>
      <c r="F1843" s="13" t="s">
        <v>8860</v>
      </c>
      <c r="G1843" s="13" t="s">
        <v>19</v>
      </c>
      <c r="H1843" s="13" t="s">
        <v>3</v>
      </c>
      <c r="I1843" s="13" t="s">
        <v>4273</v>
      </c>
      <c r="J1843" s="13" t="s">
        <v>21</v>
      </c>
      <c r="K1843" s="13" t="s">
        <v>8641</v>
      </c>
      <c r="L1843" s="13" t="s">
        <v>18</v>
      </c>
      <c r="M1843" t="s">
        <v>3</v>
      </c>
    </row>
    <row r="1844" spans="1:13" ht="26.25" x14ac:dyDescent="0.25">
      <c r="A1844" s="13" t="s">
        <v>4274</v>
      </c>
      <c r="B1844" s="13" t="s">
        <v>4275</v>
      </c>
      <c r="C1844" s="13" t="s">
        <v>4276</v>
      </c>
      <c r="D1844" s="13">
        <v>9</v>
      </c>
      <c r="E1844" s="13" t="s">
        <v>4277</v>
      </c>
      <c r="F1844" s="13" t="s">
        <v>8860</v>
      </c>
      <c r="G1844" s="13" t="s">
        <v>19</v>
      </c>
      <c r="H1844" s="13" t="s">
        <v>3</v>
      </c>
      <c r="I1844" s="13" t="s">
        <v>4275</v>
      </c>
      <c r="J1844" s="13" t="s">
        <v>21</v>
      </c>
      <c r="K1844" s="13" t="s">
        <v>8642</v>
      </c>
      <c r="L1844" s="13" t="s">
        <v>18</v>
      </c>
      <c r="M1844" t="s">
        <v>3</v>
      </c>
    </row>
    <row r="1845" spans="1:13" ht="26.25" x14ac:dyDescent="0.25">
      <c r="A1845" s="13" t="s">
        <v>4278</v>
      </c>
      <c r="B1845" s="13" t="s">
        <v>4279</v>
      </c>
      <c r="C1845" s="13" t="s">
        <v>4280</v>
      </c>
      <c r="D1845" s="13">
        <v>9999</v>
      </c>
      <c r="E1845" s="13" t="s">
        <v>4281</v>
      </c>
      <c r="F1845" s="13" t="s">
        <v>855</v>
      </c>
      <c r="G1845" s="13" t="s">
        <v>19</v>
      </c>
      <c r="H1845" s="13" t="s">
        <v>3</v>
      </c>
      <c r="I1845" s="13" t="s">
        <v>1978</v>
      </c>
      <c r="J1845" s="13" t="s">
        <v>856</v>
      </c>
      <c r="K1845" s="13" t="s">
        <v>8570</v>
      </c>
      <c r="L1845" s="13" t="s">
        <v>855</v>
      </c>
      <c r="M1845" t="s">
        <v>3</v>
      </c>
    </row>
    <row r="1846" spans="1:13" x14ac:dyDescent="0.25">
      <c r="A1846" s="13" t="s">
        <v>4282</v>
      </c>
      <c r="B1846" s="13" t="s">
        <v>4283</v>
      </c>
      <c r="C1846" s="13" t="s">
        <v>4284</v>
      </c>
      <c r="D1846" s="13">
        <v>9999</v>
      </c>
      <c r="E1846" s="13" t="s">
        <v>4285</v>
      </c>
      <c r="F1846" s="13" t="s">
        <v>855</v>
      </c>
      <c r="G1846" s="13" t="s">
        <v>2</v>
      </c>
      <c r="H1846" s="13" t="s">
        <v>3</v>
      </c>
      <c r="I1846" s="13" t="s">
        <v>1978</v>
      </c>
      <c r="J1846" s="13" t="s">
        <v>856</v>
      </c>
      <c r="K1846" s="13" t="s">
        <v>8570</v>
      </c>
      <c r="L1846" s="13" t="s">
        <v>855</v>
      </c>
      <c r="M1846" t="s">
        <v>3</v>
      </c>
    </row>
    <row r="1847" spans="1:13" ht="26.25" x14ac:dyDescent="0.25">
      <c r="A1847" s="13" t="s">
        <v>4286</v>
      </c>
      <c r="B1847" s="13" t="s">
        <v>4287</v>
      </c>
      <c r="C1847" s="13" t="s">
        <v>4288</v>
      </c>
      <c r="D1847" s="13">
        <v>0.1</v>
      </c>
      <c r="E1847" s="13" t="s">
        <v>4289</v>
      </c>
      <c r="F1847" s="13" t="s">
        <v>8860</v>
      </c>
      <c r="G1847" s="13" t="s">
        <v>19</v>
      </c>
      <c r="H1847" s="13" t="s">
        <v>3</v>
      </c>
      <c r="I1847" s="13" t="s">
        <v>4290</v>
      </c>
      <c r="J1847" s="13" t="s">
        <v>21</v>
      </c>
      <c r="K1847" s="13" t="s">
        <v>4288</v>
      </c>
      <c r="L1847" s="13" t="s">
        <v>18</v>
      </c>
      <c r="M1847" t="s">
        <v>3</v>
      </c>
    </row>
    <row r="1848" spans="1:13" ht="26.25" x14ac:dyDescent="0.25">
      <c r="A1848" s="13" t="s">
        <v>4291</v>
      </c>
      <c r="B1848" s="13" t="s">
        <v>4291</v>
      </c>
      <c r="C1848" s="13" t="s">
        <v>4292</v>
      </c>
      <c r="D1848" s="13">
        <v>0.1</v>
      </c>
      <c r="E1848" s="13" t="s">
        <v>4293</v>
      </c>
      <c r="F1848" s="13" t="s">
        <v>8860</v>
      </c>
      <c r="G1848" s="13" t="s">
        <v>19</v>
      </c>
      <c r="H1848" s="13" t="s">
        <v>3</v>
      </c>
      <c r="I1848" s="13" t="s">
        <v>1978</v>
      </c>
      <c r="J1848" s="13" t="s">
        <v>21</v>
      </c>
      <c r="K1848" s="13" t="s">
        <v>8570</v>
      </c>
      <c r="L1848" s="13" t="s">
        <v>18</v>
      </c>
      <c r="M1848" t="s">
        <v>3</v>
      </c>
    </row>
    <row r="1849" spans="1:13" ht="26.25" x14ac:dyDescent="0.25">
      <c r="A1849" s="13" t="s">
        <v>4294</v>
      </c>
      <c r="B1849" s="13" t="s">
        <v>4294</v>
      </c>
      <c r="C1849" s="13" t="s">
        <v>4294</v>
      </c>
      <c r="D1849" s="13">
        <v>1.5</v>
      </c>
      <c r="E1849" s="13" t="s">
        <v>4295</v>
      </c>
      <c r="F1849" s="13" t="s">
        <v>8873</v>
      </c>
      <c r="G1849" s="13" t="s">
        <v>2</v>
      </c>
      <c r="H1849" s="13" t="s">
        <v>3</v>
      </c>
      <c r="I1849" s="13" t="s">
        <v>429</v>
      </c>
      <c r="J1849" s="13" t="s">
        <v>8890</v>
      </c>
      <c r="K1849" s="13" t="s">
        <v>6051</v>
      </c>
      <c r="L1849" s="13" t="s">
        <v>8964</v>
      </c>
      <c r="M1849" t="s">
        <v>3</v>
      </c>
    </row>
    <row r="1850" spans="1:13" x14ac:dyDescent="0.25">
      <c r="A1850" s="13" t="s">
        <v>4296</v>
      </c>
      <c r="B1850" s="13" t="s">
        <v>4297</v>
      </c>
      <c r="C1850" s="13" t="s">
        <v>4298</v>
      </c>
      <c r="D1850" s="13">
        <v>49.9</v>
      </c>
      <c r="E1850" s="13" t="s">
        <v>4299</v>
      </c>
      <c r="F1850" s="13" t="s">
        <v>8876</v>
      </c>
      <c r="G1850" s="13" t="s">
        <v>2</v>
      </c>
      <c r="H1850" s="13" t="s">
        <v>3</v>
      </c>
      <c r="I1850" s="13" t="s">
        <v>4059</v>
      </c>
      <c r="J1850" s="13" t="s">
        <v>8890</v>
      </c>
      <c r="K1850" s="13" t="s">
        <v>4059</v>
      </c>
      <c r="L1850" s="13" t="s">
        <v>9244</v>
      </c>
      <c r="M1850" t="s">
        <v>3</v>
      </c>
    </row>
    <row r="1851" spans="1:13" x14ac:dyDescent="0.25">
      <c r="A1851" s="13" t="s">
        <v>4300</v>
      </c>
      <c r="B1851" s="13" t="s">
        <v>4301</v>
      </c>
      <c r="C1851" s="13" t="s">
        <v>4302</v>
      </c>
      <c r="D1851" s="13">
        <v>49.9</v>
      </c>
      <c r="E1851" s="13" t="s">
        <v>4303</v>
      </c>
      <c r="F1851" s="13" t="s">
        <v>8876</v>
      </c>
      <c r="G1851" s="13" t="s">
        <v>2</v>
      </c>
      <c r="H1851" s="13" t="s">
        <v>3</v>
      </c>
      <c r="I1851" s="13" t="s">
        <v>4059</v>
      </c>
      <c r="J1851" s="13" t="s">
        <v>8890</v>
      </c>
      <c r="K1851" s="13" t="s">
        <v>4059</v>
      </c>
      <c r="L1851" s="13" t="s">
        <v>9244</v>
      </c>
      <c r="M1851" t="s">
        <v>3</v>
      </c>
    </row>
    <row r="1852" spans="1:13" ht="26.25" x14ac:dyDescent="0.25">
      <c r="A1852" s="13" t="s">
        <v>9803</v>
      </c>
      <c r="B1852" s="13" t="s">
        <v>9804</v>
      </c>
      <c r="C1852" s="13" t="s">
        <v>9805</v>
      </c>
      <c r="D1852" s="14">
        <v>600</v>
      </c>
      <c r="E1852" s="13" t="s">
        <v>9806</v>
      </c>
      <c r="F1852" s="13" t="s">
        <v>8875</v>
      </c>
      <c r="G1852" s="13" t="s">
        <v>19</v>
      </c>
      <c r="H1852" s="13" t="s">
        <v>3</v>
      </c>
      <c r="I1852" s="13" t="s">
        <v>3492</v>
      </c>
      <c r="J1852" s="13" t="s">
        <v>9232</v>
      </c>
      <c r="K1852" s="13" t="s">
        <v>8622</v>
      </c>
      <c r="L1852" s="13" t="s">
        <v>9233</v>
      </c>
      <c r="M1852" t="s">
        <v>3</v>
      </c>
    </row>
    <row r="1853" spans="1:13" ht="26.25" x14ac:dyDescent="0.25">
      <c r="A1853" s="13" t="s">
        <v>4304</v>
      </c>
      <c r="B1853" s="13" t="s">
        <v>4305</v>
      </c>
      <c r="C1853" s="13" t="s">
        <v>4306</v>
      </c>
      <c r="D1853" s="13">
        <v>300</v>
      </c>
      <c r="E1853" s="13" t="s">
        <v>4307</v>
      </c>
      <c r="F1853" s="13" t="s">
        <v>8875</v>
      </c>
      <c r="G1853" s="13" t="s">
        <v>19</v>
      </c>
      <c r="H1853" s="13" t="s">
        <v>3</v>
      </c>
      <c r="I1853" s="13" t="s">
        <v>4308</v>
      </c>
      <c r="J1853" s="13" t="s">
        <v>9232</v>
      </c>
      <c r="K1853" s="13" t="s">
        <v>4306</v>
      </c>
      <c r="L1853" s="13" t="s">
        <v>9233</v>
      </c>
      <c r="M1853" t="s">
        <v>3</v>
      </c>
    </row>
    <row r="1854" spans="1:13" ht="26.25" x14ac:dyDescent="0.25">
      <c r="A1854" s="13" t="s">
        <v>4309</v>
      </c>
      <c r="B1854" s="13" t="s">
        <v>4309</v>
      </c>
      <c r="C1854" s="13" t="s">
        <v>4310</v>
      </c>
      <c r="D1854" s="13">
        <v>0</v>
      </c>
      <c r="E1854" s="13" t="s">
        <v>4311</v>
      </c>
      <c r="F1854" s="13" t="s">
        <v>8875</v>
      </c>
      <c r="G1854" s="13" t="s">
        <v>19</v>
      </c>
      <c r="H1854" s="13" t="s">
        <v>3</v>
      </c>
      <c r="I1854" s="13" t="s">
        <v>2736</v>
      </c>
      <c r="J1854" s="13" t="s">
        <v>9232</v>
      </c>
      <c r="K1854" s="13" t="s">
        <v>8616</v>
      </c>
      <c r="L1854" s="13" t="s">
        <v>9233</v>
      </c>
      <c r="M1854" t="s">
        <v>3</v>
      </c>
    </row>
    <row r="1855" spans="1:13" ht="26.25" x14ac:dyDescent="0.25">
      <c r="A1855" s="13" t="s">
        <v>4312</v>
      </c>
      <c r="B1855" s="13" t="s">
        <v>4313</v>
      </c>
      <c r="C1855" s="13" t="s">
        <v>9245</v>
      </c>
      <c r="D1855" s="13">
        <v>200</v>
      </c>
      <c r="E1855" s="13" t="s">
        <v>4314</v>
      </c>
      <c r="F1855" s="13" t="s">
        <v>8875</v>
      </c>
      <c r="G1855" s="13" t="s">
        <v>19</v>
      </c>
      <c r="H1855" s="13" t="s">
        <v>3</v>
      </c>
      <c r="I1855" s="13" t="s">
        <v>4313</v>
      </c>
      <c r="J1855" s="13" t="s">
        <v>9232</v>
      </c>
      <c r="K1855" s="13" t="s">
        <v>8643</v>
      </c>
      <c r="L1855" s="13" t="s">
        <v>9233</v>
      </c>
      <c r="M1855" t="s">
        <v>3</v>
      </c>
    </row>
    <row r="1856" spans="1:13" ht="26.25" x14ac:dyDescent="0.25">
      <c r="A1856" s="13" t="s">
        <v>4315</v>
      </c>
      <c r="B1856" s="13" t="s">
        <v>4316</v>
      </c>
      <c r="C1856" s="13" t="s">
        <v>9246</v>
      </c>
      <c r="D1856" s="14">
        <v>4000</v>
      </c>
      <c r="E1856" s="13" t="s">
        <v>4317</v>
      </c>
      <c r="F1856" s="13" t="s">
        <v>8875</v>
      </c>
      <c r="G1856" s="13" t="s">
        <v>19</v>
      </c>
      <c r="H1856" s="13" t="s">
        <v>3</v>
      </c>
      <c r="I1856" s="13" t="s">
        <v>1745</v>
      </c>
      <c r="J1856" s="13" t="s">
        <v>9232</v>
      </c>
      <c r="K1856" s="13" t="s">
        <v>8430</v>
      </c>
      <c r="L1856" s="13" t="s">
        <v>9233</v>
      </c>
      <c r="M1856" t="s">
        <v>3</v>
      </c>
    </row>
    <row r="1857" spans="1:13" ht="26.25" x14ac:dyDescent="0.25">
      <c r="A1857" s="13" t="s">
        <v>4318</v>
      </c>
      <c r="B1857" s="13" t="s">
        <v>4318</v>
      </c>
      <c r="C1857" s="13" t="s">
        <v>4319</v>
      </c>
      <c r="D1857" s="14">
        <v>400</v>
      </c>
      <c r="E1857" s="13" t="s">
        <v>4320</v>
      </c>
      <c r="F1857" s="13" t="s">
        <v>8875</v>
      </c>
      <c r="G1857" s="13" t="s">
        <v>19</v>
      </c>
      <c r="H1857" s="13" t="s">
        <v>3</v>
      </c>
      <c r="I1857" s="13" t="s">
        <v>228</v>
      </c>
      <c r="J1857" s="13" t="s">
        <v>9232</v>
      </c>
      <c r="K1857" s="13" t="s">
        <v>8418</v>
      </c>
      <c r="L1857" s="13" t="s">
        <v>9233</v>
      </c>
      <c r="M1857" t="s">
        <v>3</v>
      </c>
    </row>
    <row r="1858" spans="1:13" ht="26.25" x14ac:dyDescent="0.25">
      <c r="A1858" s="13" t="s">
        <v>4321</v>
      </c>
      <c r="B1858" s="13" t="s">
        <v>4321</v>
      </c>
      <c r="C1858" s="13" t="s">
        <v>4321</v>
      </c>
      <c r="D1858" s="13">
        <v>50</v>
      </c>
      <c r="E1858" s="13" t="s">
        <v>4322</v>
      </c>
      <c r="F1858" s="13" t="s">
        <v>8875</v>
      </c>
      <c r="G1858" s="13" t="s">
        <v>19</v>
      </c>
      <c r="H1858" s="13" t="s">
        <v>3</v>
      </c>
      <c r="I1858" s="13" t="s">
        <v>4323</v>
      </c>
      <c r="J1858" s="13" t="s">
        <v>9232</v>
      </c>
      <c r="K1858" s="13" t="s">
        <v>8644</v>
      </c>
      <c r="L1858" s="13" t="s">
        <v>9233</v>
      </c>
      <c r="M1858" t="s">
        <v>3</v>
      </c>
    </row>
    <row r="1859" spans="1:13" ht="26.25" x14ac:dyDescent="0.25">
      <c r="A1859" s="13" t="s">
        <v>4324</v>
      </c>
      <c r="B1859" s="13" t="s">
        <v>4324</v>
      </c>
      <c r="C1859" s="13" t="s">
        <v>4324</v>
      </c>
      <c r="D1859" s="13">
        <v>10</v>
      </c>
      <c r="E1859" s="13" t="s">
        <v>4325</v>
      </c>
      <c r="F1859" s="13" t="s">
        <v>8875</v>
      </c>
      <c r="G1859" s="13" t="s">
        <v>19</v>
      </c>
      <c r="H1859" s="13" t="s">
        <v>3</v>
      </c>
      <c r="I1859" s="13" t="s">
        <v>4326</v>
      </c>
      <c r="J1859" s="13" t="s">
        <v>9232</v>
      </c>
      <c r="K1859" s="13" t="s">
        <v>4326</v>
      </c>
      <c r="L1859" s="13" t="s">
        <v>9233</v>
      </c>
      <c r="M1859" t="s">
        <v>3</v>
      </c>
    </row>
    <row r="1860" spans="1:13" ht="26.25" x14ac:dyDescent="0.25">
      <c r="A1860" s="13" t="s">
        <v>4327</v>
      </c>
      <c r="B1860" s="13" t="s">
        <v>4327</v>
      </c>
      <c r="C1860" s="13" t="s">
        <v>4328</v>
      </c>
      <c r="D1860" s="13">
        <v>0</v>
      </c>
      <c r="E1860" s="13" t="s">
        <v>4329</v>
      </c>
      <c r="F1860" s="13" t="s">
        <v>8875</v>
      </c>
      <c r="G1860" s="13" t="s">
        <v>19</v>
      </c>
      <c r="H1860" s="13" t="s">
        <v>3</v>
      </c>
      <c r="I1860" s="13" t="s">
        <v>1366</v>
      </c>
      <c r="J1860" s="13" t="s">
        <v>9232</v>
      </c>
      <c r="K1860" s="13" t="s">
        <v>8417</v>
      </c>
      <c r="L1860" s="13" t="s">
        <v>9233</v>
      </c>
      <c r="M1860" t="s">
        <v>3</v>
      </c>
    </row>
    <row r="1861" spans="1:13" ht="26.25" x14ac:dyDescent="0.25">
      <c r="A1861" s="13" t="s">
        <v>4330</v>
      </c>
      <c r="B1861" s="13" t="s">
        <v>4330</v>
      </c>
      <c r="C1861" s="13" t="s">
        <v>9247</v>
      </c>
      <c r="D1861" s="13">
        <v>0</v>
      </c>
      <c r="E1861" s="13" t="s">
        <v>4331</v>
      </c>
      <c r="F1861" s="13" t="s">
        <v>8875</v>
      </c>
      <c r="G1861" s="13" t="s">
        <v>19</v>
      </c>
      <c r="H1861" s="13" t="s">
        <v>3</v>
      </c>
      <c r="I1861" s="13" t="s">
        <v>119</v>
      </c>
      <c r="J1861" s="13" t="s">
        <v>9232</v>
      </c>
      <c r="K1861" s="13" t="s">
        <v>8883</v>
      </c>
      <c r="L1861" s="13" t="s">
        <v>9233</v>
      </c>
      <c r="M1861" t="s">
        <v>3</v>
      </c>
    </row>
    <row r="1862" spans="1:13" x14ac:dyDescent="0.25">
      <c r="A1862" s="13" t="s">
        <v>4332</v>
      </c>
      <c r="B1862" s="13" t="s">
        <v>4332</v>
      </c>
      <c r="C1862" s="13" t="s">
        <v>4333</v>
      </c>
      <c r="D1862" s="13">
        <v>1200</v>
      </c>
      <c r="E1862" s="13" t="s">
        <v>4334</v>
      </c>
      <c r="F1862" s="13" t="s">
        <v>8875</v>
      </c>
      <c r="G1862" s="13" t="s">
        <v>2</v>
      </c>
      <c r="H1862" s="13" t="s">
        <v>3</v>
      </c>
      <c r="I1862" s="13" t="s">
        <v>1224</v>
      </c>
      <c r="J1862" s="13" t="s">
        <v>9232</v>
      </c>
      <c r="K1862" s="13" t="s">
        <v>8429</v>
      </c>
      <c r="L1862" s="13" t="s">
        <v>9233</v>
      </c>
      <c r="M1862" t="s">
        <v>3</v>
      </c>
    </row>
    <row r="1863" spans="1:13" ht="26.25" x14ac:dyDescent="0.25">
      <c r="A1863" s="13" t="s">
        <v>4335</v>
      </c>
      <c r="B1863" s="13" t="s">
        <v>4335</v>
      </c>
      <c r="C1863" s="13" t="s">
        <v>9248</v>
      </c>
      <c r="D1863" s="13">
        <v>1200</v>
      </c>
      <c r="E1863" s="13" t="s">
        <v>4336</v>
      </c>
      <c r="F1863" s="13" t="s">
        <v>8875</v>
      </c>
      <c r="G1863" s="13" t="s">
        <v>19</v>
      </c>
      <c r="H1863" s="13" t="s">
        <v>3</v>
      </c>
      <c r="I1863" s="13" t="s">
        <v>137</v>
      </c>
      <c r="J1863" s="13" t="s">
        <v>9232</v>
      </c>
      <c r="K1863" s="13" t="s">
        <v>8429</v>
      </c>
      <c r="L1863" s="13" t="s">
        <v>9233</v>
      </c>
      <c r="M1863" t="s">
        <v>3</v>
      </c>
    </row>
    <row r="1864" spans="1:13" ht="26.25" x14ac:dyDescent="0.25">
      <c r="A1864" s="13" t="s">
        <v>4337</v>
      </c>
      <c r="B1864" s="13" t="s">
        <v>4338</v>
      </c>
      <c r="C1864" s="13" t="s">
        <v>4339</v>
      </c>
      <c r="D1864" s="13">
        <v>350</v>
      </c>
      <c r="E1864" s="13" t="s">
        <v>4340</v>
      </c>
      <c r="F1864" s="13" t="s">
        <v>8875</v>
      </c>
      <c r="G1864" s="13" t="s">
        <v>19</v>
      </c>
      <c r="H1864" s="13" t="s">
        <v>3</v>
      </c>
      <c r="I1864" s="13" t="s">
        <v>516</v>
      </c>
      <c r="J1864" s="13" t="s">
        <v>9232</v>
      </c>
      <c r="K1864" s="13" t="s">
        <v>516</v>
      </c>
      <c r="L1864" s="13" t="s">
        <v>9233</v>
      </c>
      <c r="M1864" t="s">
        <v>3</v>
      </c>
    </row>
    <row r="1865" spans="1:13" ht="26.25" x14ac:dyDescent="0.25">
      <c r="A1865" s="13" t="s">
        <v>4341</v>
      </c>
      <c r="B1865" s="13" t="s">
        <v>4341</v>
      </c>
      <c r="C1865" s="13" t="s">
        <v>4342</v>
      </c>
      <c r="D1865" s="13">
        <v>0</v>
      </c>
      <c r="E1865" s="13" t="s">
        <v>4343</v>
      </c>
      <c r="F1865" s="13" t="s">
        <v>8875</v>
      </c>
      <c r="G1865" s="13" t="s">
        <v>19</v>
      </c>
      <c r="H1865" s="13" t="s">
        <v>3</v>
      </c>
      <c r="I1865" s="13" t="s">
        <v>4344</v>
      </c>
      <c r="J1865" s="13" t="s">
        <v>9232</v>
      </c>
      <c r="K1865" s="13" t="s">
        <v>4342</v>
      </c>
      <c r="L1865" s="13" t="s">
        <v>9233</v>
      </c>
      <c r="M1865" t="s">
        <v>3</v>
      </c>
    </row>
    <row r="1866" spans="1:13" ht="26.25" x14ac:dyDescent="0.25">
      <c r="A1866" s="13" t="s">
        <v>4345</v>
      </c>
      <c r="B1866" s="13" t="s">
        <v>4346</v>
      </c>
      <c r="C1866" s="13" t="s">
        <v>4347</v>
      </c>
      <c r="D1866" s="14">
        <v>1</v>
      </c>
      <c r="E1866" s="13" t="s">
        <v>4348</v>
      </c>
      <c r="F1866" s="13" t="s">
        <v>8875</v>
      </c>
      <c r="G1866" s="13" t="s">
        <v>19</v>
      </c>
      <c r="H1866" s="13" t="s">
        <v>3</v>
      </c>
      <c r="I1866" s="13" t="s">
        <v>4349</v>
      </c>
      <c r="J1866" s="13" t="s">
        <v>9232</v>
      </c>
      <c r="K1866" s="13" t="s">
        <v>8645</v>
      </c>
      <c r="L1866" s="13" t="s">
        <v>9233</v>
      </c>
      <c r="M1866" t="s">
        <v>3</v>
      </c>
    </row>
    <row r="1867" spans="1:13" ht="26.25" x14ac:dyDescent="0.25">
      <c r="A1867" s="13" t="s">
        <v>4350</v>
      </c>
      <c r="B1867" s="13" t="s">
        <v>4351</v>
      </c>
      <c r="C1867" s="13" t="s">
        <v>4352</v>
      </c>
      <c r="D1867" s="14">
        <v>1</v>
      </c>
      <c r="E1867" s="13" t="s">
        <v>4353</v>
      </c>
      <c r="F1867" s="13" t="s">
        <v>8860</v>
      </c>
      <c r="G1867" s="13" t="s">
        <v>19</v>
      </c>
      <c r="H1867" s="13" t="s">
        <v>3</v>
      </c>
      <c r="I1867" s="13" t="s">
        <v>4351</v>
      </c>
      <c r="J1867" s="13" t="s">
        <v>21</v>
      </c>
      <c r="K1867" s="13" t="s">
        <v>8646</v>
      </c>
      <c r="L1867" s="13" t="s">
        <v>18</v>
      </c>
      <c r="M1867" t="s">
        <v>3</v>
      </c>
    </row>
    <row r="1868" spans="1:13" ht="26.25" x14ac:dyDescent="0.25">
      <c r="A1868" s="13" t="s">
        <v>4354</v>
      </c>
      <c r="B1868" s="13" t="s">
        <v>4355</v>
      </c>
      <c r="C1868" s="13" t="s">
        <v>4356</v>
      </c>
      <c r="D1868" s="13">
        <v>901.6</v>
      </c>
      <c r="E1868" s="13" t="s">
        <v>4357</v>
      </c>
      <c r="F1868" s="13" t="s">
        <v>35</v>
      </c>
      <c r="G1868" s="13" t="s">
        <v>19</v>
      </c>
      <c r="H1868" s="13" t="s">
        <v>3</v>
      </c>
      <c r="I1868" s="13" t="s">
        <v>4351</v>
      </c>
      <c r="J1868" s="13" t="s">
        <v>37</v>
      </c>
      <c r="K1868" s="13" t="s">
        <v>8646</v>
      </c>
      <c r="L1868" s="13" t="s">
        <v>35</v>
      </c>
      <c r="M1868" t="s">
        <v>3</v>
      </c>
    </row>
    <row r="1869" spans="1:13" ht="26.25" x14ac:dyDescent="0.25">
      <c r="A1869" s="13" t="s">
        <v>4358</v>
      </c>
      <c r="B1869" s="13" t="s">
        <v>4359</v>
      </c>
      <c r="C1869" s="13" t="s">
        <v>4360</v>
      </c>
      <c r="D1869" s="14">
        <v>500</v>
      </c>
      <c r="E1869" s="13" t="s">
        <v>4361</v>
      </c>
      <c r="F1869" s="13" t="s">
        <v>8875</v>
      </c>
      <c r="G1869" s="13" t="s">
        <v>19</v>
      </c>
      <c r="H1869" s="13" t="s">
        <v>3</v>
      </c>
      <c r="I1869" s="13" t="s">
        <v>4359</v>
      </c>
      <c r="J1869" s="13" t="s">
        <v>9232</v>
      </c>
      <c r="K1869" s="13" t="s">
        <v>4360</v>
      </c>
      <c r="L1869" s="13" t="s">
        <v>9233</v>
      </c>
      <c r="M1869" t="s">
        <v>3</v>
      </c>
    </row>
    <row r="1870" spans="1:13" ht="26.25" x14ac:dyDescent="0.25">
      <c r="A1870" s="13" t="s">
        <v>4362</v>
      </c>
      <c r="B1870" s="13" t="s">
        <v>4363</v>
      </c>
      <c r="C1870" s="13" t="s">
        <v>4363</v>
      </c>
      <c r="D1870" s="13">
        <v>100</v>
      </c>
      <c r="E1870" s="13" t="s">
        <v>4364</v>
      </c>
      <c r="F1870" s="13" t="s">
        <v>8875</v>
      </c>
      <c r="G1870" s="13" t="s">
        <v>19</v>
      </c>
      <c r="H1870" s="13" t="s">
        <v>3</v>
      </c>
      <c r="I1870" s="13" t="s">
        <v>4365</v>
      </c>
      <c r="J1870" s="13" t="s">
        <v>9232</v>
      </c>
      <c r="K1870" s="13" t="s">
        <v>8647</v>
      </c>
      <c r="L1870" s="13" t="s">
        <v>9233</v>
      </c>
      <c r="M1870" t="s">
        <v>3</v>
      </c>
    </row>
    <row r="1871" spans="1:13" ht="26.25" x14ac:dyDescent="0.25">
      <c r="A1871" s="13" t="s">
        <v>4366</v>
      </c>
      <c r="B1871" s="13" t="s">
        <v>4366</v>
      </c>
      <c r="C1871" s="13" t="s">
        <v>9249</v>
      </c>
      <c r="D1871" s="13">
        <v>200</v>
      </c>
      <c r="E1871" s="13" t="s">
        <v>4367</v>
      </c>
      <c r="F1871" s="13" t="s">
        <v>8870</v>
      </c>
      <c r="G1871" s="13" t="s">
        <v>19</v>
      </c>
      <c r="H1871" s="13" t="s">
        <v>3</v>
      </c>
      <c r="I1871" s="13" t="s">
        <v>4313</v>
      </c>
      <c r="J1871" s="13" t="s">
        <v>410</v>
      </c>
      <c r="K1871" s="13" t="s">
        <v>8643</v>
      </c>
      <c r="L1871" s="13" t="s">
        <v>8942</v>
      </c>
      <c r="M1871" t="s">
        <v>3</v>
      </c>
    </row>
    <row r="1872" spans="1:13" ht="26.25" x14ac:dyDescent="0.25">
      <c r="A1872" s="13" t="s">
        <v>4368</v>
      </c>
      <c r="B1872" s="13" t="s">
        <v>4368</v>
      </c>
      <c r="C1872" s="13" t="s">
        <v>9250</v>
      </c>
      <c r="D1872" s="14">
        <v>200</v>
      </c>
      <c r="E1872" s="13" t="s">
        <v>4369</v>
      </c>
      <c r="F1872" s="13" t="s">
        <v>8871</v>
      </c>
      <c r="G1872" s="13" t="s">
        <v>2</v>
      </c>
      <c r="H1872" s="13" t="s">
        <v>3</v>
      </c>
      <c r="I1872" s="13" t="s">
        <v>4313</v>
      </c>
      <c r="J1872" s="13" t="s">
        <v>410</v>
      </c>
      <c r="K1872" s="13" t="s">
        <v>8643</v>
      </c>
      <c r="L1872" s="13" t="s">
        <v>8943</v>
      </c>
      <c r="M1872" t="s">
        <v>3</v>
      </c>
    </row>
    <row r="1873" spans="1:13" ht="26.25" x14ac:dyDescent="0.25">
      <c r="A1873" s="13" t="s">
        <v>4370</v>
      </c>
      <c r="B1873" s="13" t="s">
        <v>1745</v>
      </c>
      <c r="C1873" s="13" t="s">
        <v>4371</v>
      </c>
      <c r="D1873" s="14">
        <v>1200</v>
      </c>
      <c r="E1873" s="13" t="s">
        <v>4372</v>
      </c>
      <c r="F1873" s="13" t="s">
        <v>8860</v>
      </c>
      <c r="G1873" s="13" t="s">
        <v>19</v>
      </c>
      <c r="H1873" s="13" t="s">
        <v>3</v>
      </c>
      <c r="I1873" s="13" t="s">
        <v>1745</v>
      </c>
      <c r="J1873" s="13" t="s">
        <v>21</v>
      </c>
      <c r="K1873" s="13" t="s">
        <v>8430</v>
      </c>
      <c r="L1873" s="13" t="s">
        <v>18</v>
      </c>
      <c r="M1873" t="s">
        <v>3</v>
      </c>
    </row>
    <row r="1874" spans="1:13" ht="26.25" x14ac:dyDescent="0.25">
      <c r="A1874" s="13" t="s">
        <v>4373</v>
      </c>
      <c r="B1874" s="13" t="s">
        <v>4373</v>
      </c>
      <c r="C1874" s="13" t="s">
        <v>4374</v>
      </c>
      <c r="D1874" s="13">
        <v>0</v>
      </c>
      <c r="E1874" s="13" t="s">
        <v>4375</v>
      </c>
      <c r="F1874" s="13" t="s">
        <v>8870</v>
      </c>
      <c r="G1874" s="13" t="s">
        <v>19</v>
      </c>
      <c r="H1874" s="13" t="s">
        <v>3</v>
      </c>
      <c r="I1874" s="13" t="s">
        <v>1745</v>
      </c>
      <c r="J1874" s="13" t="s">
        <v>410</v>
      </c>
      <c r="K1874" s="13" t="s">
        <v>8430</v>
      </c>
      <c r="L1874" s="13" t="s">
        <v>8942</v>
      </c>
      <c r="M1874" t="s">
        <v>3</v>
      </c>
    </row>
    <row r="1875" spans="1:13" ht="26.25" x14ac:dyDescent="0.25">
      <c r="A1875" s="13" t="s">
        <v>4376</v>
      </c>
      <c r="B1875" s="13" t="s">
        <v>4376</v>
      </c>
      <c r="C1875" s="13" t="s">
        <v>4377</v>
      </c>
      <c r="D1875" s="13">
        <v>4</v>
      </c>
      <c r="E1875" s="13" t="s">
        <v>4378</v>
      </c>
      <c r="F1875" s="13" t="s">
        <v>8860</v>
      </c>
      <c r="G1875" s="13" t="s">
        <v>19</v>
      </c>
      <c r="H1875" s="13" t="s">
        <v>3</v>
      </c>
      <c r="I1875" s="13" t="s">
        <v>1745</v>
      </c>
      <c r="J1875" s="13" t="s">
        <v>21</v>
      </c>
      <c r="K1875" s="13" t="s">
        <v>8430</v>
      </c>
      <c r="L1875" s="13" t="s">
        <v>18</v>
      </c>
      <c r="M1875" t="s">
        <v>3</v>
      </c>
    </row>
    <row r="1876" spans="1:13" x14ac:dyDescent="0.25">
      <c r="A1876" s="13" t="s">
        <v>4379</v>
      </c>
      <c r="B1876" s="13" t="s">
        <v>4379</v>
      </c>
      <c r="C1876" s="13" t="s">
        <v>4380</v>
      </c>
      <c r="D1876" s="13">
        <v>0</v>
      </c>
      <c r="E1876" s="13" t="s">
        <v>4381</v>
      </c>
      <c r="F1876" s="13" t="s">
        <v>8871</v>
      </c>
      <c r="G1876" s="13" t="s">
        <v>2</v>
      </c>
      <c r="H1876" s="13" t="s">
        <v>3</v>
      </c>
      <c r="I1876" s="13" t="s">
        <v>1745</v>
      </c>
      <c r="J1876" s="13" t="s">
        <v>410</v>
      </c>
      <c r="K1876" s="13" t="s">
        <v>8430</v>
      </c>
      <c r="L1876" s="13" t="s">
        <v>8943</v>
      </c>
      <c r="M1876" t="s">
        <v>3</v>
      </c>
    </row>
    <row r="1877" spans="1:13" ht="26.25" x14ac:dyDescent="0.25">
      <c r="A1877" s="13" t="s">
        <v>4382</v>
      </c>
      <c r="B1877" s="13" t="s">
        <v>4382</v>
      </c>
      <c r="C1877" s="13" t="s">
        <v>4383</v>
      </c>
      <c r="D1877" s="13">
        <v>9999</v>
      </c>
      <c r="E1877" s="13" t="s">
        <v>4384</v>
      </c>
      <c r="F1877" s="13" t="s">
        <v>855</v>
      </c>
      <c r="G1877" s="13" t="s">
        <v>19</v>
      </c>
      <c r="H1877" s="13" t="s">
        <v>3</v>
      </c>
      <c r="I1877" s="13" t="s">
        <v>1745</v>
      </c>
      <c r="J1877" s="13" t="s">
        <v>856</v>
      </c>
      <c r="K1877" s="13" t="s">
        <v>8430</v>
      </c>
      <c r="L1877" s="13" t="s">
        <v>855</v>
      </c>
      <c r="M1877" t="s">
        <v>3</v>
      </c>
    </row>
    <row r="1878" spans="1:13" x14ac:dyDescent="0.25">
      <c r="A1878" s="13" t="s">
        <v>4385</v>
      </c>
      <c r="B1878" s="13" t="s">
        <v>4385</v>
      </c>
      <c r="C1878" s="13" t="s">
        <v>4386</v>
      </c>
      <c r="D1878" s="13">
        <v>9999</v>
      </c>
      <c r="E1878" s="13" t="s">
        <v>4387</v>
      </c>
      <c r="F1878" s="13" t="s">
        <v>855</v>
      </c>
      <c r="G1878" s="13" t="s">
        <v>2</v>
      </c>
      <c r="H1878" s="13" t="s">
        <v>3</v>
      </c>
      <c r="I1878" s="13" t="s">
        <v>1745</v>
      </c>
      <c r="J1878" s="13" t="s">
        <v>856</v>
      </c>
      <c r="K1878" s="13" t="s">
        <v>8430</v>
      </c>
      <c r="L1878" s="13" t="s">
        <v>855</v>
      </c>
      <c r="M1878" t="s">
        <v>3</v>
      </c>
    </row>
    <row r="1879" spans="1:13" ht="26.25" x14ac:dyDescent="0.25">
      <c r="A1879" s="13" t="s">
        <v>4388</v>
      </c>
      <c r="B1879" s="13" t="s">
        <v>4389</v>
      </c>
      <c r="C1879" s="13" t="s">
        <v>4390</v>
      </c>
      <c r="D1879" s="13">
        <v>350</v>
      </c>
      <c r="E1879" s="13" t="s">
        <v>4391</v>
      </c>
      <c r="F1879" s="13" t="s">
        <v>8875</v>
      </c>
      <c r="G1879" s="13" t="s">
        <v>19</v>
      </c>
      <c r="H1879" s="13" t="s">
        <v>3</v>
      </c>
      <c r="I1879" s="13" t="s">
        <v>4392</v>
      </c>
      <c r="J1879" s="13" t="s">
        <v>9232</v>
      </c>
      <c r="K1879" s="13" t="s">
        <v>8648</v>
      </c>
      <c r="L1879" s="13" t="s">
        <v>9233</v>
      </c>
      <c r="M1879" t="s">
        <v>3</v>
      </c>
    </row>
    <row r="1880" spans="1:13" ht="26.25" x14ac:dyDescent="0.25">
      <c r="A1880" s="13" t="s">
        <v>4393</v>
      </c>
      <c r="B1880" s="13" t="s">
        <v>4393</v>
      </c>
      <c r="C1880" s="13" t="s">
        <v>4394</v>
      </c>
      <c r="D1880" s="13">
        <v>0</v>
      </c>
      <c r="E1880" s="13" t="s">
        <v>4395</v>
      </c>
      <c r="F1880" s="13" t="s">
        <v>8875</v>
      </c>
      <c r="G1880" s="13" t="s">
        <v>19</v>
      </c>
      <c r="H1880" s="13" t="s">
        <v>3</v>
      </c>
      <c r="I1880" s="13" t="s">
        <v>1263</v>
      </c>
      <c r="J1880" s="13" t="s">
        <v>9232</v>
      </c>
      <c r="K1880" s="13" t="s">
        <v>8422</v>
      </c>
      <c r="L1880" s="13" t="s">
        <v>9233</v>
      </c>
      <c r="M1880" t="s">
        <v>3</v>
      </c>
    </row>
    <row r="1881" spans="1:13" ht="26.25" x14ac:dyDescent="0.25">
      <c r="A1881" s="13" t="s">
        <v>4396</v>
      </c>
      <c r="B1881" s="13" t="s">
        <v>4396</v>
      </c>
      <c r="C1881" s="13" t="s">
        <v>4397</v>
      </c>
      <c r="D1881" s="13">
        <v>200</v>
      </c>
      <c r="E1881" s="13" t="s">
        <v>4398</v>
      </c>
      <c r="F1881" s="13" t="s">
        <v>8860</v>
      </c>
      <c r="G1881" s="13" t="s">
        <v>19</v>
      </c>
      <c r="H1881" s="13" t="s">
        <v>3</v>
      </c>
      <c r="I1881" s="13" t="s">
        <v>4399</v>
      </c>
      <c r="J1881" s="13" t="s">
        <v>21</v>
      </c>
      <c r="K1881" s="13" t="s">
        <v>8430</v>
      </c>
      <c r="L1881" s="13" t="s">
        <v>18</v>
      </c>
      <c r="M1881" t="s">
        <v>3</v>
      </c>
    </row>
    <row r="1882" spans="1:13" ht="26.25" x14ac:dyDescent="0.25">
      <c r="A1882" s="13" t="s">
        <v>9251</v>
      </c>
      <c r="B1882" s="13" t="s">
        <v>9251</v>
      </c>
      <c r="C1882" s="13" t="s">
        <v>9252</v>
      </c>
      <c r="D1882" s="13">
        <v>100</v>
      </c>
      <c r="E1882" s="13" t="s">
        <v>9253</v>
      </c>
      <c r="F1882" s="13" t="s">
        <v>8875</v>
      </c>
      <c r="G1882" s="13" t="s">
        <v>19</v>
      </c>
      <c r="H1882" s="13" t="s">
        <v>3</v>
      </c>
      <c r="I1882" s="13" t="s">
        <v>9254</v>
      </c>
      <c r="J1882" s="13" t="s">
        <v>9232</v>
      </c>
      <c r="K1882" s="13" t="s">
        <v>9255</v>
      </c>
      <c r="L1882" s="13" t="s">
        <v>9233</v>
      </c>
      <c r="M1882" t="s">
        <v>3</v>
      </c>
    </row>
    <row r="1883" spans="1:13" ht="26.25" x14ac:dyDescent="0.25">
      <c r="A1883" s="13" t="s">
        <v>4400</v>
      </c>
      <c r="B1883" s="13" t="s">
        <v>4401</v>
      </c>
      <c r="C1883" s="13" t="s">
        <v>4402</v>
      </c>
      <c r="D1883" s="13">
        <v>100</v>
      </c>
      <c r="E1883" s="13" t="s">
        <v>4403</v>
      </c>
      <c r="F1883" s="13" t="s">
        <v>8875</v>
      </c>
      <c r="G1883" s="13" t="s">
        <v>19</v>
      </c>
      <c r="H1883" s="13" t="s">
        <v>3</v>
      </c>
      <c r="I1883" s="13" t="s">
        <v>4404</v>
      </c>
      <c r="J1883" s="13" t="s">
        <v>9232</v>
      </c>
      <c r="K1883" s="13" t="s">
        <v>8649</v>
      </c>
      <c r="L1883" s="13" t="s">
        <v>9233</v>
      </c>
      <c r="M1883" t="s">
        <v>3</v>
      </c>
    </row>
    <row r="1884" spans="1:13" ht="26.25" x14ac:dyDescent="0.25">
      <c r="A1884" s="13" t="s">
        <v>4405</v>
      </c>
      <c r="B1884" s="13" t="s">
        <v>4405</v>
      </c>
      <c r="C1884" s="13" t="s">
        <v>4406</v>
      </c>
      <c r="D1884" s="13">
        <v>28.1</v>
      </c>
      <c r="E1884" s="13" t="s">
        <v>4407</v>
      </c>
      <c r="F1884" s="13" t="s">
        <v>8860</v>
      </c>
      <c r="G1884" s="13" t="s">
        <v>19</v>
      </c>
      <c r="H1884" s="13" t="s">
        <v>3</v>
      </c>
      <c r="I1884" s="13" t="s">
        <v>228</v>
      </c>
      <c r="J1884" s="13" t="s">
        <v>21</v>
      </c>
      <c r="K1884" s="13" t="s">
        <v>8418</v>
      </c>
      <c r="L1884" s="13" t="s">
        <v>18</v>
      </c>
      <c r="M1884" t="s">
        <v>3</v>
      </c>
    </row>
    <row r="1885" spans="1:13" ht="26.25" x14ac:dyDescent="0.25">
      <c r="A1885" s="13" t="s">
        <v>4408</v>
      </c>
      <c r="B1885" s="13" t="s">
        <v>4408</v>
      </c>
      <c r="C1885" s="13" t="s">
        <v>9256</v>
      </c>
      <c r="D1885" s="13">
        <v>400</v>
      </c>
      <c r="E1885" s="13" t="s">
        <v>4409</v>
      </c>
      <c r="F1885" s="13" t="s">
        <v>8870</v>
      </c>
      <c r="G1885" s="13" t="s">
        <v>19</v>
      </c>
      <c r="H1885" s="13" t="s">
        <v>3</v>
      </c>
      <c r="I1885" s="13" t="s">
        <v>228</v>
      </c>
      <c r="J1885" s="13" t="s">
        <v>410</v>
      </c>
      <c r="K1885" s="13" t="s">
        <v>8418</v>
      </c>
      <c r="L1885" s="13" t="s">
        <v>8942</v>
      </c>
      <c r="M1885" t="s">
        <v>3</v>
      </c>
    </row>
    <row r="1886" spans="1:13" x14ac:dyDescent="0.25">
      <c r="A1886" s="13" t="s">
        <v>4410</v>
      </c>
      <c r="B1886" s="13" t="s">
        <v>4410</v>
      </c>
      <c r="C1886" s="13" t="s">
        <v>9257</v>
      </c>
      <c r="D1886" s="14">
        <v>400</v>
      </c>
      <c r="E1886" s="13" t="s">
        <v>4411</v>
      </c>
      <c r="F1886" s="13" t="s">
        <v>8871</v>
      </c>
      <c r="G1886" s="13" t="s">
        <v>2</v>
      </c>
      <c r="H1886" s="13" t="s">
        <v>3</v>
      </c>
      <c r="I1886" s="13" t="s">
        <v>228</v>
      </c>
      <c r="J1886" s="13" t="s">
        <v>410</v>
      </c>
      <c r="K1886" s="13" t="s">
        <v>8418</v>
      </c>
      <c r="L1886" s="13" t="s">
        <v>8943</v>
      </c>
      <c r="M1886" t="s">
        <v>3</v>
      </c>
    </row>
    <row r="1887" spans="1:13" ht="26.25" x14ac:dyDescent="0.25">
      <c r="A1887" s="13" t="s">
        <v>4412</v>
      </c>
      <c r="B1887" s="13" t="s">
        <v>4412</v>
      </c>
      <c r="C1887" s="13" t="s">
        <v>4412</v>
      </c>
      <c r="D1887" s="13">
        <v>9999</v>
      </c>
      <c r="E1887" s="13" t="s">
        <v>4413</v>
      </c>
      <c r="F1887" s="13" t="s">
        <v>855</v>
      </c>
      <c r="G1887" s="13" t="s">
        <v>19</v>
      </c>
      <c r="H1887" s="13" t="s">
        <v>3</v>
      </c>
      <c r="I1887" s="13" t="s">
        <v>228</v>
      </c>
      <c r="J1887" s="13" t="s">
        <v>856</v>
      </c>
      <c r="K1887" s="13" t="s">
        <v>8418</v>
      </c>
      <c r="L1887" s="13" t="s">
        <v>855</v>
      </c>
      <c r="M1887" t="s">
        <v>3</v>
      </c>
    </row>
    <row r="1888" spans="1:13" x14ac:dyDescent="0.25">
      <c r="A1888" s="13" t="s">
        <v>4414</v>
      </c>
      <c r="B1888" s="13" t="s">
        <v>4414</v>
      </c>
      <c r="C1888" s="13" t="s">
        <v>4414</v>
      </c>
      <c r="D1888" s="13">
        <v>9999</v>
      </c>
      <c r="E1888" s="13" t="s">
        <v>4415</v>
      </c>
      <c r="F1888" s="13" t="s">
        <v>855</v>
      </c>
      <c r="G1888" s="13" t="s">
        <v>2</v>
      </c>
      <c r="H1888" s="13" t="s">
        <v>3</v>
      </c>
      <c r="I1888" s="13" t="s">
        <v>228</v>
      </c>
      <c r="J1888" s="13" t="s">
        <v>856</v>
      </c>
      <c r="K1888" s="13" t="s">
        <v>8418</v>
      </c>
      <c r="L1888" s="13" t="s">
        <v>855</v>
      </c>
      <c r="M1888" t="s">
        <v>3</v>
      </c>
    </row>
    <row r="1889" spans="1:13" ht="26.25" x14ac:dyDescent="0.25">
      <c r="A1889" s="13" t="s">
        <v>4416</v>
      </c>
      <c r="B1889" s="13" t="s">
        <v>4417</v>
      </c>
      <c r="C1889" s="13" t="s">
        <v>4418</v>
      </c>
      <c r="D1889" s="13">
        <v>0</v>
      </c>
      <c r="E1889" s="13" t="s">
        <v>4419</v>
      </c>
      <c r="F1889" s="13" t="s">
        <v>8860</v>
      </c>
      <c r="G1889" s="13" t="s">
        <v>19</v>
      </c>
      <c r="H1889" s="13" t="s">
        <v>3</v>
      </c>
      <c r="I1889" s="13" t="s">
        <v>4417</v>
      </c>
      <c r="J1889" s="13" t="s">
        <v>21</v>
      </c>
      <c r="K1889" s="13" t="s">
        <v>8430</v>
      </c>
      <c r="L1889" s="13" t="s">
        <v>18</v>
      </c>
      <c r="M1889" t="s">
        <v>3</v>
      </c>
    </row>
    <row r="1890" spans="1:13" ht="26.25" x14ac:dyDescent="0.25">
      <c r="A1890" s="13" t="s">
        <v>4420</v>
      </c>
      <c r="B1890" s="13" t="s">
        <v>4420</v>
      </c>
      <c r="C1890" s="13" t="s">
        <v>4421</v>
      </c>
      <c r="D1890" s="13">
        <v>3500</v>
      </c>
      <c r="E1890" s="13" t="s">
        <v>4422</v>
      </c>
      <c r="F1890" s="13" t="s">
        <v>8860</v>
      </c>
      <c r="G1890" s="13" t="s">
        <v>19</v>
      </c>
      <c r="H1890" s="13" t="s">
        <v>3</v>
      </c>
      <c r="I1890" s="13" t="s">
        <v>2688</v>
      </c>
      <c r="J1890" s="13" t="s">
        <v>1563</v>
      </c>
      <c r="K1890" s="13" t="s">
        <v>8430</v>
      </c>
      <c r="L1890" s="13" t="s">
        <v>9016</v>
      </c>
      <c r="M1890" t="s">
        <v>3</v>
      </c>
    </row>
    <row r="1891" spans="1:13" ht="26.25" x14ac:dyDescent="0.25">
      <c r="A1891" s="13" t="s">
        <v>4423</v>
      </c>
      <c r="B1891" s="13" t="s">
        <v>4423</v>
      </c>
      <c r="C1891" s="13" t="s">
        <v>4424</v>
      </c>
      <c r="D1891" s="14">
        <v>408</v>
      </c>
      <c r="E1891" s="13" t="s">
        <v>4425</v>
      </c>
      <c r="F1891" s="13" t="s">
        <v>1568</v>
      </c>
      <c r="G1891" s="13" t="s">
        <v>19</v>
      </c>
      <c r="H1891" s="13" t="s">
        <v>3</v>
      </c>
      <c r="I1891" s="13" t="s">
        <v>2688</v>
      </c>
      <c r="J1891" s="13" t="s">
        <v>9017</v>
      </c>
      <c r="K1891" s="13" t="s">
        <v>8430</v>
      </c>
      <c r="L1891" s="13" t="s">
        <v>1568</v>
      </c>
      <c r="M1891" t="s">
        <v>3</v>
      </c>
    </row>
    <row r="1892" spans="1:13" ht="26.25" x14ac:dyDescent="0.25">
      <c r="A1892" s="13" t="s">
        <v>4426</v>
      </c>
      <c r="B1892" s="13" t="s">
        <v>4427</v>
      </c>
      <c r="C1892" s="13" t="s">
        <v>4428</v>
      </c>
      <c r="D1892" s="13">
        <v>3</v>
      </c>
      <c r="E1892" s="13" t="s">
        <v>4429</v>
      </c>
      <c r="F1892" s="13" t="s">
        <v>8860</v>
      </c>
      <c r="G1892" s="13" t="s">
        <v>19</v>
      </c>
      <c r="H1892" s="13" t="s">
        <v>3</v>
      </c>
      <c r="I1892" s="13" t="s">
        <v>4430</v>
      </c>
      <c r="J1892" s="13" t="s">
        <v>21</v>
      </c>
      <c r="K1892" s="13" t="s">
        <v>8650</v>
      </c>
      <c r="L1892" s="13" t="s">
        <v>18</v>
      </c>
      <c r="M1892" t="s">
        <v>3</v>
      </c>
    </row>
    <row r="1893" spans="1:13" ht="26.25" x14ac:dyDescent="0.25">
      <c r="A1893" s="13" t="s">
        <v>4431</v>
      </c>
      <c r="B1893" s="13" t="s">
        <v>4431</v>
      </c>
      <c r="C1893" s="13" t="s">
        <v>4431</v>
      </c>
      <c r="D1893" s="13">
        <v>9999</v>
      </c>
      <c r="E1893" s="13" t="s">
        <v>4432</v>
      </c>
      <c r="F1893" s="13" t="s">
        <v>855</v>
      </c>
      <c r="G1893" s="13" t="s">
        <v>19</v>
      </c>
      <c r="H1893" s="13" t="s">
        <v>3</v>
      </c>
      <c r="I1893" s="13" t="s">
        <v>4433</v>
      </c>
      <c r="J1893" s="13" t="s">
        <v>856</v>
      </c>
      <c r="K1893" s="13" t="s">
        <v>8651</v>
      </c>
      <c r="L1893" s="13" t="s">
        <v>855</v>
      </c>
      <c r="M1893" t="s">
        <v>3</v>
      </c>
    </row>
    <row r="1894" spans="1:13" x14ac:dyDescent="0.25">
      <c r="A1894" s="13" t="s">
        <v>4434</v>
      </c>
      <c r="B1894" s="13" t="s">
        <v>4434</v>
      </c>
      <c r="C1894" s="13" t="s">
        <v>4434</v>
      </c>
      <c r="D1894" s="13">
        <v>9999</v>
      </c>
      <c r="E1894" s="13" t="s">
        <v>4435</v>
      </c>
      <c r="F1894" s="13" t="s">
        <v>855</v>
      </c>
      <c r="G1894" s="13" t="s">
        <v>2</v>
      </c>
      <c r="H1894" s="13" t="s">
        <v>3</v>
      </c>
      <c r="I1894" s="13" t="s">
        <v>4433</v>
      </c>
      <c r="J1894" s="13" t="s">
        <v>856</v>
      </c>
      <c r="K1894" s="13" t="s">
        <v>8651</v>
      </c>
      <c r="L1894" s="13" t="s">
        <v>855</v>
      </c>
      <c r="M1894" t="s">
        <v>3</v>
      </c>
    </row>
    <row r="1895" spans="1:13" ht="26.25" x14ac:dyDescent="0.25">
      <c r="A1895" s="13" t="s">
        <v>4436</v>
      </c>
      <c r="B1895" s="13" t="s">
        <v>4436</v>
      </c>
      <c r="C1895" s="13" t="s">
        <v>4437</v>
      </c>
      <c r="D1895" s="13">
        <v>0.1</v>
      </c>
      <c r="E1895" s="13" t="s">
        <v>4438</v>
      </c>
      <c r="F1895" s="13" t="s">
        <v>8860</v>
      </c>
      <c r="G1895" s="13" t="s">
        <v>19</v>
      </c>
      <c r="H1895" s="13" t="s">
        <v>3</v>
      </c>
      <c r="I1895" s="13" t="s">
        <v>4433</v>
      </c>
      <c r="J1895" s="13" t="s">
        <v>21</v>
      </c>
      <c r="K1895" s="13" t="s">
        <v>8651</v>
      </c>
      <c r="L1895" s="13" t="s">
        <v>18</v>
      </c>
      <c r="M1895" t="s">
        <v>3</v>
      </c>
    </row>
    <row r="1896" spans="1:13" x14ac:dyDescent="0.25">
      <c r="A1896" s="13" t="s">
        <v>4439</v>
      </c>
      <c r="B1896" s="13" t="s">
        <v>4439</v>
      </c>
      <c r="C1896" s="13" t="s">
        <v>4440</v>
      </c>
      <c r="D1896" s="13">
        <v>0.3</v>
      </c>
      <c r="E1896" s="13" t="s">
        <v>4441</v>
      </c>
      <c r="F1896" s="13" t="s">
        <v>8873</v>
      </c>
      <c r="G1896" s="13" t="s">
        <v>2</v>
      </c>
      <c r="H1896" s="13" t="s">
        <v>3</v>
      </c>
      <c r="I1896" s="13" t="s">
        <v>4433</v>
      </c>
      <c r="J1896" s="13" t="s">
        <v>8890</v>
      </c>
      <c r="K1896" s="13" t="s">
        <v>8651</v>
      </c>
      <c r="L1896" s="13" t="s">
        <v>8964</v>
      </c>
      <c r="M1896" t="s">
        <v>3</v>
      </c>
    </row>
    <row r="1897" spans="1:13" x14ac:dyDescent="0.25">
      <c r="A1897" s="13" t="s">
        <v>4442</v>
      </c>
      <c r="B1897" s="13" t="s">
        <v>4442</v>
      </c>
      <c r="C1897" s="13" t="s">
        <v>4443</v>
      </c>
      <c r="D1897" s="13">
        <v>1.2</v>
      </c>
      <c r="E1897" s="13" t="s">
        <v>4444</v>
      </c>
      <c r="F1897" s="13" t="s">
        <v>8867</v>
      </c>
      <c r="G1897" s="13" t="s">
        <v>2</v>
      </c>
      <c r="H1897" s="13" t="s">
        <v>3</v>
      </c>
      <c r="I1897" s="13" t="s">
        <v>4433</v>
      </c>
      <c r="J1897" s="13" t="s">
        <v>8890</v>
      </c>
      <c r="K1897" s="13" t="s">
        <v>8651</v>
      </c>
      <c r="L1897" s="13" t="s">
        <v>158</v>
      </c>
      <c r="M1897" t="s">
        <v>3</v>
      </c>
    </row>
    <row r="1898" spans="1:13" x14ac:dyDescent="0.25">
      <c r="A1898" s="13" t="s">
        <v>4445</v>
      </c>
      <c r="B1898" s="13" t="s">
        <v>4445</v>
      </c>
      <c r="C1898" s="13" t="s">
        <v>4446</v>
      </c>
      <c r="D1898" s="13">
        <v>3.8</v>
      </c>
      <c r="E1898" s="13" t="s">
        <v>4447</v>
      </c>
      <c r="F1898" s="13" t="s">
        <v>8863</v>
      </c>
      <c r="G1898" s="13" t="s">
        <v>2</v>
      </c>
      <c r="H1898" s="13" t="s">
        <v>3</v>
      </c>
      <c r="I1898" s="13" t="s">
        <v>4433</v>
      </c>
      <c r="J1898" s="13" t="s">
        <v>8890</v>
      </c>
      <c r="K1898" s="13" t="s">
        <v>8651</v>
      </c>
      <c r="L1898" s="13" t="s">
        <v>8956</v>
      </c>
      <c r="M1898" t="s">
        <v>3</v>
      </c>
    </row>
    <row r="1899" spans="1:13" ht="26.25" x14ac:dyDescent="0.25">
      <c r="A1899" s="13" t="s">
        <v>4448</v>
      </c>
      <c r="B1899" s="13" t="s">
        <v>4448</v>
      </c>
      <c r="C1899" s="13" t="s">
        <v>9258</v>
      </c>
      <c r="D1899" s="13">
        <v>0</v>
      </c>
      <c r="E1899" s="13" t="s">
        <v>4449</v>
      </c>
      <c r="F1899" s="13" t="s">
        <v>8875</v>
      </c>
      <c r="G1899" s="13" t="s">
        <v>19</v>
      </c>
      <c r="H1899" s="13" t="s">
        <v>3</v>
      </c>
      <c r="I1899" s="13" t="s">
        <v>4450</v>
      </c>
      <c r="J1899" s="13" t="s">
        <v>9232</v>
      </c>
      <c r="K1899" s="13" t="s">
        <v>8652</v>
      </c>
      <c r="L1899" s="13" t="s">
        <v>9233</v>
      </c>
      <c r="M1899" t="s">
        <v>3</v>
      </c>
    </row>
    <row r="1900" spans="1:13" ht="26.25" x14ac:dyDescent="0.25">
      <c r="A1900" s="13" t="s">
        <v>4451</v>
      </c>
      <c r="B1900" s="13" t="s">
        <v>4451</v>
      </c>
      <c r="C1900" s="13" t="s">
        <v>9259</v>
      </c>
      <c r="D1900" s="13">
        <v>0</v>
      </c>
      <c r="E1900" s="13" t="s">
        <v>4452</v>
      </c>
      <c r="F1900" s="13" t="s">
        <v>8873</v>
      </c>
      <c r="G1900" s="13" t="s">
        <v>2</v>
      </c>
      <c r="H1900" s="13" t="s">
        <v>3</v>
      </c>
      <c r="I1900" s="13" t="s">
        <v>2356</v>
      </c>
      <c r="J1900" s="13" t="s">
        <v>8890</v>
      </c>
      <c r="K1900" s="13" t="s">
        <v>8429</v>
      </c>
      <c r="L1900" s="13" t="s">
        <v>9260</v>
      </c>
      <c r="M1900" t="s">
        <v>3</v>
      </c>
    </row>
    <row r="1901" spans="1:13" ht="26.25" x14ac:dyDescent="0.25">
      <c r="A1901" s="13" t="s">
        <v>4453</v>
      </c>
      <c r="B1901" s="13" t="s">
        <v>4454</v>
      </c>
      <c r="C1901" s="13" t="s">
        <v>4455</v>
      </c>
      <c r="D1901" s="13">
        <v>300</v>
      </c>
      <c r="E1901" s="13" t="s">
        <v>4456</v>
      </c>
      <c r="F1901" s="13" t="s">
        <v>8875</v>
      </c>
      <c r="G1901" s="13" t="s">
        <v>19</v>
      </c>
      <c r="H1901" s="13" t="s">
        <v>3</v>
      </c>
      <c r="I1901" s="13" t="s">
        <v>4457</v>
      </c>
      <c r="J1901" s="13" t="s">
        <v>9232</v>
      </c>
      <c r="K1901" s="13" t="s">
        <v>5976</v>
      </c>
      <c r="L1901" s="13" t="s">
        <v>9233</v>
      </c>
      <c r="M1901" t="s">
        <v>3</v>
      </c>
    </row>
    <row r="1902" spans="1:13" ht="26.25" x14ac:dyDescent="0.25">
      <c r="A1902" s="13" t="s">
        <v>4458</v>
      </c>
      <c r="B1902" s="13" t="s">
        <v>4459</v>
      </c>
      <c r="C1902" s="13" t="s">
        <v>4460</v>
      </c>
      <c r="D1902" s="13">
        <v>0.6</v>
      </c>
      <c r="E1902" s="13" t="s">
        <v>4461</v>
      </c>
      <c r="F1902" s="13" t="s">
        <v>35</v>
      </c>
      <c r="G1902" s="13" t="s">
        <v>19</v>
      </c>
      <c r="H1902" s="13" t="s">
        <v>3</v>
      </c>
      <c r="I1902" s="13" t="s">
        <v>4459</v>
      </c>
      <c r="J1902" s="13" t="s">
        <v>37</v>
      </c>
      <c r="K1902" s="13" t="s">
        <v>4460</v>
      </c>
      <c r="L1902" s="13" t="s">
        <v>35</v>
      </c>
      <c r="M1902" t="s">
        <v>3</v>
      </c>
    </row>
    <row r="1903" spans="1:13" x14ac:dyDescent="0.25">
      <c r="A1903" s="13" t="s">
        <v>4462</v>
      </c>
      <c r="B1903" s="13" t="s">
        <v>4462</v>
      </c>
      <c r="C1903" s="13" t="s">
        <v>4462</v>
      </c>
      <c r="D1903" s="13">
        <v>1</v>
      </c>
      <c r="E1903" s="13" t="s">
        <v>4463</v>
      </c>
      <c r="F1903" s="13" t="s">
        <v>8863</v>
      </c>
      <c r="G1903" s="13" t="s">
        <v>2</v>
      </c>
      <c r="H1903" s="13" t="s">
        <v>3</v>
      </c>
      <c r="I1903" s="13" t="s">
        <v>228</v>
      </c>
      <c r="J1903" s="13" t="s">
        <v>8890</v>
      </c>
      <c r="K1903" s="13" t="s">
        <v>8418</v>
      </c>
      <c r="L1903" s="13" t="s">
        <v>8893</v>
      </c>
      <c r="M1903" t="s">
        <v>3</v>
      </c>
    </row>
    <row r="1904" spans="1:13" x14ac:dyDescent="0.25">
      <c r="A1904" s="13" t="s">
        <v>4464</v>
      </c>
      <c r="B1904" s="13" t="s">
        <v>4464</v>
      </c>
      <c r="C1904" s="13" t="s">
        <v>4464</v>
      </c>
      <c r="D1904" s="14">
        <v>0.9</v>
      </c>
      <c r="E1904" s="13" t="s">
        <v>4465</v>
      </c>
      <c r="F1904" s="13" t="s">
        <v>8863</v>
      </c>
      <c r="G1904" s="13" t="s">
        <v>2</v>
      </c>
      <c r="H1904" s="13" t="s">
        <v>3</v>
      </c>
      <c r="I1904" s="13" t="s">
        <v>809</v>
      </c>
      <c r="J1904" s="13" t="s">
        <v>8890</v>
      </c>
      <c r="K1904" s="13" t="s">
        <v>8512</v>
      </c>
      <c r="L1904" s="13" t="s">
        <v>8893</v>
      </c>
      <c r="M1904" t="s">
        <v>3</v>
      </c>
    </row>
    <row r="1905" spans="1:13" ht="26.25" x14ac:dyDescent="0.25">
      <c r="A1905" s="13" t="s">
        <v>9653</v>
      </c>
      <c r="B1905" s="13" t="s">
        <v>9654</v>
      </c>
      <c r="C1905" s="13" t="s">
        <v>9655</v>
      </c>
      <c r="D1905" s="13">
        <v>0</v>
      </c>
      <c r="E1905" s="13" t="s">
        <v>9656</v>
      </c>
      <c r="F1905" s="13" t="s">
        <v>8860</v>
      </c>
      <c r="G1905" s="13" t="s">
        <v>19</v>
      </c>
      <c r="H1905" s="13" t="s">
        <v>3</v>
      </c>
      <c r="I1905" s="13" t="s">
        <v>9657</v>
      </c>
      <c r="J1905" s="13" t="s">
        <v>21</v>
      </c>
      <c r="K1905" s="13" t="s">
        <v>9658</v>
      </c>
      <c r="L1905" s="13" t="s">
        <v>18</v>
      </c>
      <c r="M1905" t="s">
        <v>3</v>
      </c>
    </row>
    <row r="1906" spans="1:13" ht="26.25" x14ac:dyDescent="0.25">
      <c r="A1906" s="13" t="s">
        <v>10757</v>
      </c>
      <c r="B1906" s="13" t="s">
        <v>10758</v>
      </c>
      <c r="C1906" s="13" t="s">
        <v>10759</v>
      </c>
      <c r="D1906" s="13">
        <v>1</v>
      </c>
      <c r="E1906" s="13" t="s">
        <v>10760</v>
      </c>
      <c r="F1906" s="13" t="s">
        <v>8860</v>
      </c>
      <c r="G1906" s="13" t="s">
        <v>19</v>
      </c>
      <c r="H1906" s="13" t="s">
        <v>3</v>
      </c>
      <c r="I1906" s="13" t="s">
        <v>10560</v>
      </c>
      <c r="J1906" s="13" t="s">
        <v>21</v>
      </c>
      <c r="K1906" s="13" t="s">
        <v>10561</v>
      </c>
      <c r="L1906" s="13" t="s">
        <v>18</v>
      </c>
      <c r="M1906" t="s">
        <v>3</v>
      </c>
    </row>
    <row r="1907" spans="1:13" ht="26.25" x14ac:dyDescent="0.25">
      <c r="A1907" s="13" t="s">
        <v>4466</v>
      </c>
      <c r="B1907" s="13" t="s">
        <v>4466</v>
      </c>
      <c r="C1907" s="13" t="s">
        <v>4467</v>
      </c>
      <c r="D1907" s="13">
        <v>1500</v>
      </c>
      <c r="E1907" s="13" t="s">
        <v>4468</v>
      </c>
      <c r="F1907" s="13" t="s">
        <v>8875</v>
      </c>
      <c r="G1907" s="13" t="s">
        <v>19</v>
      </c>
      <c r="H1907" s="13" t="s">
        <v>3</v>
      </c>
      <c r="I1907" s="13" t="s">
        <v>164</v>
      </c>
      <c r="J1907" s="13" t="s">
        <v>9232</v>
      </c>
      <c r="K1907" s="13" t="s">
        <v>8443</v>
      </c>
      <c r="L1907" s="13" t="s">
        <v>9233</v>
      </c>
      <c r="M1907" t="s">
        <v>3</v>
      </c>
    </row>
    <row r="1908" spans="1:13" ht="26.25" x14ac:dyDescent="0.25">
      <c r="A1908" s="13" t="s">
        <v>4469</v>
      </c>
      <c r="B1908" s="13" t="s">
        <v>4470</v>
      </c>
      <c r="C1908" s="13" t="s">
        <v>4471</v>
      </c>
      <c r="D1908" s="13">
        <v>100</v>
      </c>
      <c r="E1908" s="13" t="s">
        <v>4472</v>
      </c>
      <c r="F1908" s="13" t="s">
        <v>8860</v>
      </c>
      <c r="G1908" s="13" t="s">
        <v>19</v>
      </c>
      <c r="H1908" s="13" t="s">
        <v>3</v>
      </c>
      <c r="I1908" s="13" t="s">
        <v>4473</v>
      </c>
      <c r="J1908" s="13" t="s">
        <v>21</v>
      </c>
      <c r="K1908" s="13" t="s">
        <v>8653</v>
      </c>
      <c r="L1908" s="13" t="s">
        <v>18</v>
      </c>
      <c r="M1908" t="s">
        <v>3</v>
      </c>
    </row>
    <row r="1909" spans="1:13" ht="26.25" x14ac:dyDescent="0.25">
      <c r="A1909" s="13" t="s">
        <v>4474</v>
      </c>
      <c r="B1909" s="13" t="s">
        <v>4474</v>
      </c>
      <c r="C1909" s="13" t="s">
        <v>4475</v>
      </c>
      <c r="D1909" s="13">
        <v>0</v>
      </c>
      <c r="E1909" s="13" t="s">
        <v>4476</v>
      </c>
      <c r="F1909" s="13" t="s">
        <v>8875</v>
      </c>
      <c r="G1909" s="13" t="s">
        <v>19</v>
      </c>
      <c r="H1909" s="13" t="s">
        <v>3</v>
      </c>
      <c r="I1909" s="13" t="s">
        <v>4477</v>
      </c>
      <c r="J1909" s="13" t="s">
        <v>9232</v>
      </c>
      <c r="K1909" s="13" t="s">
        <v>8654</v>
      </c>
      <c r="L1909" s="13" t="s">
        <v>9233</v>
      </c>
      <c r="M1909" t="s">
        <v>3</v>
      </c>
    </row>
    <row r="1910" spans="1:13" ht="26.25" x14ac:dyDescent="0.25">
      <c r="A1910" s="13" t="s">
        <v>4478</v>
      </c>
      <c r="B1910" s="13" t="s">
        <v>4478</v>
      </c>
      <c r="C1910" s="13" t="s">
        <v>4402</v>
      </c>
      <c r="D1910" s="13">
        <v>100</v>
      </c>
      <c r="E1910" s="13" t="s">
        <v>4479</v>
      </c>
      <c r="F1910" s="13" t="s">
        <v>8875</v>
      </c>
      <c r="G1910" s="13" t="s">
        <v>19</v>
      </c>
      <c r="H1910" s="13" t="s">
        <v>3</v>
      </c>
      <c r="I1910" s="13" t="s">
        <v>1128</v>
      </c>
      <c r="J1910" s="13" t="s">
        <v>9232</v>
      </c>
      <c r="K1910" s="13" t="s">
        <v>8527</v>
      </c>
      <c r="L1910" s="13" t="s">
        <v>9233</v>
      </c>
      <c r="M1910" t="s">
        <v>3</v>
      </c>
    </row>
    <row r="1911" spans="1:13" ht="26.25" x14ac:dyDescent="0.25">
      <c r="A1911" s="13" t="s">
        <v>4480</v>
      </c>
      <c r="B1911" s="13" t="s">
        <v>4481</v>
      </c>
      <c r="C1911" s="13" t="s">
        <v>4482</v>
      </c>
      <c r="D1911" s="14">
        <v>45</v>
      </c>
      <c r="E1911" s="13" t="s">
        <v>4483</v>
      </c>
      <c r="F1911" s="13" t="s">
        <v>8860</v>
      </c>
      <c r="G1911" s="13" t="s">
        <v>19</v>
      </c>
      <c r="H1911" s="13" t="s">
        <v>3</v>
      </c>
      <c r="I1911" s="13" t="s">
        <v>3976</v>
      </c>
      <c r="J1911" s="13" t="s">
        <v>21</v>
      </c>
      <c r="K1911" s="13" t="s">
        <v>8630</v>
      </c>
      <c r="L1911" s="13" t="s">
        <v>18</v>
      </c>
      <c r="M1911" t="s">
        <v>3</v>
      </c>
    </row>
    <row r="1912" spans="1:13" ht="26.25" x14ac:dyDescent="0.25">
      <c r="A1912" s="13" t="s">
        <v>4484</v>
      </c>
      <c r="B1912" s="13" t="s">
        <v>4484</v>
      </c>
      <c r="C1912" s="13" t="s">
        <v>4485</v>
      </c>
      <c r="D1912" s="13">
        <v>1200</v>
      </c>
      <c r="E1912" s="13" t="s">
        <v>4486</v>
      </c>
      <c r="F1912" s="13" t="s">
        <v>8875</v>
      </c>
      <c r="G1912" s="13" t="s">
        <v>19</v>
      </c>
      <c r="H1912" s="13" t="s">
        <v>3</v>
      </c>
      <c r="I1912" s="13" t="s">
        <v>4487</v>
      </c>
      <c r="J1912" s="13" t="s">
        <v>9232</v>
      </c>
      <c r="K1912" s="13" t="s">
        <v>4016</v>
      </c>
      <c r="L1912" s="13" t="s">
        <v>9233</v>
      </c>
      <c r="M1912" t="s">
        <v>3</v>
      </c>
    </row>
    <row r="1913" spans="1:13" ht="26.25" x14ac:dyDescent="0.25">
      <c r="A1913" s="13" t="s">
        <v>4488</v>
      </c>
      <c r="B1913" s="13" t="s">
        <v>4488</v>
      </c>
      <c r="C1913" s="13" t="s">
        <v>4488</v>
      </c>
      <c r="D1913" s="14">
        <v>0.1</v>
      </c>
      <c r="E1913" s="13" t="s">
        <v>4489</v>
      </c>
      <c r="F1913" s="13" t="s">
        <v>8860</v>
      </c>
      <c r="G1913" s="13" t="s">
        <v>19</v>
      </c>
      <c r="H1913" s="13" t="s">
        <v>3</v>
      </c>
      <c r="I1913" s="13" t="s">
        <v>4323</v>
      </c>
      <c r="J1913" s="13" t="s">
        <v>21</v>
      </c>
      <c r="K1913" s="13" t="s">
        <v>8644</v>
      </c>
      <c r="L1913" s="13" t="s">
        <v>18</v>
      </c>
      <c r="M1913" t="s">
        <v>3</v>
      </c>
    </row>
    <row r="1914" spans="1:13" x14ac:dyDescent="0.25">
      <c r="A1914" s="13" t="s">
        <v>4490</v>
      </c>
      <c r="B1914" s="13" t="s">
        <v>4491</v>
      </c>
      <c r="C1914" s="13" t="s">
        <v>4491</v>
      </c>
      <c r="D1914" s="13">
        <v>41.9</v>
      </c>
      <c r="E1914" s="13" t="s">
        <v>4492</v>
      </c>
      <c r="F1914" s="13" t="s">
        <v>8867</v>
      </c>
      <c r="G1914" s="13" t="s">
        <v>2</v>
      </c>
      <c r="H1914" s="13" t="s">
        <v>8958</v>
      </c>
      <c r="I1914" s="13" t="s">
        <v>516</v>
      </c>
      <c r="J1914" s="13" t="s">
        <v>8890</v>
      </c>
      <c r="K1914" s="13" t="s">
        <v>516</v>
      </c>
      <c r="L1914" s="13" t="s">
        <v>158</v>
      </c>
      <c r="M1914" t="s">
        <v>8958</v>
      </c>
    </row>
    <row r="1915" spans="1:13" x14ac:dyDescent="0.25">
      <c r="A1915" s="13" t="s">
        <v>4493</v>
      </c>
      <c r="B1915" s="13" t="s">
        <v>4494</v>
      </c>
      <c r="C1915" s="13" t="s">
        <v>4494</v>
      </c>
      <c r="D1915" s="13">
        <v>41.9</v>
      </c>
      <c r="E1915" s="13" t="s">
        <v>4495</v>
      </c>
      <c r="F1915" s="13" t="s">
        <v>8867</v>
      </c>
      <c r="G1915" s="13" t="s">
        <v>2</v>
      </c>
      <c r="H1915" s="13" t="s">
        <v>8958</v>
      </c>
      <c r="I1915" s="13" t="s">
        <v>516</v>
      </c>
      <c r="J1915" s="13" t="s">
        <v>8890</v>
      </c>
      <c r="K1915" s="13" t="s">
        <v>516</v>
      </c>
      <c r="L1915" s="13" t="s">
        <v>158</v>
      </c>
      <c r="M1915" t="s">
        <v>8958</v>
      </c>
    </row>
    <row r="1916" spans="1:13" x14ac:dyDescent="0.25">
      <c r="A1916" s="13" t="s">
        <v>4496</v>
      </c>
      <c r="B1916" s="13" t="s">
        <v>4496</v>
      </c>
      <c r="C1916" s="13" t="s">
        <v>4496</v>
      </c>
      <c r="D1916" s="13">
        <v>2.6</v>
      </c>
      <c r="E1916" s="13" t="s">
        <v>4497</v>
      </c>
      <c r="F1916" s="13" t="s">
        <v>8867</v>
      </c>
      <c r="G1916" s="13" t="s">
        <v>2</v>
      </c>
      <c r="H1916" s="13" t="s">
        <v>3</v>
      </c>
      <c r="I1916" s="13" t="s">
        <v>4323</v>
      </c>
      <c r="J1916" s="13" t="s">
        <v>8890</v>
      </c>
      <c r="K1916" s="13" t="s">
        <v>8644</v>
      </c>
      <c r="L1916" s="13" t="s">
        <v>158</v>
      </c>
      <c r="M1916" t="s">
        <v>3</v>
      </c>
    </row>
    <row r="1917" spans="1:13" x14ac:dyDescent="0.25">
      <c r="A1917" s="13" t="s">
        <v>4498</v>
      </c>
      <c r="B1917" s="13" t="s">
        <v>4498</v>
      </c>
      <c r="C1917" s="13" t="s">
        <v>4499</v>
      </c>
      <c r="D1917" s="13">
        <v>9.8000000000000007</v>
      </c>
      <c r="E1917" s="13" t="s">
        <v>4500</v>
      </c>
      <c r="F1917" s="13" t="s">
        <v>8867</v>
      </c>
      <c r="G1917" s="13" t="s">
        <v>2</v>
      </c>
      <c r="H1917" s="13" t="s">
        <v>3</v>
      </c>
      <c r="I1917" s="13" t="s">
        <v>4323</v>
      </c>
      <c r="J1917" s="13" t="s">
        <v>8890</v>
      </c>
      <c r="K1917" s="13" t="s">
        <v>8644</v>
      </c>
      <c r="L1917" s="13" t="s">
        <v>158</v>
      </c>
      <c r="M1917" t="s">
        <v>3</v>
      </c>
    </row>
    <row r="1918" spans="1:13" x14ac:dyDescent="0.25">
      <c r="A1918" s="13" t="s">
        <v>4501</v>
      </c>
      <c r="B1918" s="13" t="s">
        <v>4501</v>
      </c>
      <c r="C1918" s="13" t="s">
        <v>4502</v>
      </c>
      <c r="D1918" s="13">
        <v>10</v>
      </c>
      <c r="E1918" s="13" t="s">
        <v>4503</v>
      </c>
      <c r="F1918" s="13" t="s">
        <v>8867</v>
      </c>
      <c r="G1918" s="13" t="s">
        <v>2</v>
      </c>
      <c r="H1918" s="13" t="s">
        <v>3</v>
      </c>
      <c r="I1918" s="13" t="s">
        <v>4323</v>
      </c>
      <c r="J1918" s="13" t="s">
        <v>8890</v>
      </c>
      <c r="K1918" s="13" t="s">
        <v>8644</v>
      </c>
      <c r="L1918" s="13" t="s">
        <v>158</v>
      </c>
      <c r="M1918" t="s">
        <v>3</v>
      </c>
    </row>
    <row r="1919" spans="1:13" x14ac:dyDescent="0.25">
      <c r="A1919" s="13" t="s">
        <v>4504</v>
      </c>
      <c r="B1919" s="13" t="s">
        <v>4504</v>
      </c>
      <c r="C1919" s="13" t="s">
        <v>4505</v>
      </c>
      <c r="D1919" s="13">
        <v>9.8000000000000007</v>
      </c>
      <c r="E1919" s="13" t="s">
        <v>4506</v>
      </c>
      <c r="F1919" s="13" t="s">
        <v>8867</v>
      </c>
      <c r="G1919" s="13" t="s">
        <v>2</v>
      </c>
      <c r="H1919" s="13" t="s">
        <v>3</v>
      </c>
      <c r="I1919" s="13" t="s">
        <v>4323</v>
      </c>
      <c r="J1919" s="13" t="s">
        <v>8890</v>
      </c>
      <c r="K1919" s="13" t="s">
        <v>8644</v>
      </c>
      <c r="L1919" s="13" t="s">
        <v>158</v>
      </c>
      <c r="M1919" t="s">
        <v>3</v>
      </c>
    </row>
    <row r="1920" spans="1:13" x14ac:dyDescent="0.25">
      <c r="A1920" s="13" t="s">
        <v>4507</v>
      </c>
      <c r="B1920" s="13" t="s">
        <v>4507</v>
      </c>
      <c r="C1920" s="13" t="s">
        <v>4508</v>
      </c>
      <c r="D1920" s="13">
        <v>5</v>
      </c>
      <c r="E1920" s="13" t="s">
        <v>4509</v>
      </c>
      <c r="F1920" s="13" t="s">
        <v>8867</v>
      </c>
      <c r="G1920" s="13" t="s">
        <v>2</v>
      </c>
      <c r="H1920" s="13" t="s">
        <v>3</v>
      </c>
      <c r="I1920" s="13" t="s">
        <v>4323</v>
      </c>
      <c r="J1920" s="13" t="s">
        <v>8890</v>
      </c>
      <c r="K1920" s="13" t="s">
        <v>8644</v>
      </c>
      <c r="L1920" s="13" t="s">
        <v>158</v>
      </c>
      <c r="M1920" t="s">
        <v>3</v>
      </c>
    </row>
    <row r="1921" spans="1:13" ht="26.25" x14ac:dyDescent="0.25">
      <c r="A1921" s="13" t="s">
        <v>12051</v>
      </c>
      <c r="B1921" s="13" t="s">
        <v>12052</v>
      </c>
      <c r="C1921" s="13" t="s">
        <v>12053</v>
      </c>
      <c r="D1921" s="13">
        <v>10</v>
      </c>
      <c r="E1921" s="13" t="s">
        <v>12054</v>
      </c>
      <c r="F1921" s="13" t="s">
        <v>8875</v>
      </c>
      <c r="G1921" s="13" t="s">
        <v>19</v>
      </c>
      <c r="H1921" s="13" t="s">
        <v>3</v>
      </c>
      <c r="I1921" s="13" t="s">
        <v>12055</v>
      </c>
      <c r="J1921" s="13" t="s">
        <v>9232</v>
      </c>
      <c r="K1921" s="13" t="s">
        <v>12056</v>
      </c>
      <c r="L1921" s="13" t="s">
        <v>9233</v>
      </c>
      <c r="M1921" t="s">
        <v>3</v>
      </c>
    </row>
    <row r="1922" spans="1:13" ht="26.25" x14ac:dyDescent="0.25">
      <c r="A1922" s="13" t="s">
        <v>4510</v>
      </c>
      <c r="B1922" s="13" t="s">
        <v>4510</v>
      </c>
      <c r="C1922" s="13" t="s">
        <v>4511</v>
      </c>
      <c r="D1922" s="13">
        <v>270</v>
      </c>
      <c r="E1922" s="13" t="s">
        <v>4512</v>
      </c>
      <c r="F1922" s="13" t="s">
        <v>8875</v>
      </c>
      <c r="G1922" s="13" t="s">
        <v>19</v>
      </c>
      <c r="H1922" s="13" t="s">
        <v>3</v>
      </c>
      <c r="I1922" s="13" t="s">
        <v>4513</v>
      </c>
      <c r="J1922" s="13" t="s">
        <v>9232</v>
      </c>
      <c r="K1922" s="13" t="s">
        <v>8655</v>
      </c>
      <c r="L1922" s="13" t="s">
        <v>9233</v>
      </c>
      <c r="M1922" t="s">
        <v>3</v>
      </c>
    </row>
    <row r="1923" spans="1:13" ht="26.25" x14ac:dyDescent="0.25">
      <c r="A1923" s="13" t="s">
        <v>11326</v>
      </c>
      <c r="B1923" s="13" t="s">
        <v>11327</v>
      </c>
      <c r="C1923" s="13" t="s">
        <v>11328</v>
      </c>
      <c r="D1923" s="13">
        <v>20</v>
      </c>
      <c r="E1923" s="13" t="s">
        <v>11329</v>
      </c>
      <c r="F1923" s="13" t="s">
        <v>8875</v>
      </c>
      <c r="G1923" s="13" t="s">
        <v>19</v>
      </c>
      <c r="H1923" s="13" t="s">
        <v>3</v>
      </c>
      <c r="I1923" s="13" t="s">
        <v>11330</v>
      </c>
      <c r="J1923" s="13" t="s">
        <v>9232</v>
      </c>
      <c r="K1923" s="13" t="s">
        <v>11331</v>
      </c>
      <c r="L1923" s="13" t="s">
        <v>9233</v>
      </c>
      <c r="M1923" t="s">
        <v>3</v>
      </c>
    </row>
    <row r="1924" spans="1:13" ht="26.25" x14ac:dyDescent="0.25">
      <c r="A1924" s="13" t="s">
        <v>4514</v>
      </c>
      <c r="B1924" s="13" t="s">
        <v>4514</v>
      </c>
      <c r="C1924" s="13" t="s">
        <v>4515</v>
      </c>
      <c r="D1924" s="13">
        <v>400</v>
      </c>
      <c r="E1924" s="13" t="s">
        <v>4516</v>
      </c>
      <c r="F1924" s="13" t="s">
        <v>8870</v>
      </c>
      <c r="G1924" s="13" t="s">
        <v>19</v>
      </c>
      <c r="H1924" s="13" t="s">
        <v>3</v>
      </c>
      <c r="I1924" s="13" t="s">
        <v>4308</v>
      </c>
      <c r="J1924" s="13" t="s">
        <v>410</v>
      </c>
      <c r="K1924" s="13" t="s">
        <v>4306</v>
      </c>
      <c r="L1924" s="13" t="s">
        <v>8942</v>
      </c>
      <c r="M1924" t="s">
        <v>3</v>
      </c>
    </row>
    <row r="1925" spans="1:13" x14ac:dyDescent="0.25">
      <c r="A1925" s="13" t="s">
        <v>4517</v>
      </c>
      <c r="B1925" s="13" t="s">
        <v>4517</v>
      </c>
      <c r="C1925" s="13" t="s">
        <v>4518</v>
      </c>
      <c r="D1925" s="13">
        <v>400</v>
      </c>
      <c r="E1925" s="13" t="s">
        <v>4519</v>
      </c>
      <c r="F1925" s="13" t="s">
        <v>8871</v>
      </c>
      <c r="G1925" s="13" t="s">
        <v>2</v>
      </c>
      <c r="H1925" s="13" t="s">
        <v>3</v>
      </c>
      <c r="I1925" s="13" t="s">
        <v>4308</v>
      </c>
      <c r="J1925" s="13" t="s">
        <v>410</v>
      </c>
      <c r="K1925" s="13" t="s">
        <v>4306</v>
      </c>
      <c r="L1925" s="13" t="s">
        <v>8943</v>
      </c>
      <c r="M1925" t="s">
        <v>3</v>
      </c>
    </row>
    <row r="1926" spans="1:13" ht="26.25" x14ac:dyDescent="0.25">
      <c r="A1926" s="13" t="s">
        <v>4520</v>
      </c>
      <c r="B1926" s="13" t="s">
        <v>4520</v>
      </c>
      <c r="C1926" s="13" t="s">
        <v>4520</v>
      </c>
      <c r="D1926" s="13">
        <v>2000</v>
      </c>
      <c r="E1926" s="13" t="s">
        <v>4521</v>
      </c>
      <c r="F1926" s="13" t="s">
        <v>8875</v>
      </c>
      <c r="G1926" s="13" t="s">
        <v>19</v>
      </c>
      <c r="H1926" s="13" t="s">
        <v>3</v>
      </c>
      <c r="I1926" s="13" t="s">
        <v>4522</v>
      </c>
      <c r="J1926" s="13" t="s">
        <v>9232</v>
      </c>
      <c r="K1926" s="13" t="s">
        <v>8514</v>
      </c>
      <c r="L1926" s="13" t="s">
        <v>9233</v>
      </c>
      <c r="M1926" t="s">
        <v>3</v>
      </c>
    </row>
    <row r="1927" spans="1:13" ht="26.25" x14ac:dyDescent="0.25">
      <c r="A1927" s="13" t="s">
        <v>4523</v>
      </c>
      <c r="B1927" s="13" t="s">
        <v>4523</v>
      </c>
      <c r="C1927" s="13" t="s">
        <v>4524</v>
      </c>
      <c r="D1927" s="13">
        <v>500</v>
      </c>
      <c r="E1927" s="13" t="s">
        <v>4525</v>
      </c>
      <c r="F1927" s="13" t="s">
        <v>8875</v>
      </c>
      <c r="G1927" s="13" t="s">
        <v>19</v>
      </c>
      <c r="H1927" s="13" t="s">
        <v>3</v>
      </c>
      <c r="I1927" s="13" t="s">
        <v>4526</v>
      </c>
      <c r="J1927" s="13" t="s">
        <v>9232</v>
      </c>
      <c r="K1927" s="13" t="s">
        <v>8656</v>
      </c>
      <c r="L1927" s="13" t="s">
        <v>9233</v>
      </c>
      <c r="M1927" t="s">
        <v>3</v>
      </c>
    </row>
    <row r="1928" spans="1:13" x14ac:dyDescent="0.25">
      <c r="A1928" s="13" t="s">
        <v>10288</v>
      </c>
      <c r="B1928" s="13" t="s">
        <v>10289</v>
      </c>
      <c r="C1928" s="13" t="s">
        <v>10289</v>
      </c>
      <c r="D1928" s="13">
        <v>13.5</v>
      </c>
      <c r="E1928" s="13" t="s">
        <v>10290</v>
      </c>
      <c r="F1928" s="13" t="s">
        <v>8862</v>
      </c>
      <c r="G1928" s="13" t="s">
        <v>2</v>
      </c>
      <c r="H1928" s="13" t="s">
        <v>3</v>
      </c>
      <c r="I1928" s="13" t="s">
        <v>10079</v>
      </c>
      <c r="J1928" s="13" t="s">
        <v>8890</v>
      </c>
      <c r="K1928" s="13" t="s">
        <v>10082</v>
      </c>
      <c r="L1928" s="13" t="s">
        <v>8892</v>
      </c>
      <c r="M1928" t="s">
        <v>3</v>
      </c>
    </row>
    <row r="1929" spans="1:13" x14ac:dyDescent="0.25">
      <c r="A1929" s="13" t="s">
        <v>4527</v>
      </c>
      <c r="B1929" s="13" t="s">
        <v>4527</v>
      </c>
      <c r="C1929" s="13" t="s">
        <v>4528</v>
      </c>
      <c r="D1929" s="13">
        <v>5.2</v>
      </c>
      <c r="E1929" s="13" t="s">
        <v>4529</v>
      </c>
      <c r="F1929" s="13" t="s">
        <v>8863</v>
      </c>
      <c r="G1929" s="13" t="s">
        <v>2</v>
      </c>
      <c r="H1929" s="13" t="s">
        <v>3</v>
      </c>
      <c r="I1929" s="13" t="s">
        <v>228</v>
      </c>
      <c r="J1929" s="13" t="s">
        <v>8890</v>
      </c>
      <c r="K1929" s="13" t="s">
        <v>8418</v>
      </c>
      <c r="L1929" s="13" t="s">
        <v>8956</v>
      </c>
      <c r="M1929" t="s">
        <v>3</v>
      </c>
    </row>
    <row r="1930" spans="1:13" ht="26.25" x14ac:dyDescent="0.25">
      <c r="A1930" s="13" t="s">
        <v>4530</v>
      </c>
      <c r="B1930" s="13" t="s">
        <v>4531</v>
      </c>
      <c r="C1930" s="13" t="s">
        <v>4532</v>
      </c>
      <c r="D1930" s="13">
        <v>225</v>
      </c>
      <c r="E1930" s="13" t="s">
        <v>4533</v>
      </c>
      <c r="F1930" s="13" t="s">
        <v>8907</v>
      </c>
      <c r="G1930" s="13" t="s">
        <v>19</v>
      </c>
      <c r="H1930" s="13" t="s">
        <v>3</v>
      </c>
      <c r="I1930" s="13" t="s">
        <v>390</v>
      </c>
      <c r="J1930" s="13" t="s">
        <v>144</v>
      </c>
      <c r="K1930" s="13" t="s">
        <v>8423</v>
      </c>
      <c r="L1930" s="13" t="s">
        <v>144</v>
      </c>
      <c r="M1930" t="s">
        <v>3</v>
      </c>
    </row>
    <row r="1931" spans="1:13" x14ac:dyDescent="0.25">
      <c r="A1931" s="13" t="s">
        <v>4534</v>
      </c>
      <c r="B1931" s="13" t="s">
        <v>4535</v>
      </c>
      <c r="C1931" s="13" t="s">
        <v>4536</v>
      </c>
      <c r="D1931" s="13">
        <v>206.7</v>
      </c>
      <c r="E1931" s="13" t="s">
        <v>4537</v>
      </c>
      <c r="F1931" s="13" t="s">
        <v>8868</v>
      </c>
      <c r="G1931" s="13" t="s">
        <v>2</v>
      </c>
      <c r="H1931" s="13" t="s">
        <v>8923</v>
      </c>
      <c r="I1931" s="13" t="s">
        <v>390</v>
      </c>
      <c r="J1931" s="13" t="s">
        <v>8890</v>
      </c>
      <c r="K1931" s="13" t="s">
        <v>8423</v>
      </c>
      <c r="L1931" s="13" t="s">
        <v>8908</v>
      </c>
      <c r="M1931" t="s">
        <v>8923</v>
      </c>
    </row>
    <row r="1932" spans="1:13" ht="26.25" x14ac:dyDescent="0.25">
      <c r="A1932" s="13" t="s">
        <v>4538</v>
      </c>
      <c r="B1932" s="13" t="s">
        <v>4538</v>
      </c>
      <c r="C1932" s="13" t="s">
        <v>4539</v>
      </c>
      <c r="D1932" s="13">
        <v>10</v>
      </c>
      <c r="E1932" s="13" t="s">
        <v>4539</v>
      </c>
      <c r="F1932" s="13" t="s">
        <v>8860</v>
      </c>
      <c r="G1932" s="13" t="s">
        <v>19</v>
      </c>
      <c r="H1932" s="13" t="s">
        <v>3</v>
      </c>
      <c r="I1932" s="13" t="s">
        <v>4540</v>
      </c>
      <c r="J1932" s="13" t="s">
        <v>21</v>
      </c>
      <c r="K1932" s="13" t="s">
        <v>8657</v>
      </c>
      <c r="L1932" s="13" t="s">
        <v>18</v>
      </c>
      <c r="M1932" t="s">
        <v>3</v>
      </c>
    </row>
    <row r="1933" spans="1:13" ht="26.25" x14ac:dyDescent="0.25">
      <c r="A1933" s="13" t="s">
        <v>4541</v>
      </c>
      <c r="B1933" s="13" t="s">
        <v>4542</v>
      </c>
      <c r="C1933" s="13" t="s">
        <v>4543</v>
      </c>
      <c r="D1933" s="13">
        <v>7663.4</v>
      </c>
      <c r="E1933" s="13" t="s">
        <v>4544</v>
      </c>
      <c r="F1933" s="13" t="s">
        <v>35</v>
      </c>
      <c r="G1933" s="13" t="s">
        <v>19</v>
      </c>
      <c r="H1933" s="13" t="s">
        <v>3</v>
      </c>
      <c r="I1933" s="13" t="s">
        <v>4540</v>
      </c>
      <c r="J1933" s="13" t="s">
        <v>37</v>
      </c>
      <c r="K1933" s="13" t="s">
        <v>8657</v>
      </c>
      <c r="L1933" s="13" t="s">
        <v>35</v>
      </c>
      <c r="M1933" t="s">
        <v>3</v>
      </c>
    </row>
    <row r="1934" spans="1:13" ht="26.25" x14ac:dyDescent="0.25">
      <c r="A1934" s="13" t="s">
        <v>4545</v>
      </c>
      <c r="B1934" s="13" t="s">
        <v>4546</v>
      </c>
      <c r="C1934" s="13" t="s">
        <v>4547</v>
      </c>
      <c r="D1934" s="13">
        <v>31.4</v>
      </c>
      <c r="E1934" s="13" t="s">
        <v>4548</v>
      </c>
      <c r="F1934" s="13" t="s">
        <v>8865</v>
      </c>
      <c r="G1934" s="13" t="s">
        <v>2</v>
      </c>
      <c r="H1934" s="13" t="s">
        <v>3</v>
      </c>
      <c r="I1934" s="13" t="s">
        <v>4540</v>
      </c>
      <c r="J1934" s="13" t="s">
        <v>8890</v>
      </c>
      <c r="K1934" s="13" t="s">
        <v>8657</v>
      </c>
      <c r="L1934" s="13" t="s">
        <v>8901</v>
      </c>
      <c r="M1934" t="s">
        <v>3</v>
      </c>
    </row>
    <row r="1935" spans="1:13" ht="26.25" x14ac:dyDescent="0.25">
      <c r="A1935" s="13" t="s">
        <v>4549</v>
      </c>
      <c r="B1935" s="13" t="s">
        <v>4549</v>
      </c>
      <c r="C1935" s="13" t="s">
        <v>4550</v>
      </c>
      <c r="D1935" s="13">
        <v>15350</v>
      </c>
      <c r="E1935" s="13" t="s">
        <v>4551</v>
      </c>
      <c r="F1935" s="13" t="s">
        <v>35</v>
      </c>
      <c r="G1935" s="13" t="s">
        <v>19</v>
      </c>
      <c r="H1935" s="13" t="s">
        <v>3</v>
      </c>
      <c r="I1935" s="13" t="s">
        <v>4540</v>
      </c>
      <c r="J1935" s="13" t="s">
        <v>37</v>
      </c>
      <c r="K1935" s="13" t="s">
        <v>8657</v>
      </c>
      <c r="L1935" s="13" t="s">
        <v>35</v>
      </c>
      <c r="M1935" t="s">
        <v>3</v>
      </c>
    </row>
    <row r="1936" spans="1:13" ht="26.25" x14ac:dyDescent="0.25">
      <c r="A1936" s="13" t="s">
        <v>4552</v>
      </c>
      <c r="B1936" s="13" t="s">
        <v>4552</v>
      </c>
      <c r="C1936" s="13" t="s">
        <v>4168</v>
      </c>
      <c r="D1936" s="13">
        <v>270</v>
      </c>
      <c r="E1936" s="13" t="s">
        <v>4553</v>
      </c>
      <c r="F1936" s="13" t="s">
        <v>8875</v>
      </c>
      <c r="G1936" s="13" t="s">
        <v>19</v>
      </c>
      <c r="H1936" s="13" t="s">
        <v>3</v>
      </c>
      <c r="I1936" s="13" t="s">
        <v>4554</v>
      </c>
      <c r="J1936" s="13" t="s">
        <v>9232</v>
      </c>
      <c r="K1936" s="13" t="s">
        <v>8658</v>
      </c>
      <c r="L1936" s="13" t="s">
        <v>9233</v>
      </c>
      <c r="M1936" t="s">
        <v>3</v>
      </c>
    </row>
    <row r="1937" spans="1:13" ht="26.25" x14ac:dyDescent="0.25">
      <c r="A1937" s="13" t="s">
        <v>4555</v>
      </c>
      <c r="B1937" s="13" t="s">
        <v>4555</v>
      </c>
      <c r="C1937" s="13" t="s">
        <v>4555</v>
      </c>
      <c r="D1937" s="13">
        <v>10</v>
      </c>
      <c r="E1937" s="13" t="s">
        <v>4556</v>
      </c>
      <c r="F1937" s="13" t="s">
        <v>8870</v>
      </c>
      <c r="G1937" s="13" t="s">
        <v>19</v>
      </c>
      <c r="H1937" s="13" t="s">
        <v>3</v>
      </c>
      <c r="I1937" s="13" t="s">
        <v>4326</v>
      </c>
      <c r="J1937" s="13" t="s">
        <v>410</v>
      </c>
      <c r="K1937" s="13" t="s">
        <v>4326</v>
      </c>
      <c r="L1937" s="13" t="s">
        <v>8942</v>
      </c>
      <c r="M1937" t="s">
        <v>3</v>
      </c>
    </row>
    <row r="1938" spans="1:13" x14ac:dyDescent="0.25">
      <c r="A1938" s="13" t="s">
        <v>4557</v>
      </c>
      <c r="B1938" s="13" t="s">
        <v>4557</v>
      </c>
      <c r="C1938" s="13" t="s">
        <v>4557</v>
      </c>
      <c r="D1938" s="13">
        <v>10</v>
      </c>
      <c r="E1938" s="13" t="s">
        <v>4558</v>
      </c>
      <c r="F1938" s="13" t="s">
        <v>8871</v>
      </c>
      <c r="G1938" s="13" t="s">
        <v>2</v>
      </c>
      <c r="H1938" s="13" t="s">
        <v>3</v>
      </c>
      <c r="I1938" s="13" t="s">
        <v>4326</v>
      </c>
      <c r="J1938" s="13" t="s">
        <v>410</v>
      </c>
      <c r="K1938" s="13" t="s">
        <v>4326</v>
      </c>
      <c r="L1938" s="13" t="s">
        <v>8943</v>
      </c>
      <c r="M1938" t="s">
        <v>3</v>
      </c>
    </row>
    <row r="1939" spans="1:13" ht="26.25" x14ac:dyDescent="0.25">
      <c r="A1939" s="13" t="s">
        <v>4559</v>
      </c>
      <c r="B1939" s="13" t="s">
        <v>4559</v>
      </c>
      <c r="C1939" s="13" t="s">
        <v>4559</v>
      </c>
      <c r="D1939" s="13">
        <v>0.1</v>
      </c>
      <c r="E1939" s="13" t="s">
        <v>4560</v>
      </c>
      <c r="F1939" s="13" t="s">
        <v>8860</v>
      </c>
      <c r="G1939" s="13" t="s">
        <v>19</v>
      </c>
      <c r="H1939" s="13" t="s">
        <v>3</v>
      </c>
      <c r="I1939" s="13" t="s">
        <v>4561</v>
      </c>
      <c r="J1939" s="13" t="s">
        <v>21</v>
      </c>
      <c r="K1939" s="13" t="s">
        <v>8659</v>
      </c>
      <c r="L1939" s="13" t="s">
        <v>18</v>
      </c>
      <c r="M1939" t="s">
        <v>3</v>
      </c>
    </row>
    <row r="1940" spans="1:13" ht="26.25" x14ac:dyDescent="0.25">
      <c r="A1940" s="13" t="s">
        <v>4562</v>
      </c>
      <c r="B1940" s="13" t="s">
        <v>4563</v>
      </c>
      <c r="C1940" s="13" t="s">
        <v>4564</v>
      </c>
      <c r="D1940" s="13">
        <v>0</v>
      </c>
      <c r="E1940" s="13" t="s">
        <v>4565</v>
      </c>
      <c r="F1940" s="13" t="s">
        <v>8875</v>
      </c>
      <c r="G1940" s="13" t="s">
        <v>19</v>
      </c>
      <c r="H1940" s="13" t="s">
        <v>3</v>
      </c>
      <c r="I1940" s="13" t="s">
        <v>616</v>
      </c>
      <c r="J1940" s="13" t="s">
        <v>9232</v>
      </c>
      <c r="K1940" s="13" t="s">
        <v>8443</v>
      </c>
      <c r="L1940" s="13" t="s">
        <v>9233</v>
      </c>
      <c r="M1940" t="s">
        <v>3</v>
      </c>
    </row>
    <row r="1941" spans="1:13" ht="26.25" x14ac:dyDescent="0.25">
      <c r="A1941" s="13" t="s">
        <v>10761</v>
      </c>
      <c r="B1941" s="13" t="s">
        <v>10761</v>
      </c>
      <c r="C1941" s="13" t="s">
        <v>10762</v>
      </c>
      <c r="D1941" s="13">
        <v>65</v>
      </c>
      <c r="E1941" s="13" t="s">
        <v>10763</v>
      </c>
      <c r="F1941" s="13" t="s">
        <v>8875</v>
      </c>
      <c r="G1941" s="13" t="s">
        <v>19</v>
      </c>
      <c r="H1941" s="13" t="s">
        <v>3</v>
      </c>
      <c r="I1941" s="13" t="s">
        <v>8283</v>
      </c>
      <c r="J1941" s="13" t="s">
        <v>9232</v>
      </c>
      <c r="K1941" s="13" t="s">
        <v>8281</v>
      </c>
      <c r="L1941" s="13" t="s">
        <v>9233</v>
      </c>
      <c r="M1941" t="s">
        <v>3</v>
      </c>
    </row>
    <row r="1942" spans="1:13" ht="26.25" x14ac:dyDescent="0.25">
      <c r="A1942" s="13" t="s">
        <v>4566</v>
      </c>
      <c r="B1942" s="13" t="s">
        <v>4567</v>
      </c>
      <c r="C1942" s="13" t="s">
        <v>4568</v>
      </c>
      <c r="D1942" s="13">
        <v>500</v>
      </c>
      <c r="E1942" s="13" t="s">
        <v>4569</v>
      </c>
      <c r="F1942" s="13" t="s">
        <v>8875</v>
      </c>
      <c r="G1942" s="13" t="s">
        <v>19</v>
      </c>
      <c r="H1942" s="13" t="s">
        <v>3</v>
      </c>
      <c r="I1942" s="13" t="s">
        <v>4570</v>
      </c>
      <c r="J1942" s="13" t="s">
        <v>9232</v>
      </c>
      <c r="K1942" s="13" t="s">
        <v>8660</v>
      </c>
      <c r="L1942" s="13" t="s">
        <v>9233</v>
      </c>
      <c r="M1942" t="s">
        <v>3</v>
      </c>
    </row>
    <row r="1943" spans="1:13" x14ac:dyDescent="0.25">
      <c r="A1943" s="13" t="s">
        <v>4571</v>
      </c>
      <c r="B1943" s="13" t="s">
        <v>4571</v>
      </c>
      <c r="C1943" s="13" t="s">
        <v>9261</v>
      </c>
      <c r="D1943" s="13">
        <v>0</v>
      </c>
      <c r="E1943" s="13" t="s">
        <v>4572</v>
      </c>
      <c r="F1943" s="13" t="s">
        <v>8873</v>
      </c>
      <c r="G1943" s="13" t="s">
        <v>2</v>
      </c>
      <c r="H1943" s="13" t="s">
        <v>3</v>
      </c>
      <c r="I1943" s="13" t="s">
        <v>1562</v>
      </c>
      <c r="J1943" s="13" t="s">
        <v>8890</v>
      </c>
      <c r="K1943" s="13" t="s">
        <v>8423</v>
      </c>
      <c r="L1943" s="13" t="s">
        <v>9260</v>
      </c>
      <c r="M1943" t="s">
        <v>3</v>
      </c>
    </row>
    <row r="1944" spans="1:13" ht="26.25" x14ac:dyDescent="0.25">
      <c r="A1944" s="13" t="s">
        <v>4573</v>
      </c>
      <c r="B1944" s="13" t="s">
        <v>4574</v>
      </c>
      <c r="C1944" s="13" t="s">
        <v>4575</v>
      </c>
      <c r="D1944" s="13">
        <v>0.2</v>
      </c>
      <c r="E1944" s="13" t="s">
        <v>4576</v>
      </c>
      <c r="F1944" s="13" t="s">
        <v>8873</v>
      </c>
      <c r="G1944" s="13" t="s">
        <v>2</v>
      </c>
      <c r="H1944" s="13" t="s">
        <v>3</v>
      </c>
      <c r="I1944" s="13" t="s">
        <v>228</v>
      </c>
      <c r="J1944" s="13" t="s">
        <v>8890</v>
      </c>
      <c r="K1944" s="13" t="s">
        <v>8418</v>
      </c>
      <c r="L1944" s="13" t="s">
        <v>9260</v>
      </c>
      <c r="M1944" t="s">
        <v>3</v>
      </c>
    </row>
    <row r="1945" spans="1:13" ht="26.25" x14ac:dyDescent="0.25">
      <c r="A1945" s="13" t="s">
        <v>4577</v>
      </c>
      <c r="B1945" s="13" t="s">
        <v>4577</v>
      </c>
      <c r="C1945" s="13" t="s">
        <v>9262</v>
      </c>
      <c r="D1945" s="13">
        <v>0</v>
      </c>
      <c r="E1945" s="13" t="s">
        <v>4578</v>
      </c>
      <c r="F1945" s="13" t="s">
        <v>8873</v>
      </c>
      <c r="G1945" s="13" t="s">
        <v>2</v>
      </c>
      <c r="H1945" s="13" t="s">
        <v>3</v>
      </c>
      <c r="I1945" s="13" t="s">
        <v>2356</v>
      </c>
      <c r="J1945" s="13" t="s">
        <v>8890</v>
      </c>
      <c r="K1945" s="13" t="s">
        <v>8429</v>
      </c>
      <c r="L1945" s="13" t="s">
        <v>9260</v>
      </c>
      <c r="M1945" t="s">
        <v>3</v>
      </c>
    </row>
    <row r="1946" spans="1:13" ht="26.25" x14ac:dyDescent="0.25">
      <c r="A1946" s="13" t="s">
        <v>4579</v>
      </c>
      <c r="B1946" s="13" t="s">
        <v>4579</v>
      </c>
      <c r="C1946" s="13" t="s">
        <v>4579</v>
      </c>
      <c r="D1946" s="13">
        <v>168.7</v>
      </c>
      <c r="E1946" s="13" t="s">
        <v>4580</v>
      </c>
      <c r="F1946" s="13" t="s">
        <v>8867</v>
      </c>
      <c r="G1946" s="13" t="s">
        <v>2</v>
      </c>
      <c r="H1946" s="13" t="s">
        <v>10764</v>
      </c>
      <c r="I1946" s="13" t="s">
        <v>228</v>
      </c>
      <c r="J1946" s="13" t="s">
        <v>8890</v>
      </c>
      <c r="K1946" s="13" t="s">
        <v>8418</v>
      </c>
      <c r="L1946" s="13" t="s">
        <v>158</v>
      </c>
      <c r="M1946" t="s">
        <v>10764</v>
      </c>
    </row>
    <row r="1947" spans="1:13" x14ac:dyDescent="0.25">
      <c r="A1947" s="13" t="s">
        <v>4581</v>
      </c>
      <c r="B1947" s="13" t="s">
        <v>4581</v>
      </c>
      <c r="C1947" s="13" t="s">
        <v>4582</v>
      </c>
      <c r="D1947" s="13">
        <v>8.1999999999999993</v>
      </c>
      <c r="E1947" s="13" t="s">
        <v>4582</v>
      </c>
      <c r="F1947" s="13" t="s">
        <v>8863</v>
      </c>
      <c r="G1947" s="13" t="s">
        <v>2</v>
      </c>
      <c r="H1947" s="13" t="s">
        <v>3</v>
      </c>
      <c r="I1947" s="13" t="s">
        <v>447</v>
      </c>
      <c r="J1947" s="13" t="s">
        <v>8890</v>
      </c>
      <c r="K1947" s="13" t="s">
        <v>8421</v>
      </c>
      <c r="L1947" s="13" t="s">
        <v>8956</v>
      </c>
      <c r="M1947" t="s">
        <v>3</v>
      </c>
    </row>
    <row r="1948" spans="1:13" x14ac:dyDescent="0.25">
      <c r="A1948" s="13" t="s">
        <v>4583</v>
      </c>
      <c r="B1948" s="13" t="s">
        <v>4583</v>
      </c>
      <c r="C1948" s="13" t="s">
        <v>4584</v>
      </c>
      <c r="D1948" s="13">
        <v>12.5</v>
      </c>
      <c r="E1948" s="13" t="s">
        <v>4585</v>
      </c>
      <c r="F1948" s="13" t="s">
        <v>8863</v>
      </c>
      <c r="G1948" s="13" t="s">
        <v>2</v>
      </c>
      <c r="H1948" s="13" t="s">
        <v>3</v>
      </c>
      <c r="I1948" s="13" t="s">
        <v>516</v>
      </c>
      <c r="J1948" s="13" t="s">
        <v>8890</v>
      </c>
      <c r="K1948" s="13" t="s">
        <v>516</v>
      </c>
      <c r="L1948" s="13" t="s">
        <v>8956</v>
      </c>
      <c r="M1948" t="s">
        <v>3</v>
      </c>
    </row>
    <row r="1949" spans="1:13" ht="26.25" x14ac:dyDescent="0.25">
      <c r="A1949" s="13" t="s">
        <v>9263</v>
      </c>
      <c r="B1949" s="13" t="s">
        <v>9264</v>
      </c>
      <c r="C1949" s="13" t="s">
        <v>9265</v>
      </c>
      <c r="D1949" s="13">
        <v>1</v>
      </c>
      <c r="E1949" s="13" t="s">
        <v>9266</v>
      </c>
      <c r="F1949" s="13" t="s">
        <v>8860</v>
      </c>
      <c r="G1949" s="13" t="s">
        <v>19</v>
      </c>
      <c r="H1949" s="13" t="s">
        <v>3</v>
      </c>
      <c r="I1949" s="13" t="s">
        <v>9267</v>
      </c>
      <c r="J1949" s="13" t="s">
        <v>21</v>
      </c>
      <c r="K1949" s="13" t="s">
        <v>9268</v>
      </c>
      <c r="L1949" s="13" t="s">
        <v>18</v>
      </c>
      <c r="M1949" t="s">
        <v>3</v>
      </c>
    </row>
    <row r="1950" spans="1:13" x14ac:dyDescent="0.25">
      <c r="A1950" s="13" t="s">
        <v>4586</v>
      </c>
      <c r="B1950" s="13" t="s">
        <v>4587</v>
      </c>
      <c r="C1950" s="13" t="s">
        <v>9269</v>
      </c>
      <c r="D1950" s="13">
        <v>1.6</v>
      </c>
      <c r="E1950" s="13" t="s">
        <v>4588</v>
      </c>
      <c r="F1950" s="13" t="s">
        <v>8863</v>
      </c>
      <c r="G1950" s="13" t="s">
        <v>2</v>
      </c>
      <c r="H1950" s="13" t="s">
        <v>3</v>
      </c>
      <c r="I1950" s="13" t="s">
        <v>516</v>
      </c>
      <c r="J1950" s="13" t="s">
        <v>8890</v>
      </c>
      <c r="K1950" s="13" t="s">
        <v>516</v>
      </c>
      <c r="L1950" s="13" t="s">
        <v>8956</v>
      </c>
      <c r="M1950" t="s">
        <v>3</v>
      </c>
    </row>
    <row r="1951" spans="1:13" x14ac:dyDescent="0.25">
      <c r="A1951" s="13" t="s">
        <v>4589</v>
      </c>
      <c r="B1951" s="13" t="s">
        <v>4589</v>
      </c>
      <c r="C1951" s="13" t="s">
        <v>4590</v>
      </c>
      <c r="D1951" s="13">
        <v>9.1</v>
      </c>
      <c r="E1951" s="13" t="s">
        <v>4591</v>
      </c>
      <c r="F1951" s="13" t="s">
        <v>8863</v>
      </c>
      <c r="G1951" s="13" t="s">
        <v>2</v>
      </c>
      <c r="H1951" s="13" t="s">
        <v>3</v>
      </c>
      <c r="I1951" s="13" t="s">
        <v>1263</v>
      </c>
      <c r="J1951" s="13" t="s">
        <v>8890</v>
      </c>
      <c r="K1951" s="13" t="s">
        <v>8422</v>
      </c>
      <c r="L1951" s="13" t="s">
        <v>8956</v>
      </c>
      <c r="M1951" t="s">
        <v>3</v>
      </c>
    </row>
    <row r="1952" spans="1:13" x14ac:dyDescent="0.25">
      <c r="A1952" s="13" t="s">
        <v>4592</v>
      </c>
      <c r="B1952" s="13" t="s">
        <v>4592</v>
      </c>
      <c r="C1952" s="13" t="s">
        <v>4593</v>
      </c>
      <c r="D1952" s="13">
        <v>2.6</v>
      </c>
      <c r="E1952" s="13" t="s">
        <v>4593</v>
      </c>
      <c r="F1952" s="13" t="s">
        <v>8863</v>
      </c>
      <c r="G1952" s="13" t="s">
        <v>2</v>
      </c>
      <c r="H1952" s="13" t="s">
        <v>3</v>
      </c>
      <c r="I1952" s="13" t="s">
        <v>447</v>
      </c>
      <c r="J1952" s="13" t="s">
        <v>8890</v>
      </c>
      <c r="K1952" s="13" t="s">
        <v>8421</v>
      </c>
      <c r="L1952" s="13" t="s">
        <v>8956</v>
      </c>
      <c r="M1952" t="s">
        <v>3</v>
      </c>
    </row>
    <row r="1953" spans="1:13" x14ac:dyDescent="0.25">
      <c r="A1953" s="13" t="s">
        <v>9270</v>
      </c>
      <c r="B1953" s="13" t="s">
        <v>9270</v>
      </c>
      <c r="C1953" s="13" t="s">
        <v>9270</v>
      </c>
      <c r="D1953" s="13">
        <v>52.2</v>
      </c>
      <c r="E1953" s="13" t="s">
        <v>9271</v>
      </c>
      <c r="F1953" s="13" t="s">
        <v>8863</v>
      </c>
      <c r="G1953" s="13" t="s">
        <v>2</v>
      </c>
      <c r="H1953" s="13" t="s">
        <v>3</v>
      </c>
      <c r="I1953" s="13" t="s">
        <v>706</v>
      </c>
      <c r="J1953" s="13" t="s">
        <v>8890</v>
      </c>
      <c r="K1953" s="13" t="s">
        <v>8419</v>
      </c>
      <c r="L1953" s="13" t="s">
        <v>8956</v>
      </c>
      <c r="M1953" t="s">
        <v>3</v>
      </c>
    </row>
    <row r="1954" spans="1:13" ht="26.25" x14ac:dyDescent="0.25">
      <c r="A1954" s="13" t="s">
        <v>4594</v>
      </c>
      <c r="B1954" s="13" t="s">
        <v>4594</v>
      </c>
      <c r="C1954" s="13" t="s">
        <v>4594</v>
      </c>
      <c r="D1954" s="14">
        <v>0.1</v>
      </c>
      <c r="E1954" s="13" t="s">
        <v>4595</v>
      </c>
      <c r="F1954" s="13" t="s">
        <v>8860</v>
      </c>
      <c r="G1954" s="13" t="s">
        <v>19</v>
      </c>
      <c r="H1954" s="13" t="s">
        <v>3</v>
      </c>
      <c r="I1954" s="13" t="s">
        <v>4596</v>
      </c>
      <c r="J1954" s="13" t="s">
        <v>21</v>
      </c>
      <c r="K1954" s="13" t="s">
        <v>8661</v>
      </c>
      <c r="L1954" s="13" t="s">
        <v>18</v>
      </c>
      <c r="M1954" t="s">
        <v>3</v>
      </c>
    </row>
    <row r="1955" spans="1:13" x14ac:dyDescent="0.25">
      <c r="A1955" s="13" t="s">
        <v>4597</v>
      </c>
      <c r="B1955" s="13" t="s">
        <v>4597</v>
      </c>
      <c r="C1955" s="13" t="s">
        <v>4597</v>
      </c>
      <c r="D1955" s="13">
        <v>0.1</v>
      </c>
      <c r="E1955" s="13" t="s">
        <v>4598</v>
      </c>
      <c r="F1955" s="13" t="s">
        <v>8867</v>
      </c>
      <c r="G1955" s="13" t="s">
        <v>2</v>
      </c>
      <c r="H1955" s="13" t="s">
        <v>3</v>
      </c>
      <c r="I1955" s="13" t="s">
        <v>4596</v>
      </c>
      <c r="J1955" s="13" t="s">
        <v>8890</v>
      </c>
      <c r="K1955" s="13" t="s">
        <v>8661</v>
      </c>
      <c r="L1955" s="13" t="s">
        <v>158</v>
      </c>
      <c r="M1955" t="s">
        <v>3</v>
      </c>
    </row>
    <row r="1956" spans="1:13" x14ac:dyDescent="0.25">
      <c r="A1956" s="13" t="s">
        <v>4599</v>
      </c>
      <c r="B1956" s="13" t="s">
        <v>4599</v>
      </c>
      <c r="C1956" s="13" t="s">
        <v>4600</v>
      </c>
      <c r="D1956" s="13">
        <v>2.4</v>
      </c>
      <c r="E1956" s="13" t="s">
        <v>4601</v>
      </c>
      <c r="F1956" s="13" t="s">
        <v>8863</v>
      </c>
      <c r="G1956" s="13" t="s">
        <v>2</v>
      </c>
      <c r="H1956" s="13" t="s">
        <v>3</v>
      </c>
      <c r="I1956" s="13" t="s">
        <v>228</v>
      </c>
      <c r="J1956" s="13" t="s">
        <v>8890</v>
      </c>
      <c r="K1956" s="13" t="s">
        <v>8418</v>
      </c>
      <c r="L1956" s="13" t="s">
        <v>8956</v>
      </c>
      <c r="M1956" t="s">
        <v>3</v>
      </c>
    </row>
    <row r="1957" spans="1:13" x14ac:dyDescent="0.25">
      <c r="A1957" s="13" t="s">
        <v>4602</v>
      </c>
      <c r="B1957" s="13" t="s">
        <v>4602</v>
      </c>
      <c r="C1957" s="13" t="s">
        <v>4603</v>
      </c>
      <c r="D1957" s="13">
        <v>3.6</v>
      </c>
      <c r="E1957" s="13" t="s">
        <v>4603</v>
      </c>
      <c r="F1957" s="13" t="s">
        <v>8863</v>
      </c>
      <c r="G1957" s="13" t="s">
        <v>2</v>
      </c>
      <c r="H1957" s="13" t="s">
        <v>3</v>
      </c>
      <c r="I1957" s="13" t="s">
        <v>447</v>
      </c>
      <c r="J1957" s="13" t="s">
        <v>8890</v>
      </c>
      <c r="K1957" s="13" t="s">
        <v>8421</v>
      </c>
      <c r="L1957" s="13" t="s">
        <v>8956</v>
      </c>
      <c r="M1957" t="s">
        <v>3</v>
      </c>
    </row>
    <row r="1958" spans="1:13" ht="26.25" x14ac:dyDescent="0.25">
      <c r="A1958" s="13" t="s">
        <v>11634</v>
      </c>
      <c r="B1958" s="13" t="s">
        <v>11634</v>
      </c>
      <c r="C1958" s="13" t="s">
        <v>11635</v>
      </c>
      <c r="D1958" s="13">
        <v>4.9000000000000004</v>
      </c>
      <c r="E1958" s="13" t="s">
        <v>11636</v>
      </c>
      <c r="F1958" s="13" t="s">
        <v>8863</v>
      </c>
      <c r="G1958" s="13" t="s">
        <v>2</v>
      </c>
      <c r="H1958" s="13" t="s">
        <v>3</v>
      </c>
      <c r="I1958" s="13" t="s">
        <v>447</v>
      </c>
      <c r="J1958" s="13" t="s">
        <v>8890</v>
      </c>
      <c r="K1958" s="13" t="s">
        <v>8421</v>
      </c>
      <c r="L1958" s="13" t="s">
        <v>8956</v>
      </c>
      <c r="M1958" t="s">
        <v>3</v>
      </c>
    </row>
    <row r="1959" spans="1:13" ht="26.25" x14ac:dyDescent="0.25">
      <c r="A1959" s="13" t="s">
        <v>4604</v>
      </c>
      <c r="B1959" s="13" t="s">
        <v>4605</v>
      </c>
      <c r="C1959" s="13" t="s">
        <v>4606</v>
      </c>
      <c r="D1959" s="13">
        <v>0.7</v>
      </c>
      <c r="E1959" s="13" t="s">
        <v>4607</v>
      </c>
      <c r="F1959" s="13" t="s">
        <v>35</v>
      </c>
      <c r="G1959" s="13" t="s">
        <v>19</v>
      </c>
      <c r="H1959" s="13" t="s">
        <v>3</v>
      </c>
      <c r="I1959" s="13" t="s">
        <v>4605</v>
      </c>
      <c r="J1959" s="13" t="s">
        <v>37</v>
      </c>
      <c r="K1959" s="13" t="s">
        <v>4606</v>
      </c>
      <c r="L1959" s="13" t="s">
        <v>35</v>
      </c>
      <c r="M1959" t="s">
        <v>3</v>
      </c>
    </row>
    <row r="1960" spans="1:13" x14ac:dyDescent="0.25">
      <c r="A1960" s="13" t="s">
        <v>4608</v>
      </c>
      <c r="B1960" s="13" t="s">
        <v>4608</v>
      </c>
      <c r="C1960" s="13" t="s">
        <v>4609</v>
      </c>
      <c r="D1960" s="13">
        <v>2.8</v>
      </c>
      <c r="E1960" s="13" t="s">
        <v>4609</v>
      </c>
      <c r="F1960" s="13" t="s">
        <v>8863</v>
      </c>
      <c r="G1960" s="13" t="s">
        <v>2</v>
      </c>
      <c r="H1960" s="13" t="s">
        <v>3</v>
      </c>
      <c r="I1960" s="13" t="s">
        <v>447</v>
      </c>
      <c r="J1960" s="13" t="s">
        <v>8890</v>
      </c>
      <c r="K1960" s="13" t="s">
        <v>8421</v>
      </c>
      <c r="L1960" s="13" t="s">
        <v>8956</v>
      </c>
      <c r="M1960" t="s">
        <v>3</v>
      </c>
    </row>
    <row r="1961" spans="1:13" x14ac:dyDescent="0.25">
      <c r="A1961" s="13" t="s">
        <v>4610</v>
      </c>
      <c r="B1961" s="13" t="s">
        <v>4610</v>
      </c>
      <c r="C1961" s="13" t="s">
        <v>4611</v>
      </c>
      <c r="D1961" s="13">
        <v>5.9</v>
      </c>
      <c r="E1961" s="13" t="s">
        <v>4611</v>
      </c>
      <c r="F1961" s="13" t="s">
        <v>8863</v>
      </c>
      <c r="G1961" s="13" t="s">
        <v>2</v>
      </c>
      <c r="H1961" s="13" t="s">
        <v>3</v>
      </c>
      <c r="I1961" s="13" t="s">
        <v>447</v>
      </c>
      <c r="J1961" s="13" t="s">
        <v>8890</v>
      </c>
      <c r="K1961" s="13" t="s">
        <v>8421</v>
      </c>
      <c r="L1961" s="13" t="s">
        <v>8956</v>
      </c>
      <c r="M1961" t="s">
        <v>3</v>
      </c>
    </row>
    <row r="1962" spans="1:13" ht="26.25" x14ac:dyDescent="0.25">
      <c r="A1962" s="13" t="s">
        <v>4612</v>
      </c>
      <c r="B1962" s="13" t="s">
        <v>4613</v>
      </c>
      <c r="C1962" s="13" t="s">
        <v>4613</v>
      </c>
      <c r="D1962" s="13">
        <v>1.5</v>
      </c>
      <c r="E1962" s="13" t="s">
        <v>4614</v>
      </c>
      <c r="F1962" s="13" t="s">
        <v>35</v>
      </c>
      <c r="G1962" s="13" t="s">
        <v>19</v>
      </c>
      <c r="H1962" s="13" t="s">
        <v>3</v>
      </c>
      <c r="I1962" s="13" t="s">
        <v>4615</v>
      </c>
      <c r="J1962" s="13" t="s">
        <v>37</v>
      </c>
      <c r="K1962" s="13" t="s">
        <v>8662</v>
      </c>
      <c r="L1962" s="13" t="s">
        <v>35</v>
      </c>
      <c r="M1962" t="s">
        <v>3</v>
      </c>
    </row>
    <row r="1963" spans="1:13" x14ac:dyDescent="0.25">
      <c r="A1963" s="13" t="s">
        <v>4616</v>
      </c>
      <c r="B1963" s="13" t="s">
        <v>4616</v>
      </c>
      <c r="C1963" s="13" t="s">
        <v>4617</v>
      </c>
      <c r="D1963" s="13">
        <v>1.4</v>
      </c>
      <c r="E1963" s="13" t="s">
        <v>4617</v>
      </c>
      <c r="F1963" s="13" t="s">
        <v>8863</v>
      </c>
      <c r="G1963" s="13" t="s">
        <v>2</v>
      </c>
      <c r="H1963" s="13" t="s">
        <v>3</v>
      </c>
      <c r="I1963" s="13" t="s">
        <v>447</v>
      </c>
      <c r="J1963" s="13" t="s">
        <v>8890</v>
      </c>
      <c r="K1963" s="13" t="s">
        <v>8421</v>
      </c>
      <c r="L1963" s="13" t="s">
        <v>8956</v>
      </c>
      <c r="M1963" t="s">
        <v>3</v>
      </c>
    </row>
    <row r="1964" spans="1:13" x14ac:dyDescent="0.25">
      <c r="A1964" s="13" t="s">
        <v>4618</v>
      </c>
      <c r="B1964" s="13" t="s">
        <v>4618</v>
      </c>
      <c r="C1964" s="13" t="s">
        <v>4619</v>
      </c>
      <c r="D1964" s="13">
        <v>5.9</v>
      </c>
      <c r="E1964" s="13" t="s">
        <v>4620</v>
      </c>
      <c r="F1964" s="13" t="s">
        <v>8863</v>
      </c>
      <c r="G1964" s="13" t="s">
        <v>2</v>
      </c>
      <c r="H1964" s="13" t="s">
        <v>3</v>
      </c>
      <c r="I1964" s="13" t="s">
        <v>1254</v>
      </c>
      <c r="J1964" s="13" t="s">
        <v>8890</v>
      </c>
      <c r="K1964" s="13" t="s">
        <v>8508</v>
      </c>
      <c r="L1964" s="13" t="s">
        <v>8956</v>
      </c>
      <c r="M1964" t="s">
        <v>3</v>
      </c>
    </row>
    <row r="1965" spans="1:13" x14ac:dyDescent="0.25">
      <c r="A1965" s="13" t="s">
        <v>4621</v>
      </c>
      <c r="B1965" s="13" t="s">
        <v>4621</v>
      </c>
      <c r="C1965" s="13" t="s">
        <v>4621</v>
      </c>
      <c r="D1965" s="13">
        <v>1.5</v>
      </c>
      <c r="E1965" s="13" t="s">
        <v>4622</v>
      </c>
      <c r="F1965" s="13" t="s">
        <v>8863</v>
      </c>
      <c r="G1965" s="13" t="s">
        <v>2</v>
      </c>
      <c r="H1965" s="13" t="s">
        <v>3</v>
      </c>
      <c r="I1965" s="13" t="s">
        <v>706</v>
      </c>
      <c r="J1965" s="13" t="s">
        <v>8890</v>
      </c>
      <c r="K1965" s="13" t="s">
        <v>8419</v>
      </c>
      <c r="L1965" s="13" t="s">
        <v>8956</v>
      </c>
      <c r="M1965" t="s">
        <v>3</v>
      </c>
    </row>
    <row r="1966" spans="1:13" x14ac:dyDescent="0.25">
      <c r="A1966" s="13" t="s">
        <v>4623</v>
      </c>
      <c r="B1966" s="13" t="s">
        <v>4623</v>
      </c>
      <c r="C1966" s="13" t="s">
        <v>4624</v>
      </c>
      <c r="D1966" s="13">
        <v>3.2</v>
      </c>
      <c r="E1966" s="13" t="s">
        <v>4624</v>
      </c>
      <c r="F1966" s="13" t="s">
        <v>8863</v>
      </c>
      <c r="G1966" s="13" t="s">
        <v>2</v>
      </c>
      <c r="H1966" s="13" t="s">
        <v>3</v>
      </c>
      <c r="I1966" s="13" t="s">
        <v>447</v>
      </c>
      <c r="J1966" s="13" t="s">
        <v>8890</v>
      </c>
      <c r="K1966" s="13" t="s">
        <v>8421</v>
      </c>
      <c r="L1966" s="13" t="s">
        <v>8956</v>
      </c>
      <c r="M1966" t="s">
        <v>3</v>
      </c>
    </row>
    <row r="1967" spans="1:13" x14ac:dyDescent="0.25">
      <c r="A1967" s="13" t="s">
        <v>4625</v>
      </c>
      <c r="B1967" s="13" t="s">
        <v>4625</v>
      </c>
      <c r="C1967" s="13" t="s">
        <v>4626</v>
      </c>
      <c r="D1967" s="13">
        <v>5</v>
      </c>
      <c r="E1967" s="13" t="s">
        <v>4626</v>
      </c>
      <c r="F1967" s="13" t="s">
        <v>8863</v>
      </c>
      <c r="G1967" s="13" t="s">
        <v>2</v>
      </c>
      <c r="H1967" s="13" t="s">
        <v>3</v>
      </c>
      <c r="I1967" s="13" t="s">
        <v>447</v>
      </c>
      <c r="J1967" s="13" t="s">
        <v>8890</v>
      </c>
      <c r="K1967" s="13" t="s">
        <v>8421</v>
      </c>
      <c r="L1967" s="13" t="s">
        <v>8956</v>
      </c>
      <c r="M1967" t="s">
        <v>3</v>
      </c>
    </row>
    <row r="1968" spans="1:13" x14ac:dyDescent="0.25">
      <c r="A1968" s="13" t="s">
        <v>4627</v>
      </c>
      <c r="B1968" s="13" t="s">
        <v>4627</v>
      </c>
      <c r="C1968" s="13" t="s">
        <v>4628</v>
      </c>
      <c r="D1968" s="13">
        <v>5.3</v>
      </c>
      <c r="E1968" s="13" t="s">
        <v>4629</v>
      </c>
      <c r="F1968" s="13" t="s">
        <v>8863</v>
      </c>
      <c r="G1968" s="13" t="s">
        <v>2</v>
      </c>
      <c r="H1968" s="13" t="s">
        <v>3</v>
      </c>
      <c r="I1968" s="13" t="s">
        <v>447</v>
      </c>
      <c r="J1968" s="13" t="s">
        <v>8890</v>
      </c>
      <c r="K1968" s="13" t="s">
        <v>8421</v>
      </c>
      <c r="L1968" s="13" t="s">
        <v>8956</v>
      </c>
      <c r="M1968" t="s">
        <v>3</v>
      </c>
    </row>
    <row r="1969" spans="1:13" x14ac:dyDescent="0.25">
      <c r="A1969" s="13" t="s">
        <v>12057</v>
      </c>
      <c r="B1969" s="13" t="s">
        <v>12057</v>
      </c>
      <c r="C1969" s="13" t="s">
        <v>12058</v>
      </c>
      <c r="D1969" s="13">
        <v>3.3</v>
      </c>
      <c r="E1969" s="13" t="s">
        <v>12059</v>
      </c>
      <c r="F1969" s="13" t="s">
        <v>8863</v>
      </c>
      <c r="G1969" s="13" t="s">
        <v>2</v>
      </c>
      <c r="H1969" s="13" t="s">
        <v>3</v>
      </c>
      <c r="I1969" s="13" t="s">
        <v>1263</v>
      </c>
      <c r="J1969" s="13" t="s">
        <v>8890</v>
      </c>
      <c r="K1969" s="13" t="s">
        <v>8422</v>
      </c>
      <c r="L1969" s="13" t="s">
        <v>8956</v>
      </c>
      <c r="M1969" t="s">
        <v>3</v>
      </c>
    </row>
    <row r="1970" spans="1:13" x14ac:dyDescent="0.25">
      <c r="A1970" s="13" t="s">
        <v>11565</v>
      </c>
      <c r="B1970" s="13" t="s">
        <v>11565</v>
      </c>
      <c r="C1970" s="13" t="s">
        <v>11565</v>
      </c>
      <c r="D1970" s="13">
        <v>4.5</v>
      </c>
      <c r="E1970" s="13" t="s">
        <v>11566</v>
      </c>
      <c r="F1970" s="13" t="s">
        <v>9717</v>
      </c>
      <c r="G1970" s="13" t="s">
        <v>2</v>
      </c>
      <c r="H1970" s="13" t="s">
        <v>3</v>
      </c>
      <c r="I1970" s="13" t="s">
        <v>429</v>
      </c>
      <c r="J1970" s="13" t="s">
        <v>9004</v>
      </c>
      <c r="K1970" s="13" t="s">
        <v>6051</v>
      </c>
      <c r="L1970" s="13" t="s">
        <v>10023</v>
      </c>
      <c r="M1970" t="s">
        <v>3</v>
      </c>
    </row>
    <row r="1971" spans="1:13" x14ac:dyDescent="0.25">
      <c r="A1971" s="13" t="s">
        <v>4630</v>
      </c>
      <c r="B1971" s="13" t="s">
        <v>4630</v>
      </c>
      <c r="C1971" s="13" t="s">
        <v>4631</v>
      </c>
      <c r="D1971" s="13">
        <v>2</v>
      </c>
      <c r="E1971" s="13" t="s">
        <v>4631</v>
      </c>
      <c r="F1971" s="13" t="s">
        <v>8863</v>
      </c>
      <c r="G1971" s="13" t="s">
        <v>2</v>
      </c>
      <c r="H1971" s="13" t="s">
        <v>3</v>
      </c>
      <c r="I1971" s="13" t="s">
        <v>447</v>
      </c>
      <c r="J1971" s="13" t="s">
        <v>8890</v>
      </c>
      <c r="K1971" s="13" t="s">
        <v>8421</v>
      </c>
      <c r="L1971" s="13" t="s">
        <v>8956</v>
      </c>
      <c r="M1971" t="s">
        <v>3</v>
      </c>
    </row>
    <row r="1972" spans="1:13" x14ac:dyDescent="0.25">
      <c r="A1972" s="13" t="s">
        <v>4632</v>
      </c>
      <c r="B1972" s="13" t="s">
        <v>4632</v>
      </c>
      <c r="C1972" s="13" t="s">
        <v>4633</v>
      </c>
      <c r="D1972" s="13">
        <v>1.3</v>
      </c>
      <c r="E1972" s="13" t="s">
        <v>4633</v>
      </c>
      <c r="F1972" s="13" t="s">
        <v>8863</v>
      </c>
      <c r="G1972" s="13" t="s">
        <v>2</v>
      </c>
      <c r="H1972" s="13" t="s">
        <v>3</v>
      </c>
      <c r="I1972" s="13" t="s">
        <v>447</v>
      </c>
      <c r="J1972" s="13" t="s">
        <v>8890</v>
      </c>
      <c r="K1972" s="13" t="s">
        <v>8421</v>
      </c>
      <c r="L1972" s="13" t="s">
        <v>8956</v>
      </c>
      <c r="M1972" t="s">
        <v>3</v>
      </c>
    </row>
    <row r="1973" spans="1:13" x14ac:dyDescent="0.25">
      <c r="A1973" s="13" t="s">
        <v>11332</v>
      </c>
      <c r="B1973" s="13" t="s">
        <v>11332</v>
      </c>
      <c r="C1973" s="13" t="s">
        <v>11332</v>
      </c>
      <c r="D1973" s="13">
        <v>2</v>
      </c>
      <c r="E1973" s="13" t="s">
        <v>11333</v>
      </c>
      <c r="F1973" s="13" t="s">
        <v>8863</v>
      </c>
      <c r="G1973" s="13" t="s">
        <v>2</v>
      </c>
      <c r="H1973" s="13" t="s">
        <v>3</v>
      </c>
      <c r="I1973" s="13" t="s">
        <v>706</v>
      </c>
      <c r="J1973" s="13" t="s">
        <v>8890</v>
      </c>
      <c r="K1973" s="13" t="s">
        <v>8419</v>
      </c>
      <c r="L1973" s="13" t="s">
        <v>8956</v>
      </c>
      <c r="M1973" t="s">
        <v>3</v>
      </c>
    </row>
    <row r="1974" spans="1:13" ht="26.25" x14ac:dyDescent="0.25">
      <c r="A1974" s="13" t="s">
        <v>11334</v>
      </c>
      <c r="B1974" s="13" t="s">
        <v>11334</v>
      </c>
      <c r="C1974" s="13" t="s">
        <v>11334</v>
      </c>
      <c r="D1974" s="13">
        <v>3.1</v>
      </c>
      <c r="E1974" s="13" t="s">
        <v>11335</v>
      </c>
      <c r="F1974" s="13" t="s">
        <v>8863</v>
      </c>
      <c r="G1974" s="13" t="s">
        <v>2</v>
      </c>
      <c r="H1974" s="13" t="s">
        <v>3</v>
      </c>
      <c r="I1974" s="13" t="s">
        <v>706</v>
      </c>
      <c r="J1974" s="13" t="s">
        <v>8890</v>
      </c>
      <c r="K1974" s="13" t="s">
        <v>8419</v>
      </c>
      <c r="L1974" s="13" t="s">
        <v>8956</v>
      </c>
      <c r="M1974" t="s">
        <v>3</v>
      </c>
    </row>
    <row r="1975" spans="1:13" x14ac:dyDescent="0.25">
      <c r="A1975" s="13" t="s">
        <v>4634</v>
      </c>
      <c r="B1975" s="13" t="s">
        <v>4635</v>
      </c>
      <c r="C1975" s="13" t="s">
        <v>4636</v>
      </c>
      <c r="D1975" s="13">
        <v>28.7</v>
      </c>
      <c r="E1975" s="13" t="s">
        <v>4637</v>
      </c>
      <c r="F1975" s="13" t="s">
        <v>8863</v>
      </c>
      <c r="G1975" s="13" t="s">
        <v>2</v>
      </c>
      <c r="H1975" s="13" t="s">
        <v>516</v>
      </c>
      <c r="I1975" s="13" t="s">
        <v>516</v>
      </c>
      <c r="J1975" s="13" t="s">
        <v>8890</v>
      </c>
      <c r="K1975" s="13" t="s">
        <v>516</v>
      </c>
      <c r="L1975" s="13" t="s">
        <v>8956</v>
      </c>
      <c r="M1975" t="s">
        <v>10700</v>
      </c>
    </row>
    <row r="1976" spans="1:13" x14ac:dyDescent="0.25">
      <c r="A1976" s="13" t="s">
        <v>4638</v>
      </c>
      <c r="B1976" s="13" t="s">
        <v>4638</v>
      </c>
      <c r="C1976" s="13" t="s">
        <v>4639</v>
      </c>
      <c r="D1976" s="13">
        <v>1.4</v>
      </c>
      <c r="E1976" s="13" t="s">
        <v>4640</v>
      </c>
      <c r="F1976" s="13" t="s">
        <v>8863</v>
      </c>
      <c r="G1976" s="13" t="s">
        <v>2</v>
      </c>
      <c r="H1976" s="13" t="s">
        <v>3</v>
      </c>
      <c r="I1976" s="13" t="s">
        <v>228</v>
      </c>
      <c r="J1976" s="13" t="s">
        <v>8890</v>
      </c>
      <c r="K1976" s="13" t="s">
        <v>8418</v>
      </c>
      <c r="L1976" s="13" t="s">
        <v>8956</v>
      </c>
      <c r="M1976" t="s">
        <v>3</v>
      </c>
    </row>
    <row r="1977" spans="1:13" ht="26.25" x14ac:dyDescent="0.25">
      <c r="A1977" s="13" t="s">
        <v>4641</v>
      </c>
      <c r="B1977" s="13" t="s">
        <v>4642</v>
      </c>
      <c r="C1977" s="13" t="s">
        <v>4643</v>
      </c>
      <c r="D1977" s="13">
        <v>2399</v>
      </c>
      <c r="E1977" s="13" t="s">
        <v>4644</v>
      </c>
      <c r="F1977" s="13" t="s">
        <v>8860</v>
      </c>
      <c r="G1977" s="13" t="s">
        <v>19</v>
      </c>
      <c r="H1977" s="13" t="s">
        <v>3</v>
      </c>
      <c r="I1977" s="13" t="s">
        <v>4645</v>
      </c>
      <c r="J1977" s="13" t="s">
        <v>21</v>
      </c>
      <c r="K1977" s="13" t="s">
        <v>8663</v>
      </c>
      <c r="L1977" s="13" t="s">
        <v>18</v>
      </c>
      <c r="M1977" t="s">
        <v>3</v>
      </c>
    </row>
    <row r="1978" spans="1:13" x14ac:dyDescent="0.25">
      <c r="A1978" s="13" t="s">
        <v>11336</v>
      </c>
      <c r="B1978" s="13" t="s">
        <v>11336</v>
      </c>
      <c r="C1978" s="13" t="s">
        <v>11336</v>
      </c>
      <c r="D1978" s="13">
        <v>4</v>
      </c>
      <c r="E1978" s="13" t="s">
        <v>11337</v>
      </c>
      <c r="F1978" s="13" t="s">
        <v>8863</v>
      </c>
      <c r="G1978" s="13" t="s">
        <v>2</v>
      </c>
      <c r="H1978" s="13" t="s">
        <v>3</v>
      </c>
      <c r="I1978" s="13" t="s">
        <v>706</v>
      </c>
      <c r="J1978" s="13" t="s">
        <v>8890</v>
      </c>
      <c r="K1978" s="13" t="s">
        <v>8419</v>
      </c>
      <c r="L1978" s="13" t="s">
        <v>8956</v>
      </c>
      <c r="M1978" t="s">
        <v>3</v>
      </c>
    </row>
    <row r="1979" spans="1:13" ht="26.25" x14ac:dyDescent="0.25">
      <c r="A1979" s="13" t="s">
        <v>4646</v>
      </c>
      <c r="B1979" s="13" t="s">
        <v>4646</v>
      </c>
      <c r="C1979" s="13" t="s">
        <v>9272</v>
      </c>
      <c r="D1979" s="13">
        <v>2.2000000000000002</v>
      </c>
      <c r="E1979" s="13" t="s">
        <v>4647</v>
      </c>
      <c r="F1979" s="13" t="s">
        <v>8860</v>
      </c>
      <c r="G1979" s="13" t="s">
        <v>19</v>
      </c>
      <c r="H1979" s="13" t="s">
        <v>3</v>
      </c>
      <c r="I1979" s="13" t="s">
        <v>1366</v>
      </c>
      <c r="J1979" s="13" t="s">
        <v>21</v>
      </c>
      <c r="K1979" s="13" t="s">
        <v>8417</v>
      </c>
      <c r="L1979" s="13" t="s">
        <v>18</v>
      </c>
      <c r="M1979" t="s">
        <v>3</v>
      </c>
    </row>
    <row r="1980" spans="1:13" ht="26.25" x14ac:dyDescent="0.25">
      <c r="A1980" s="13" t="s">
        <v>4648</v>
      </c>
      <c r="B1980" s="13" t="s">
        <v>4648</v>
      </c>
      <c r="C1980" s="13" t="s">
        <v>4649</v>
      </c>
      <c r="D1980" s="13">
        <v>20</v>
      </c>
      <c r="E1980" s="13" t="s">
        <v>4650</v>
      </c>
      <c r="F1980" s="13" t="s">
        <v>275</v>
      </c>
      <c r="G1980" s="13" t="s">
        <v>19</v>
      </c>
      <c r="H1980" s="13" t="s">
        <v>3</v>
      </c>
      <c r="I1980" s="13" t="s">
        <v>1366</v>
      </c>
      <c r="J1980" s="13" t="s">
        <v>276</v>
      </c>
      <c r="K1980" s="13" t="s">
        <v>8417</v>
      </c>
      <c r="L1980" s="13" t="s">
        <v>275</v>
      </c>
      <c r="M1980" t="s">
        <v>3</v>
      </c>
    </row>
    <row r="1981" spans="1:13" x14ac:dyDescent="0.25">
      <c r="A1981" s="13" t="s">
        <v>4651</v>
      </c>
      <c r="B1981" s="13" t="s">
        <v>4651</v>
      </c>
      <c r="C1981" s="13" t="s">
        <v>4652</v>
      </c>
      <c r="D1981" s="13">
        <v>102.6</v>
      </c>
      <c r="E1981" s="13" t="s">
        <v>4653</v>
      </c>
      <c r="F1981" s="13" t="s">
        <v>8869</v>
      </c>
      <c r="G1981" s="13" t="s">
        <v>2</v>
      </c>
      <c r="H1981" s="13" t="s">
        <v>9273</v>
      </c>
      <c r="I1981" s="13" t="s">
        <v>1366</v>
      </c>
      <c r="J1981" s="13" t="s">
        <v>8890</v>
      </c>
      <c r="K1981" s="13" t="s">
        <v>8417</v>
      </c>
      <c r="L1981" s="13" t="s">
        <v>8918</v>
      </c>
      <c r="M1981" t="s">
        <v>9273</v>
      </c>
    </row>
    <row r="1982" spans="1:13" ht="26.25" x14ac:dyDescent="0.25">
      <c r="A1982" s="13" t="s">
        <v>4654</v>
      </c>
      <c r="B1982" s="13" t="s">
        <v>4654</v>
      </c>
      <c r="C1982" s="13" t="s">
        <v>4655</v>
      </c>
      <c r="D1982" s="13">
        <v>103.9</v>
      </c>
      <c r="E1982" s="13" t="s">
        <v>4656</v>
      </c>
      <c r="F1982" s="13" t="s">
        <v>8867</v>
      </c>
      <c r="G1982" s="13" t="s">
        <v>2</v>
      </c>
      <c r="H1982" s="13" t="s">
        <v>3</v>
      </c>
      <c r="I1982" s="13" t="s">
        <v>1366</v>
      </c>
      <c r="J1982" s="13" t="s">
        <v>8890</v>
      </c>
      <c r="K1982" s="13" t="s">
        <v>8417</v>
      </c>
      <c r="L1982" s="13" t="s">
        <v>158</v>
      </c>
      <c r="M1982" t="s">
        <v>3</v>
      </c>
    </row>
    <row r="1983" spans="1:13" x14ac:dyDescent="0.25">
      <c r="A1983" s="13" t="s">
        <v>4657</v>
      </c>
      <c r="B1983" s="13" t="s">
        <v>4657</v>
      </c>
      <c r="C1983" s="13" t="s">
        <v>4658</v>
      </c>
      <c r="D1983" s="13">
        <v>949.7</v>
      </c>
      <c r="E1983" s="13" t="s">
        <v>4659</v>
      </c>
      <c r="F1983" s="13" t="s">
        <v>8869</v>
      </c>
      <c r="G1983" s="13" t="s">
        <v>2</v>
      </c>
      <c r="H1983" s="13" t="s">
        <v>3</v>
      </c>
      <c r="I1983" s="13" t="s">
        <v>1366</v>
      </c>
      <c r="J1983" s="13" t="s">
        <v>8890</v>
      </c>
      <c r="K1983" s="13" t="s">
        <v>8417</v>
      </c>
      <c r="L1983" s="13" t="s">
        <v>8918</v>
      </c>
      <c r="M1983" t="s">
        <v>3</v>
      </c>
    </row>
    <row r="1984" spans="1:13" x14ac:dyDescent="0.25">
      <c r="A1984" s="13" t="s">
        <v>4660</v>
      </c>
      <c r="B1984" s="13" t="s">
        <v>4660</v>
      </c>
      <c r="C1984" s="13" t="s">
        <v>4661</v>
      </c>
      <c r="D1984" s="13">
        <v>739.5</v>
      </c>
      <c r="E1984" s="13" t="s">
        <v>4662</v>
      </c>
      <c r="F1984" s="13" t="s">
        <v>8869</v>
      </c>
      <c r="G1984" s="13" t="s">
        <v>2</v>
      </c>
      <c r="H1984" s="13" t="s">
        <v>3</v>
      </c>
      <c r="I1984" s="13" t="s">
        <v>1366</v>
      </c>
      <c r="J1984" s="13" t="s">
        <v>8890</v>
      </c>
      <c r="K1984" s="13" t="s">
        <v>8417</v>
      </c>
      <c r="L1984" s="13" t="s">
        <v>8918</v>
      </c>
      <c r="M1984" t="s">
        <v>3</v>
      </c>
    </row>
    <row r="1985" spans="1:13" x14ac:dyDescent="0.25">
      <c r="A1985" s="13" t="s">
        <v>4663</v>
      </c>
      <c r="B1985" s="13" t="s">
        <v>4664</v>
      </c>
      <c r="C1985" s="13" t="s">
        <v>4665</v>
      </c>
      <c r="D1985" s="13">
        <v>425.7</v>
      </c>
      <c r="E1985" s="13" t="s">
        <v>4666</v>
      </c>
      <c r="F1985" s="13" t="s">
        <v>8863</v>
      </c>
      <c r="G1985" s="13" t="s">
        <v>2</v>
      </c>
      <c r="H1985" s="13" t="s">
        <v>9273</v>
      </c>
      <c r="I1985" s="13" t="s">
        <v>1366</v>
      </c>
      <c r="J1985" s="13" t="s">
        <v>8890</v>
      </c>
      <c r="K1985" s="13" t="s">
        <v>8417</v>
      </c>
      <c r="L1985" s="13" t="s">
        <v>8893</v>
      </c>
      <c r="M1985" t="s">
        <v>9273</v>
      </c>
    </row>
    <row r="1986" spans="1:13" x14ac:dyDescent="0.25">
      <c r="A1986" s="13" t="s">
        <v>4667</v>
      </c>
      <c r="B1986" s="13" t="s">
        <v>4667</v>
      </c>
      <c r="C1986" s="13" t="s">
        <v>4668</v>
      </c>
      <c r="D1986" s="13">
        <v>4.9000000000000004</v>
      </c>
      <c r="E1986" s="13" t="s">
        <v>4669</v>
      </c>
      <c r="F1986" s="13" t="s">
        <v>8863</v>
      </c>
      <c r="G1986" s="13" t="s">
        <v>2</v>
      </c>
      <c r="H1986" s="13" t="s">
        <v>3</v>
      </c>
      <c r="I1986" s="13" t="s">
        <v>1366</v>
      </c>
      <c r="J1986" s="13" t="s">
        <v>8890</v>
      </c>
      <c r="K1986" s="13" t="s">
        <v>8417</v>
      </c>
      <c r="L1986" s="13" t="s">
        <v>8956</v>
      </c>
      <c r="M1986" t="s">
        <v>3</v>
      </c>
    </row>
    <row r="1987" spans="1:13" ht="26.25" x14ac:dyDescent="0.25">
      <c r="A1987" s="13" t="s">
        <v>4670</v>
      </c>
      <c r="B1987" s="13" t="s">
        <v>4670</v>
      </c>
      <c r="C1987" s="13" t="s">
        <v>9274</v>
      </c>
      <c r="D1987" s="13">
        <v>1.8</v>
      </c>
      <c r="E1987" s="13" t="s">
        <v>4671</v>
      </c>
      <c r="F1987" s="13" t="s">
        <v>8863</v>
      </c>
      <c r="G1987" s="13" t="s">
        <v>2</v>
      </c>
      <c r="H1987" s="13" t="s">
        <v>3</v>
      </c>
      <c r="I1987" s="13" t="s">
        <v>228</v>
      </c>
      <c r="J1987" s="13" t="s">
        <v>8890</v>
      </c>
      <c r="K1987" s="13" t="s">
        <v>8418</v>
      </c>
      <c r="L1987" s="13" t="s">
        <v>8956</v>
      </c>
      <c r="M1987" t="s">
        <v>3</v>
      </c>
    </row>
    <row r="1988" spans="1:13" x14ac:dyDescent="0.25">
      <c r="A1988" s="13" t="s">
        <v>4672</v>
      </c>
      <c r="B1988" s="13" t="s">
        <v>4672</v>
      </c>
      <c r="C1988" s="13" t="s">
        <v>4673</v>
      </c>
      <c r="D1988" s="13">
        <v>1.7</v>
      </c>
      <c r="E1988" s="13" t="s">
        <v>4673</v>
      </c>
      <c r="F1988" s="13" t="s">
        <v>8863</v>
      </c>
      <c r="G1988" s="13" t="s">
        <v>2</v>
      </c>
      <c r="H1988" s="13" t="s">
        <v>3</v>
      </c>
      <c r="I1988" s="13" t="s">
        <v>447</v>
      </c>
      <c r="J1988" s="13" t="s">
        <v>8890</v>
      </c>
      <c r="K1988" s="13" t="s">
        <v>8421</v>
      </c>
      <c r="L1988" s="13" t="s">
        <v>8956</v>
      </c>
      <c r="M1988" t="s">
        <v>3</v>
      </c>
    </row>
    <row r="1989" spans="1:13" ht="26.25" x14ac:dyDescent="0.25">
      <c r="A1989" s="13" t="s">
        <v>4674</v>
      </c>
      <c r="B1989" s="13" t="s">
        <v>4674</v>
      </c>
      <c r="C1989" s="13" t="s">
        <v>4675</v>
      </c>
      <c r="D1989" s="13">
        <v>0.5</v>
      </c>
      <c r="E1989" s="13" t="s">
        <v>4676</v>
      </c>
      <c r="F1989" s="13" t="s">
        <v>8860</v>
      </c>
      <c r="G1989" s="13" t="s">
        <v>19</v>
      </c>
      <c r="H1989" s="13" t="s">
        <v>3</v>
      </c>
      <c r="I1989" s="13" t="s">
        <v>1366</v>
      </c>
      <c r="J1989" s="13" t="s">
        <v>21</v>
      </c>
      <c r="K1989" s="13" t="s">
        <v>8417</v>
      </c>
      <c r="L1989" s="13" t="s">
        <v>18</v>
      </c>
      <c r="M1989" t="s">
        <v>3</v>
      </c>
    </row>
    <row r="1990" spans="1:13" x14ac:dyDescent="0.25">
      <c r="A1990" s="13" t="s">
        <v>4677</v>
      </c>
      <c r="B1990" s="13" t="s">
        <v>4677</v>
      </c>
      <c r="C1990" s="13" t="s">
        <v>4678</v>
      </c>
      <c r="D1990" s="13">
        <v>5.2</v>
      </c>
      <c r="E1990" s="13" t="s">
        <v>4679</v>
      </c>
      <c r="F1990" s="13" t="s">
        <v>8863</v>
      </c>
      <c r="G1990" s="13" t="s">
        <v>2</v>
      </c>
      <c r="H1990" s="13" t="s">
        <v>3</v>
      </c>
      <c r="I1990" s="13" t="s">
        <v>228</v>
      </c>
      <c r="J1990" s="13" t="s">
        <v>8890</v>
      </c>
      <c r="K1990" s="13" t="s">
        <v>8418</v>
      </c>
      <c r="L1990" s="13" t="s">
        <v>8956</v>
      </c>
      <c r="M1990" t="s">
        <v>3</v>
      </c>
    </row>
    <row r="1991" spans="1:13" x14ac:dyDescent="0.25">
      <c r="A1991" s="13" t="s">
        <v>4680</v>
      </c>
      <c r="B1991" s="13" t="s">
        <v>4680</v>
      </c>
      <c r="C1991" s="13" t="s">
        <v>4681</v>
      </c>
      <c r="D1991" s="13">
        <v>18.600000000000001</v>
      </c>
      <c r="E1991" s="13" t="s">
        <v>4681</v>
      </c>
      <c r="F1991" s="13" t="s">
        <v>8863</v>
      </c>
      <c r="G1991" s="13" t="s">
        <v>2</v>
      </c>
      <c r="H1991" s="13" t="s">
        <v>3</v>
      </c>
      <c r="I1991" s="13" t="s">
        <v>447</v>
      </c>
      <c r="J1991" s="13" t="s">
        <v>8890</v>
      </c>
      <c r="K1991" s="13" t="s">
        <v>8421</v>
      </c>
      <c r="L1991" s="13" t="s">
        <v>8956</v>
      </c>
      <c r="M1991" t="s">
        <v>3</v>
      </c>
    </row>
    <row r="1992" spans="1:13" x14ac:dyDescent="0.25">
      <c r="A1992" s="13" t="s">
        <v>4682</v>
      </c>
      <c r="B1992" s="13" t="s">
        <v>4682</v>
      </c>
      <c r="C1992" s="13" t="s">
        <v>4683</v>
      </c>
      <c r="D1992" s="13">
        <v>5</v>
      </c>
      <c r="E1992" s="13" t="s">
        <v>4684</v>
      </c>
      <c r="F1992" s="13" t="s">
        <v>8863</v>
      </c>
      <c r="G1992" s="13" t="s">
        <v>2</v>
      </c>
      <c r="H1992" s="13" t="s">
        <v>3</v>
      </c>
      <c r="I1992" s="13" t="s">
        <v>1263</v>
      </c>
      <c r="J1992" s="13" t="s">
        <v>8890</v>
      </c>
      <c r="K1992" s="13" t="s">
        <v>8422</v>
      </c>
      <c r="L1992" s="13" t="s">
        <v>8956</v>
      </c>
      <c r="M1992" t="s">
        <v>3</v>
      </c>
    </row>
    <row r="1993" spans="1:13" x14ac:dyDescent="0.25">
      <c r="A1993" s="13" t="s">
        <v>4685</v>
      </c>
      <c r="B1993" s="13" t="s">
        <v>4685</v>
      </c>
      <c r="C1993" s="13" t="s">
        <v>4685</v>
      </c>
      <c r="D1993" s="13">
        <v>3.8</v>
      </c>
      <c r="E1993" s="13" t="s">
        <v>4686</v>
      </c>
      <c r="F1993" s="13" t="s">
        <v>8863</v>
      </c>
      <c r="G1993" s="13" t="s">
        <v>2</v>
      </c>
      <c r="H1993" s="13" t="s">
        <v>3</v>
      </c>
      <c r="I1993" s="13" t="s">
        <v>228</v>
      </c>
      <c r="J1993" s="13" t="s">
        <v>8890</v>
      </c>
      <c r="K1993" s="13" t="s">
        <v>8418</v>
      </c>
      <c r="L1993" s="13" t="s">
        <v>8956</v>
      </c>
      <c r="M1993" t="s">
        <v>3</v>
      </c>
    </row>
    <row r="1994" spans="1:13" ht="26.25" x14ac:dyDescent="0.25">
      <c r="A1994" s="13" t="s">
        <v>4687</v>
      </c>
      <c r="B1994" s="13" t="s">
        <v>4687</v>
      </c>
      <c r="C1994" s="13" t="s">
        <v>4688</v>
      </c>
      <c r="D1994" s="13">
        <v>50</v>
      </c>
      <c r="E1994" s="13" t="s">
        <v>4689</v>
      </c>
      <c r="F1994" s="13" t="s">
        <v>8860</v>
      </c>
      <c r="G1994" s="13" t="s">
        <v>19</v>
      </c>
      <c r="H1994" s="13" t="s">
        <v>3</v>
      </c>
      <c r="I1994" s="13" t="s">
        <v>2349</v>
      </c>
      <c r="J1994" s="13" t="s">
        <v>1563</v>
      </c>
      <c r="K1994" s="13" t="s">
        <v>8599</v>
      </c>
      <c r="L1994" s="13" t="s">
        <v>9016</v>
      </c>
      <c r="M1994" t="s">
        <v>3</v>
      </c>
    </row>
    <row r="1995" spans="1:13" ht="26.25" x14ac:dyDescent="0.25">
      <c r="A1995" s="13" t="s">
        <v>4690</v>
      </c>
      <c r="B1995" s="13" t="s">
        <v>4691</v>
      </c>
      <c r="C1995" s="13" t="s">
        <v>4692</v>
      </c>
      <c r="D1995" s="13">
        <v>408</v>
      </c>
      <c r="E1995" s="13" t="s">
        <v>4693</v>
      </c>
      <c r="F1995" s="13" t="s">
        <v>1568</v>
      </c>
      <c r="G1995" s="13" t="s">
        <v>19</v>
      </c>
      <c r="H1995" s="13" t="s">
        <v>3</v>
      </c>
      <c r="I1995" s="13" t="s">
        <v>2349</v>
      </c>
      <c r="J1995" s="13" t="s">
        <v>9017</v>
      </c>
      <c r="K1995" s="13" t="s">
        <v>8599</v>
      </c>
      <c r="L1995" s="13" t="s">
        <v>1568</v>
      </c>
      <c r="M1995" t="s">
        <v>3</v>
      </c>
    </row>
    <row r="1996" spans="1:13" x14ac:dyDescent="0.25">
      <c r="A1996" s="13" t="s">
        <v>4694</v>
      </c>
      <c r="B1996" s="13" t="s">
        <v>4694</v>
      </c>
      <c r="C1996" s="13" t="s">
        <v>4694</v>
      </c>
      <c r="D1996" s="13">
        <v>5</v>
      </c>
      <c r="E1996" s="13" t="s">
        <v>4695</v>
      </c>
      <c r="F1996" s="13" t="s">
        <v>8863</v>
      </c>
      <c r="G1996" s="13" t="s">
        <v>2</v>
      </c>
      <c r="H1996" s="13" t="s">
        <v>3</v>
      </c>
      <c r="I1996" s="13" t="s">
        <v>228</v>
      </c>
      <c r="J1996" s="13" t="s">
        <v>8890</v>
      </c>
      <c r="K1996" s="13" t="s">
        <v>8418</v>
      </c>
      <c r="L1996" s="13" t="s">
        <v>8956</v>
      </c>
      <c r="M1996" t="s">
        <v>3</v>
      </c>
    </row>
    <row r="1997" spans="1:13" x14ac:dyDescent="0.25">
      <c r="A1997" s="13" t="s">
        <v>4696</v>
      </c>
      <c r="B1997" s="13" t="s">
        <v>4696</v>
      </c>
      <c r="C1997" s="13" t="s">
        <v>4696</v>
      </c>
      <c r="D1997" s="13">
        <v>1.4</v>
      </c>
      <c r="E1997" s="13" t="s">
        <v>4697</v>
      </c>
      <c r="F1997" s="13" t="s">
        <v>8863</v>
      </c>
      <c r="G1997" s="13" t="s">
        <v>2</v>
      </c>
      <c r="H1997" s="13" t="s">
        <v>3</v>
      </c>
      <c r="I1997" s="13" t="s">
        <v>706</v>
      </c>
      <c r="J1997" s="13" t="s">
        <v>8890</v>
      </c>
      <c r="K1997" s="13" t="s">
        <v>8419</v>
      </c>
      <c r="L1997" s="13" t="s">
        <v>8956</v>
      </c>
      <c r="M1997" t="s">
        <v>3</v>
      </c>
    </row>
    <row r="1998" spans="1:13" x14ac:dyDescent="0.25">
      <c r="A1998" s="13" t="s">
        <v>10047</v>
      </c>
      <c r="B1998" s="13" t="s">
        <v>10047</v>
      </c>
      <c r="C1998" s="13" t="s">
        <v>10048</v>
      </c>
      <c r="D1998" s="13">
        <v>25.7</v>
      </c>
      <c r="E1998" s="13" t="s">
        <v>10049</v>
      </c>
      <c r="F1998" s="13" t="s">
        <v>8863</v>
      </c>
      <c r="G1998" s="13" t="s">
        <v>2</v>
      </c>
      <c r="H1998" s="13" t="s">
        <v>3</v>
      </c>
      <c r="I1998" s="13" t="s">
        <v>1254</v>
      </c>
      <c r="J1998" s="13" t="s">
        <v>8890</v>
      </c>
      <c r="K1998" s="13" t="s">
        <v>8508</v>
      </c>
      <c r="L1998" s="13" t="s">
        <v>8956</v>
      </c>
      <c r="M1998" t="s">
        <v>3</v>
      </c>
    </row>
    <row r="1999" spans="1:13" ht="26.25" x14ac:dyDescent="0.25">
      <c r="A1999" s="13" t="s">
        <v>4698</v>
      </c>
      <c r="B1999" s="13" t="s">
        <v>4698</v>
      </c>
      <c r="C1999" s="13" t="s">
        <v>9275</v>
      </c>
      <c r="D1999" s="13">
        <v>0.1</v>
      </c>
      <c r="E1999" s="13" t="s">
        <v>4700</v>
      </c>
      <c r="F1999" s="13" t="s">
        <v>8860</v>
      </c>
      <c r="G1999" s="13" t="s">
        <v>19</v>
      </c>
      <c r="H1999" s="13" t="s">
        <v>3</v>
      </c>
      <c r="I1999" s="13" t="s">
        <v>4701</v>
      </c>
      <c r="J1999" s="13" t="s">
        <v>21</v>
      </c>
      <c r="K1999" s="13" t="s">
        <v>4699</v>
      </c>
      <c r="L1999" s="13" t="s">
        <v>18</v>
      </c>
      <c r="M1999" t="s">
        <v>3</v>
      </c>
    </row>
    <row r="2000" spans="1:13" x14ac:dyDescent="0.25">
      <c r="A2000" s="13" t="s">
        <v>4702</v>
      </c>
      <c r="B2000" s="13" t="s">
        <v>4702</v>
      </c>
      <c r="C2000" s="13" t="s">
        <v>4703</v>
      </c>
      <c r="D2000" s="13">
        <v>1.6</v>
      </c>
      <c r="E2000" s="13" t="s">
        <v>4704</v>
      </c>
      <c r="F2000" s="13" t="s">
        <v>8863</v>
      </c>
      <c r="G2000" s="13" t="s">
        <v>2</v>
      </c>
      <c r="H2000" s="13" t="s">
        <v>3</v>
      </c>
      <c r="I2000" s="13" t="s">
        <v>706</v>
      </c>
      <c r="J2000" s="13" t="s">
        <v>8890</v>
      </c>
      <c r="K2000" s="13" t="s">
        <v>8419</v>
      </c>
      <c r="L2000" s="13" t="s">
        <v>8956</v>
      </c>
      <c r="M2000" t="s">
        <v>3</v>
      </c>
    </row>
    <row r="2001" spans="1:13" x14ac:dyDescent="0.25">
      <c r="A2001" s="13" t="s">
        <v>4705</v>
      </c>
      <c r="B2001" s="13" t="s">
        <v>4706</v>
      </c>
      <c r="C2001" s="13" t="s">
        <v>4706</v>
      </c>
      <c r="D2001" s="13">
        <v>60</v>
      </c>
      <c r="E2001" s="13" t="s">
        <v>4707</v>
      </c>
      <c r="F2001" s="13" t="s">
        <v>8863</v>
      </c>
      <c r="G2001" s="13" t="s">
        <v>2</v>
      </c>
      <c r="H2001" s="13" t="s">
        <v>8976</v>
      </c>
      <c r="I2001" s="13" t="s">
        <v>1254</v>
      </c>
      <c r="J2001" s="13" t="s">
        <v>8890</v>
      </c>
      <c r="K2001" s="13" t="s">
        <v>8508</v>
      </c>
      <c r="L2001" s="13" t="s">
        <v>8956</v>
      </c>
      <c r="M2001" t="s">
        <v>8976</v>
      </c>
    </row>
    <row r="2002" spans="1:13" ht="26.25" x14ac:dyDescent="0.25">
      <c r="A2002" s="13" t="s">
        <v>4708</v>
      </c>
      <c r="B2002" s="13" t="s">
        <v>4708</v>
      </c>
      <c r="C2002" s="13" t="s">
        <v>4708</v>
      </c>
      <c r="D2002" s="13">
        <v>4.3</v>
      </c>
      <c r="E2002" s="13" t="s">
        <v>4709</v>
      </c>
      <c r="F2002" s="13" t="s">
        <v>8863</v>
      </c>
      <c r="G2002" s="13" t="s">
        <v>2</v>
      </c>
      <c r="H2002" s="13" t="s">
        <v>3</v>
      </c>
      <c r="I2002" s="13" t="s">
        <v>706</v>
      </c>
      <c r="J2002" s="13" t="s">
        <v>8890</v>
      </c>
      <c r="K2002" s="13" t="s">
        <v>8419</v>
      </c>
      <c r="L2002" s="13" t="s">
        <v>8956</v>
      </c>
      <c r="M2002" t="s">
        <v>3</v>
      </c>
    </row>
    <row r="2003" spans="1:13" x14ac:dyDescent="0.25">
      <c r="A2003" s="13" t="s">
        <v>4710</v>
      </c>
      <c r="B2003" s="13" t="s">
        <v>4710</v>
      </c>
      <c r="C2003" s="13" t="s">
        <v>4711</v>
      </c>
      <c r="D2003" s="13">
        <v>61.7</v>
      </c>
      <c r="E2003" s="13" t="s">
        <v>4712</v>
      </c>
      <c r="F2003" s="13" t="s">
        <v>8863</v>
      </c>
      <c r="G2003" s="13" t="s">
        <v>2</v>
      </c>
      <c r="H2003" s="13" t="s">
        <v>3</v>
      </c>
      <c r="I2003" s="13" t="s">
        <v>1514</v>
      </c>
      <c r="J2003" s="13" t="s">
        <v>8890</v>
      </c>
      <c r="K2003" s="13" t="s">
        <v>8423</v>
      </c>
      <c r="L2003" s="13" t="s">
        <v>8956</v>
      </c>
      <c r="M2003" t="s">
        <v>3</v>
      </c>
    </row>
    <row r="2004" spans="1:13" x14ac:dyDescent="0.25">
      <c r="A2004" s="13" t="s">
        <v>4713</v>
      </c>
      <c r="B2004" s="13" t="s">
        <v>4713</v>
      </c>
      <c r="C2004" s="13" t="s">
        <v>4714</v>
      </c>
      <c r="D2004" s="13">
        <v>0.9</v>
      </c>
      <c r="E2004" s="13" t="s">
        <v>4715</v>
      </c>
      <c r="F2004" s="13" t="s">
        <v>8863</v>
      </c>
      <c r="G2004" s="13" t="s">
        <v>2</v>
      </c>
      <c r="H2004" s="13" t="s">
        <v>3</v>
      </c>
      <c r="I2004" s="13" t="s">
        <v>1514</v>
      </c>
      <c r="J2004" s="13" t="s">
        <v>8890</v>
      </c>
      <c r="K2004" s="13" t="s">
        <v>8423</v>
      </c>
      <c r="L2004" s="13" t="s">
        <v>8956</v>
      </c>
      <c r="M2004" t="s">
        <v>3</v>
      </c>
    </row>
    <row r="2005" spans="1:13" ht="26.25" x14ac:dyDescent="0.25">
      <c r="A2005" s="13" t="s">
        <v>4716</v>
      </c>
      <c r="B2005" s="13" t="s">
        <v>4717</v>
      </c>
      <c r="C2005" s="13" t="s">
        <v>4718</v>
      </c>
      <c r="D2005" s="13">
        <v>0.1</v>
      </c>
      <c r="E2005" s="13" t="s">
        <v>4719</v>
      </c>
      <c r="F2005" s="13" t="s">
        <v>8860</v>
      </c>
      <c r="G2005" s="13" t="s">
        <v>19</v>
      </c>
      <c r="H2005" s="13" t="s">
        <v>3</v>
      </c>
      <c r="I2005" s="13" t="s">
        <v>4720</v>
      </c>
      <c r="J2005" s="13" t="s">
        <v>21</v>
      </c>
      <c r="K2005" s="13" t="s">
        <v>8664</v>
      </c>
      <c r="L2005" s="13" t="s">
        <v>18</v>
      </c>
      <c r="M2005" t="s">
        <v>3</v>
      </c>
    </row>
    <row r="2006" spans="1:13" ht="26.25" x14ac:dyDescent="0.25">
      <c r="A2006" s="13" t="s">
        <v>4721</v>
      </c>
      <c r="B2006" s="13" t="s">
        <v>4722</v>
      </c>
      <c r="C2006" s="13" t="s">
        <v>4723</v>
      </c>
      <c r="D2006" s="13">
        <v>1</v>
      </c>
      <c r="E2006" s="13" t="s">
        <v>4724</v>
      </c>
      <c r="F2006" s="13" t="s">
        <v>8860</v>
      </c>
      <c r="G2006" s="13" t="s">
        <v>19</v>
      </c>
      <c r="H2006" s="13" t="s">
        <v>3</v>
      </c>
      <c r="I2006" s="13" t="s">
        <v>4725</v>
      </c>
      <c r="J2006" s="13" t="s">
        <v>21</v>
      </c>
      <c r="K2006" s="13" t="s">
        <v>8665</v>
      </c>
      <c r="L2006" s="13" t="s">
        <v>18</v>
      </c>
      <c r="M2006" t="s">
        <v>3</v>
      </c>
    </row>
    <row r="2007" spans="1:13" x14ac:dyDescent="0.25">
      <c r="A2007" s="13" t="s">
        <v>10050</v>
      </c>
      <c r="B2007" s="13" t="s">
        <v>10050</v>
      </c>
      <c r="C2007" s="13" t="s">
        <v>10051</v>
      </c>
      <c r="D2007" s="13">
        <v>47.5</v>
      </c>
      <c r="E2007" s="13" t="s">
        <v>10052</v>
      </c>
      <c r="F2007" s="13" t="s">
        <v>8863</v>
      </c>
      <c r="G2007" s="13" t="s">
        <v>2</v>
      </c>
      <c r="H2007" s="13" t="s">
        <v>3</v>
      </c>
      <c r="I2007" s="13" t="s">
        <v>1254</v>
      </c>
      <c r="J2007" s="13" t="s">
        <v>8890</v>
      </c>
      <c r="K2007" s="13" t="s">
        <v>8508</v>
      </c>
      <c r="L2007" s="13" t="s">
        <v>8956</v>
      </c>
      <c r="M2007" t="s">
        <v>3</v>
      </c>
    </row>
    <row r="2008" spans="1:13" x14ac:dyDescent="0.25">
      <c r="A2008" s="13" t="s">
        <v>4726</v>
      </c>
      <c r="B2008" s="13" t="s">
        <v>4726</v>
      </c>
      <c r="C2008" s="13" t="s">
        <v>4727</v>
      </c>
      <c r="D2008" s="13">
        <v>11.7</v>
      </c>
      <c r="E2008" s="13" t="s">
        <v>4727</v>
      </c>
      <c r="F2008" s="13" t="s">
        <v>8863</v>
      </c>
      <c r="G2008" s="13" t="s">
        <v>2</v>
      </c>
      <c r="H2008" s="13" t="s">
        <v>3</v>
      </c>
      <c r="I2008" s="13" t="s">
        <v>447</v>
      </c>
      <c r="J2008" s="13" t="s">
        <v>8890</v>
      </c>
      <c r="K2008" s="13" t="s">
        <v>8421</v>
      </c>
      <c r="L2008" s="13" t="s">
        <v>8956</v>
      </c>
      <c r="M2008" t="s">
        <v>3</v>
      </c>
    </row>
    <row r="2009" spans="1:13" x14ac:dyDescent="0.25">
      <c r="A2009" s="13" t="s">
        <v>4728</v>
      </c>
      <c r="B2009" s="13" t="s">
        <v>4728</v>
      </c>
      <c r="C2009" s="13" t="s">
        <v>4729</v>
      </c>
      <c r="D2009" s="13">
        <v>1.1000000000000001</v>
      </c>
      <c r="E2009" s="13" t="s">
        <v>4729</v>
      </c>
      <c r="F2009" s="13" t="s">
        <v>8863</v>
      </c>
      <c r="G2009" s="13" t="s">
        <v>2</v>
      </c>
      <c r="H2009" s="13" t="s">
        <v>3</v>
      </c>
      <c r="I2009" s="13" t="s">
        <v>447</v>
      </c>
      <c r="J2009" s="13" t="s">
        <v>8890</v>
      </c>
      <c r="K2009" s="13" t="s">
        <v>8421</v>
      </c>
      <c r="L2009" s="13" t="s">
        <v>8956</v>
      </c>
      <c r="M2009" t="s">
        <v>3</v>
      </c>
    </row>
    <row r="2010" spans="1:13" x14ac:dyDescent="0.25">
      <c r="A2010" s="13" t="s">
        <v>12060</v>
      </c>
      <c r="B2010" s="13" t="s">
        <v>12060</v>
      </c>
      <c r="C2010" s="13" t="s">
        <v>12061</v>
      </c>
      <c r="D2010" s="13">
        <v>1.7</v>
      </c>
      <c r="E2010" s="13" t="s">
        <v>12062</v>
      </c>
      <c r="F2010" s="13" t="s">
        <v>8863</v>
      </c>
      <c r="G2010" s="13" t="s">
        <v>2</v>
      </c>
      <c r="H2010" s="13" t="s">
        <v>3</v>
      </c>
      <c r="I2010" s="13" t="s">
        <v>447</v>
      </c>
      <c r="J2010" s="13" t="s">
        <v>8890</v>
      </c>
      <c r="K2010" s="13" t="s">
        <v>8421</v>
      </c>
      <c r="L2010" s="13" t="s">
        <v>8956</v>
      </c>
      <c r="M2010" t="s">
        <v>3</v>
      </c>
    </row>
    <row r="2011" spans="1:13" x14ac:dyDescent="0.25">
      <c r="A2011" s="13" t="s">
        <v>10053</v>
      </c>
      <c r="B2011" s="13" t="s">
        <v>10053</v>
      </c>
      <c r="C2011" s="13" t="s">
        <v>10054</v>
      </c>
      <c r="D2011" s="13">
        <v>35.4</v>
      </c>
      <c r="E2011" s="13" t="s">
        <v>10055</v>
      </c>
      <c r="F2011" s="13" t="s">
        <v>8863</v>
      </c>
      <c r="G2011" s="13" t="s">
        <v>2</v>
      </c>
      <c r="H2011" s="13" t="s">
        <v>3</v>
      </c>
      <c r="I2011" s="13" t="s">
        <v>1254</v>
      </c>
      <c r="J2011" s="13" t="s">
        <v>8890</v>
      </c>
      <c r="K2011" s="13" t="s">
        <v>8508</v>
      </c>
      <c r="L2011" s="13" t="s">
        <v>8956</v>
      </c>
      <c r="M2011" t="s">
        <v>3</v>
      </c>
    </row>
    <row r="2012" spans="1:13" x14ac:dyDescent="0.25">
      <c r="A2012" s="13" t="s">
        <v>10056</v>
      </c>
      <c r="B2012" s="13" t="s">
        <v>10057</v>
      </c>
      <c r="C2012" s="13" t="s">
        <v>10058</v>
      </c>
      <c r="D2012" s="13">
        <v>2.2999999999999998</v>
      </c>
      <c r="E2012" s="13" t="s">
        <v>10059</v>
      </c>
      <c r="F2012" s="13" t="s">
        <v>8863</v>
      </c>
      <c r="G2012" s="13" t="s">
        <v>2</v>
      </c>
      <c r="H2012" s="13" t="s">
        <v>3</v>
      </c>
      <c r="I2012" s="13" t="s">
        <v>1254</v>
      </c>
      <c r="J2012" s="13" t="s">
        <v>8890</v>
      </c>
      <c r="K2012" s="13" t="s">
        <v>8508</v>
      </c>
      <c r="L2012" s="13" t="s">
        <v>8956</v>
      </c>
      <c r="M2012" t="s">
        <v>3</v>
      </c>
    </row>
    <row r="2013" spans="1:13" ht="26.25" x14ac:dyDescent="0.25">
      <c r="A2013" s="13" t="s">
        <v>4730</v>
      </c>
      <c r="B2013" s="13" t="s">
        <v>4730</v>
      </c>
      <c r="C2013" s="13" t="s">
        <v>4730</v>
      </c>
      <c r="D2013" s="13">
        <v>1.8</v>
      </c>
      <c r="E2013" s="13" t="s">
        <v>4731</v>
      </c>
      <c r="F2013" s="13" t="s">
        <v>8863</v>
      </c>
      <c r="G2013" s="13" t="s">
        <v>2</v>
      </c>
      <c r="H2013" s="13" t="s">
        <v>3</v>
      </c>
      <c r="I2013" s="13" t="s">
        <v>706</v>
      </c>
      <c r="J2013" s="13" t="s">
        <v>8890</v>
      </c>
      <c r="K2013" s="13" t="s">
        <v>8419</v>
      </c>
      <c r="L2013" s="13" t="s">
        <v>8956</v>
      </c>
      <c r="M2013" t="s">
        <v>3</v>
      </c>
    </row>
    <row r="2014" spans="1:13" x14ac:dyDescent="0.25">
      <c r="A2014" s="13" t="s">
        <v>4732</v>
      </c>
      <c r="B2014" s="13" t="s">
        <v>4733</v>
      </c>
      <c r="C2014" s="13" t="s">
        <v>4734</v>
      </c>
      <c r="D2014" s="13">
        <v>26.6</v>
      </c>
      <c r="E2014" s="13" t="s">
        <v>4735</v>
      </c>
      <c r="F2014" s="13" t="s">
        <v>8863</v>
      </c>
      <c r="G2014" s="13" t="s">
        <v>2</v>
      </c>
      <c r="H2014" s="13" t="s">
        <v>3</v>
      </c>
      <c r="I2014" s="13" t="s">
        <v>399</v>
      </c>
      <c r="J2014" s="13" t="s">
        <v>8890</v>
      </c>
      <c r="K2014" s="13" t="s">
        <v>8464</v>
      </c>
      <c r="L2014" s="13" t="s">
        <v>8956</v>
      </c>
      <c r="M2014" t="s">
        <v>3</v>
      </c>
    </row>
    <row r="2015" spans="1:13" x14ac:dyDescent="0.25">
      <c r="A2015" s="13" t="s">
        <v>11338</v>
      </c>
      <c r="B2015" s="13" t="s">
        <v>11338</v>
      </c>
      <c r="C2015" s="13" t="s">
        <v>11339</v>
      </c>
      <c r="D2015" s="13">
        <v>4.5999999999999996</v>
      </c>
      <c r="E2015" s="13" t="s">
        <v>11340</v>
      </c>
      <c r="F2015" s="13" t="s">
        <v>9717</v>
      </c>
      <c r="G2015" s="13" t="s">
        <v>2</v>
      </c>
      <c r="H2015" s="13" t="s">
        <v>3</v>
      </c>
      <c r="I2015" s="13" t="s">
        <v>447</v>
      </c>
      <c r="J2015" s="13" t="s">
        <v>9004</v>
      </c>
      <c r="K2015" s="13" t="s">
        <v>8421</v>
      </c>
      <c r="L2015" s="13" t="s">
        <v>10023</v>
      </c>
      <c r="M2015" t="s">
        <v>3</v>
      </c>
    </row>
    <row r="2016" spans="1:13" x14ac:dyDescent="0.25">
      <c r="A2016" s="13" t="s">
        <v>4736</v>
      </c>
      <c r="B2016" s="13" t="s">
        <v>4736</v>
      </c>
      <c r="C2016" s="13" t="s">
        <v>4737</v>
      </c>
      <c r="D2016" s="13">
        <v>5.0999999999999996</v>
      </c>
      <c r="E2016" s="13" t="s">
        <v>4738</v>
      </c>
      <c r="F2016" s="13" t="s">
        <v>8863</v>
      </c>
      <c r="G2016" s="13" t="s">
        <v>2</v>
      </c>
      <c r="H2016" s="13" t="s">
        <v>3</v>
      </c>
      <c r="I2016" s="13" t="s">
        <v>429</v>
      </c>
      <c r="J2016" s="13" t="s">
        <v>8890</v>
      </c>
      <c r="K2016" s="13" t="s">
        <v>6051</v>
      </c>
      <c r="L2016" s="13" t="s">
        <v>8956</v>
      </c>
      <c r="M2016" t="s">
        <v>3</v>
      </c>
    </row>
    <row r="2017" spans="1:13" x14ac:dyDescent="0.25">
      <c r="A2017" s="13" t="s">
        <v>4739</v>
      </c>
      <c r="B2017" s="13" t="s">
        <v>4740</v>
      </c>
      <c r="C2017" s="13" t="s">
        <v>4741</v>
      </c>
      <c r="D2017" s="13">
        <v>62.5</v>
      </c>
      <c r="E2017" s="13" t="s">
        <v>4742</v>
      </c>
      <c r="F2017" s="13" t="s">
        <v>8863</v>
      </c>
      <c r="G2017" s="13" t="s">
        <v>2</v>
      </c>
      <c r="H2017" s="13" t="s">
        <v>3</v>
      </c>
      <c r="I2017" s="13" t="s">
        <v>1254</v>
      </c>
      <c r="J2017" s="13" t="s">
        <v>8890</v>
      </c>
      <c r="K2017" s="13" t="s">
        <v>8508</v>
      </c>
      <c r="L2017" s="13" t="s">
        <v>8956</v>
      </c>
      <c r="M2017" t="s">
        <v>3</v>
      </c>
    </row>
    <row r="2018" spans="1:13" x14ac:dyDescent="0.25">
      <c r="A2018" s="13" t="s">
        <v>4743</v>
      </c>
      <c r="B2018" s="13" t="s">
        <v>4743</v>
      </c>
      <c r="C2018" s="13" t="s">
        <v>4743</v>
      </c>
      <c r="D2018" s="13">
        <v>110.4</v>
      </c>
      <c r="E2018" s="13" t="s">
        <v>4744</v>
      </c>
      <c r="F2018" s="13" t="s">
        <v>8863</v>
      </c>
      <c r="G2018" s="13" t="s">
        <v>2</v>
      </c>
      <c r="H2018" s="13" t="s">
        <v>3</v>
      </c>
      <c r="I2018" s="13" t="s">
        <v>1745</v>
      </c>
      <c r="J2018" s="13" t="s">
        <v>8890</v>
      </c>
      <c r="K2018" s="13" t="s">
        <v>8430</v>
      </c>
      <c r="L2018" s="13" t="s">
        <v>8956</v>
      </c>
      <c r="M2018" t="s">
        <v>3</v>
      </c>
    </row>
    <row r="2019" spans="1:13" x14ac:dyDescent="0.25">
      <c r="A2019" s="13" t="s">
        <v>4745</v>
      </c>
      <c r="B2019" s="13" t="s">
        <v>4746</v>
      </c>
      <c r="C2019" s="13" t="s">
        <v>4747</v>
      </c>
      <c r="D2019" s="13">
        <v>56.8</v>
      </c>
      <c r="E2019" s="13" t="s">
        <v>4748</v>
      </c>
      <c r="F2019" s="13" t="s">
        <v>8863</v>
      </c>
      <c r="G2019" s="13" t="s">
        <v>2</v>
      </c>
      <c r="H2019" s="13" t="s">
        <v>3</v>
      </c>
      <c r="I2019" s="13" t="s">
        <v>228</v>
      </c>
      <c r="J2019" s="13" t="s">
        <v>8890</v>
      </c>
      <c r="K2019" s="13" t="s">
        <v>8418</v>
      </c>
      <c r="L2019" s="13" t="s">
        <v>8956</v>
      </c>
      <c r="M2019" t="s">
        <v>3</v>
      </c>
    </row>
    <row r="2020" spans="1:13" x14ac:dyDescent="0.25">
      <c r="A2020" s="13" t="s">
        <v>4749</v>
      </c>
      <c r="B2020" s="13" t="s">
        <v>4749</v>
      </c>
      <c r="C2020" s="13" t="s">
        <v>4750</v>
      </c>
      <c r="D2020" s="13">
        <v>4.7</v>
      </c>
      <c r="E2020" s="13" t="s">
        <v>4751</v>
      </c>
      <c r="F2020" s="13" t="s">
        <v>8863</v>
      </c>
      <c r="G2020" s="13" t="s">
        <v>2</v>
      </c>
      <c r="H2020" s="13" t="s">
        <v>3</v>
      </c>
      <c r="I2020" s="13" t="s">
        <v>137</v>
      </c>
      <c r="J2020" s="13" t="s">
        <v>8890</v>
      </c>
      <c r="K2020" s="13" t="s">
        <v>8429</v>
      </c>
      <c r="L2020" s="13" t="s">
        <v>8956</v>
      </c>
      <c r="M2020" t="s">
        <v>3</v>
      </c>
    </row>
    <row r="2021" spans="1:13" x14ac:dyDescent="0.25">
      <c r="A2021" s="13" t="s">
        <v>4752</v>
      </c>
      <c r="B2021" s="13" t="s">
        <v>4752</v>
      </c>
      <c r="C2021" s="13" t="s">
        <v>4752</v>
      </c>
      <c r="D2021" s="13">
        <v>106.5</v>
      </c>
      <c r="E2021" s="13" t="s">
        <v>4753</v>
      </c>
      <c r="F2021" s="13" t="s">
        <v>8863</v>
      </c>
      <c r="G2021" s="13" t="s">
        <v>2</v>
      </c>
      <c r="H2021" s="13" t="s">
        <v>3</v>
      </c>
      <c r="I2021" s="13" t="s">
        <v>137</v>
      </c>
      <c r="J2021" s="13" t="s">
        <v>8890</v>
      </c>
      <c r="K2021" s="13" t="s">
        <v>8429</v>
      </c>
      <c r="L2021" s="13" t="s">
        <v>8956</v>
      </c>
      <c r="M2021" t="s">
        <v>3</v>
      </c>
    </row>
    <row r="2022" spans="1:13" x14ac:dyDescent="0.25">
      <c r="A2022" s="13" t="s">
        <v>4754</v>
      </c>
      <c r="B2022" s="13" t="s">
        <v>4755</v>
      </c>
      <c r="C2022" s="13" t="s">
        <v>4754</v>
      </c>
      <c r="D2022" s="13">
        <v>1.1000000000000001</v>
      </c>
      <c r="E2022" s="13" t="s">
        <v>4756</v>
      </c>
      <c r="F2022" s="13" t="s">
        <v>8863</v>
      </c>
      <c r="G2022" s="13" t="s">
        <v>2</v>
      </c>
      <c r="H2022" s="13" t="s">
        <v>3</v>
      </c>
      <c r="I2022" s="13" t="s">
        <v>4757</v>
      </c>
      <c r="J2022" s="13" t="s">
        <v>8890</v>
      </c>
      <c r="K2022" s="13" t="s">
        <v>8666</v>
      </c>
      <c r="L2022" s="13" t="s">
        <v>8956</v>
      </c>
      <c r="M2022" t="s">
        <v>3</v>
      </c>
    </row>
    <row r="2023" spans="1:13" x14ac:dyDescent="0.25">
      <c r="A2023" s="13" t="s">
        <v>4758</v>
      </c>
      <c r="B2023" s="13" t="s">
        <v>4759</v>
      </c>
      <c r="C2023" s="13" t="s">
        <v>4760</v>
      </c>
      <c r="D2023" s="13">
        <v>35.9</v>
      </c>
      <c r="E2023" s="13" t="s">
        <v>4761</v>
      </c>
      <c r="F2023" s="13" t="s">
        <v>8863</v>
      </c>
      <c r="G2023" s="13" t="s">
        <v>2</v>
      </c>
      <c r="H2023" s="13" t="s">
        <v>3</v>
      </c>
      <c r="I2023" s="13" t="s">
        <v>1263</v>
      </c>
      <c r="J2023" s="13" t="s">
        <v>8890</v>
      </c>
      <c r="K2023" s="13" t="s">
        <v>8422</v>
      </c>
      <c r="L2023" s="13" t="s">
        <v>8956</v>
      </c>
      <c r="M2023" t="s">
        <v>3</v>
      </c>
    </row>
    <row r="2024" spans="1:13" x14ac:dyDescent="0.25">
      <c r="A2024" s="13" t="s">
        <v>4762</v>
      </c>
      <c r="B2024" s="13" t="s">
        <v>4762</v>
      </c>
      <c r="C2024" s="13" t="s">
        <v>4763</v>
      </c>
      <c r="D2024" s="13">
        <v>2.9</v>
      </c>
      <c r="E2024" s="13" t="s">
        <v>4763</v>
      </c>
      <c r="F2024" s="13" t="s">
        <v>8863</v>
      </c>
      <c r="G2024" s="13" t="s">
        <v>2</v>
      </c>
      <c r="H2024" s="13" t="s">
        <v>3</v>
      </c>
      <c r="I2024" s="13" t="s">
        <v>447</v>
      </c>
      <c r="J2024" s="13" t="s">
        <v>8890</v>
      </c>
      <c r="K2024" s="13" t="s">
        <v>8421</v>
      </c>
      <c r="L2024" s="13" t="s">
        <v>8956</v>
      </c>
      <c r="M2024" t="s">
        <v>3</v>
      </c>
    </row>
    <row r="2025" spans="1:13" x14ac:dyDescent="0.25">
      <c r="A2025" s="13" t="s">
        <v>4764</v>
      </c>
      <c r="B2025" s="13" t="s">
        <v>4764</v>
      </c>
      <c r="C2025" s="13" t="s">
        <v>4764</v>
      </c>
      <c r="D2025" s="13">
        <v>5</v>
      </c>
      <c r="E2025" s="13" t="s">
        <v>4765</v>
      </c>
      <c r="F2025" s="13" t="s">
        <v>8863</v>
      </c>
      <c r="G2025" s="13" t="s">
        <v>2</v>
      </c>
      <c r="H2025" s="13" t="s">
        <v>3</v>
      </c>
      <c r="I2025" s="13" t="s">
        <v>429</v>
      </c>
      <c r="J2025" s="13" t="s">
        <v>8890</v>
      </c>
      <c r="K2025" s="13" t="s">
        <v>6051</v>
      </c>
      <c r="L2025" s="13" t="s">
        <v>8956</v>
      </c>
      <c r="M2025" t="s">
        <v>3</v>
      </c>
    </row>
    <row r="2026" spans="1:13" x14ac:dyDescent="0.25">
      <c r="A2026" s="13" t="s">
        <v>4766</v>
      </c>
      <c r="B2026" s="13" t="s">
        <v>4766</v>
      </c>
      <c r="C2026" s="13" t="s">
        <v>4767</v>
      </c>
      <c r="D2026" s="13">
        <v>6.4</v>
      </c>
      <c r="E2026" s="13" t="s">
        <v>4768</v>
      </c>
      <c r="F2026" s="13" t="s">
        <v>8863</v>
      </c>
      <c r="G2026" s="13" t="s">
        <v>2</v>
      </c>
      <c r="H2026" s="13" t="s">
        <v>3</v>
      </c>
      <c r="I2026" s="13" t="s">
        <v>1263</v>
      </c>
      <c r="J2026" s="13" t="s">
        <v>8890</v>
      </c>
      <c r="K2026" s="13" t="s">
        <v>8422</v>
      </c>
      <c r="L2026" s="13" t="s">
        <v>8956</v>
      </c>
      <c r="M2026" t="s">
        <v>3</v>
      </c>
    </row>
    <row r="2027" spans="1:13" x14ac:dyDescent="0.25">
      <c r="A2027" s="13" t="s">
        <v>4769</v>
      </c>
      <c r="B2027" s="13" t="s">
        <v>4769</v>
      </c>
      <c r="C2027" s="13" t="s">
        <v>4770</v>
      </c>
      <c r="D2027" s="13">
        <v>22.5</v>
      </c>
      <c r="E2027" s="13" t="s">
        <v>4771</v>
      </c>
      <c r="F2027" s="13" t="s">
        <v>8863</v>
      </c>
      <c r="G2027" s="13" t="s">
        <v>2</v>
      </c>
      <c r="H2027" s="13" t="s">
        <v>3</v>
      </c>
      <c r="I2027" s="13" t="s">
        <v>809</v>
      </c>
      <c r="J2027" s="13" t="s">
        <v>8890</v>
      </c>
      <c r="K2027" s="13" t="s">
        <v>8512</v>
      </c>
      <c r="L2027" s="13" t="s">
        <v>8956</v>
      </c>
      <c r="M2027" t="s">
        <v>3</v>
      </c>
    </row>
    <row r="2028" spans="1:13" x14ac:dyDescent="0.25">
      <c r="A2028" s="13" t="s">
        <v>4772</v>
      </c>
      <c r="B2028" s="13" t="s">
        <v>4772</v>
      </c>
      <c r="C2028" s="13" t="s">
        <v>4773</v>
      </c>
      <c r="D2028" s="13">
        <v>3.5</v>
      </c>
      <c r="E2028" s="13" t="s">
        <v>4773</v>
      </c>
      <c r="F2028" s="13" t="s">
        <v>8863</v>
      </c>
      <c r="G2028" s="13" t="s">
        <v>2</v>
      </c>
      <c r="H2028" s="13" t="s">
        <v>3</v>
      </c>
      <c r="I2028" s="13" t="s">
        <v>447</v>
      </c>
      <c r="J2028" s="13" t="s">
        <v>8890</v>
      </c>
      <c r="K2028" s="13" t="s">
        <v>8421</v>
      </c>
      <c r="L2028" s="13" t="s">
        <v>8956</v>
      </c>
      <c r="M2028" t="s">
        <v>3</v>
      </c>
    </row>
    <row r="2029" spans="1:13" ht="26.25" x14ac:dyDescent="0.25">
      <c r="A2029" s="13" t="s">
        <v>4774</v>
      </c>
      <c r="B2029" s="13" t="s">
        <v>4774</v>
      </c>
      <c r="C2029" s="13" t="s">
        <v>4775</v>
      </c>
      <c r="D2029" s="13">
        <v>1.3</v>
      </c>
      <c r="E2029" s="13" t="s">
        <v>4776</v>
      </c>
      <c r="F2029" s="13" t="s">
        <v>8863</v>
      </c>
      <c r="G2029" s="13" t="s">
        <v>2</v>
      </c>
      <c r="H2029" s="13" t="s">
        <v>3</v>
      </c>
      <c r="I2029" s="13" t="s">
        <v>4</v>
      </c>
      <c r="J2029" s="13" t="s">
        <v>8890</v>
      </c>
      <c r="K2029" s="13" t="s">
        <v>8424</v>
      </c>
      <c r="L2029" s="13" t="s">
        <v>8956</v>
      </c>
      <c r="M2029" t="s">
        <v>3</v>
      </c>
    </row>
    <row r="2030" spans="1:13" x14ac:dyDescent="0.25">
      <c r="A2030" s="13" t="s">
        <v>4777</v>
      </c>
      <c r="B2030" s="13" t="s">
        <v>4777</v>
      </c>
      <c r="C2030" s="13" t="s">
        <v>4777</v>
      </c>
      <c r="D2030" s="13">
        <v>20</v>
      </c>
      <c r="E2030" s="13" t="s">
        <v>4778</v>
      </c>
      <c r="F2030" s="13" t="s">
        <v>8863</v>
      </c>
      <c r="G2030" s="13" t="s">
        <v>2</v>
      </c>
      <c r="H2030" s="13" t="s">
        <v>3</v>
      </c>
      <c r="I2030" s="13" t="s">
        <v>1366</v>
      </c>
      <c r="J2030" s="13" t="s">
        <v>8890</v>
      </c>
      <c r="K2030" s="13" t="s">
        <v>8417</v>
      </c>
      <c r="L2030" s="13" t="s">
        <v>8956</v>
      </c>
      <c r="M2030" t="s">
        <v>3</v>
      </c>
    </row>
    <row r="2031" spans="1:13" x14ac:dyDescent="0.25">
      <c r="A2031" s="13" t="s">
        <v>4779</v>
      </c>
      <c r="B2031" s="13" t="s">
        <v>4779</v>
      </c>
      <c r="C2031" s="13" t="s">
        <v>9276</v>
      </c>
      <c r="D2031" s="13">
        <v>76.5</v>
      </c>
      <c r="E2031" s="13" t="s">
        <v>4780</v>
      </c>
      <c r="F2031" s="13" t="s">
        <v>8863</v>
      </c>
      <c r="G2031" s="13" t="s">
        <v>2</v>
      </c>
      <c r="H2031" s="13" t="s">
        <v>3</v>
      </c>
      <c r="I2031" s="13" t="s">
        <v>1283</v>
      </c>
      <c r="J2031" s="13" t="s">
        <v>8890</v>
      </c>
      <c r="K2031" s="13" t="s">
        <v>8524</v>
      </c>
      <c r="L2031" s="13" t="s">
        <v>8956</v>
      </c>
      <c r="M2031" t="s">
        <v>3</v>
      </c>
    </row>
    <row r="2032" spans="1:13" x14ac:dyDescent="0.25">
      <c r="A2032" s="13" t="s">
        <v>4781</v>
      </c>
      <c r="B2032" s="13" t="s">
        <v>4781</v>
      </c>
      <c r="C2032" s="13" t="s">
        <v>4782</v>
      </c>
      <c r="D2032" s="13">
        <v>3.4</v>
      </c>
      <c r="E2032" s="13" t="s">
        <v>4783</v>
      </c>
      <c r="F2032" s="13" t="s">
        <v>8863</v>
      </c>
      <c r="G2032" s="13" t="s">
        <v>2</v>
      </c>
      <c r="H2032" s="13" t="s">
        <v>3</v>
      </c>
      <c r="I2032" s="13" t="s">
        <v>159</v>
      </c>
      <c r="J2032" s="13" t="s">
        <v>8890</v>
      </c>
      <c r="K2032" s="13" t="s">
        <v>8442</v>
      </c>
      <c r="L2032" s="13" t="s">
        <v>8956</v>
      </c>
      <c r="M2032" t="s">
        <v>3</v>
      </c>
    </row>
    <row r="2033" spans="1:13" x14ac:dyDescent="0.25">
      <c r="A2033" s="13" t="s">
        <v>4784</v>
      </c>
      <c r="B2033" s="13" t="s">
        <v>4784</v>
      </c>
      <c r="C2033" s="13" t="s">
        <v>4785</v>
      </c>
      <c r="D2033" s="13">
        <v>1.5</v>
      </c>
      <c r="E2033" s="13" t="s">
        <v>4786</v>
      </c>
      <c r="F2033" s="13" t="s">
        <v>8863</v>
      </c>
      <c r="G2033" s="13" t="s">
        <v>2</v>
      </c>
      <c r="H2033" s="13" t="s">
        <v>3</v>
      </c>
      <c r="I2033" s="13" t="s">
        <v>4787</v>
      </c>
      <c r="J2033" s="13" t="s">
        <v>8890</v>
      </c>
      <c r="K2033" s="13" t="s">
        <v>8667</v>
      </c>
      <c r="L2033" s="13" t="s">
        <v>8956</v>
      </c>
      <c r="M2033" t="s">
        <v>3</v>
      </c>
    </row>
    <row r="2034" spans="1:13" x14ac:dyDescent="0.25">
      <c r="A2034" s="13" t="s">
        <v>4788</v>
      </c>
      <c r="B2034" s="13" t="s">
        <v>4788</v>
      </c>
      <c r="C2034" s="13" t="s">
        <v>4789</v>
      </c>
      <c r="D2034" s="13">
        <v>24.9</v>
      </c>
      <c r="E2034" s="13" t="s">
        <v>4789</v>
      </c>
      <c r="F2034" s="13" t="s">
        <v>8863</v>
      </c>
      <c r="G2034" s="13" t="s">
        <v>2</v>
      </c>
      <c r="H2034" s="13" t="s">
        <v>3</v>
      </c>
      <c r="I2034" s="13" t="s">
        <v>447</v>
      </c>
      <c r="J2034" s="13" t="s">
        <v>8890</v>
      </c>
      <c r="K2034" s="13" t="s">
        <v>8421</v>
      </c>
      <c r="L2034" s="13" t="s">
        <v>8956</v>
      </c>
      <c r="M2034" t="s">
        <v>3</v>
      </c>
    </row>
    <row r="2035" spans="1:13" x14ac:dyDescent="0.25">
      <c r="A2035" s="13" t="s">
        <v>11567</v>
      </c>
      <c r="B2035" s="13" t="s">
        <v>11567</v>
      </c>
      <c r="C2035" s="13" t="s">
        <v>11567</v>
      </c>
      <c r="D2035" s="13">
        <v>3.5</v>
      </c>
      <c r="E2035" s="13" t="s">
        <v>11568</v>
      </c>
      <c r="F2035" s="13" t="s">
        <v>8863</v>
      </c>
      <c r="G2035" s="13" t="s">
        <v>2</v>
      </c>
      <c r="H2035" s="13" t="s">
        <v>3</v>
      </c>
      <c r="I2035" s="13" t="s">
        <v>706</v>
      </c>
      <c r="J2035" s="13" t="s">
        <v>8890</v>
      </c>
      <c r="K2035" s="13" t="s">
        <v>8419</v>
      </c>
      <c r="L2035" s="13" t="s">
        <v>8956</v>
      </c>
      <c r="M2035" t="s">
        <v>3</v>
      </c>
    </row>
    <row r="2036" spans="1:13" x14ac:dyDescent="0.25">
      <c r="A2036" s="13" t="s">
        <v>12063</v>
      </c>
      <c r="B2036" s="13" t="s">
        <v>12063</v>
      </c>
      <c r="C2036" s="13" t="s">
        <v>12064</v>
      </c>
      <c r="D2036" s="13">
        <v>2.4</v>
      </c>
      <c r="E2036" s="13" t="s">
        <v>12065</v>
      </c>
      <c r="F2036" s="13" t="s">
        <v>8863</v>
      </c>
      <c r="G2036" s="13" t="s">
        <v>2</v>
      </c>
      <c r="H2036" s="13" t="s">
        <v>3</v>
      </c>
      <c r="I2036" s="13" t="s">
        <v>447</v>
      </c>
      <c r="J2036" s="13" t="s">
        <v>8890</v>
      </c>
      <c r="K2036" s="13" t="s">
        <v>8421</v>
      </c>
      <c r="L2036" s="13" t="s">
        <v>8956</v>
      </c>
      <c r="M2036" t="s">
        <v>3</v>
      </c>
    </row>
    <row r="2037" spans="1:13" x14ac:dyDescent="0.25">
      <c r="A2037" s="13" t="s">
        <v>11637</v>
      </c>
      <c r="B2037" s="13" t="s">
        <v>11637</v>
      </c>
      <c r="C2037" s="13" t="s">
        <v>11637</v>
      </c>
      <c r="D2037" s="13">
        <v>1.9</v>
      </c>
      <c r="E2037" s="13" t="s">
        <v>11638</v>
      </c>
      <c r="F2037" s="13" t="s">
        <v>8863</v>
      </c>
      <c r="G2037" s="13" t="s">
        <v>2</v>
      </c>
      <c r="H2037" s="13" t="s">
        <v>3</v>
      </c>
      <c r="I2037" s="13" t="s">
        <v>1978</v>
      </c>
      <c r="J2037" s="13" t="s">
        <v>8890</v>
      </c>
      <c r="K2037" s="13" t="s">
        <v>8570</v>
      </c>
      <c r="L2037" s="13" t="s">
        <v>8956</v>
      </c>
      <c r="M2037" t="s">
        <v>3</v>
      </c>
    </row>
    <row r="2038" spans="1:13" x14ac:dyDescent="0.25">
      <c r="A2038" s="13" t="s">
        <v>11639</v>
      </c>
      <c r="B2038" s="13" t="s">
        <v>11639</v>
      </c>
      <c r="C2038" s="13" t="s">
        <v>11639</v>
      </c>
      <c r="D2038" s="13">
        <v>2.1</v>
      </c>
      <c r="E2038" s="13" t="s">
        <v>11640</v>
      </c>
      <c r="F2038" s="13" t="s">
        <v>8863</v>
      </c>
      <c r="G2038" s="13" t="s">
        <v>2</v>
      </c>
      <c r="H2038" s="13" t="s">
        <v>3</v>
      </c>
      <c r="I2038" s="13" t="s">
        <v>1978</v>
      </c>
      <c r="J2038" s="13" t="s">
        <v>8890</v>
      </c>
      <c r="K2038" s="13" t="s">
        <v>8570</v>
      </c>
      <c r="L2038" s="13" t="s">
        <v>8956</v>
      </c>
      <c r="M2038" t="s">
        <v>3</v>
      </c>
    </row>
    <row r="2039" spans="1:13" x14ac:dyDescent="0.25">
      <c r="A2039" s="13" t="s">
        <v>11641</v>
      </c>
      <c r="B2039" s="13" t="s">
        <v>11641</v>
      </c>
      <c r="C2039" s="13" t="s">
        <v>11641</v>
      </c>
      <c r="D2039" s="13">
        <v>1.8</v>
      </c>
      <c r="E2039" s="13" t="s">
        <v>11642</v>
      </c>
      <c r="F2039" s="13" t="s">
        <v>8863</v>
      </c>
      <c r="G2039" s="13" t="s">
        <v>2</v>
      </c>
      <c r="H2039" s="13" t="s">
        <v>3</v>
      </c>
      <c r="I2039" s="13" t="s">
        <v>1978</v>
      </c>
      <c r="J2039" s="13" t="s">
        <v>8890</v>
      </c>
      <c r="K2039" s="13" t="s">
        <v>8570</v>
      </c>
      <c r="L2039" s="13" t="s">
        <v>8956</v>
      </c>
      <c r="M2039" t="s">
        <v>3</v>
      </c>
    </row>
    <row r="2040" spans="1:13" x14ac:dyDescent="0.25">
      <c r="A2040" s="13" t="s">
        <v>11643</v>
      </c>
      <c r="B2040" s="13" t="s">
        <v>11643</v>
      </c>
      <c r="C2040" s="13" t="s">
        <v>11643</v>
      </c>
      <c r="D2040" s="13">
        <v>1.4</v>
      </c>
      <c r="E2040" s="13" t="s">
        <v>11644</v>
      </c>
      <c r="F2040" s="13" t="s">
        <v>8863</v>
      </c>
      <c r="G2040" s="13" t="s">
        <v>2</v>
      </c>
      <c r="H2040" s="13" t="s">
        <v>3</v>
      </c>
      <c r="I2040" s="13" t="s">
        <v>1978</v>
      </c>
      <c r="J2040" s="13" t="s">
        <v>8890</v>
      </c>
      <c r="K2040" s="13" t="s">
        <v>8570</v>
      </c>
      <c r="L2040" s="13" t="s">
        <v>8956</v>
      </c>
      <c r="M2040" t="s">
        <v>3</v>
      </c>
    </row>
    <row r="2041" spans="1:13" x14ac:dyDescent="0.25">
      <c r="A2041" s="13" t="s">
        <v>11645</v>
      </c>
      <c r="B2041" s="13" t="s">
        <v>11645</v>
      </c>
      <c r="C2041" s="13" t="s">
        <v>11645</v>
      </c>
      <c r="D2041" s="13">
        <v>3.5</v>
      </c>
      <c r="E2041" s="13" t="s">
        <v>11646</v>
      </c>
      <c r="F2041" s="13" t="s">
        <v>8863</v>
      </c>
      <c r="G2041" s="13" t="s">
        <v>2</v>
      </c>
      <c r="H2041" s="13" t="s">
        <v>3</v>
      </c>
      <c r="I2041" s="13" t="s">
        <v>1978</v>
      </c>
      <c r="J2041" s="13" t="s">
        <v>8890</v>
      </c>
      <c r="K2041" s="13" t="s">
        <v>8570</v>
      </c>
      <c r="L2041" s="13" t="s">
        <v>8956</v>
      </c>
      <c r="M2041" t="s">
        <v>3</v>
      </c>
    </row>
    <row r="2042" spans="1:13" x14ac:dyDescent="0.25">
      <c r="A2042" s="13" t="s">
        <v>4790</v>
      </c>
      <c r="B2042" s="13" t="s">
        <v>4791</v>
      </c>
      <c r="C2042" s="13" t="s">
        <v>4792</v>
      </c>
      <c r="D2042" s="13">
        <v>6.5</v>
      </c>
      <c r="E2042" s="13" t="s">
        <v>4793</v>
      </c>
      <c r="F2042" s="13" t="s">
        <v>8863</v>
      </c>
      <c r="G2042" s="13" t="s">
        <v>2</v>
      </c>
      <c r="H2042" s="13" t="s">
        <v>3</v>
      </c>
      <c r="I2042" s="13" t="s">
        <v>1978</v>
      </c>
      <c r="J2042" s="13" t="s">
        <v>8890</v>
      </c>
      <c r="K2042" s="13" t="s">
        <v>8570</v>
      </c>
      <c r="L2042" s="13" t="s">
        <v>8956</v>
      </c>
      <c r="M2042" t="s">
        <v>3</v>
      </c>
    </row>
    <row r="2043" spans="1:13" x14ac:dyDescent="0.25">
      <c r="A2043" s="13" t="s">
        <v>4794</v>
      </c>
      <c r="B2043" s="13" t="s">
        <v>4794</v>
      </c>
      <c r="C2043" s="13" t="s">
        <v>4795</v>
      </c>
      <c r="D2043" s="13">
        <v>2.5</v>
      </c>
      <c r="E2043" s="13" t="s">
        <v>4795</v>
      </c>
      <c r="F2043" s="13" t="s">
        <v>8863</v>
      </c>
      <c r="G2043" s="13" t="s">
        <v>2</v>
      </c>
      <c r="H2043" s="13" t="s">
        <v>3</v>
      </c>
      <c r="I2043" s="13" t="s">
        <v>447</v>
      </c>
      <c r="J2043" s="13" t="s">
        <v>8890</v>
      </c>
      <c r="K2043" s="13" t="s">
        <v>8421</v>
      </c>
      <c r="L2043" s="13" t="s">
        <v>8956</v>
      </c>
      <c r="M2043" t="s">
        <v>3</v>
      </c>
    </row>
    <row r="2044" spans="1:13" x14ac:dyDescent="0.25">
      <c r="A2044" s="13" t="s">
        <v>4796</v>
      </c>
      <c r="B2044" s="13" t="s">
        <v>4796</v>
      </c>
      <c r="C2044" s="13" t="s">
        <v>4796</v>
      </c>
      <c r="D2044" s="13">
        <v>18.7</v>
      </c>
      <c r="E2044" s="13" t="s">
        <v>4797</v>
      </c>
      <c r="F2044" s="13" t="s">
        <v>8863</v>
      </c>
      <c r="G2044" s="13" t="s">
        <v>2</v>
      </c>
      <c r="H2044" s="13" t="s">
        <v>3</v>
      </c>
      <c r="I2044" s="13" t="s">
        <v>4798</v>
      </c>
      <c r="J2044" s="13" t="s">
        <v>8890</v>
      </c>
      <c r="K2044" s="13" t="s">
        <v>8668</v>
      </c>
      <c r="L2044" s="13" t="s">
        <v>8956</v>
      </c>
      <c r="M2044" t="s">
        <v>3</v>
      </c>
    </row>
    <row r="2045" spans="1:13" x14ac:dyDescent="0.25">
      <c r="A2045" s="13" t="s">
        <v>11647</v>
      </c>
      <c r="B2045" s="13" t="s">
        <v>11647</v>
      </c>
      <c r="C2045" s="13" t="s">
        <v>11648</v>
      </c>
      <c r="D2045" s="13">
        <v>1.2</v>
      </c>
      <c r="E2045" s="13" t="s">
        <v>11649</v>
      </c>
      <c r="F2045" s="13" t="s">
        <v>8863</v>
      </c>
      <c r="G2045" s="13" t="s">
        <v>2</v>
      </c>
      <c r="H2045" s="13" t="s">
        <v>3</v>
      </c>
      <c r="I2045" s="13" t="s">
        <v>447</v>
      </c>
      <c r="J2045" s="13" t="s">
        <v>8890</v>
      </c>
      <c r="K2045" s="13" t="s">
        <v>8421</v>
      </c>
      <c r="L2045" s="13" t="s">
        <v>8956</v>
      </c>
      <c r="M2045" t="s">
        <v>3</v>
      </c>
    </row>
    <row r="2046" spans="1:13" x14ac:dyDescent="0.25">
      <c r="A2046" s="13" t="s">
        <v>4799</v>
      </c>
      <c r="B2046" s="13" t="s">
        <v>4799</v>
      </c>
      <c r="C2046" s="13" t="s">
        <v>4800</v>
      </c>
      <c r="D2046" s="13">
        <v>8.5</v>
      </c>
      <c r="E2046" s="13" t="s">
        <v>4800</v>
      </c>
      <c r="F2046" s="13" t="s">
        <v>8863</v>
      </c>
      <c r="G2046" s="13" t="s">
        <v>2</v>
      </c>
      <c r="H2046" s="13" t="s">
        <v>3</v>
      </c>
      <c r="I2046" s="13" t="s">
        <v>447</v>
      </c>
      <c r="J2046" s="13" t="s">
        <v>8890</v>
      </c>
      <c r="K2046" s="13" t="s">
        <v>8421</v>
      </c>
      <c r="L2046" s="13" t="s">
        <v>8956</v>
      </c>
      <c r="M2046" t="s">
        <v>3</v>
      </c>
    </row>
    <row r="2047" spans="1:13" x14ac:dyDescent="0.25">
      <c r="A2047" s="13" t="s">
        <v>4801</v>
      </c>
      <c r="B2047" s="13" t="s">
        <v>4801</v>
      </c>
      <c r="C2047" s="13" t="s">
        <v>4802</v>
      </c>
      <c r="D2047" s="13">
        <v>2</v>
      </c>
      <c r="E2047" s="13" t="s">
        <v>4802</v>
      </c>
      <c r="F2047" s="13" t="s">
        <v>8863</v>
      </c>
      <c r="G2047" s="13" t="s">
        <v>2</v>
      </c>
      <c r="H2047" s="13" t="s">
        <v>3</v>
      </c>
      <c r="I2047" s="13" t="s">
        <v>447</v>
      </c>
      <c r="J2047" s="13" t="s">
        <v>8890</v>
      </c>
      <c r="K2047" s="13" t="s">
        <v>8421</v>
      </c>
      <c r="L2047" s="13" t="s">
        <v>8956</v>
      </c>
      <c r="M2047" t="s">
        <v>3</v>
      </c>
    </row>
    <row r="2048" spans="1:13" x14ac:dyDescent="0.25">
      <c r="A2048" s="13" t="s">
        <v>4803</v>
      </c>
      <c r="B2048" s="13" t="s">
        <v>4803</v>
      </c>
      <c r="C2048" s="13" t="s">
        <v>4804</v>
      </c>
      <c r="D2048" s="13">
        <v>4</v>
      </c>
      <c r="E2048" s="13" t="s">
        <v>4804</v>
      </c>
      <c r="F2048" s="13" t="s">
        <v>8863</v>
      </c>
      <c r="G2048" s="13" t="s">
        <v>2</v>
      </c>
      <c r="H2048" s="13" t="s">
        <v>3</v>
      </c>
      <c r="I2048" s="13" t="s">
        <v>447</v>
      </c>
      <c r="J2048" s="13" t="s">
        <v>8890</v>
      </c>
      <c r="K2048" s="13" t="s">
        <v>8421</v>
      </c>
      <c r="L2048" s="13" t="s">
        <v>8956</v>
      </c>
      <c r="M2048" t="s">
        <v>3</v>
      </c>
    </row>
    <row r="2049" spans="1:13" x14ac:dyDescent="0.25">
      <c r="A2049" s="13" t="s">
        <v>4805</v>
      </c>
      <c r="B2049" s="13" t="s">
        <v>4805</v>
      </c>
      <c r="C2049" s="13" t="s">
        <v>4806</v>
      </c>
      <c r="D2049" s="13">
        <v>4.9000000000000004</v>
      </c>
      <c r="E2049" s="13" t="s">
        <v>4806</v>
      </c>
      <c r="F2049" s="13" t="s">
        <v>8863</v>
      </c>
      <c r="G2049" s="13" t="s">
        <v>2</v>
      </c>
      <c r="H2049" s="13" t="s">
        <v>3</v>
      </c>
      <c r="I2049" s="13" t="s">
        <v>447</v>
      </c>
      <c r="J2049" s="13" t="s">
        <v>8890</v>
      </c>
      <c r="K2049" s="13" t="s">
        <v>8421</v>
      </c>
      <c r="L2049" s="13" t="s">
        <v>8956</v>
      </c>
      <c r="M2049" t="s">
        <v>3</v>
      </c>
    </row>
    <row r="2050" spans="1:13" x14ac:dyDescent="0.25">
      <c r="A2050" s="13" t="s">
        <v>4807</v>
      </c>
      <c r="B2050" s="13" t="s">
        <v>4807</v>
      </c>
      <c r="C2050" s="13" t="s">
        <v>4808</v>
      </c>
      <c r="D2050" s="13">
        <v>11.4</v>
      </c>
      <c r="E2050" s="13" t="s">
        <v>4808</v>
      </c>
      <c r="F2050" s="13" t="s">
        <v>8863</v>
      </c>
      <c r="G2050" s="13" t="s">
        <v>2</v>
      </c>
      <c r="H2050" s="13" t="s">
        <v>3</v>
      </c>
      <c r="I2050" s="13" t="s">
        <v>447</v>
      </c>
      <c r="J2050" s="13" t="s">
        <v>8890</v>
      </c>
      <c r="K2050" s="13" t="s">
        <v>8421</v>
      </c>
      <c r="L2050" s="13" t="s">
        <v>8956</v>
      </c>
      <c r="M2050" t="s">
        <v>3</v>
      </c>
    </row>
    <row r="2051" spans="1:13" x14ac:dyDescent="0.25">
      <c r="A2051" s="13" t="s">
        <v>4809</v>
      </c>
      <c r="B2051" s="13" t="s">
        <v>4809</v>
      </c>
      <c r="C2051" s="13" t="s">
        <v>4810</v>
      </c>
      <c r="D2051" s="13">
        <v>10</v>
      </c>
      <c r="E2051" s="13" t="s">
        <v>4811</v>
      </c>
      <c r="F2051" s="13" t="s">
        <v>8863</v>
      </c>
      <c r="G2051" s="13" t="s">
        <v>2</v>
      </c>
      <c r="H2051" s="13" t="s">
        <v>3</v>
      </c>
      <c r="I2051" s="13" t="s">
        <v>447</v>
      </c>
      <c r="J2051" s="13" t="s">
        <v>8890</v>
      </c>
      <c r="K2051" s="13" t="s">
        <v>8421</v>
      </c>
      <c r="L2051" s="13" t="s">
        <v>8956</v>
      </c>
      <c r="M2051" t="s">
        <v>3</v>
      </c>
    </row>
    <row r="2052" spans="1:13" x14ac:dyDescent="0.25">
      <c r="A2052" s="13" t="s">
        <v>4812</v>
      </c>
      <c r="B2052" s="13" t="s">
        <v>4812</v>
      </c>
      <c r="C2052" s="13" t="s">
        <v>4813</v>
      </c>
      <c r="D2052" s="13">
        <v>1.8</v>
      </c>
      <c r="E2052" s="13" t="s">
        <v>4813</v>
      </c>
      <c r="F2052" s="13" t="s">
        <v>8863</v>
      </c>
      <c r="G2052" s="13" t="s">
        <v>2</v>
      </c>
      <c r="H2052" s="13" t="s">
        <v>3</v>
      </c>
      <c r="I2052" s="13" t="s">
        <v>447</v>
      </c>
      <c r="J2052" s="13" t="s">
        <v>8890</v>
      </c>
      <c r="K2052" s="13" t="s">
        <v>8421</v>
      </c>
      <c r="L2052" s="13" t="s">
        <v>8956</v>
      </c>
      <c r="M2052" t="s">
        <v>3</v>
      </c>
    </row>
    <row r="2053" spans="1:13" x14ac:dyDescent="0.25">
      <c r="A2053" s="13" t="s">
        <v>4814</v>
      </c>
      <c r="B2053" s="13" t="s">
        <v>4814</v>
      </c>
      <c r="C2053" s="13" t="s">
        <v>4815</v>
      </c>
      <c r="D2053" s="13">
        <v>7</v>
      </c>
      <c r="E2053" s="13" t="s">
        <v>4815</v>
      </c>
      <c r="F2053" s="13" t="s">
        <v>8863</v>
      </c>
      <c r="G2053" s="13" t="s">
        <v>2</v>
      </c>
      <c r="H2053" s="13" t="s">
        <v>3</v>
      </c>
      <c r="I2053" s="13" t="s">
        <v>447</v>
      </c>
      <c r="J2053" s="13" t="s">
        <v>8890</v>
      </c>
      <c r="K2053" s="13" t="s">
        <v>8421</v>
      </c>
      <c r="L2053" s="13" t="s">
        <v>8956</v>
      </c>
      <c r="M2053" t="s">
        <v>3</v>
      </c>
    </row>
    <row r="2054" spans="1:13" x14ac:dyDescent="0.25">
      <c r="A2054" s="13" t="s">
        <v>4816</v>
      </c>
      <c r="B2054" s="13" t="s">
        <v>4816</v>
      </c>
      <c r="C2054" s="13" t="s">
        <v>4817</v>
      </c>
      <c r="D2054" s="13">
        <v>28.6</v>
      </c>
      <c r="E2054" s="13" t="s">
        <v>4818</v>
      </c>
      <c r="F2054" s="13" t="s">
        <v>8863</v>
      </c>
      <c r="G2054" s="13" t="s">
        <v>2</v>
      </c>
      <c r="H2054" s="13" t="s">
        <v>9060</v>
      </c>
      <c r="I2054" s="13" t="s">
        <v>706</v>
      </c>
      <c r="J2054" s="13" t="s">
        <v>8890</v>
      </c>
      <c r="K2054" s="13" t="s">
        <v>8419</v>
      </c>
      <c r="L2054" s="13" t="s">
        <v>8956</v>
      </c>
      <c r="M2054" t="s">
        <v>9060</v>
      </c>
    </row>
    <row r="2055" spans="1:13" x14ac:dyDescent="0.25">
      <c r="A2055" s="13" t="s">
        <v>4819</v>
      </c>
      <c r="B2055" s="13" t="s">
        <v>4820</v>
      </c>
      <c r="C2055" s="13" t="s">
        <v>4820</v>
      </c>
      <c r="D2055" s="13">
        <v>0.5</v>
      </c>
      <c r="E2055" s="13" t="s">
        <v>4821</v>
      </c>
      <c r="F2055" s="13" t="s">
        <v>8863</v>
      </c>
      <c r="G2055" s="13" t="s">
        <v>2</v>
      </c>
      <c r="H2055" s="13" t="s">
        <v>3</v>
      </c>
      <c r="I2055" s="13" t="s">
        <v>1254</v>
      </c>
      <c r="J2055" s="13" t="s">
        <v>8890</v>
      </c>
      <c r="K2055" s="13" t="s">
        <v>8508</v>
      </c>
      <c r="L2055" s="13" t="s">
        <v>8956</v>
      </c>
      <c r="M2055" t="s">
        <v>3</v>
      </c>
    </row>
    <row r="2056" spans="1:13" x14ac:dyDescent="0.25">
      <c r="A2056" s="13" t="s">
        <v>4822</v>
      </c>
      <c r="B2056" s="13" t="s">
        <v>4822</v>
      </c>
      <c r="C2056" s="13" t="s">
        <v>9277</v>
      </c>
      <c r="D2056" s="13">
        <v>0.7</v>
      </c>
      <c r="E2056" s="13" t="s">
        <v>4823</v>
      </c>
      <c r="F2056" s="13" t="s">
        <v>8863</v>
      </c>
      <c r="G2056" s="13" t="s">
        <v>2</v>
      </c>
      <c r="H2056" s="13" t="s">
        <v>3</v>
      </c>
      <c r="I2056" s="13" t="s">
        <v>809</v>
      </c>
      <c r="J2056" s="13" t="s">
        <v>8890</v>
      </c>
      <c r="K2056" s="13" t="s">
        <v>8512</v>
      </c>
      <c r="L2056" s="13" t="s">
        <v>8956</v>
      </c>
      <c r="M2056" t="s">
        <v>3</v>
      </c>
    </row>
    <row r="2057" spans="1:13" x14ac:dyDescent="0.25">
      <c r="A2057" s="13" t="s">
        <v>4824</v>
      </c>
      <c r="B2057" s="13" t="s">
        <v>4824</v>
      </c>
      <c r="C2057" s="13" t="s">
        <v>4825</v>
      </c>
      <c r="D2057" s="13">
        <v>22.8</v>
      </c>
      <c r="E2057" s="13" t="s">
        <v>4826</v>
      </c>
      <c r="F2057" s="13" t="s">
        <v>8863</v>
      </c>
      <c r="G2057" s="13" t="s">
        <v>2</v>
      </c>
      <c r="H2057" s="13" t="s">
        <v>3</v>
      </c>
      <c r="I2057" s="13" t="s">
        <v>564</v>
      </c>
      <c r="J2057" s="13" t="s">
        <v>8890</v>
      </c>
      <c r="K2057" s="13" t="s">
        <v>8483</v>
      </c>
      <c r="L2057" s="13" t="s">
        <v>8956</v>
      </c>
      <c r="M2057" t="s">
        <v>3</v>
      </c>
    </row>
    <row r="2058" spans="1:13" x14ac:dyDescent="0.25">
      <c r="A2058" s="13" t="s">
        <v>4827</v>
      </c>
      <c r="B2058" s="13" t="s">
        <v>4827</v>
      </c>
      <c r="C2058" s="13" t="s">
        <v>4828</v>
      </c>
      <c r="D2058" s="13">
        <v>5.5</v>
      </c>
      <c r="E2058" s="13" t="s">
        <v>4829</v>
      </c>
      <c r="F2058" s="13" t="s">
        <v>8863</v>
      </c>
      <c r="G2058" s="13" t="s">
        <v>2</v>
      </c>
      <c r="H2058" s="13" t="s">
        <v>3</v>
      </c>
      <c r="I2058" s="13" t="s">
        <v>447</v>
      </c>
      <c r="J2058" s="13" t="s">
        <v>8890</v>
      </c>
      <c r="K2058" s="13" t="s">
        <v>8421</v>
      </c>
      <c r="L2058" s="13" t="s">
        <v>8956</v>
      </c>
      <c r="M2058" t="s">
        <v>3</v>
      </c>
    </row>
    <row r="2059" spans="1:13" ht="26.25" x14ac:dyDescent="0.25">
      <c r="A2059" s="13" t="s">
        <v>4830</v>
      </c>
      <c r="B2059" s="13" t="s">
        <v>4830</v>
      </c>
      <c r="C2059" s="13" t="s">
        <v>4831</v>
      </c>
      <c r="D2059" s="13">
        <v>16.100000000000001</v>
      </c>
      <c r="E2059" s="13" t="s">
        <v>4832</v>
      </c>
      <c r="F2059" s="13" t="s">
        <v>8863</v>
      </c>
      <c r="G2059" s="13" t="s">
        <v>2</v>
      </c>
      <c r="H2059" s="13" t="s">
        <v>3</v>
      </c>
      <c r="I2059" s="13" t="s">
        <v>1540</v>
      </c>
      <c r="J2059" s="13" t="s">
        <v>8890</v>
      </c>
      <c r="K2059" s="13" t="s">
        <v>8669</v>
      </c>
      <c r="L2059" s="13" t="s">
        <v>8956</v>
      </c>
      <c r="M2059" t="s">
        <v>3</v>
      </c>
    </row>
    <row r="2060" spans="1:13" x14ac:dyDescent="0.25">
      <c r="A2060" s="13" t="s">
        <v>4833</v>
      </c>
      <c r="B2060" s="13" t="s">
        <v>4833</v>
      </c>
      <c r="C2060" s="13" t="s">
        <v>4834</v>
      </c>
      <c r="D2060" s="13">
        <v>9.6999999999999993</v>
      </c>
      <c r="E2060" s="13" t="s">
        <v>4835</v>
      </c>
      <c r="F2060" s="13" t="s">
        <v>8863</v>
      </c>
      <c r="G2060" s="13" t="s">
        <v>2</v>
      </c>
      <c r="H2060" s="13" t="s">
        <v>3</v>
      </c>
      <c r="I2060" s="13" t="s">
        <v>4836</v>
      </c>
      <c r="J2060" s="13" t="s">
        <v>8890</v>
      </c>
      <c r="K2060" s="13" t="s">
        <v>8670</v>
      </c>
      <c r="L2060" s="13" t="s">
        <v>8956</v>
      </c>
      <c r="M2060" t="s">
        <v>3</v>
      </c>
    </row>
    <row r="2061" spans="1:13" x14ac:dyDescent="0.25">
      <c r="A2061" s="13" t="s">
        <v>4837</v>
      </c>
      <c r="B2061" s="13" t="s">
        <v>4837</v>
      </c>
      <c r="C2061" s="13" t="s">
        <v>4838</v>
      </c>
      <c r="D2061" s="13">
        <v>5.8</v>
      </c>
      <c r="E2061" s="13" t="s">
        <v>4839</v>
      </c>
      <c r="F2061" s="13" t="s">
        <v>8863</v>
      </c>
      <c r="G2061" s="13" t="s">
        <v>2</v>
      </c>
      <c r="H2061" s="13" t="s">
        <v>3</v>
      </c>
      <c r="I2061" s="13" t="s">
        <v>447</v>
      </c>
      <c r="J2061" s="13" t="s">
        <v>8890</v>
      </c>
      <c r="K2061" s="13" t="s">
        <v>8421</v>
      </c>
      <c r="L2061" s="13" t="s">
        <v>8956</v>
      </c>
      <c r="M2061" t="s">
        <v>3</v>
      </c>
    </row>
    <row r="2062" spans="1:13" x14ac:dyDescent="0.25">
      <c r="A2062" s="13" t="s">
        <v>11341</v>
      </c>
      <c r="B2062" s="13" t="s">
        <v>11341</v>
      </c>
      <c r="C2062" s="13" t="s">
        <v>11342</v>
      </c>
      <c r="D2062" s="13">
        <v>16.5</v>
      </c>
      <c r="E2062" s="13" t="s">
        <v>11343</v>
      </c>
      <c r="F2062" s="13" t="s">
        <v>8863</v>
      </c>
      <c r="G2062" s="13" t="s">
        <v>2</v>
      </c>
      <c r="H2062" s="13" t="s">
        <v>3</v>
      </c>
      <c r="I2062" s="13" t="s">
        <v>447</v>
      </c>
      <c r="J2062" s="13" t="s">
        <v>8890</v>
      </c>
      <c r="K2062" s="13" t="s">
        <v>8421</v>
      </c>
      <c r="L2062" s="13" t="s">
        <v>8893</v>
      </c>
      <c r="M2062" t="s">
        <v>3</v>
      </c>
    </row>
    <row r="2063" spans="1:13" ht="26.25" x14ac:dyDescent="0.25">
      <c r="A2063" s="13" t="s">
        <v>10765</v>
      </c>
      <c r="B2063" s="13" t="s">
        <v>10766</v>
      </c>
      <c r="C2063" s="13" t="s">
        <v>10767</v>
      </c>
      <c r="D2063" s="13">
        <v>6.1</v>
      </c>
      <c r="E2063" s="13" t="s">
        <v>10768</v>
      </c>
      <c r="F2063" s="13" t="s">
        <v>9717</v>
      </c>
      <c r="G2063" s="13" t="s">
        <v>2</v>
      </c>
      <c r="H2063" s="13" t="s">
        <v>3</v>
      </c>
      <c r="I2063" s="13" t="s">
        <v>4</v>
      </c>
      <c r="J2063" s="13" t="s">
        <v>9004</v>
      </c>
      <c r="K2063" s="13" t="s">
        <v>8424</v>
      </c>
      <c r="L2063" s="13" t="s">
        <v>10077</v>
      </c>
      <c r="M2063" t="s">
        <v>3</v>
      </c>
    </row>
    <row r="2064" spans="1:13" ht="26.25" x14ac:dyDescent="0.25">
      <c r="A2064" s="13" t="s">
        <v>10291</v>
      </c>
      <c r="B2064" s="13" t="s">
        <v>10292</v>
      </c>
      <c r="C2064" s="13" t="s">
        <v>10293</v>
      </c>
      <c r="D2064" s="13">
        <v>5.6</v>
      </c>
      <c r="E2064" s="13" t="s">
        <v>10294</v>
      </c>
      <c r="F2064" s="13" t="s">
        <v>9717</v>
      </c>
      <c r="G2064" s="13" t="s">
        <v>2</v>
      </c>
      <c r="H2064" s="13" t="s">
        <v>3</v>
      </c>
      <c r="I2064" s="13" t="s">
        <v>497</v>
      </c>
      <c r="J2064" s="13" t="s">
        <v>9004</v>
      </c>
      <c r="K2064" s="13" t="s">
        <v>8475</v>
      </c>
      <c r="L2064" s="13" t="s">
        <v>10077</v>
      </c>
      <c r="M2064" t="s">
        <v>3</v>
      </c>
    </row>
    <row r="2065" spans="1:13" x14ac:dyDescent="0.25">
      <c r="A2065" s="13" t="s">
        <v>10295</v>
      </c>
      <c r="B2065" s="13" t="s">
        <v>10296</v>
      </c>
      <c r="C2065" s="13" t="s">
        <v>10296</v>
      </c>
      <c r="D2065" s="13">
        <v>4.5999999999999996</v>
      </c>
      <c r="E2065" s="13" t="s">
        <v>10297</v>
      </c>
      <c r="F2065" s="13" t="s">
        <v>8865</v>
      </c>
      <c r="G2065" s="13" t="s">
        <v>2</v>
      </c>
      <c r="H2065" s="13" t="s">
        <v>3</v>
      </c>
      <c r="I2065" s="13" t="s">
        <v>497</v>
      </c>
      <c r="J2065" s="13" t="s">
        <v>8890</v>
      </c>
      <c r="K2065" s="13" t="s">
        <v>8475</v>
      </c>
      <c r="L2065" s="13" t="s">
        <v>8901</v>
      </c>
      <c r="M2065" t="s">
        <v>3</v>
      </c>
    </row>
    <row r="2066" spans="1:13" ht="26.25" x14ac:dyDescent="0.25">
      <c r="A2066" s="13" t="s">
        <v>11344</v>
      </c>
      <c r="B2066" s="13" t="s">
        <v>11345</v>
      </c>
      <c r="C2066" s="13" t="s">
        <v>11346</v>
      </c>
      <c r="D2066" s="13">
        <v>3.3</v>
      </c>
      <c r="E2066" s="13" t="s">
        <v>11347</v>
      </c>
      <c r="F2066" s="13" t="s">
        <v>8865</v>
      </c>
      <c r="G2066" s="13" t="s">
        <v>2</v>
      </c>
      <c r="H2066" s="13" t="s">
        <v>3</v>
      </c>
      <c r="I2066" s="13" t="s">
        <v>497</v>
      </c>
      <c r="J2066" s="13" t="s">
        <v>8890</v>
      </c>
      <c r="K2066" s="13" t="s">
        <v>8475</v>
      </c>
      <c r="L2066" s="13" t="s">
        <v>8901</v>
      </c>
      <c r="M2066" t="s">
        <v>3</v>
      </c>
    </row>
    <row r="2067" spans="1:13" x14ac:dyDescent="0.25">
      <c r="A2067" s="13" t="s">
        <v>9807</v>
      </c>
      <c r="B2067" s="13" t="s">
        <v>9807</v>
      </c>
      <c r="C2067" s="13" t="s">
        <v>9808</v>
      </c>
      <c r="D2067" s="13">
        <v>38.6</v>
      </c>
      <c r="E2067" s="13" t="s">
        <v>9809</v>
      </c>
      <c r="F2067" s="13" t="s">
        <v>9717</v>
      </c>
      <c r="G2067" s="13" t="s">
        <v>2</v>
      </c>
      <c r="H2067" s="13" t="s">
        <v>3</v>
      </c>
      <c r="I2067" s="13" t="s">
        <v>1366</v>
      </c>
      <c r="J2067" s="13" t="s">
        <v>9004</v>
      </c>
      <c r="K2067" s="13" t="s">
        <v>8417</v>
      </c>
      <c r="L2067" s="13" t="s">
        <v>10023</v>
      </c>
      <c r="M2067" t="s">
        <v>3</v>
      </c>
    </row>
    <row r="2068" spans="1:13" x14ac:dyDescent="0.25">
      <c r="A2068" s="13" t="s">
        <v>4840</v>
      </c>
      <c r="B2068" s="13" t="s">
        <v>4840</v>
      </c>
      <c r="C2068" s="13" t="s">
        <v>4841</v>
      </c>
      <c r="D2068" s="13">
        <v>179.1</v>
      </c>
      <c r="E2068" s="13" t="s">
        <v>4842</v>
      </c>
      <c r="F2068" s="13" t="s">
        <v>9717</v>
      </c>
      <c r="G2068" s="13" t="s">
        <v>2</v>
      </c>
      <c r="H2068" s="13" t="s">
        <v>3</v>
      </c>
      <c r="I2068" s="13" t="s">
        <v>1366</v>
      </c>
      <c r="J2068" s="13" t="s">
        <v>9004</v>
      </c>
      <c r="K2068" s="13" t="s">
        <v>8417</v>
      </c>
      <c r="L2068" s="13" t="s">
        <v>10023</v>
      </c>
      <c r="M2068" t="s">
        <v>3</v>
      </c>
    </row>
    <row r="2069" spans="1:13" x14ac:dyDescent="0.25">
      <c r="A2069" s="13" t="s">
        <v>4843</v>
      </c>
      <c r="B2069" s="13" t="s">
        <v>4844</v>
      </c>
      <c r="C2069" s="13" t="s">
        <v>4845</v>
      </c>
      <c r="D2069" s="13">
        <v>3.9</v>
      </c>
      <c r="E2069" s="13" t="s">
        <v>4846</v>
      </c>
      <c r="F2069" s="13" t="s">
        <v>8863</v>
      </c>
      <c r="G2069" s="13" t="s">
        <v>2</v>
      </c>
      <c r="H2069" s="13" t="s">
        <v>3</v>
      </c>
      <c r="I2069" s="13" t="s">
        <v>1978</v>
      </c>
      <c r="J2069" s="13" t="s">
        <v>8890</v>
      </c>
      <c r="K2069" s="13" t="s">
        <v>8570</v>
      </c>
      <c r="L2069" s="13" t="s">
        <v>8956</v>
      </c>
      <c r="M2069" t="s">
        <v>3</v>
      </c>
    </row>
    <row r="2070" spans="1:13" x14ac:dyDescent="0.25">
      <c r="A2070" s="13" t="s">
        <v>4847</v>
      </c>
      <c r="B2070" s="13" t="s">
        <v>4847</v>
      </c>
      <c r="C2070" s="13" t="s">
        <v>4847</v>
      </c>
      <c r="D2070" s="13">
        <v>1</v>
      </c>
      <c r="E2070" s="13" t="s">
        <v>4848</v>
      </c>
      <c r="F2070" s="13" t="s">
        <v>8863</v>
      </c>
      <c r="G2070" s="13" t="s">
        <v>2</v>
      </c>
      <c r="H2070" s="13" t="s">
        <v>3</v>
      </c>
      <c r="I2070" s="13" t="s">
        <v>809</v>
      </c>
      <c r="J2070" s="13" t="s">
        <v>8890</v>
      </c>
      <c r="K2070" s="13" t="s">
        <v>8512</v>
      </c>
      <c r="L2070" s="13" t="s">
        <v>8956</v>
      </c>
      <c r="M2070" t="s">
        <v>3</v>
      </c>
    </row>
    <row r="2071" spans="1:13" x14ac:dyDescent="0.25">
      <c r="A2071" s="13" t="s">
        <v>4849</v>
      </c>
      <c r="B2071" s="13" t="s">
        <v>4850</v>
      </c>
      <c r="C2071" s="13" t="s">
        <v>4850</v>
      </c>
      <c r="D2071" s="13">
        <v>34</v>
      </c>
      <c r="E2071" s="13" t="s">
        <v>4851</v>
      </c>
      <c r="F2071" s="13" t="s">
        <v>8863</v>
      </c>
      <c r="G2071" s="13" t="s">
        <v>2</v>
      </c>
      <c r="H2071" s="13" t="s">
        <v>3</v>
      </c>
      <c r="I2071" s="13" t="s">
        <v>516</v>
      </c>
      <c r="J2071" s="13" t="s">
        <v>8890</v>
      </c>
      <c r="K2071" s="13" t="s">
        <v>516</v>
      </c>
      <c r="L2071" s="13" t="s">
        <v>8956</v>
      </c>
      <c r="M2071" t="s">
        <v>3</v>
      </c>
    </row>
    <row r="2072" spans="1:13" ht="26.25" x14ac:dyDescent="0.25">
      <c r="A2072" s="13" t="s">
        <v>4852</v>
      </c>
      <c r="B2072" s="13" t="s">
        <v>4853</v>
      </c>
      <c r="C2072" s="13" t="s">
        <v>4854</v>
      </c>
      <c r="D2072" s="13">
        <v>0.5</v>
      </c>
      <c r="E2072" s="13" t="s">
        <v>4855</v>
      </c>
      <c r="F2072" s="13" t="s">
        <v>8860</v>
      </c>
      <c r="G2072" s="13" t="s">
        <v>19</v>
      </c>
      <c r="H2072" s="13" t="s">
        <v>3</v>
      </c>
      <c r="I2072" s="13" t="s">
        <v>4856</v>
      </c>
      <c r="J2072" s="13" t="s">
        <v>21</v>
      </c>
      <c r="K2072" s="13" t="s">
        <v>8671</v>
      </c>
      <c r="L2072" s="13" t="s">
        <v>18</v>
      </c>
      <c r="M2072" t="s">
        <v>3</v>
      </c>
    </row>
    <row r="2073" spans="1:13" ht="26.25" x14ac:dyDescent="0.25">
      <c r="A2073" s="13" t="s">
        <v>9278</v>
      </c>
      <c r="B2073" s="13" t="s">
        <v>9279</v>
      </c>
      <c r="C2073" s="13" t="s">
        <v>9280</v>
      </c>
      <c r="D2073" s="13">
        <v>0.5</v>
      </c>
      <c r="E2073" s="13" t="s">
        <v>9281</v>
      </c>
      <c r="F2073" s="13" t="s">
        <v>35</v>
      </c>
      <c r="G2073" s="13" t="s">
        <v>19</v>
      </c>
      <c r="H2073" s="13" t="s">
        <v>3</v>
      </c>
      <c r="I2073" s="13" t="s">
        <v>9279</v>
      </c>
      <c r="J2073" s="13" t="s">
        <v>37</v>
      </c>
      <c r="K2073" s="13" t="s">
        <v>9282</v>
      </c>
      <c r="L2073" s="13" t="s">
        <v>35</v>
      </c>
      <c r="M2073" t="s">
        <v>3</v>
      </c>
    </row>
    <row r="2074" spans="1:13" ht="26.25" x14ac:dyDescent="0.25">
      <c r="A2074" s="13" t="s">
        <v>4857</v>
      </c>
      <c r="B2074" s="13" t="s">
        <v>4857</v>
      </c>
      <c r="C2074" s="13" t="s">
        <v>4858</v>
      </c>
      <c r="D2074" s="13">
        <v>0</v>
      </c>
      <c r="E2074" s="13" t="s">
        <v>4859</v>
      </c>
      <c r="F2074" s="13" t="s">
        <v>8860</v>
      </c>
      <c r="G2074" s="13" t="s">
        <v>19</v>
      </c>
      <c r="H2074" s="13" t="s">
        <v>3</v>
      </c>
      <c r="I2074" s="13" t="s">
        <v>4860</v>
      </c>
      <c r="J2074" s="13" t="s">
        <v>21</v>
      </c>
      <c r="K2074" s="13" t="s">
        <v>9283</v>
      </c>
      <c r="L2074" s="13" t="s">
        <v>18</v>
      </c>
      <c r="M2074" t="s">
        <v>3</v>
      </c>
    </row>
    <row r="2075" spans="1:13" x14ac:dyDescent="0.25">
      <c r="A2075" s="13" t="s">
        <v>4861</v>
      </c>
      <c r="B2075" s="13" t="s">
        <v>4862</v>
      </c>
      <c r="C2075" s="13" t="s">
        <v>4863</v>
      </c>
      <c r="D2075" s="13">
        <v>20</v>
      </c>
      <c r="E2075" s="13" t="s">
        <v>4864</v>
      </c>
      <c r="F2075" s="13" t="s">
        <v>8867</v>
      </c>
      <c r="G2075" s="13" t="s">
        <v>2</v>
      </c>
      <c r="H2075" s="13" t="s">
        <v>8958</v>
      </c>
      <c r="I2075" s="13" t="s">
        <v>516</v>
      </c>
      <c r="J2075" s="13" t="s">
        <v>8890</v>
      </c>
      <c r="K2075" s="13" t="s">
        <v>516</v>
      </c>
      <c r="L2075" s="13" t="s">
        <v>158</v>
      </c>
      <c r="M2075" t="s">
        <v>8958</v>
      </c>
    </row>
    <row r="2076" spans="1:13" ht="26.25" x14ac:dyDescent="0.25">
      <c r="A2076" s="13" t="s">
        <v>4865</v>
      </c>
      <c r="B2076" s="13" t="s">
        <v>4865</v>
      </c>
      <c r="C2076" s="13" t="s">
        <v>4865</v>
      </c>
      <c r="D2076" s="13">
        <v>16.3</v>
      </c>
      <c r="E2076" s="13" t="s">
        <v>4866</v>
      </c>
      <c r="F2076" s="13" t="s">
        <v>8863</v>
      </c>
      <c r="G2076" s="13" t="s">
        <v>2</v>
      </c>
      <c r="H2076" s="13" t="s">
        <v>3</v>
      </c>
      <c r="I2076" s="13" t="s">
        <v>1540</v>
      </c>
      <c r="J2076" s="13" t="s">
        <v>8890</v>
      </c>
      <c r="K2076" s="13" t="s">
        <v>8669</v>
      </c>
      <c r="L2076" s="13" t="s">
        <v>8956</v>
      </c>
      <c r="M2076" t="s">
        <v>3</v>
      </c>
    </row>
    <row r="2077" spans="1:13" ht="26.25" x14ac:dyDescent="0.25">
      <c r="A2077" s="13" t="s">
        <v>4867</v>
      </c>
      <c r="B2077" s="13" t="s">
        <v>4868</v>
      </c>
      <c r="C2077" s="13" t="s">
        <v>4869</v>
      </c>
      <c r="D2077" s="13">
        <v>50</v>
      </c>
      <c r="E2077" s="13" t="s">
        <v>4870</v>
      </c>
      <c r="F2077" s="13" t="s">
        <v>8860</v>
      </c>
      <c r="G2077" s="13" t="s">
        <v>19</v>
      </c>
      <c r="H2077" s="13" t="s">
        <v>3</v>
      </c>
      <c r="I2077" s="13" t="s">
        <v>119</v>
      </c>
      <c r="J2077" s="13" t="s">
        <v>21</v>
      </c>
      <c r="K2077" s="13" t="s">
        <v>8883</v>
      </c>
      <c r="L2077" s="13" t="s">
        <v>18</v>
      </c>
      <c r="M2077" t="s">
        <v>3</v>
      </c>
    </row>
    <row r="2078" spans="1:13" x14ac:dyDescent="0.25">
      <c r="A2078" s="13" t="s">
        <v>4871</v>
      </c>
      <c r="B2078" s="13" t="s">
        <v>4871</v>
      </c>
      <c r="C2078" s="13" t="s">
        <v>4872</v>
      </c>
      <c r="D2078" s="13">
        <v>5.4</v>
      </c>
      <c r="E2078" s="13" t="s">
        <v>4873</v>
      </c>
      <c r="F2078" s="13" t="s">
        <v>8863</v>
      </c>
      <c r="G2078" s="13" t="s">
        <v>2</v>
      </c>
      <c r="H2078" s="13" t="s">
        <v>3</v>
      </c>
      <c r="I2078" s="13" t="s">
        <v>1263</v>
      </c>
      <c r="J2078" s="13" t="s">
        <v>8890</v>
      </c>
      <c r="K2078" s="13" t="s">
        <v>8422</v>
      </c>
      <c r="L2078" s="13" t="s">
        <v>8956</v>
      </c>
      <c r="M2078" t="s">
        <v>3</v>
      </c>
    </row>
    <row r="2079" spans="1:13" x14ac:dyDescent="0.25">
      <c r="A2079" s="13" t="s">
        <v>4874</v>
      </c>
      <c r="B2079" s="13" t="s">
        <v>4874</v>
      </c>
      <c r="C2079" s="13" t="s">
        <v>4875</v>
      </c>
      <c r="D2079" s="13">
        <v>1.2</v>
      </c>
      <c r="E2079" s="13" t="s">
        <v>4876</v>
      </c>
      <c r="F2079" s="13" t="s">
        <v>8863</v>
      </c>
      <c r="G2079" s="13" t="s">
        <v>2</v>
      </c>
      <c r="H2079" s="13" t="s">
        <v>3</v>
      </c>
      <c r="I2079" s="13" t="s">
        <v>228</v>
      </c>
      <c r="J2079" s="13" t="s">
        <v>8890</v>
      </c>
      <c r="K2079" s="13" t="s">
        <v>8418</v>
      </c>
      <c r="L2079" s="13" t="s">
        <v>8956</v>
      </c>
      <c r="M2079" t="s">
        <v>3</v>
      </c>
    </row>
    <row r="2080" spans="1:13" x14ac:dyDescent="0.25">
      <c r="A2080" s="13" t="s">
        <v>4877</v>
      </c>
      <c r="B2080" s="13" t="s">
        <v>4877</v>
      </c>
      <c r="C2080" s="13" t="s">
        <v>4878</v>
      </c>
      <c r="D2080" s="13">
        <v>0.1</v>
      </c>
      <c r="E2080" s="13" t="s">
        <v>4879</v>
      </c>
      <c r="F2080" s="13" t="s">
        <v>8863</v>
      </c>
      <c r="G2080" s="13" t="s">
        <v>2</v>
      </c>
      <c r="H2080" s="13" t="s">
        <v>3</v>
      </c>
      <c r="I2080" s="13" t="s">
        <v>228</v>
      </c>
      <c r="J2080" s="13" t="s">
        <v>8890</v>
      </c>
      <c r="K2080" s="13" t="s">
        <v>8418</v>
      </c>
      <c r="L2080" s="13" t="s">
        <v>8893</v>
      </c>
      <c r="M2080" t="s">
        <v>3</v>
      </c>
    </row>
    <row r="2081" spans="1:13" x14ac:dyDescent="0.25">
      <c r="A2081" s="13" t="s">
        <v>4880</v>
      </c>
      <c r="B2081" s="13" t="s">
        <v>4880</v>
      </c>
      <c r="C2081" s="13" t="s">
        <v>4881</v>
      </c>
      <c r="D2081" s="13">
        <v>1.4</v>
      </c>
      <c r="E2081" s="13" t="s">
        <v>4881</v>
      </c>
      <c r="F2081" s="13" t="s">
        <v>8863</v>
      </c>
      <c r="G2081" s="13" t="s">
        <v>2</v>
      </c>
      <c r="H2081" s="13" t="s">
        <v>3</v>
      </c>
      <c r="I2081" s="13" t="s">
        <v>447</v>
      </c>
      <c r="J2081" s="13" t="s">
        <v>8890</v>
      </c>
      <c r="K2081" s="13" t="s">
        <v>8421</v>
      </c>
      <c r="L2081" s="13" t="s">
        <v>8956</v>
      </c>
      <c r="M2081" t="s">
        <v>3</v>
      </c>
    </row>
    <row r="2082" spans="1:13" x14ac:dyDescent="0.25">
      <c r="A2082" s="13" t="s">
        <v>11348</v>
      </c>
      <c r="B2082" s="13" t="s">
        <v>11348</v>
      </c>
      <c r="C2082" s="13" t="s">
        <v>11349</v>
      </c>
      <c r="D2082" s="13">
        <v>1.4</v>
      </c>
      <c r="E2082" s="13" t="s">
        <v>11350</v>
      </c>
      <c r="F2082" s="13" t="s">
        <v>8863</v>
      </c>
      <c r="G2082" s="13" t="s">
        <v>2</v>
      </c>
      <c r="H2082" s="13" t="s">
        <v>3</v>
      </c>
      <c r="I2082" s="13" t="s">
        <v>1263</v>
      </c>
      <c r="J2082" s="13" t="s">
        <v>8890</v>
      </c>
      <c r="K2082" s="13" t="s">
        <v>8422</v>
      </c>
      <c r="L2082" s="13" t="s">
        <v>8956</v>
      </c>
      <c r="M2082" t="s">
        <v>3</v>
      </c>
    </row>
    <row r="2083" spans="1:13" x14ac:dyDescent="0.25">
      <c r="A2083" s="13" t="s">
        <v>4882</v>
      </c>
      <c r="B2083" s="13" t="s">
        <v>4883</v>
      </c>
      <c r="C2083" s="13" t="s">
        <v>4884</v>
      </c>
      <c r="D2083" s="13">
        <v>10</v>
      </c>
      <c r="E2083" s="13" t="s">
        <v>4885</v>
      </c>
      <c r="F2083" s="13" t="s">
        <v>8863</v>
      </c>
      <c r="G2083" s="13" t="s">
        <v>2</v>
      </c>
      <c r="H2083" s="13" t="s">
        <v>3</v>
      </c>
      <c r="I2083" s="13" t="s">
        <v>1263</v>
      </c>
      <c r="J2083" s="13" t="s">
        <v>8890</v>
      </c>
      <c r="K2083" s="13" t="s">
        <v>8422</v>
      </c>
      <c r="L2083" s="13" t="s">
        <v>8956</v>
      </c>
      <c r="M2083" t="s">
        <v>3</v>
      </c>
    </row>
    <row r="2084" spans="1:13" x14ac:dyDescent="0.25">
      <c r="A2084" s="13" t="s">
        <v>4886</v>
      </c>
      <c r="B2084" s="13" t="s">
        <v>4886</v>
      </c>
      <c r="C2084" s="13" t="s">
        <v>4887</v>
      </c>
      <c r="D2084" s="13">
        <v>6.5</v>
      </c>
      <c r="E2084" s="13" t="s">
        <v>4887</v>
      </c>
      <c r="F2084" s="13" t="s">
        <v>8863</v>
      </c>
      <c r="G2084" s="13" t="s">
        <v>2</v>
      </c>
      <c r="H2084" s="13" t="s">
        <v>3</v>
      </c>
      <c r="I2084" s="13" t="s">
        <v>447</v>
      </c>
      <c r="J2084" s="13" t="s">
        <v>8890</v>
      </c>
      <c r="K2084" s="13" t="s">
        <v>8421</v>
      </c>
      <c r="L2084" s="13" t="s">
        <v>8956</v>
      </c>
      <c r="M2084" t="s">
        <v>3</v>
      </c>
    </row>
    <row r="2085" spans="1:13" x14ac:dyDescent="0.25">
      <c r="A2085" s="13" t="s">
        <v>4888</v>
      </c>
      <c r="B2085" s="13" t="s">
        <v>4888</v>
      </c>
      <c r="C2085" s="13" t="s">
        <v>4888</v>
      </c>
      <c r="D2085" s="13">
        <v>0.2</v>
      </c>
      <c r="E2085" s="13" t="s">
        <v>4889</v>
      </c>
      <c r="F2085" s="13" t="s">
        <v>8869</v>
      </c>
      <c r="G2085" s="13" t="s">
        <v>2</v>
      </c>
      <c r="H2085" s="13" t="s">
        <v>3</v>
      </c>
      <c r="I2085" s="13" t="s">
        <v>3218</v>
      </c>
      <c r="J2085" s="13" t="s">
        <v>8890</v>
      </c>
      <c r="K2085" s="13" t="s">
        <v>8620</v>
      </c>
      <c r="L2085" s="13" t="s">
        <v>8918</v>
      </c>
      <c r="M2085" t="s">
        <v>3</v>
      </c>
    </row>
    <row r="2086" spans="1:13" ht="26.25" x14ac:dyDescent="0.25">
      <c r="A2086" s="13" t="s">
        <v>4890</v>
      </c>
      <c r="B2086" s="13" t="s">
        <v>4891</v>
      </c>
      <c r="C2086" s="13" t="s">
        <v>4891</v>
      </c>
      <c r="D2086" s="13">
        <v>10</v>
      </c>
      <c r="E2086" s="13" t="s">
        <v>4892</v>
      </c>
      <c r="F2086" s="13" t="s">
        <v>8860</v>
      </c>
      <c r="G2086" s="13" t="s">
        <v>19</v>
      </c>
      <c r="H2086" s="13" t="s">
        <v>3</v>
      </c>
      <c r="I2086" s="13" t="s">
        <v>4893</v>
      </c>
      <c r="J2086" s="13" t="s">
        <v>21</v>
      </c>
      <c r="K2086" s="13" t="s">
        <v>9284</v>
      </c>
      <c r="L2086" s="13" t="s">
        <v>18</v>
      </c>
      <c r="M2086" t="s">
        <v>3</v>
      </c>
    </row>
    <row r="2087" spans="1:13" x14ac:dyDescent="0.25">
      <c r="A2087" s="13" t="s">
        <v>4894</v>
      </c>
      <c r="B2087" s="13" t="s">
        <v>4894</v>
      </c>
      <c r="C2087" s="13" t="s">
        <v>4895</v>
      </c>
      <c r="D2087" s="13">
        <v>4.8</v>
      </c>
      <c r="E2087" s="13" t="s">
        <v>4895</v>
      </c>
      <c r="F2087" s="13" t="s">
        <v>8863</v>
      </c>
      <c r="G2087" s="13" t="s">
        <v>2</v>
      </c>
      <c r="H2087" s="13" t="s">
        <v>3</v>
      </c>
      <c r="I2087" s="13" t="s">
        <v>447</v>
      </c>
      <c r="J2087" s="13" t="s">
        <v>8890</v>
      </c>
      <c r="K2087" s="13" t="s">
        <v>8421</v>
      </c>
      <c r="L2087" s="13" t="s">
        <v>8956</v>
      </c>
      <c r="M2087" t="s">
        <v>3</v>
      </c>
    </row>
    <row r="2088" spans="1:13" x14ac:dyDescent="0.25">
      <c r="A2088" s="13" t="s">
        <v>4896</v>
      </c>
      <c r="B2088" s="13" t="s">
        <v>4896</v>
      </c>
      <c r="C2088" s="13" t="s">
        <v>4897</v>
      </c>
      <c r="D2088" s="13">
        <v>7.2</v>
      </c>
      <c r="E2088" s="13" t="s">
        <v>4897</v>
      </c>
      <c r="F2088" s="13" t="s">
        <v>8863</v>
      </c>
      <c r="G2088" s="13" t="s">
        <v>2</v>
      </c>
      <c r="H2088" s="13" t="s">
        <v>3</v>
      </c>
      <c r="I2088" s="13" t="s">
        <v>447</v>
      </c>
      <c r="J2088" s="13" t="s">
        <v>8890</v>
      </c>
      <c r="K2088" s="13" t="s">
        <v>8421</v>
      </c>
      <c r="L2088" s="13" t="s">
        <v>8956</v>
      </c>
      <c r="M2088" t="s">
        <v>3</v>
      </c>
    </row>
    <row r="2089" spans="1:13" x14ac:dyDescent="0.25">
      <c r="A2089" s="13" t="s">
        <v>9285</v>
      </c>
      <c r="B2089" s="13" t="s">
        <v>9285</v>
      </c>
      <c r="C2089" s="13" t="s">
        <v>9285</v>
      </c>
      <c r="D2089" s="13">
        <v>5</v>
      </c>
      <c r="E2089" s="13" t="s">
        <v>9286</v>
      </c>
      <c r="F2089" s="13" t="s">
        <v>8863</v>
      </c>
      <c r="G2089" s="13" t="s">
        <v>2</v>
      </c>
      <c r="H2089" s="13" t="s">
        <v>3</v>
      </c>
      <c r="I2089" s="13" t="s">
        <v>706</v>
      </c>
      <c r="J2089" s="13" t="s">
        <v>8890</v>
      </c>
      <c r="K2089" s="13" t="s">
        <v>8419</v>
      </c>
      <c r="L2089" s="13" t="s">
        <v>8956</v>
      </c>
      <c r="M2089" t="s">
        <v>3</v>
      </c>
    </row>
    <row r="2090" spans="1:13" x14ac:dyDescent="0.25">
      <c r="A2090" s="13" t="s">
        <v>4898</v>
      </c>
      <c r="B2090" s="13" t="s">
        <v>4898</v>
      </c>
      <c r="C2090" s="13" t="s">
        <v>4899</v>
      </c>
      <c r="D2090" s="13">
        <v>13.5</v>
      </c>
      <c r="E2090" s="13" t="s">
        <v>4900</v>
      </c>
      <c r="F2090" s="13" t="s">
        <v>8863</v>
      </c>
      <c r="G2090" s="13" t="s">
        <v>2</v>
      </c>
      <c r="H2090" s="13" t="s">
        <v>3</v>
      </c>
      <c r="I2090" s="13" t="s">
        <v>1263</v>
      </c>
      <c r="J2090" s="13" t="s">
        <v>8890</v>
      </c>
      <c r="K2090" s="13" t="s">
        <v>8422</v>
      </c>
      <c r="L2090" s="13" t="s">
        <v>8956</v>
      </c>
      <c r="M2090" t="s">
        <v>3</v>
      </c>
    </row>
    <row r="2091" spans="1:13" x14ac:dyDescent="0.25">
      <c r="A2091" s="13" t="s">
        <v>4901</v>
      </c>
      <c r="B2091" s="13" t="s">
        <v>4901</v>
      </c>
      <c r="C2091" s="13" t="s">
        <v>4902</v>
      </c>
      <c r="D2091" s="13">
        <v>2.4</v>
      </c>
      <c r="E2091" s="13" t="s">
        <v>4903</v>
      </c>
      <c r="F2091" s="13" t="s">
        <v>8863</v>
      </c>
      <c r="G2091" s="13" t="s">
        <v>2</v>
      </c>
      <c r="H2091" s="13" t="s">
        <v>3</v>
      </c>
      <c r="I2091" s="13" t="s">
        <v>1263</v>
      </c>
      <c r="J2091" s="13" t="s">
        <v>8890</v>
      </c>
      <c r="K2091" s="13" t="s">
        <v>8422</v>
      </c>
      <c r="L2091" s="13" t="s">
        <v>8956</v>
      </c>
      <c r="M2091" t="s">
        <v>3</v>
      </c>
    </row>
    <row r="2092" spans="1:13" ht="26.25" x14ac:dyDescent="0.25">
      <c r="A2092" s="13" t="s">
        <v>4904</v>
      </c>
      <c r="B2092" s="13" t="s">
        <v>4904</v>
      </c>
      <c r="C2092" s="13" t="s">
        <v>4904</v>
      </c>
      <c r="D2092" s="13">
        <v>0.4</v>
      </c>
      <c r="E2092" s="13" t="s">
        <v>4905</v>
      </c>
      <c r="F2092" s="13" t="s">
        <v>8863</v>
      </c>
      <c r="G2092" s="13" t="s">
        <v>2</v>
      </c>
      <c r="H2092" s="13" t="s">
        <v>3</v>
      </c>
      <c r="I2092" s="13" t="s">
        <v>228</v>
      </c>
      <c r="J2092" s="13" t="s">
        <v>8890</v>
      </c>
      <c r="K2092" s="13" t="s">
        <v>8418</v>
      </c>
      <c r="L2092" s="13" t="s">
        <v>8893</v>
      </c>
      <c r="M2092" t="s">
        <v>3</v>
      </c>
    </row>
    <row r="2093" spans="1:13" x14ac:dyDescent="0.25">
      <c r="A2093" s="13" t="s">
        <v>4906</v>
      </c>
      <c r="B2093" s="13" t="s">
        <v>4906</v>
      </c>
      <c r="C2093" s="13" t="s">
        <v>4907</v>
      </c>
      <c r="D2093" s="13">
        <v>2.9</v>
      </c>
      <c r="E2093" s="13" t="s">
        <v>4908</v>
      </c>
      <c r="F2093" s="13" t="s">
        <v>8863</v>
      </c>
      <c r="G2093" s="13" t="s">
        <v>2</v>
      </c>
      <c r="H2093" s="13" t="s">
        <v>3</v>
      </c>
      <c r="I2093" s="13" t="s">
        <v>228</v>
      </c>
      <c r="J2093" s="13" t="s">
        <v>8890</v>
      </c>
      <c r="K2093" s="13" t="s">
        <v>8418</v>
      </c>
      <c r="L2093" s="13" t="s">
        <v>8956</v>
      </c>
      <c r="M2093" t="s">
        <v>3</v>
      </c>
    </row>
    <row r="2094" spans="1:13" x14ac:dyDescent="0.25">
      <c r="A2094" s="13" t="s">
        <v>4909</v>
      </c>
      <c r="B2094" s="13" t="s">
        <v>4909</v>
      </c>
      <c r="C2094" s="13" t="s">
        <v>4910</v>
      </c>
      <c r="D2094" s="13">
        <v>11.5</v>
      </c>
      <c r="E2094" s="13" t="s">
        <v>4910</v>
      </c>
      <c r="F2094" s="13" t="s">
        <v>8863</v>
      </c>
      <c r="G2094" s="13" t="s">
        <v>2</v>
      </c>
      <c r="H2094" s="13" t="s">
        <v>3</v>
      </c>
      <c r="I2094" s="13" t="s">
        <v>447</v>
      </c>
      <c r="J2094" s="13" t="s">
        <v>8890</v>
      </c>
      <c r="K2094" s="13" t="s">
        <v>8421</v>
      </c>
      <c r="L2094" s="13" t="s">
        <v>8956</v>
      </c>
      <c r="M2094" t="s">
        <v>3</v>
      </c>
    </row>
    <row r="2095" spans="1:13" x14ac:dyDescent="0.25">
      <c r="A2095" s="13" t="s">
        <v>4911</v>
      </c>
      <c r="B2095" s="13" t="s">
        <v>4911</v>
      </c>
      <c r="C2095" s="13" t="s">
        <v>4912</v>
      </c>
      <c r="D2095" s="13">
        <v>2.5</v>
      </c>
      <c r="E2095" s="13" t="s">
        <v>4912</v>
      </c>
      <c r="F2095" s="13" t="s">
        <v>8863</v>
      </c>
      <c r="G2095" s="13" t="s">
        <v>2</v>
      </c>
      <c r="H2095" s="13" t="s">
        <v>3</v>
      </c>
      <c r="I2095" s="13" t="s">
        <v>447</v>
      </c>
      <c r="J2095" s="13" t="s">
        <v>8890</v>
      </c>
      <c r="K2095" s="13" t="s">
        <v>8421</v>
      </c>
      <c r="L2095" s="13" t="s">
        <v>8956</v>
      </c>
      <c r="M2095" t="s">
        <v>3</v>
      </c>
    </row>
    <row r="2096" spans="1:13" x14ac:dyDescent="0.25">
      <c r="A2096" s="13" t="s">
        <v>4913</v>
      </c>
      <c r="B2096" s="13" t="s">
        <v>4913</v>
      </c>
      <c r="C2096" s="13" t="s">
        <v>4913</v>
      </c>
      <c r="D2096" s="13">
        <v>2.2999999999999998</v>
      </c>
      <c r="E2096" s="13" t="s">
        <v>4914</v>
      </c>
      <c r="F2096" s="13" t="s">
        <v>8863</v>
      </c>
      <c r="G2096" s="13" t="s">
        <v>2</v>
      </c>
      <c r="H2096" s="13" t="s">
        <v>3</v>
      </c>
      <c r="I2096" s="13" t="s">
        <v>164</v>
      </c>
      <c r="J2096" s="13" t="s">
        <v>8890</v>
      </c>
      <c r="K2096" s="13" t="s">
        <v>8443</v>
      </c>
      <c r="L2096" s="13" t="s">
        <v>8956</v>
      </c>
      <c r="M2096" t="s">
        <v>3</v>
      </c>
    </row>
    <row r="2097" spans="1:13" x14ac:dyDescent="0.25">
      <c r="A2097" s="13" t="s">
        <v>4915</v>
      </c>
      <c r="B2097" s="13" t="s">
        <v>4915</v>
      </c>
      <c r="C2097" s="13" t="s">
        <v>4916</v>
      </c>
      <c r="D2097" s="13">
        <v>4.7</v>
      </c>
      <c r="E2097" s="13" t="s">
        <v>4917</v>
      </c>
      <c r="F2097" s="13" t="s">
        <v>8863</v>
      </c>
      <c r="G2097" s="13" t="s">
        <v>2</v>
      </c>
      <c r="H2097" s="13" t="s">
        <v>3</v>
      </c>
      <c r="I2097" s="13" t="s">
        <v>4433</v>
      </c>
      <c r="J2097" s="13" t="s">
        <v>8890</v>
      </c>
      <c r="K2097" s="13" t="s">
        <v>8651</v>
      </c>
      <c r="L2097" s="13" t="s">
        <v>8956</v>
      </c>
      <c r="M2097" t="s">
        <v>3</v>
      </c>
    </row>
    <row r="2098" spans="1:13" ht="26.25" x14ac:dyDescent="0.25">
      <c r="A2098" s="13" t="s">
        <v>4918</v>
      </c>
      <c r="B2098" s="13" t="s">
        <v>4919</v>
      </c>
      <c r="C2098" s="13" t="s">
        <v>4920</v>
      </c>
      <c r="D2098" s="13">
        <v>5</v>
      </c>
      <c r="E2098" s="13" t="s">
        <v>4921</v>
      </c>
      <c r="F2098" s="13" t="s">
        <v>8860</v>
      </c>
      <c r="G2098" s="13" t="s">
        <v>19</v>
      </c>
      <c r="H2098" s="13" t="s">
        <v>3</v>
      </c>
      <c r="I2098" s="13" t="s">
        <v>4922</v>
      </c>
      <c r="J2098" s="13" t="s">
        <v>21</v>
      </c>
      <c r="K2098" s="13" t="s">
        <v>4920</v>
      </c>
      <c r="L2098" s="13" t="s">
        <v>18</v>
      </c>
      <c r="M2098" t="s">
        <v>3</v>
      </c>
    </row>
    <row r="2099" spans="1:13" x14ac:dyDescent="0.25">
      <c r="A2099" s="13" t="s">
        <v>9287</v>
      </c>
      <c r="B2099" s="13" t="s">
        <v>9287</v>
      </c>
      <c r="C2099" s="13" t="s">
        <v>9288</v>
      </c>
      <c r="D2099" s="13">
        <v>22.2</v>
      </c>
      <c r="E2099" s="13" t="s">
        <v>9289</v>
      </c>
      <c r="F2099" s="13" t="s">
        <v>8867</v>
      </c>
      <c r="G2099" s="13" t="s">
        <v>2</v>
      </c>
      <c r="H2099" s="13" t="s">
        <v>3</v>
      </c>
      <c r="I2099" s="13" t="s">
        <v>435</v>
      </c>
      <c r="J2099" s="13" t="s">
        <v>8890</v>
      </c>
      <c r="K2099" s="13" t="s">
        <v>8469</v>
      </c>
      <c r="L2099" s="13" t="s">
        <v>158</v>
      </c>
      <c r="M2099" t="s">
        <v>3</v>
      </c>
    </row>
    <row r="2100" spans="1:13" x14ac:dyDescent="0.25">
      <c r="A2100" s="13" t="s">
        <v>9290</v>
      </c>
      <c r="B2100" s="13" t="s">
        <v>9290</v>
      </c>
      <c r="C2100" s="13" t="s">
        <v>9291</v>
      </c>
      <c r="D2100" s="13">
        <v>3</v>
      </c>
      <c r="E2100" s="13" t="s">
        <v>9292</v>
      </c>
      <c r="F2100" s="13" t="s">
        <v>8867</v>
      </c>
      <c r="G2100" s="13" t="s">
        <v>2</v>
      </c>
      <c r="H2100" s="13" t="s">
        <v>3</v>
      </c>
      <c r="I2100" s="13" t="s">
        <v>435</v>
      </c>
      <c r="J2100" s="13" t="s">
        <v>8890</v>
      </c>
      <c r="K2100" s="13" t="s">
        <v>8469</v>
      </c>
      <c r="L2100" s="13" t="s">
        <v>158</v>
      </c>
      <c r="M2100" t="s">
        <v>3</v>
      </c>
    </row>
    <row r="2101" spans="1:13" x14ac:dyDescent="0.25">
      <c r="A2101" s="13" t="s">
        <v>4923</v>
      </c>
      <c r="B2101" s="13" t="s">
        <v>4923</v>
      </c>
      <c r="C2101" s="13" t="s">
        <v>4924</v>
      </c>
      <c r="D2101" s="13">
        <v>2.8</v>
      </c>
      <c r="E2101" s="13" t="s">
        <v>4924</v>
      </c>
      <c r="F2101" s="13" t="s">
        <v>8863</v>
      </c>
      <c r="G2101" s="13" t="s">
        <v>2</v>
      </c>
      <c r="H2101" s="13" t="s">
        <v>3</v>
      </c>
      <c r="I2101" s="13" t="s">
        <v>447</v>
      </c>
      <c r="J2101" s="13" t="s">
        <v>8890</v>
      </c>
      <c r="K2101" s="13" t="s">
        <v>8421</v>
      </c>
      <c r="L2101" s="13" t="s">
        <v>8956</v>
      </c>
      <c r="M2101" t="s">
        <v>3</v>
      </c>
    </row>
    <row r="2102" spans="1:13" ht="26.25" x14ac:dyDescent="0.25">
      <c r="A2102" s="13" t="s">
        <v>4925</v>
      </c>
      <c r="B2102" s="13" t="s">
        <v>4925</v>
      </c>
      <c r="C2102" s="13" t="s">
        <v>4926</v>
      </c>
      <c r="D2102" s="13">
        <v>0.1</v>
      </c>
      <c r="E2102" s="13" t="s">
        <v>4927</v>
      </c>
      <c r="F2102" s="13" t="s">
        <v>8860</v>
      </c>
      <c r="G2102" s="13" t="s">
        <v>19</v>
      </c>
      <c r="H2102" s="13" t="s">
        <v>3</v>
      </c>
      <c r="I2102" s="13" t="s">
        <v>4928</v>
      </c>
      <c r="J2102" s="13" t="s">
        <v>21</v>
      </c>
      <c r="K2102" s="13" t="s">
        <v>8672</v>
      </c>
      <c r="L2102" s="13" t="s">
        <v>18</v>
      </c>
      <c r="M2102" t="s">
        <v>3</v>
      </c>
    </row>
    <row r="2103" spans="1:13" x14ac:dyDescent="0.25">
      <c r="A2103" s="13" t="s">
        <v>4929</v>
      </c>
      <c r="B2103" s="13" t="s">
        <v>4929</v>
      </c>
      <c r="C2103" s="13" t="s">
        <v>4930</v>
      </c>
      <c r="D2103" s="13">
        <v>2.2999999999999998</v>
      </c>
      <c r="E2103" s="13" t="s">
        <v>4930</v>
      </c>
      <c r="F2103" s="13" t="s">
        <v>8863</v>
      </c>
      <c r="G2103" s="13" t="s">
        <v>2</v>
      </c>
      <c r="H2103" s="13" t="s">
        <v>3</v>
      </c>
      <c r="I2103" s="13" t="s">
        <v>447</v>
      </c>
      <c r="J2103" s="13" t="s">
        <v>8890</v>
      </c>
      <c r="K2103" s="13" t="s">
        <v>8421</v>
      </c>
      <c r="L2103" s="13" t="s">
        <v>8956</v>
      </c>
      <c r="M2103" t="s">
        <v>3</v>
      </c>
    </row>
    <row r="2104" spans="1:13" x14ac:dyDescent="0.25">
      <c r="A2104" s="13" t="s">
        <v>4931</v>
      </c>
      <c r="B2104" s="13" t="s">
        <v>4931</v>
      </c>
      <c r="C2104" s="13" t="s">
        <v>4932</v>
      </c>
      <c r="D2104" s="13">
        <v>20</v>
      </c>
      <c r="E2104" s="13" t="s">
        <v>4933</v>
      </c>
      <c r="F2104" s="13" t="s">
        <v>8863</v>
      </c>
      <c r="G2104" s="13" t="s">
        <v>2</v>
      </c>
      <c r="H2104" s="13" t="s">
        <v>9060</v>
      </c>
      <c r="I2104" s="13" t="s">
        <v>706</v>
      </c>
      <c r="J2104" s="13" t="s">
        <v>8890</v>
      </c>
      <c r="K2104" s="13" t="s">
        <v>8419</v>
      </c>
      <c r="L2104" s="13" t="s">
        <v>8956</v>
      </c>
      <c r="M2104" t="s">
        <v>9060</v>
      </c>
    </row>
    <row r="2105" spans="1:13" x14ac:dyDescent="0.25">
      <c r="A2105" s="13" t="s">
        <v>4934</v>
      </c>
      <c r="B2105" s="13" t="s">
        <v>4934</v>
      </c>
      <c r="C2105" s="13" t="s">
        <v>4935</v>
      </c>
      <c r="D2105" s="13">
        <v>6.8</v>
      </c>
      <c r="E2105" s="13" t="s">
        <v>4935</v>
      </c>
      <c r="F2105" s="13" t="s">
        <v>8863</v>
      </c>
      <c r="G2105" s="13" t="s">
        <v>2</v>
      </c>
      <c r="H2105" s="13" t="s">
        <v>3</v>
      </c>
      <c r="I2105" s="13" t="s">
        <v>447</v>
      </c>
      <c r="J2105" s="13" t="s">
        <v>8890</v>
      </c>
      <c r="K2105" s="13" t="s">
        <v>8421</v>
      </c>
      <c r="L2105" s="13" t="s">
        <v>8956</v>
      </c>
      <c r="M2105" t="s">
        <v>3</v>
      </c>
    </row>
    <row r="2106" spans="1:13" x14ac:dyDescent="0.25">
      <c r="A2106" s="13" t="s">
        <v>4936</v>
      </c>
      <c r="B2106" s="13" t="s">
        <v>4936</v>
      </c>
      <c r="C2106" s="13" t="s">
        <v>9293</v>
      </c>
      <c r="D2106" s="13">
        <v>0.1</v>
      </c>
      <c r="E2106" s="13" t="s">
        <v>4937</v>
      </c>
      <c r="F2106" s="13" t="s">
        <v>8863</v>
      </c>
      <c r="G2106" s="13" t="s">
        <v>2</v>
      </c>
      <c r="H2106" s="13" t="s">
        <v>3</v>
      </c>
      <c r="I2106" s="13" t="s">
        <v>1562</v>
      </c>
      <c r="J2106" s="13" t="s">
        <v>8890</v>
      </c>
      <c r="K2106" s="13" t="s">
        <v>8423</v>
      </c>
      <c r="L2106" s="13" t="s">
        <v>8956</v>
      </c>
      <c r="M2106" t="s">
        <v>3</v>
      </c>
    </row>
    <row r="2107" spans="1:13" x14ac:dyDescent="0.25">
      <c r="A2107" s="13" t="s">
        <v>4938</v>
      </c>
      <c r="B2107" s="13" t="s">
        <v>4938</v>
      </c>
      <c r="C2107" s="13" t="s">
        <v>4939</v>
      </c>
      <c r="D2107" s="13">
        <v>0.5</v>
      </c>
      <c r="E2107" s="13" t="s">
        <v>4939</v>
      </c>
      <c r="F2107" s="13" t="s">
        <v>8863</v>
      </c>
      <c r="G2107" s="13" t="s">
        <v>2</v>
      </c>
      <c r="H2107" s="13" t="s">
        <v>3</v>
      </c>
      <c r="I2107" s="13" t="s">
        <v>447</v>
      </c>
      <c r="J2107" s="13" t="s">
        <v>8890</v>
      </c>
      <c r="K2107" s="13" t="s">
        <v>8421</v>
      </c>
      <c r="L2107" s="13" t="s">
        <v>8956</v>
      </c>
      <c r="M2107" t="s">
        <v>3</v>
      </c>
    </row>
    <row r="2108" spans="1:13" x14ac:dyDescent="0.25">
      <c r="A2108" s="13" t="s">
        <v>4940</v>
      </c>
      <c r="B2108" s="13" t="s">
        <v>4940</v>
      </c>
      <c r="C2108" s="13" t="s">
        <v>9294</v>
      </c>
      <c r="D2108" s="13">
        <v>19.8</v>
      </c>
      <c r="E2108" s="13" t="s">
        <v>4941</v>
      </c>
      <c r="F2108" s="13" t="s">
        <v>8863</v>
      </c>
      <c r="G2108" s="13" t="s">
        <v>2</v>
      </c>
      <c r="H2108" s="13" t="s">
        <v>3</v>
      </c>
      <c r="I2108" s="13" t="s">
        <v>2280</v>
      </c>
      <c r="J2108" s="13" t="s">
        <v>8890</v>
      </c>
      <c r="K2108" s="13" t="s">
        <v>8596</v>
      </c>
      <c r="L2108" s="13" t="s">
        <v>8956</v>
      </c>
      <c r="M2108" t="s">
        <v>3</v>
      </c>
    </row>
    <row r="2109" spans="1:13" x14ac:dyDescent="0.25">
      <c r="A2109" s="13" t="s">
        <v>4942</v>
      </c>
      <c r="B2109" s="13" t="s">
        <v>4942</v>
      </c>
      <c r="C2109" s="13" t="s">
        <v>4943</v>
      </c>
      <c r="D2109" s="13">
        <v>1.3</v>
      </c>
      <c r="E2109" s="13" t="s">
        <v>4943</v>
      </c>
      <c r="F2109" s="13" t="s">
        <v>8863</v>
      </c>
      <c r="G2109" s="13" t="s">
        <v>2</v>
      </c>
      <c r="H2109" s="13" t="s">
        <v>3</v>
      </c>
      <c r="I2109" s="13" t="s">
        <v>447</v>
      </c>
      <c r="J2109" s="13" t="s">
        <v>8890</v>
      </c>
      <c r="K2109" s="13" t="s">
        <v>8421</v>
      </c>
      <c r="L2109" s="13" t="s">
        <v>8956</v>
      </c>
      <c r="M2109" t="s">
        <v>3</v>
      </c>
    </row>
    <row r="2110" spans="1:13" x14ac:dyDescent="0.25">
      <c r="A2110" s="13" t="s">
        <v>4944</v>
      </c>
      <c r="B2110" s="13" t="s">
        <v>4944</v>
      </c>
      <c r="C2110" s="13" t="s">
        <v>4945</v>
      </c>
      <c r="D2110" s="13">
        <v>8.4</v>
      </c>
      <c r="E2110" s="13" t="s">
        <v>4946</v>
      </c>
      <c r="F2110" s="13" t="s">
        <v>8863</v>
      </c>
      <c r="G2110" s="13" t="s">
        <v>2</v>
      </c>
      <c r="H2110" s="13" t="s">
        <v>3</v>
      </c>
      <c r="I2110" s="13" t="s">
        <v>4947</v>
      </c>
      <c r="J2110" s="13" t="s">
        <v>8890</v>
      </c>
      <c r="K2110" s="13" t="s">
        <v>8673</v>
      </c>
      <c r="L2110" s="13" t="s">
        <v>8956</v>
      </c>
      <c r="M2110" t="s">
        <v>3</v>
      </c>
    </row>
    <row r="2111" spans="1:13" x14ac:dyDescent="0.25">
      <c r="A2111" s="13" t="s">
        <v>4948</v>
      </c>
      <c r="B2111" s="13" t="s">
        <v>4948</v>
      </c>
      <c r="C2111" s="13" t="s">
        <v>4949</v>
      </c>
      <c r="D2111" s="13">
        <v>0.9</v>
      </c>
      <c r="E2111" s="13" t="s">
        <v>4950</v>
      </c>
      <c r="F2111" s="13" t="s">
        <v>8863</v>
      </c>
      <c r="G2111" s="13" t="s">
        <v>2</v>
      </c>
      <c r="H2111" s="13" t="s">
        <v>3</v>
      </c>
      <c r="I2111" s="13" t="s">
        <v>4947</v>
      </c>
      <c r="J2111" s="13" t="s">
        <v>8890</v>
      </c>
      <c r="K2111" s="13" t="s">
        <v>8673</v>
      </c>
      <c r="L2111" s="13" t="s">
        <v>8956</v>
      </c>
      <c r="M2111" t="s">
        <v>3</v>
      </c>
    </row>
    <row r="2112" spans="1:13" x14ac:dyDescent="0.25">
      <c r="A2112" s="13" t="s">
        <v>4951</v>
      </c>
      <c r="B2112" s="13" t="s">
        <v>4951</v>
      </c>
      <c r="C2112" s="13" t="s">
        <v>4952</v>
      </c>
      <c r="D2112" s="13">
        <v>0.4</v>
      </c>
      <c r="E2112" s="13" t="s">
        <v>4953</v>
      </c>
      <c r="F2112" s="13" t="s">
        <v>8863</v>
      </c>
      <c r="G2112" s="13" t="s">
        <v>2</v>
      </c>
      <c r="H2112" s="13" t="s">
        <v>3</v>
      </c>
      <c r="I2112" s="13" t="s">
        <v>228</v>
      </c>
      <c r="J2112" s="13" t="s">
        <v>8890</v>
      </c>
      <c r="K2112" s="13" t="s">
        <v>8418</v>
      </c>
      <c r="L2112" s="13" t="s">
        <v>8956</v>
      </c>
      <c r="M2112" t="s">
        <v>3</v>
      </c>
    </row>
    <row r="2113" spans="1:13" ht="26.25" x14ac:dyDescent="0.25">
      <c r="A2113" s="13" t="s">
        <v>4954</v>
      </c>
      <c r="B2113" s="13" t="s">
        <v>4954</v>
      </c>
      <c r="C2113" s="13" t="s">
        <v>9295</v>
      </c>
      <c r="D2113" s="13">
        <v>0</v>
      </c>
      <c r="E2113" s="13" t="s">
        <v>4955</v>
      </c>
      <c r="F2113" s="13" t="s">
        <v>8863</v>
      </c>
      <c r="G2113" s="13" t="s">
        <v>2</v>
      </c>
      <c r="H2113" s="13" t="s">
        <v>3</v>
      </c>
      <c r="I2113" s="13" t="s">
        <v>2349</v>
      </c>
      <c r="J2113" s="13" t="s">
        <v>8890</v>
      </c>
      <c r="K2113" s="13" t="s">
        <v>8599</v>
      </c>
      <c r="L2113" s="13" t="s">
        <v>8956</v>
      </c>
      <c r="M2113" t="s">
        <v>3</v>
      </c>
    </row>
    <row r="2114" spans="1:13" x14ac:dyDescent="0.25">
      <c r="A2114" s="13" t="s">
        <v>4956</v>
      </c>
      <c r="B2114" s="13" t="s">
        <v>4956</v>
      </c>
      <c r="C2114" s="13" t="s">
        <v>9296</v>
      </c>
      <c r="D2114" s="13">
        <v>0.3</v>
      </c>
      <c r="E2114" s="13" t="s">
        <v>4957</v>
      </c>
      <c r="F2114" s="13" t="s">
        <v>8863</v>
      </c>
      <c r="G2114" s="13" t="s">
        <v>2</v>
      </c>
      <c r="H2114" s="13" t="s">
        <v>3</v>
      </c>
      <c r="I2114" s="13" t="s">
        <v>2356</v>
      </c>
      <c r="J2114" s="13" t="s">
        <v>8890</v>
      </c>
      <c r="K2114" s="13" t="s">
        <v>8429</v>
      </c>
      <c r="L2114" s="13" t="s">
        <v>8956</v>
      </c>
      <c r="M2114" t="s">
        <v>3</v>
      </c>
    </row>
    <row r="2115" spans="1:13" x14ac:dyDescent="0.25">
      <c r="A2115" s="13" t="s">
        <v>4958</v>
      </c>
      <c r="B2115" s="13" t="s">
        <v>4958</v>
      </c>
      <c r="C2115" s="13" t="s">
        <v>4959</v>
      </c>
      <c r="D2115" s="13">
        <v>7.5</v>
      </c>
      <c r="E2115" s="13" t="s">
        <v>4960</v>
      </c>
      <c r="F2115" s="13" t="s">
        <v>8863</v>
      </c>
      <c r="G2115" s="13" t="s">
        <v>2</v>
      </c>
      <c r="H2115" s="13" t="s">
        <v>3</v>
      </c>
      <c r="I2115" s="13" t="s">
        <v>1263</v>
      </c>
      <c r="J2115" s="13" t="s">
        <v>8890</v>
      </c>
      <c r="K2115" s="13" t="s">
        <v>8422</v>
      </c>
      <c r="L2115" s="13" t="s">
        <v>8956</v>
      </c>
      <c r="M2115" t="s">
        <v>3</v>
      </c>
    </row>
    <row r="2116" spans="1:13" x14ac:dyDescent="0.25">
      <c r="A2116" s="13" t="s">
        <v>12066</v>
      </c>
      <c r="B2116" s="13" t="s">
        <v>12066</v>
      </c>
      <c r="C2116" s="13" t="s">
        <v>12067</v>
      </c>
      <c r="D2116" s="13">
        <v>13</v>
      </c>
      <c r="E2116" s="13" t="s">
        <v>12068</v>
      </c>
      <c r="F2116" s="13" t="s">
        <v>8863</v>
      </c>
      <c r="G2116" s="13" t="s">
        <v>2</v>
      </c>
      <c r="H2116" s="13" t="s">
        <v>3</v>
      </c>
      <c r="I2116" s="13" t="s">
        <v>1263</v>
      </c>
      <c r="J2116" s="13" t="s">
        <v>8890</v>
      </c>
      <c r="K2116" s="13" t="s">
        <v>8422</v>
      </c>
      <c r="L2116" s="13" t="s">
        <v>8893</v>
      </c>
      <c r="M2116" t="s">
        <v>3</v>
      </c>
    </row>
    <row r="2117" spans="1:13" x14ac:dyDescent="0.25">
      <c r="A2117" s="13" t="s">
        <v>4961</v>
      </c>
      <c r="B2117" s="13" t="s">
        <v>4961</v>
      </c>
      <c r="C2117" s="13" t="s">
        <v>4962</v>
      </c>
      <c r="D2117" s="13">
        <v>18.5</v>
      </c>
      <c r="E2117" s="13" t="s">
        <v>4963</v>
      </c>
      <c r="F2117" s="13" t="s">
        <v>8863</v>
      </c>
      <c r="G2117" s="13" t="s">
        <v>2</v>
      </c>
      <c r="H2117" s="13" t="s">
        <v>3</v>
      </c>
      <c r="I2117" s="13" t="s">
        <v>1263</v>
      </c>
      <c r="J2117" s="13" t="s">
        <v>8890</v>
      </c>
      <c r="K2117" s="13" t="s">
        <v>8422</v>
      </c>
      <c r="L2117" s="13" t="s">
        <v>8956</v>
      </c>
      <c r="M2117" t="s">
        <v>3</v>
      </c>
    </row>
    <row r="2118" spans="1:13" x14ac:dyDescent="0.25">
      <c r="A2118" s="13" t="s">
        <v>11351</v>
      </c>
      <c r="B2118" s="13" t="s">
        <v>11351</v>
      </c>
      <c r="C2118" s="13" t="s">
        <v>11351</v>
      </c>
      <c r="D2118" s="13">
        <v>1</v>
      </c>
      <c r="E2118" s="13" t="s">
        <v>11352</v>
      </c>
      <c r="F2118" s="13" t="s">
        <v>8863</v>
      </c>
      <c r="G2118" s="13" t="s">
        <v>2</v>
      </c>
      <c r="H2118" s="13" t="s">
        <v>3</v>
      </c>
      <c r="I2118" s="13" t="s">
        <v>706</v>
      </c>
      <c r="J2118" s="13" t="s">
        <v>8890</v>
      </c>
      <c r="K2118" s="13" t="s">
        <v>8419</v>
      </c>
      <c r="L2118" s="13" t="s">
        <v>8956</v>
      </c>
      <c r="M2118" t="s">
        <v>3</v>
      </c>
    </row>
    <row r="2119" spans="1:13" x14ac:dyDescent="0.25">
      <c r="A2119" s="13" t="s">
        <v>4964</v>
      </c>
      <c r="B2119" s="13" t="s">
        <v>4965</v>
      </c>
      <c r="C2119" s="13" t="s">
        <v>4965</v>
      </c>
      <c r="D2119" s="13">
        <v>25.5</v>
      </c>
      <c r="E2119" s="13" t="s">
        <v>4966</v>
      </c>
      <c r="F2119" s="13" t="s">
        <v>8863</v>
      </c>
      <c r="G2119" s="13" t="s">
        <v>2</v>
      </c>
      <c r="H2119" s="13" t="s">
        <v>3</v>
      </c>
      <c r="I2119" s="13" t="s">
        <v>228</v>
      </c>
      <c r="J2119" s="13" t="s">
        <v>8890</v>
      </c>
      <c r="K2119" s="13" t="s">
        <v>8418</v>
      </c>
      <c r="L2119" s="13" t="s">
        <v>8956</v>
      </c>
      <c r="M2119" t="s">
        <v>3</v>
      </c>
    </row>
    <row r="2120" spans="1:13" x14ac:dyDescent="0.25">
      <c r="A2120" s="13" t="s">
        <v>4967</v>
      </c>
      <c r="B2120" s="13" t="s">
        <v>4967</v>
      </c>
      <c r="C2120" s="13" t="s">
        <v>4968</v>
      </c>
      <c r="D2120" s="13">
        <v>15.6</v>
      </c>
      <c r="E2120" s="13" t="s">
        <v>4969</v>
      </c>
      <c r="F2120" s="13" t="s">
        <v>8863</v>
      </c>
      <c r="G2120" s="13" t="s">
        <v>2</v>
      </c>
      <c r="H2120" s="13" t="s">
        <v>3</v>
      </c>
      <c r="I2120" s="13" t="s">
        <v>228</v>
      </c>
      <c r="J2120" s="13" t="s">
        <v>8890</v>
      </c>
      <c r="K2120" s="13" t="s">
        <v>8418</v>
      </c>
      <c r="L2120" s="13" t="s">
        <v>8956</v>
      </c>
      <c r="M2120" t="s">
        <v>3</v>
      </c>
    </row>
    <row r="2121" spans="1:13" x14ac:dyDescent="0.25">
      <c r="A2121" s="13" t="s">
        <v>4970</v>
      </c>
      <c r="B2121" s="13" t="s">
        <v>4970</v>
      </c>
      <c r="C2121" s="13" t="s">
        <v>4971</v>
      </c>
      <c r="D2121" s="13">
        <v>14</v>
      </c>
      <c r="E2121" s="13" t="s">
        <v>4972</v>
      </c>
      <c r="F2121" s="13" t="s">
        <v>8863</v>
      </c>
      <c r="G2121" s="13" t="s">
        <v>2</v>
      </c>
      <c r="H2121" s="13" t="s">
        <v>3</v>
      </c>
      <c r="I2121" s="13" t="s">
        <v>1514</v>
      </c>
      <c r="J2121" s="13" t="s">
        <v>8890</v>
      </c>
      <c r="K2121" s="13" t="s">
        <v>8423</v>
      </c>
      <c r="L2121" s="13" t="s">
        <v>8956</v>
      </c>
      <c r="M2121" t="s">
        <v>3</v>
      </c>
    </row>
    <row r="2122" spans="1:13" x14ac:dyDescent="0.25">
      <c r="A2122" s="13" t="s">
        <v>11650</v>
      </c>
      <c r="B2122" s="13" t="s">
        <v>11650</v>
      </c>
      <c r="C2122" s="13" t="s">
        <v>11651</v>
      </c>
      <c r="D2122" s="13">
        <v>12.4</v>
      </c>
      <c r="E2122" s="13" t="s">
        <v>11652</v>
      </c>
      <c r="F2122" s="13" t="s">
        <v>8863</v>
      </c>
      <c r="G2122" s="13" t="s">
        <v>2</v>
      </c>
      <c r="H2122" s="13" t="s">
        <v>3</v>
      </c>
      <c r="I2122" s="13" t="s">
        <v>447</v>
      </c>
      <c r="J2122" s="13" t="s">
        <v>8890</v>
      </c>
      <c r="K2122" s="13" t="s">
        <v>8421</v>
      </c>
      <c r="L2122" s="13" t="s">
        <v>8956</v>
      </c>
      <c r="M2122" t="s">
        <v>3</v>
      </c>
    </row>
    <row r="2123" spans="1:13" x14ac:dyDescent="0.25">
      <c r="A2123" s="13" t="s">
        <v>4973</v>
      </c>
      <c r="B2123" s="13" t="s">
        <v>4973</v>
      </c>
      <c r="C2123" s="13" t="s">
        <v>4974</v>
      </c>
      <c r="D2123" s="13">
        <v>47</v>
      </c>
      <c r="E2123" s="13" t="s">
        <v>4975</v>
      </c>
      <c r="F2123" s="13" t="s">
        <v>8863</v>
      </c>
      <c r="G2123" s="13" t="s">
        <v>2</v>
      </c>
      <c r="H2123" s="13" t="s">
        <v>3</v>
      </c>
      <c r="I2123" s="13" t="s">
        <v>447</v>
      </c>
      <c r="J2123" s="13" t="s">
        <v>8890</v>
      </c>
      <c r="K2123" s="13" t="s">
        <v>8421</v>
      </c>
      <c r="L2123" s="13" t="s">
        <v>8956</v>
      </c>
      <c r="M2123" t="s">
        <v>3</v>
      </c>
    </row>
    <row r="2124" spans="1:13" x14ac:dyDescent="0.25">
      <c r="A2124" s="13" t="s">
        <v>4976</v>
      </c>
      <c r="B2124" s="13" t="s">
        <v>4976</v>
      </c>
      <c r="C2124" s="13" t="s">
        <v>4977</v>
      </c>
      <c r="D2124" s="13">
        <v>1.9</v>
      </c>
      <c r="E2124" s="13" t="s">
        <v>4977</v>
      </c>
      <c r="F2124" s="13" t="s">
        <v>8863</v>
      </c>
      <c r="G2124" s="13" t="s">
        <v>2</v>
      </c>
      <c r="H2124" s="13" t="s">
        <v>3</v>
      </c>
      <c r="I2124" s="13" t="s">
        <v>447</v>
      </c>
      <c r="J2124" s="13" t="s">
        <v>8890</v>
      </c>
      <c r="K2124" s="13" t="s">
        <v>8421</v>
      </c>
      <c r="L2124" s="13" t="s">
        <v>8956</v>
      </c>
      <c r="M2124" t="s">
        <v>3</v>
      </c>
    </row>
    <row r="2125" spans="1:13" ht="26.25" x14ac:dyDescent="0.25">
      <c r="A2125" s="13" t="s">
        <v>4978</v>
      </c>
      <c r="B2125" s="13" t="s">
        <v>4978</v>
      </c>
      <c r="C2125" s="13" t="s">
        <v>4978</v>
      </c>
      <c r="D2125" s="13">
        <v>26.6</v>
      </c>
      <c r="E2125" s="13" t="s">
        <v>4979</v>
      </c>
      <c r="F2125" s="13" t="s">
        <v>8863</v>
      </c>
      <c r="G2125" s="13" t="s">
        <v>2</v>
      </c>
      <c r="H2125" s="13" t="s">
        <v>3</v>
      </c>
      <c r="I2125" s="13" t="s">
        <v>809</v>
      </c>
      <c r="J2125" s="13" t="s">
        <v>8890</v>
      </c>
      <c r="K2125" s="13" t="s">
        <v>8512</v>
      </c>
      <c r="L2125" s="13" t="s">
        <v>8956</v>
      </c>
      <c r="M2125" t="s">
        <v>3</v>
      </c>
    </row>
    <row r="2126" spans="1:13" x14ac:dyDescent="0.25">
      <c r="A2126" s="13" t="s">
        <v>4980</v>
      </c>
      <c r="B2126" s="13" t="s">
        <v>4981</v>
      </c>
      <c r="C2126" s="13" t="s">
        <v>4982</v>
      </c>
      <c r="D2126" s="13">
        <v>28.2</v>
      </c>
      <c r="E2126" s="13" t="s">
        <v>4983</v>
      </c>
      <c r="F2126" s="13" t="s">
        <v>8863</v>
      </c>
      <c r="G2126" s="13" t="s">
        <v>2</v>
      </c>
      <c r="H2126" s="13" t="s">
        <v>3</v>
      </c>
      <c r="I2126" s="13" t="s">
        <v>228</v>
      </c>
      <c r="J2126" s="13" t="s">
        <v>8890</v>
      </c>
      <c r="K2126" s="13" t="s">
        <v>8418</v>
      </c>
      <c r="L2126" s="13" t="s">
        <v>8956</v>
      </c>
      <c r="M2126" t="s">
        <v>3</v>
      </c>
    </row>
    <row r="2127" spans="1:13" x14ac:dyDescent="0.25">
      <c r="A2127" s="13" t="s">
        <v>4984</v>
      </c>
      <c r="B2127" s="13" t="s">
        <v>4984</v>
      </c>
      <c r="C2127" s="13" t="s">
        <v>4985</v>
      </c>
      <c r="D2127" s="13">
        <v>4.3</v>
      </c>
      <c r="E2127" s="13" t="s">
        <v>4985</v>
      </c>
      <c r="F2127" s="13" t="s">
        <v>8863</v>
      </c>
      <c r="G2127" s="13" t="s">
        <v>2</v>
      </c>
      <c r="H2127" s="13" t="s">
        <v>3</v>
      </c>
      <c r="I2127" s="13" t="s">
        <v>447</v>
      </c>
      <c r="J2127" s="13" t="s">
        <v>8890</v>
      </c>
      <c r="K2127" s="13" t="s">
        <v>8421</v>
      </c>
      <c r="L2127" s="13" t="s">
        <v>8956</v>
      </c>
      <c r="M2127" t="s">
        <v>3</v>
      </c>
    </row>
    <row r="2128" spans="1:13" x14ac:dyDescent="0.25">
      <c r="A2128" s="13" t="s">
        <v>4986</v>
      </c>
      <c r="B2128" s="13" t="s">
        <v>4986</v>
      </c>
      <c r="C2128" s="13" t="s">
        <v>4987</v>
      </c>
      <c r="D2128" s="13">
        <v>4.9000000000000004</v>
      </c>
      <c r="E2128" s="13" t="s">
        <v>4987</v>
      </c>
      <c r="F2128" s="13" t="s">
        <v>8863</v>
      </c>
      <c r="G2128" s="13" t="s">
        <v>2</v>
      </c>
      <c r="H2128" s="13" t="s">
        <v>3</v>
      </c>
      <c r="I2128" s="13" t="s">
        <v>447</v>
      </c>
      <c r="J2128" s="13" t="s">
        <v>8890</v>
      </c>
      <c r="K2128" s="13" t="s">
        <v>8421</v>
      </c>
      <c r="L2128" s="13" t="s">
        <v>8956</v>
      </c>
      <c r="M2128" t="s">
        <v>3</v>
      </c>
    </row>
    <row r="2129" spans="1:13" ht="26.25" x14ac:dyDescent="0.25">
      <c r="A2129" s="13" t="s">
        <v>4988</v>
      </c>
      <c r="B2129" s="13" t="s">
        <v>4989</v>
      </c>
      <c r="C2129" s="13" t="s">
        <v>4990</v>
      </c>
      <c r="D2129" s="13">
        <v>1</v>
      </c>
      <c r="E2129" s="13" t="s">
        <v>4991</v>
      </c>
      <c r="F2129" s="13" t="s">
        <v>8860</v>
      </c>
      <c r="G2129" s="13" t="s">
        <v>19</v>
      </c>
      <c r="H2129" s="13" t="s">
        <v>3</v>
      </c>
      <c r="I2129" s="13" t="s">
        <v>4992</v>
      </c>
      <c r="J2129" s="13" t="s">
        <v>21</v>
      </c>
      <c r="K2129" s="13" t="s">
        <v>8674</v>
      </c>
      <c r="L2129" s="13" t="s">
        <v>18</v>
      </c>
      <c r="M2129" t="s">
        <v>3</v>
      </c>
    </row>
    <row r="2130" spans="1:13" ht="26.25" x14ac:dyDescent="0.25">
      <c r="A2130" s="13" t="s">
        <v>4993</v>
      </c>
      <c r="B2130" s="13" t="s">
        <v>4994</v>
      </c>
      <c r="C2130" s="13" t="s">
        <v>4995</v>
      </c>
      <c r="D2130" s="13">
        <v>6</v>
      </c>
      <c r="E2130" s="13" t="s">
        <v>4996</v>
      </c>
      <c r="F2130" s="13" t="s">
        <v>8860</v>
      </c>
      <c r="G2130" s="13" t="s">
        <v>19</v>
      </c>
      <c r="H2130" s="13" t="s">
        <v>3</v>
      </c>
      <c r="I2130" s="13" t="s">
        <v>4997</v>
      </c>
      <c r="J2130" s="13" t="s">
        <v>21</v>
      </c>
      <c r="K2130" s="13" t="s">
        <v>8675</v>
      </c>
      <c r="L2130" s="13" t="s">
        <v>18</v>
      </c>
      <c r="M2130" t="s">
        <v>3</v>
      </c>
    </row>
    <row r="2131" spans="1:13" ht="26.25" x14ac:dyDescent="0.25">
      <c r="A2131" s="13" t="s">
        <v>4998</v>
      </c>
      <c r="B2131" s="13" t="s">
        <v>4998</v>
      </c>
      <c r="C2131" s="13" t="s">
        <v>9297</v>
      </c>
      <c r="D2131" s="13">
        <v>1.7</v>
      </c>
      <c r="E2131" s="13" t="s">
        <v>4999</v>
      </c>
      <c r="F2131" s="13" t="s">
        <v>8863</v>
      </c>
      <c r="G2131" s="13" t="s">
        <v>2</v>
      </c>
      <c r="H2131" s="13" t="s">
        <v>3</v>
      </c>
      <c r="I2131" s="13" t="s">
        <v>809</v>
      </c>
      <c r="J2131" s="13" t="s">
        <v>8890</v>
      </c>
      <c r="K2131" s="13" t="s">
        <v>8512</v>
      </c>
      <c r="L2131" s="13" t="s">
        <v>8956</v>
      </c>
      <c r="M2131" t="s">
        <v>3</v>
      </c>
    </row>
    <row r="2132" spans="1:13" x14ac:dyDescent="0.25">
      <c r="A2132" s="13" t="s">
        <v>9298</v>
      </c>
      <c r="B2132" s="13" t="s">
        <v>9299</v>
      </c>
      <c r="C2132" s="13" t="s">
        <v>9300</v>
      </c>
      <c r="D2132" s="13">
        <v>5</v>
      </c>
      <c r="E2132" s="13" t="s">
        <v>9301</v>
      </c>
      <c r="F2132" s="13" t="s">
        <v>8863</v>
      </c>
      <c r="G2132" s="13" t="s">
        <v>2</v>
      </c>
      <c r="H2132" s="13" t="s">
        <v>3</v>
      </c>
      <c r="I2132" s="13" t="s">
        <v>1978</v>
      </c>
      <c r="J2132" s="13" t="s">
        <v>8890</v>
      </c>
      <c r="K2132" s="13" t="s">
        <v>8570</v>
      </c>
      <c r="L2132" s="13" t="s">
        <v>8956</v>
      </c>
      <c r="M2132" t="s">
        <v>3</v>
      </c>
    </row>
    <row r="2133" spans="1:13" x14ac:dyDescent="0.25">
      <c r="A2133" s="13" t="s">
        <v>5000</v>
      </c>
      <c r="B2133" s="13" t="s">
        <v>5000</v>
      </c>
      <c r="C2133" s="13" t="s">
        <v>5001</v>
      </c>
      <c r="D2133" s="13">
        <v>8.1999999999999993</v>
      </c>
      <c r="E2133" s="13" t="s">
        <v>5001</v>
      </c>
      <c r="F2133" s="13" t="s">
        <v>8863</v>
      </c>
      <c r="G2133" s="13" t="s">
        <v>2</v>
      </c>
      <c r="H2133" s="13" t="s">
        <v>3</v>
      </c>
      <c r="I2133" s="13" t="s">
        <v>447</v>
      </c>
      <c r="J2133" s="13" t="s">
        <v>8890</v>
      </c>
      <c r="K2133" s="13" t="s">
        <v>8421</v>
      </c>
      <c r="L2133" s="13" t="s">
        <v>8956</v>
      </c>
      <c r="M2133" t="s">
        <v>3</v>
      </c>
    </row>
    <row r="2134" spans="1:13" x14ac:dyDescent="0.25">
      <c r="A2134" s="13" t="s">
        <v>5002</v>
      </c>
      <c r="B2134" s="13" t="s">
        <v>5002</v>
      </c>
      <c r="C2134" s="13" t="s">
        <v>5003</v>
      </c>
      <c r="D2134" s="13">
        <v>2.2000000000000002</v>
      </c>
      <c r="E2134" s="13" t="s">
        <v>5004</v>
      </c>
      <c r="F2134" s="13" t="s">
        <v>8863</v>
      </c>
      <c r="G2134" s="13" t="s">
        <v>2</v>
      </c>
      <c r="H2134" s="13" t="s">
        <v>3</v>
      </c>
      <c r="I2134" s="13" t="s">
        <v>228</v>
      </c>
      <c r="J2134" s="13" t="s">
        <v>8890</v>
      </c>
      <c r="K2134" s="13" t="s">
        <v>8418</v>
      </c>
      <c r="L2134" s="13" t="s">
        <v>8956</v>
      </c>
      <c r="M2134" t="s">
        <v>3</v>
      </c>
    </row>
    <row r="2135" spans="1:13" x14ac:dyDescent="0.25">
      <c r="A2135" s="13" t="s">
        <v>5005</v>
      </c>
      <c r="B2135" s="13" t="s">
        <v>5005</v>
      </c>
      <c r="C2135" s="13" t="s">
        <v>5006</v>
      </c>
      <c r="D2135" s="13">
        <v>4.9000000000000004</v>
      </c>
      <c r="E2135" s="13" t="s">
        <v>5006</v>
      </c>
      <c r="F2135" s="13" t="s">
        <v>8863</v>
      </c>
      <c r="G2135" s="13" t="s">
        <v>2</v>
      </c>
      <c r="H2135" s="13" t="s">
        <v>3</v>
      </c>
      <c r="I2135" s="13" t="s">
        <v>447</v>
      </c>
      <c r="J2135" s="13" t="s">
        <v>8890</v>
      </c>
      <c r="K2135" s="13" t="s">
        <v>8421</v>
      </c>
      <c r="L2135" s="13" t="s">
        <v>8956</v>
      </c>
      <c r="M2135" t="s">
        <v>3</v>
      </c>
    </row>
    <row r="2136" spans="1:13" x14ac:dyDescent="0.25">
      <c r="A2136" s="13" t="s">
        <v>5007</v>
      </c>
      <c r="B2136" s="13" t="s">
        <v>5007</v>
      </c>
      <c r="C2136" s="13" t="s">
        <v>5008</v>
      </c>
      <c r="D2136" s="13">
        <v>1.4</v>
      </c>
      <c r="E2136" s="13" t="s">
        <v>5008</v>
      </c>
      <c r="F2136" s="13" t="s">
        <v>8863</v>
      </c>
      <c r="G2136" s="13" t="s">
        <v>2</v>
      </c>
      <c r="H2136" s="13" t="s">
        <v>3</v>
      </c>
      <c r="I2136" s="13" t="s">
        <v>447</v>
      </c>
      <c r="J2136" s="13" t="s">
        <v>8890</v>
      </c>
      <c r="K2136" s="13" t="s">
        <v>8421</v>
      </c>
      <c r="L2136" s="13" t="s">
        <v>8956</v>
      </c>
      <c r="M2136" t="s">
        <v>3</v>
      </c>
    </row>
    <row r="2137" spans="1:13" x14ac:dyDescent="0.25">
      <c r="A2137" s="13" t="s">
        <v>5009</v>
      </c>
      <c r="B2137" s="13" t="s">
        <v>5009</v>
      </c>
      <c r="C2137" s="13" t="s">
        <v>5010</v>
      </c>
      <c r="D2137" s="13">
        <v>4.0999999999999996</v>
      </c>
      <c r="E2137" s="13" t="s">
        <v>5010</v>
      </c>
      <c r="F2137" s="13" t="s">
        <v>8863</v>
      </c>
      <c r="G2137" s="13" t="s">
        <v>2</v>
      </c>
      <c r="H2137" s="13" t="s">
        <v>3</v>
      </c>
      <c r="I2137" s="13" t="s">
        <v>447</v>
      </c>
      <c r="J2137" s="13" t="s">
        <v>8890</v>
      </c>
      <c r="K2137" s="13" t="s">
        <v>8421</v>
      </c>
      <c r="L2137" s="13" t="s">
        <v>8956</v>
      </c>
      <c r="M2137" t="s">
        <v>3</v>
      </c>
    </row>
    <row r="2138" spans="1:13" x14ac:dyDescent="0.25">
      <c r="A2138" s="13" t="s">
        <v>5011</v>
      </c>
      <c r="B2138" s="13" t="s">
        <v>5011</v>
      </c>
      <c r="C2138" s="13" t="s">
        <v>5012</v>
      </c>
      <c r="D2138" s="13">
        <v>3</v>
      </c>
      <c r="E2138" s="13" t="s">
        <v>5012</v>
      </c>
      <c r="F2138" s="13" t="s">
        <v>8863</v>
      </c>
      <c r="G2138" s="13" t="s">
        <v>2</v>
      </c>
      <c r="H2138" s="13" t="s">
        <v>3</v>
      </c>
      <c r="I2138" s="13" t="s">
        <v>447</v>
      </c>
      <c r="J2138" s="13" t="s">
        <v>8890</v>
      </c>
      <c r="K2138" s="13" t="s">
        <v>8421</v>
      </c>
      <c r="L2138" s="13" t="s">
        <v>8956</v>
      </c>
      <c r="M2138" t="s">
        <v>3</v>
      </c>
    </row>
    <row r="2139" spans="1:13" x14ac:dyDescent="0.25">
      <c r="A2139" s="13" t="s">
        <v>11653</v>
      </c>
      <c r="B2139" s="13" t="s">
        <v>11653</v>
      </c>
      <c r="C2139" s="13" t="s">
        <v>11654</v>
      </c>
      <c r="D2139" s="13">
        <v>4.5999999999999996</v>
      </c>
      <c r="E2139" s="13" t="s">
        <v>11655</v>
      </c>
      <c r="F2139" s="13" t="s">
        <v>8863</v>
      </c>
      <c r="G2139" s="13" t="s">
        <v>2</v>
      </c>
      <c r="H2139" s="13" t="s">
        <v>3</v>
      </c>
      <c r="I2139" s="13" t="s">
        <v>447</v>
      </c>
      <c r="J2139" s="13" t="s">
        <v>8890</v>
      </c>
      <c r="K2139" s="13" t="s">
        <v>8421</v>
      </c>
      <c r="L2139" s="13" t="s">
        <v>8956</v>
      </c>
      <c r="M2139" t="s">
        <v>3</v>
      </c>
    </row>
    <row r="2140" spans="1:13" x14ac:dyDescent="0.25">
      <c r="A2140" s="13" t="s">
        <v>5013</v>
      </c>
      <c r="B2140" s="13" t="s">
        <v>5014</v>
      </c>
      <c r="C2140" s="13" t="s">
        <v>5015</v>
      </c>
      <c r="D2140" s="13">
        <v>1.6</v>
      </c>
      <c r="E2140" s="13" t="s">
        <v>5016</v>
      </c>
      <c r="F2140" s="13" t="s">
        <v>8863</v>
      </c>
      <c r="G2140" s="13" t="s">
        <v>2</v>
      </c>
      <c r="H2140" s="13" t="s">
        <v>3</v>
      </c>
      <c r="I2140" s="13" t="s">
        <v>1978</v>
      </c>
      <c r="J2140" s="13" t="s">
        <v>8890</v>
      </c>
      <c r="K2140" s="13" t="s">
        <v>8570</v>
      </c>
      <c r="L2140" s="13" t="s">
        <v>8956</v>
      </c>
      <c r="M2140" t="s">
        <v>3</v>
      </c>
    </row>
    <row r="2141" spans="1:13" x14ac:dyDescent="0.25">
      <c r="A2141" s="13" t="s">
        <v>5017</v>
      </c>
      <c r="B2141" s="13" t="s">
        <v>5017</v>
      </c>
      <c r="C2141" s="13" t="s">
        <v>5018</v>
      </c>
      <c r="D2141" s="13">
        <v>3.2</v>
      </c>
      <c r="E2141" s="13" t="s">
        <v>5019</v>
      </c>
      <c r="F2141" s="13" t="s">
        <v>8863</v>
      </c>
      <c r="G2141" s="13" t="s">
        <v>2</v>
      </c>
      <c r="H2141" s="13" t="s">
        <v>3</v>
      </c>
      <c r="I2141" s="13" t="s">
        <v>1263</v>
      </c>
      <c r="J2141" s="13" t="s">
        <v>8890</v>
      </c>
      <c r="K2141" s="13" t="s">
        <v>8422</v>
      </c>
      <c r="L2141" s="13" t="s">
        <v>8956</v>
      </c>
      <c r="M2141" t="s">
        <v>3</v>
      </c>
    </row>
    <row r="2142" spans="1:13" x14ac:dyDescent="0.25">
      <c r="A2142" s="13" t="s">
        <v>5020</v>
      </c>
      <c r="B2142" s="13" t="s">
        <v>5020</v>
      </c>
      <c r="C2142" s="13" t="s">
        <v>5021</v>
      </c>
      <c r="D2142" s="13">
        <v>1.8</v>
      </c>
      <c r="E2142" s="13" t="s">
        <v>5022</v>
      </c>
      <c r="F2142" s="13" t="s">
        <v>8863</v>
      </c>
      <c r="G2142" s="13" t="s">
        <v>2</v>
      </c>
      <c r="H2142" s="13" t="s">
        <v>3</v>
      </c>
      <c r="I2142" s="13" t="s">
        <v>1263</v>
      </c>
      <c r="J2142" s="13" t="s">
        <v>8890</v>
      </c>
      <c r="K2142" s="13" t="s">
        <v>8422</v>
      </c>
      <c r="L2142" s="13" t="s">
        <v>8956</v>
      </c>
      <c r="M2142" t="s">
        <v>3</v>
      </c>
    </row>
    <row r="2143" spans="1:13" x14ac:dyDescent="0.25">
      <c r="A2143" s="13" t="s">
        <v>5023</v>
      </c>
      <c r="B2143" s="13" t="s">
        <v>5024</v>
      </c>
      <c r="C2143" s="13" t="s">
        <v>5025</v>
      </c>
      <c r="D2143" s="13">
        <v>108</v>
      </c>
      <c r="E2143" s="13" t="s">
        <v>5026</v>
      </c>
      <c r="F2143" s="13" t="s">
        <v>8863</v>
      </c>
      <c r="G2143" s="13" t="s">
        <v>2</v>
      </c>
      <c r="H2143" s="13" t="s">
        <v>516</v>
      </c>
      <c r="I2143" s="13" t="s">
        <v>516</v>
      </c>
      <c r="J2143" s="13" t="s">
        <v>8890</v>
      </c>
      <c r="K2143" s="13" t="s">
        <v>516</v>
      </c>
      <c r="L2143" s="13" t="s">
        <v>8956</v>
      </c>
      <c r="M2143" t="s">
        <v>10700</v>
      </c>
    </row>
    <row r="2144" spans="1:13" ht="26.25" x14ac:dyDescent="0.25">
      <c r="A2144" s="13" t="s">
        <v>5027</v>
      </c>
      <c r="B2144" s="13" t="s">
        <v>5028</v>
      </c>
      <c r="C2144" s="13" t="s">
        <v>5029</v>
      </c>
      <c r="D2144" s="13">
        <v>30.2</v>
      </c>
      <c r="E2144" s="13" t="s">
        <v>5030</v>
      </c>
      <c r="F2144" s="13" t="s">
        <v>8863</v>
      </c>
      <c r="G2144" s="13" t="s">
        <v>2</v>
      </c>
      <c r="H2144" s="13" t="s">
        <v>3</v>
      </c>
      <c r="I2144" s="13" t="s">
        <v>516</v>
      </c>
      <c r="J2144" s="13" t="s">
        <v>8890</v>
      </c>
      <c r="K2144" s="13" t="s">
        <v>516</v>
      </c>
      <c r="L2144" s="13" t="s">
        <v>8956</v>
      </c>
      <c r="M2144" t="s">
        <v>3</v>
      </c>
    </row>
    <row r="2145" spans="1:13" x14ac:dyDescent="0.25">
      <c r="A2145" s="13" t="s">
        <v>5031</v>
      </c>
      <c r="B2145" s="13" t="s">
        <v>5031</v>
      </c>
      <c r="C2145" s="13" t="s">
        <v>5031</v>
      </c>
      <c r="D2145" s="13">
        <v>1.7</v>
      </c>
      <c r="E2145" s="13" t="s">
        <v>5032</v>
      </c>
      <c r="F2145" s="13" t="s">
        <v>8863</v>
      </c>
      <c r="G2145" s="13" t="s">
        <v>2</v>
      </c>
      <c r="H2145" s="13" t="s">
        <v>3</v>
      </c>
      <c r="I2145" s="13" t="s">
        <v>3218</v>
      </c>
      <c r="J2145" s="13" t="s">
        <v>8890</v>
      </c>
      <c r="K2145" s="13" t="s">
        <v>8620</v>
      </c>
      <c r="L2145" s="13" t="s">
        <v>8956</v>
      </c>
      <c r="M2145" t="s">
        <v>3</v>
      </c>
    </row>
    <row r="2146" spans="1:13" x14ac:dyDescent="0.25">
      <c r="A2146" s="13" t="s">
        <v>5033</v>
      </c>
      <c r="B2146" s="13" t="s">
        <v>5033</v>
      </c>
      <c r="C2146" s="13" t="s">
        <v>5033</v>
      </c>
      <c r="D2146" s="13">
        <v>1.2</v>
      </c>
      <c r="E2146" s="13" t="s">
        <v>5034</v>
      </c>
      <c r="F2146" s="13" t="s">
        <v>8863</v>
      </c>
      <c r="G2146" s="13" t="s">
        <v>2</v>
      </c>
      <c r="H2146" s="13" t="s">
        <v>3</v>
      </c>
      <c r="I2146" s="13" t="s">
        <v>157</v>
      </c>
      <c r="J2146" s="13" t="s">
        <v>8890</v>
      </c>
      <c r="K2146" s="13" t="s">
        <v>8441</v>
      </c>
      <c r="L2146" s="13" t="s">
        <v>8956</v>
      </c>
      <c r="M2146" t="s">
        <v>3</v>
      </c>
    </row>
    <row r="2147" spans="1:13" x14ac:dyDescent="0.25">
      <c r="A2147" s="13" t="s">
        <v>11656</v>
      </c>
      <c r="B2147" s="13" t="s">
        <v>11656</v>
      </c>
      <c r="C2147" s="13" t="s">
        <v>11656</v>
      </c>
      <c r="D2147" s="13">
        <v>2.9</v>
      </c>
      <c r="E2147" s="13" t="s">
        <v>11657</v>
      </c>
      <c r="F2147" s="13" t="s">
        <v>8863</v>
      </c>
      <c r="G2147" s="13" t="s">
        <v>2</v>
      </c>
      <c r="H2147" s="13" t="s">
        <v>3</v>
      </c>
      <c r="I2147" s="13" t="s">
        <v>429</v>
      </c>
      <c r="J2147" s="13" t="s">
        <v>8890</v>
      </c>
      <c r="K2147" s="13" t="s">
        <v>6051</v>
      </c>
      <c r="L2147" s="13" t="s">
        <v>8956</v>
      </c>
      <c r="M2147" t="s">
        <v>3</v>
      </c>
    </row>
    <row r="2148" spans="1:13" ht="26.25" x14ac:dyDescent="0.25">
      <c r="A2148" s="13" t="s">
        <v>5035</v>
      </c>
      <c r="B2148" s="13" t="s">
        <v>5035</v>
      </c>
      <c r="C2148" s="13" t="s">
        <v>9302</v>
      </c>
      <c r="D2148" s="13">
        <v>4.2</v>
      </c>
      <c r="E2148" s="13" t="s">
        <v>5036</v>
      </c>
      <c r="F2148" s="13" t="s">
        <v>8863</v>
      </c>
      <c r="G2148" s="13" t="s">
        <v>2</v>
      </c>
      <c r="H2148" s="13" t="s">
        <v>3</v>
      </c>
      <c r="I2148" s="13" t="s">
        <v>4</v>
      </c>
      <c r="J2148" s="13" t="s">
        <v>8890</v>
      </c>
      <c r="K2148" s="13" t="s">
        <v>8424</v>
      </c>
      <c r="L2148" s="13" t="s">
        <v>8956</v>
      </c>
      <c r="M2148" t="s">
        <v>3</v>
      </c>
    </row>
    <row r="2149" spans="1:13" ht="26.25" x14ac:dyDescent="0.25">
      <c r="A2149" s="13" t="s">
        <v>5037</v>
      </c>
      <c r="B2149" s="13" t="s">
        <v>5038</v>
      </c>
      <c r="C2149" s="13" t="s">
        <v>5039</v>
      </c>
      <c r="D2149" s="13">
        <v>0</v>
      </c>
      <c r="E2149" s="13" t="s">
        <v>5040</v>
      </c>
      <c r="F2149" s="13" t="s">
        <v>8867</v>
      </c>
      <c r="G2149" s="13" t="s">
        <v>2</v>
      </c>
      <c r="H2149" s="13" t="s">
        <v>3</v>
      </c>
      <c r="I2149" s="13" t="s">
        <v>740</v>
      </c>
      <c r="J2149" s="13" t="s">
        <v>8890</v>
      </c>
      <c r="K2149" s="13" t="s">
        <v>8503</v>
      </c>
      <c r="L2149" s="13" t="s">
        <v>158</v>
      </c>
      <c r="M2149" t="s">
        <v>3</v>
      </c>
    </row>
    <row r="2150" spans="1:13" x14ac:dyDescent="0.25">
      <c r="A2150" s="13" t="s">
        <v>5041</v>
      </c>
      <c r="B2150" s="13" t="s">
        <v>9303</v>
      </c>
      <c r="C2150" s="13" t="s">
        <v>5042</v>
      </c>
      <c r="D2150" s="13">
        <v>0.5</v>
      </c>
      <c r="E2150" s="13" t="s">
        <v>5043</v>
      </c>
      <c r="F2150" s="13" t="s">
        <v>8863</v>
      </c>
      <c r="G2150" s="13" t="s">
        <v>2</v>
      </c>
      <c r="H2150" s="13" t="s">
        <v>3</v>
      </c>
      <c r="I2150" s="13" t="s">
        <v>740</v>
      </c>
      <c r="J2150" s="13" t="s">
        <v>8890</v>
      </c>
      <c r="K2150" s="13" t="s">
        <v>8503</v>
      </c>
      <c r="L2150" s="13" t="s">
        <v>8956</v>
      </c>
      <c r="M2150" t="s">
        <v>3</v>
      </c>
    </row>
    <row r="2151" spans="1:13" x14ac:dyDescent="0.25">
      <c r="A2151" s="13" t="s">
        <v>5044</v>
      </c>
      <c r="B2151" s="13" t="s">
        <v>5044</v>
      </c>
      <c r="C2151" s="13" t="s">
        <v>9304</v>
      </c>
      <c r="D2151" s="13">
        <v>5</v>
      </c>
      <c r="E2151" s="13" t="s">
        <v>5045</v>
      </c>
      <c r="F2151" s="13" t="s">
        <v>8863</v>
      </c>
      <c r="G2151" s="13" t="s">
        <v>2</v>
      </c>
      <c r="H2151" s="13" t="s">
        <v>3</v>
      </c>
      <c r="I2151" s="13" t="s">
        <v>399</v>
      </c>
      <c r="J2151" s="13" t="s">
        <v>8890</v>
      </c>
      <c r="K2151" s="13" t="s">
        <v>8464</v>
      </c>
      <c r="L2151" s="13" t="s">
        <v>8956</v>
      </c>
      <c r="M2151" t="s">
        <v>3</v>
      </c>
    </row>
    <row r="2152" spans="1:13" x14ac:dyDescent="0.25">
      <c r="A2152" s="13" t="s">
        <v>11658</v>
      </c>
      <c r="B2152" s="13" t="s">
        <v>11658</v>
      </c>
      <c r="C2152" s="13" t="s">
        <v>11658</v>
      </c>
      <c r="D2152" s="13">
        <v>2.9</v>
      </c>
      <c r="E2152" s="13" t="s">
        <v>11659</v>
      </c>
      <c r="F2152" s="13" t="s">
        <v>8863</v>
      </c>
      <c r="G2152" s="13" t="s">
        <v>2</v>
      </c>
      <c r="H2152" s="13" t="s">
        <v>3</v>
      </c>
      <c r="I2152" s="13" t="s">
        <v>429</v>
      </c>
      <c r="J2152" s="13" t="s">
        <v>8890</v>
      </c>
      <c r="K2152" s="13" t="s">
        <v>6051</v>
      </c>
      <c r="L2152" s="13" t="s">
        <v>8956</v>
      </c>
      <c r="M2152" t="s">
        <v>3</v>
      </c>
    </row>
    <row r="2153" spans="1:13" x14ac:dyDescent="0.25">
      <c r="A2153" s="13" t="s">
        <v>11660</v>
      </c>
      <c r="B2153" s="13" t="s">
        <v>11660</v>
      </c>
      <c r="C2153" s="13" t="s">
        <v>11660</v>
      </c>
      <c r="D2153" s="13">
        <v>2.8</v>
      </c>
      <c r="E2153" s="13" t="s">
        <v>11661</v>
      </c>
      <c r="F2153" s="13" t="s">
        <v>8863</v>
      </c>
      <c r="G2153" s="13" t="s">
        <v>2</v>
      </c>
      <c r="H2153" s="13" t="s">
        <v>3</v>
      </c>
      <c r="I2153" s="13" t="s">
        <v>429</v>
      </c>
      <c r="J2153" s="13" t="s">
        <v>8890</v>
      </c>
      <c r="K2153" s="13" t="s">
        <v>6051</v>
      </c>
      <c r="L2153" s="13" t="s">
        <v>8956</v>
      </c>
      <c r="M2153" t="s">
        <v>3</v>
      </c>
    </row>
    <row r="2154" spans="1:13" x14ac:dyDescent="0.25">
      <c r="A2154" s="13" t="s">
        <v>11662</v>
      </c>
      <c r="B2154" s="13" t="s">
        <v>11662</v>
      </c>
      <c r="C2154" s="13" t="s">
        <v>11662</v>
      </c>
      <c r="D2154" s="13">
        <v>2.2999999999999998</v>
      </c>
      <c r="E2154" s="13" t="s">
        <v>11663</v>
      </c>
      <c r="F2154" s="13" t="s">
        <v>8863</v>
      </c>
      <c r="G2154" s="13" t="s">
        <v>2</v>
      </c>
      <c r="H2154" s="13" t="s">
        <v>3</v>
      </c>
      <c r="I2154" s="13" t="s">
        <v>429</v>
      </c>
      <c r="J2154" s="13" t="s">
        <v>8890</v>
      </c>
      <c r="K2154" s="13" t="s">
        <v>6051</v>
      </c>
      <c r="L2154" s="13" t="s">
        <v>8956</v>
      </c>
      <c r="M2154" t="s">
        <v>3</v>
      </c>
    </row>
    <row r="2155" spans="1:13" x14ac:dyDescent="0.25">
      <c r="A2155" s="13" t="s">
        <v>11664</v>
      </c>
      <c r="B2155" s="13" t="s">
        <v>11664</v>
      </c>
      <c r="C2155" s="13" t="s">
        <v>11664</v>
      </c>
      <c r="D2155" s="13">
        <v>1</v>
      </c>
      <c r="E2155" s="13" t="s">
        <v>11665</v>
      </c>
      <c r="F2155" s="13" t="s">
        <v>8863</v>
      </c>
      <c r="G2155" s="13" t="s">
        <v>2</v>
      </c>
      <c r="H2155" s="13" t="s">
        <v>3</v>
      </c>
      <c r="I2155" s="13" t="s">
        <v>429</v>
      </c>
      <c r="J2155" s="13" t="s">
        <v>8890</v>
      </c>
      <c r="K2155" s="13" t="s">
        <v>6051</v>
      </c>
      <c r="L2155" s="13" t="s">
        <v>8956</v>
      </c>
      <c r="M2155" t="s">
        <v>3</v>
      </c>
    </row>
    <row r="2156" spans="1:13" x14ac:dyDescent="0.25">
      <c r="A2156" s="13" t="s">
        <v>11666</v>
      </c>
      <c r="B2156" s="13" t="s">
        <v>11666</v>
      </c>
      <c r="C2156" s="13" t="s">
        <v>11666</v>
      </c>
      <c r="D2156" s="13">
        <v>2.7</v>
      </c>
      <c r="E2156" s="13" t="s">
        <v>11667</v>
      </c>
      <c r="F2156" s="13" t="s">
        <v>8863</v>
      </c>
      <c r="G2156" s="13" t="s">
        <v>2</v>
      </c>
      <c r="H2156" s="13" t="s">
        <v>3</v>
      </c>
      <c r="I2156" s="13" t="s">
        <v>429</v>
      </c>
      <c r="J2156" s="13" t="s">
        <v>8890</v>
      </c>
      <c r="K2156" s="13" t="s">
        <v>6051</v>
      </c>
      <c r="L2156" s="13" t="s">
        <v>8956</v>
      </c>
      <c r="M2156" t="s">
        <v>3</v>
      </c>
    </row>
    <row r="2157" spans="1:13" x14ac:dyDescent="0.25">
      <c r="A2157" s="13" t="s">
        <v>5046</v>
      </c>
      <c r="B2157" s="13" t="s">
        <v>5046</v>
      </c>
      <c r="C2157" s="13" t="s">
        <v>9305</v>
      </c>
      <c r="D2157" s="13">
        <v>1.3</v>
      </c>
      <c r="E2157" s="13" t="s">
        <v>5047</v>
      </c>
      <c r="F2157" s="13" t="s">
        <v>8863</v>
      </c>
      <c r="G2157" s="13" t="s">
        <v>2</v>
      </c>
      <c r="H2157" s="13" t="s">
        <v>3</v>
      </c>
      <c r="I2157" s="13" t="s">
        <v>706</v>
      </c>
      <c r="J2157" s="13" t="s">
        <v>8890</v>
      </c>
      <c r="K2157" s="13" t="s">
        <v>8419</v>
      </c>
      <c r="L2157" s="13" t="s">
        <v>8956</v>
      </c>
      <c r="M2157" t="s">
        <v>3</v>
      </c>
    </row>
    <row r="2158" spans="1:13" x14ac:dyDescent="0.25">
      <c r="A2158" s="13" t="s">
        <v>5048</v>
      </c>
      <c r="B2158" s="13" t="s">
        <v>5048</v>
      </c>
      <c r="C2158" s="13" t="s">
        <v>9306</v>
      </c>
      <c r="D2158" s="13">
        <v>9.5</v>
      </c>
      <c r="E2158" s="13" t="s">
        <v>5049</v>
      </c>
      <c r="F2158" s="13" t="s">
        <v>8863</v>
      </c>
      <c r="G2158" s="13" t="s">
        <v>2</v>
      </c>
      <c r="H2158" s="13" t="s">
        <v>3</v>
      </c>
      <c r="I2158" s="13" t="s">
        <v>429</v>
      </c>
      <c r="J2158" s="13" t="s">
        <v>8890</v>
      </c>
      <c r="K2158" s="13" t="s">
        <v>6051</v>
      </c>
      <c r="L2158" s="13" t="s">
        <v>8956</v>
      </c>
      <c r="M2158" t="s">
        <v>3</v>
      </c>
    </row>
    <row r="2159" spans="1:13" ht="26.25" x14ac:dyDescent="0.25">
      <c r="A2159" s="13" t="s">
        <v>5050</v>
      </c>
      <c r="B2159" s="13" t="s">
        <v>5050</v>
      </c>
      <c r="C2159" s="13" t="s">
        <v>5050</v>
      </c>
      <c r="D2159" s="13">
        <v>0.1</v>
      </c>
      <c r="E2159" s="13" t="s">
        <v>5051</v>
      </c>
      <c r="F2159" s="13" t="s">
        <v>8860</v>
      </c>
      <c r="G2159" s="13" t="s">
        <v>19</v>
      </c>
      <c r="H2159" s="13" t="s">
        <v>3</v>
      </c>
      <c r="I2159" s="13" t="s">
        <v>5052</v>
      </c>
      <c r="J2159" s="13" t="s">
        <v>21</v>
      </c>
      <c r="K2159" s="13" t="s">
        <v>9307</v>
      </c>
      <c r="L2159" s="13" t="s">
        <v>18</v>
      </c>
      <c r="M2159" t="s">
        <v>3</v>
      </c>
    </row>
    <row r="2160" spans="1:13" ht="26.25" x14ac:dyDescent="0.25">
      <c r="A2160" s="13" t="s">
        <v>5053</v>
      </c>
      <c r="B2160" s="13" t="s">
        <v>5054</v>
      </c>
      <c r="C2160" s="13" t="s">
        <v>5055</v>
      </c>
      <c r="D2160" s="13">
        <v>2</v>
      </c>
      <c r="E2160" s="13" t="s">
        <v>5056</v>
      </c>
      <c r="F2160" s="13" t="s">
        <v>8863</v>
      </c>
      <c r="G2160" s="13" t="s">
        <v>2</v>
      </c>
      <c r="H2160" s="13" t="s">
        <v>3</v>
      </c>
      <c r="I2160" s="13" t="s">
        <v>2453</v>
      </c>
      <c r="J2160" s="13" t="s">
        <v>8890</v>
      </c>
      <c r="K2160" s="13" t="s">
        <v>8603</v>
      </c>
      <c r="L2160" s="13" t="s">
        <v>8956</v>
      </c>
      <c r="M2160" t="s">
        <v>3</v>
      </c>
    </row>
    <row r="2161" spans="1:13" ht="26.25" x14ac:dyDescent="0.25">
      <c r="A2161" s="13" t="s">
        <v>5057</v>
      </c>
      <c r="B2161" s="13" t="s">
        <v>5058</v>
      </c>
      <c r="C2161" s="13" t="s">
        <v>5059</v>
      </c>
      <c r="D2161" s="13">
        <v>1.7</v>
      </c>
      <c r="E2161" s="13" t="s">
        <v>5060</v>
      </c>
      <c r="F2161" s="13" t="s">
        <v>8863</v>
      </c>
      <c r="G2161" s="13" t="s">
        <v>2</v>
      </c>
      <c r="H2161" s="13" t="s">
        <v>3</v>
      </c>
      <c r="I2161" s="13" t="s">
        <v>2453</v>
      </c>
      <c r="J2161" s="13" t="s">
        <v>8890</v>
      </c>
      <c r="K2161" s="13" t="s">
        <v>8603</v>
      </c>
      <c r="L2161" s="13" t="s">
        <v>8956</v>
      </c>
      <c r="M2161" t="s">
        <v>3</v>
      </c>
    </row>
    <row r="2162" spans="1:13" x14ac:dyDescent="0.25">
      <c r="A2162" s="13" t="s">
        <v>10060</v>
      </c>
      <c r="B2162" s="13" t="s">
        <v>10060</v>
      </c>
      <c r="C2162" s="13" t="s">
        <v>10061</v>
      </c>
      <c r="D2162" s="13">
        <v>3</v>
      </c>
      <c r="E2162" s="13" t="s">
        <v>10062</v>
      </c>
      <c r="F2162" s="13" t="s">
        <v>8863</v>
      </c>
      <c r="G2162" s="13" t="s">
        <v>2</v>
      </c>
      <c r="H2162" s="13" t="s">
        <v>3</v>
      </c>
      <c r="I2162" s="13" t="s">
        <v>1254</v>
      </c>
      <c r="J2162" s="13" t="s">
        <v>8890</v>
      </c>
      <c r="K2162" s="13" t="s">
        <v>8508</v>
      </c>
      <c r="L2162" s="13" t="s">
        <v>8956</v>
      </c>
      <c r="M2162" t="s">
        <v>3</v>
      </c>
    </row>
    <row r="2163" spans="1:13" x14ac:dyDescent="0.25">
      <c r="A2163" s="13" t="s">
        <v>5061</v>
      </c>
      <c r="B2163" s="13" t="s">
        <v>5061</v>
      </c>
      <c r="C2163" s="13" t="s">
        <v>5061</v>
      </c>
      <c r="D2163" s="13">
        <v>2.2999999999999998</v>
      </c>
      <c r="E2163" s="13" t="s">
        <v>5062</v>
      </c>
      <c r="F2163" s="13" t="s">
        <v>8863</v>
      </c>
      <c r="G2163" s="13" t="s">
        <v>2</v>
      </c>
      <c r="H2163" s="13" t="s">
        <v>3</v>
      </c>
      <c r="I2163" s="13" t="s">
        <v>429</v>
      </c>
      <c r="J2163" s="13" t="s">
        <v>8890</v>
      </c>
      <c r="K2163" s="13" t="s">
        <v>6051</v>
      </c>
      <c r="L2163" s="13" t="s">
        <v>8956</v>
      </c>
      <c r="M2163" t="s">
        <v>3</v>
      </c>
    </row>
    <row r="2164" spans="1:13" ht="26.25" x14ac:dyDescent="0.25">
      <c r="A2164" s="13" t="s">
        <v>5063</v>
      </c>
      <c r="B2164" s="13" t="s">
        <v>5063</v>
      </c>
      <c r="C2164" s="13" t="s">
        <v>9308</v>
      </c>
      <c r="D2164" s="13">
        <v>6.8</v>
      </c>
      <c r="E2164" s="13" t="s">
        <v>5064</v>
      </c>
      <c r="F2164" s="13" t="s">
        <v>8863</v>
      </c>
      <c r="G2164" s="13" t="s">
        <v>2</v>
      </c>
      <c r="H2164" s="13" t="s">
        <v>3</v>
      </c>
      <c r="I2164" s="13" t="s">
        <v>1562</v>
      </c>
      <c r="J2164" s="13" t="s">
        <v>8890</v>
      </c>
      <c r="K2164" s="13" t="s">
        <v>8423</v>
      </c>
      <c r="L2164" s="13" t="s">
        <v>8956</v>
      </c>
      <c r="M2164" t="s">
        <v>3</v>
      </c>
    </row>
    <row r="2165" spans="1:13" x14ac:dyDescent="0.25">
      <c r="A2165" s="13" t="s">
        <v>5065</v>
      </c>
      <c r="B2165" s="13" t="s">
        <v>5065</v>
      </c>
      <c r="C2165" s="13" t="s">
        <v>9309</v>
      </c>
      <c r="D2165" s="13">
        <v>22.2</v>
      </c>
      <c r="E2165" s="13" t="s">
        <v>5066</v>
      </c>
      <c r="F2165" s="13" t="s">
        <v>8863</v>
      </c>
      <c r="G2165" s="13" t="s">
        <v>2</v>
      </c>
      <c r="H2165" s="13" t="s">
        <v>3</v>
      </c>
      <c r="I2165" s="13" t="s">
        <v>159</v>
      </c>
      <c r="J2165" s="13" t="s">
        <v>8890</v>
      </c>
      <c r="K2165" s="13" t="s">
        <v>8442</v>
      </c>
      <c r="L2165" s="13" t="s">
        <v>8956</v>
      </c>
      <c r="M2165" t="s">
        <v>3</v>
      </c>
    </row>
    <row r="2166" spans="1:13" x14ac:dyDescent="0.25">
      <c r="A2166" s="13" t="s">
        <v>5067</v>
      </c>
      <c r="B2166" s="13" t="s">
        <v>5067</v>
      </c>
      <c r="C2166" s="13" t="s">
        <v>9310</v>
      </c>
      <c r="D2166" s="13">
        <v>23.1</v>
      </c>
      <c r="E2166" s="13" t="s">
        <v>5068</v>
      </c>
      <c r="F2166" s="13" t="s">
        <v>8863</v>
      </c>
      <c r="G2166" s="13" t="s">
        <v>2</v>
      </c>
      <c r="H2166" s="13" t="s">
        <v>3</v>
      </c>
      <c r="I2166" s="13" t="s">
        <v>447</v>
      </c>
      <c r="J2166" s="13" t="s">
        <v>8890</v>
      </c>
      <c r="K2166" s="13" t="s">
        <v>8421</v>
      </c>
      <c r="L2166" s="13" t="s">
        <v>8956</v>
      </c>
      <c r="M2166" t="s">
        <v>3</v>
      </c>
    </row>
    <row r="2167" spans="1:13" ht="26.25" x14ac:dyDescent="0.25">
      <c r="A2167" s="13" t="s">
        <v>5069</v>
      </c>
      <c r="B2167" s="13" t="s">
        <v>5069</v>
      </c>
      <c r="C2167" s="13" t="s">
        <v>9311</v>
      </c>
      <c r="D2167" s="13">
        <v>0.9</v>
      </c>
      <c r="E2167" s="13" t="s">
        <v>5070</v>
      </c>
      <c r="F2167" s="13" t="s">
        <v>8863</v>
      </c>
      <c r="G2167" s="13" t="s">
        <v>2</v>
      </c>
      <c r="H2167" s="13" t="s">
        <v>3</v>
      </c>
      <c r="I2167" s="13" t="s">
        <v>2280</v>
      </c>
      <c r="J2167" s="13" t="s">
        <v>8890</v>
      </c>
      <c r="K2167" s="13" t="s">
        <v>8596</v>
      </c>
      <c r="L2167" s="13" t="s">
        <v>8956</v>
      </c>
      <c r="M2167" t="s">
        <v>3</v>
      </c>
    </row>
    <row r="2168" spans="1:13" x14ac:dyDescent="0.25">
      <c r="A2168" s="13" t="s">
        <v>5071</v>
      </c>
      <c r="B2168" s="13" t="s">
        <v>5072</v>
      </c>
      <c r="C2168" s="13" t="s">
        <v>5073</v>
      </c>
      <c r="D2168" s="13">
        <v>0.3</v>
      </c>
      <c r="E2168" s="13" t="s">
        <v>5074</v>
      </c>
      <c r="F2168" s="13" t="s">
        <v>8863</v>
      </c>
      <c r="G2168" s="13" t="s">
        <v>2</v>
      </c>
      <c r="H2168" s="13" t="s">
        <v>3</v>
      </c>
      <c r="I2168" s="13" t="s">
        <v>1834</v>
      </c>
      <c r="J2168" s="13" t="s">
        <v>8890</v>
      </c>
      <c r="K2168" s="13" t="s">
        <v>3164</v>
      </c>
      <c r="L2168" s="13" t="s">
        <v>8956</v>
      </c>
      <c r="M2168" t="s">
        <v>3</v>
      </c>
    </row>
    <row r="2169" spans="1:13" ht="26.25" x14ac:dyDescent="0.25">
      <c r="A2169" s="13" t="s">
        <v>5075</v>
      </c>
      <c r="B2169" s="13" t="s">
        <v>5075</v>
      </c>
      <c r="C2169" s="13" t="s">
        <v>9312</v>
      </c>
      <c r="D2169" s="13">
        <v>18.899999999999999</v>
      </c>
      <c r="E2169" s="13" t="s">
        <v>5076</v>
      </c>
      <c r="F2169" s="13" t="s">
        <v>8863</v>
      </c>
      <c r="G2169" s="13" t="s">
        <v>2</v>
      </c>
      <c r="H2169" s="13" t="s">
        <v>3</v>
      </c>
      <c r="I2169" s="13" t="s">
        <v>1978</v>
      </c>
      <c r="J2169" s="13" t="s">
        <v>8890</v>
      </c>
      <c r="K2169" s="13" t="s">
        <v>8570</v>
      </c>
      <c r="L2169" s="13" t="s">
        <v>8956</v>
      </c>
      <c r="M2169" t="s">
        <v>3</v>
      </c>
    </row>
    <row r="2170" spans="1:13" x14ac:dyDescent="0.25">
      <c r="A2170" s="13" t="s">
        <v>5077</v>
      </c>
      <c r="B2170" s="13" t="s">
        <v>5077</v>
      </c>
      <c r="C2170" s="13" t="s">
        <v>9313</v>
      </c>
      <c r="D2170" s="14">
        <v>32.4</v>
      </c>
      <c r="E2170" s="13" t="s">
        <v>5078</v>
      </c>
      <c r="F2170" s="13" t="s">
        <v>8863</v>
      </c>
      <c r="G2170" s="13" t="s">
        <v>2</v>
      </c>
      <c r="H2170" s="13" t="s">
        <v>3</v>
      </c>
      <c r="I2170" s="13" t="s">
        <v>228</v>
      </c>
      <c r="J2170" s="13" t="s">
        <v>8890</v>
      </c>
      <c r="K2170" s="13" t="s">
        <v>8418</v>
      </c>
      <c r="L2170" s="13" t="s">
        <v>8956</v>
      </c>
      <c r="M2170" t="s">
        <v>3</v>
      </c>
    </row>
    <row r="2171" spans="1:13" ht="26.25" x14ac:dyDescent="0.25">
      <c r="A2171" s="13" t="s">
        <v>5079</v>
      </c>
      <c r="B2171" s="13" t="s">
        <v>5079</v>
      </c>
      <c r="C2171" s="13" t="s">
        <v>9314</v>
      </c>
      <c r="D2171" s="13">
        <v>6.9</v>
      </c>
      <c r="E2171" s="13" t="s">
        <v>5080</v>
      </c>
      <c r="F2171" s="13" t="s">
        <v>8863</v>
      </c>
      <c r="G2171" s="13" t="s">
        <v>2</v>
      </c>
      <c r="H2171" s="13" t="s">
        <v>3</v>
      </c>
      <c r="I2171" s="13" t="s">
        <v>2688</v>
      </c>
      <c r="J2171" s="13" t="s">
        <v>8890</v>
      </c>
      <c r="K2171" s="13" t="s">
        <v>8430</v>
      </c>
      <c r="L2171" s="13" t="s">
        <v>8956</v>
      </c>
      <c r="M2171" t="s">
        <v>3</v>
      </c>
    </row>
    <row r="2172" spans="1:13" ht="26.25" x14ac:dyDescent="0.25">
      <c r="A2172" s="13" t="s">
        <v>5081</v>
      </c>
      <c r="B2172" s="13" t="s">
        <v>5081</v>
      </c>
      <c r="C2172" s="13" t="s">
        <v>9315</v>
      </c>
      <c r="D2172" s="13">
        <v>2.4</v>
      </c>
      <c r="E2172" s="13" t="s">
        <v>5082</v>
      </c>
      <c r="F2172" s="13" t="s">
        <v>8863</v>
      </c>
      <c r="G2172" s="13" t="s">
        <v>2</v>
      </c>
      <c r="H2172" s="13" t="s">
        <v>3</v>
      </c>
      <c r="I2172" s="13" t="s">
        <v>2349</v>
      </c>
      <c r="J2172" s="13" t="s">
        <v>8890</v>
      </c>
      <c r="K2172" s="13" t="s">
        <v>8599</v>
      </c>
      <c r="L2172" s="13" t="s">
        <v>8956</v>
      </c>
      <c r="M2172" t="s">
        <v>3</v>
      </c>
    </row>
    <row r="2173" spans="1:13" ht="26.25" x14ac:dyDescent="0.25">
      <c r="A2173" s="13" t="s">
        <v>5083</v>
      </c>
      <c r="B2173" s="13" t="s">
        <v>5083</v>
      </c>
      <c r="C2173" s="13" t="s">
        <v>9316</v>
      </c>
      <c r="D2173" s="13">
        <v>12.8</v>
      </c>
      <c r="E2173" s="13" t="s">
        <v>5084</v>
      </c>
      <c r="F2173" s="13" t="s">
        <v>8863</v>
      </c>
      <c r="G2173" s="13" t="s">
        <v>2</v>
      </c>
      <c r="H2173" s="13" t="s">
        <v>3</v>
      </c>
      <c r="I2173" s="13" t="s">
        <v>2356</v>
      </c>
      <c r="J2173" s="13" t="s">
        <v>8890</v>
      </c>
      <c r="K2173" s="13" t="s">
        <v>8429</v>
      </c>
      <c r="L2173" s="13" t="s">
        <v>8956</v>
      </c>
      <c r="M2173" t="s">
        <v>3</v>
      </c>
    </row>
    <row r="2174" spans="1:13" x14ac:dyDescent="0.25">
      <c r="A2174" s="13" t="s">
        <v>5085</v>
      </c>
      <c r="B2174" s="13" t="s">
        <v>5085</v>
      </c>
      <c r="C2174" s="13" t="s">
        <v>5086</v>
      </c>
      <c r="D2174" s="14">
        <v>0.4</v>
      </c>
      <c r="E2174" s="13" t="s">
        <v>5087</v>
      </c>
      <c r="F2174" s="13" t="s">
        <v>8863</v>
      </c>
      <c r="G2174" s="13" t="s">
        <v>2</v>
      </c>
      <c r="H2174" s="13" t="s">
        <v>3</v>
      </c>
      <c r="I2174" s="13" t="s">
        <v>137</v>
      </c>
      <c r="J2174" s="13" t="s">
        <v>8890</v>
      </c>
      <c r="K2174" s="13" t="s">
        <v>8429</v>
      </c>
      <c r="L2174" s="13" t="s">
        <v>8956</v>
      </c>
      <c r="M2174" t="s">
        <v>3</v>
      </c>
    </row>
    <row r="2175" spans="1:13" ht="26.25" x14ac:dyDescent="0.25">
      <c r="A2175" s="13" t="s">
        <v>5088</v>
      </c>
      <c r="B2175" s="13" t="s">
        <v>5089</v>
      </c>
      <c r="C2175" s="13" t="s">
        <v>5090</v>
      </c>
      <c r="D2175" s="13">
        <v>0.1</v>
      </c>
      <c r="E2175" s="13" t="s">
        <v>5091</v>
      </c>
      <c r="F2175" s="13" t="s">
        <v>8863</v>
      </c>
      <c r="G2175" s="13" t="s">
        <v>2</v>
      </c>
      <c r="H2175" s="13" t="s">
        <v>3</v>
      </c>
      <c r="I2175" s="13" t="s">
        <v>516</v>
      </c>
      <c r="J2175" s="13" t="s">
        <v>8890</v>
      </c>
      <c r="K2175" s="13" t="s">
        <v>516</v>
      </c>
      <c r="L2175" s="13" t="s">
        <v>8956</v>
      </c>
      <c r="M2175" t="s">
        <v>3</v>
      </c>
    </row>
    <row r="2176" spans="1:13" x14ac:dyDescent="0.25">
      <c r="A2176" s="13" t="s">
        <v>10298</v>
      </c>
      <c r="B2176" s="13" t="s">
        <v>10298</v>
      </c>
      <c r="C2176" s="13" t="s">
        <v>10298</v>
      </c>
      <c r="D2176" s="14">
        <v>1.3</v>
      </c>
      <c r="E2176" s="13" t="s">
        <v>10299</v>
      </c>
      <c r="F2176" s="13" t="s">
        <v>8863</v>
      </c>
      <c r="G2176" s="13" t="s">
        <v>2</v>
      </c>
      <c r="H2176" s="13" t="s">
        <v>3</v>
      </c>
      <c r="I2176" s="13" t="s">
        <v>429</v>
      </c>
      <c r="J2176" s="13" t="s">
        <v>8890</v>
      </c>
      <c r="K2176" s="13" t="s">
        <v>6051</v>
      </c>
      <c r="L2176" s="13" t="s">
        <v>8956</v>
      </c>
      <c r="M2176" t="s">
        <v>3</v>
      </c>
    </row>
    <row r="2177" spans="1:13" x14ac:dyDescent="0.25">
      <c r="A2177" s="13" t="s">
        <v>11353</v>
      </c>
      <c r="B2177" s="13" t="s">
        <v>11353</v>
      </c>
      <c r="C2177" s="13" t="s">
        <v>11353</v>
      </c>
      <c r="D2177" s="14">
        <v>1.8</v>
      </c>
      <c r="E2177" s="13" t="s">
        <v>11354</v>
      </c>
      <c r="F2177" s="13" t="s">
        <v>8863</v>
      </c>
      <c r="G2177" s="13" t="s">
        <v>2</v>
      </c>
      <c r="H2177" s="13" t="s">
        <v>3</v>
      </c>
      <c r="I2177" s="13" t="s">
        <v>706</v>
      </c>
      <c r="J2177" s="13" t="s">
        <v>8890</v>
      </c>
      <c r="K2177" s="13" t="s">
        <v>8419</v>
      </c>
      <c r="L2177" s="13" t="s">
        <v>8956</v>
      </c>
      <c r="M2177" t="s">
        <v>3</v>
      </c>
    </row>
    <row r="2178" spans="1:13" x14ac:dyDescent="0.25">
      <c r="A2178" s="13" t="s">
        <v>5092</v>
      </c>
      <c r="B2178" s="13" t="s">
        <v>4757</v>
      </c>
      <c r="C2178" s="13" t="s">
        <v>5093</v>
      </c>
      <c r="D2178" s="14">
        <v>0.4</v>
      </c>
      <c r="E2178" s="13" t="s">
        <v>5094</v>
      </c>
      <c r="F2178" s="13" t="s">
        <v>8863</v>
      </c>
      <c r="G2178" s="13" t="s">
        <v>2</v>
      </c>
      <c r="H2178" s="13" t="s">
        <v>3</v>
      </c>
      <c r="I2178" s="13" t="s">
        <v>4757</v>
      </c>
      <c r="J2178" s="13" t="s">
        <v>8890</v>
      </c>
      <c r="K2178" s="13" t="s">
        <v>8666</v>
      </c>
      <c r="L2178" s="13" t="s">
        <v>8956</v>
      </c>
      <c r="M2178" t="s">
        <v>3</v>
      </c>
    </row>
    <row r="2179" spans="1:13" x14ac:dyDescent="0.25">
      <c r="A2179" s="13" t="s">
        <v>11668</v>
      </c>
      <c r="B2179" s="13" t="s">
        <v>11668</v>
      </c>
      <c r="C2179" s="13" t="s">
        <v>11668</v>
      </c>
      <c r="D2179" s="13">
        <v>4.8</v>
      </c>
      <c r="E2179" s="13" t="s">
        <v>11669</v>
      </c>
      <c r="F2179" s="13" t="s">
        <v>8863</v>
      </c>
      <c r="G2179" s="13" t="s">
        <v>2</v>
      </c>
      <c r="H2179" s="13" t="s">
        <v>3</v>
      </c>
      <c r="I2179" s="13" t="s">
        <v>429</v>
      </c>
      <c r="J2179" s="13" t="s">
        <v>8890</v>
      </c>
      <c r="K2179" s="13" t="s">
        <v>6051</v>
      </c>
      <c r="L2179" s="13" t="s">
        <v>8956</v>
      </c>
      <c r="M2179" t="s">
        <v>3</v>
      </c>
    </row>
    <row r="2180" spans="1:13" ht="26.25" x14ac:dyDescent="0.25">
      <c r="A2180" s="13" t="s">
        <v>5095</v>
      </c>
      <c r="B2180" s="13" t="s">
        <v>5095</v>
      </c>
      <c r="C2180" s="13" t="s">
        <v>5096</v>
      </c>
      <c r="D2180" s="13">
        <v>1.1000000000000001</v>
      </c>
      <c r="E2180" s="13" t="s">
        <v>5097</v>
      </c>
      <c r="F2180" s="13" t="s">
        <v>8863</v>
      </c>
      <c r="G2180" s="13" t="s">
        <v>2</v>
      </c>
      <c r="H2180" s="13" t="s">
        <v>3</v>
      </c>
      <c r="I2180" s="13" t="s">
        <v>3851</v>
      </c>
      <c r="J2180" s="13" t="s">
        <v>8890</v>
      </c>
      <c r="K2180" s="13" t="s">
        <v>8628</v>
      </c>
      <c r="L2180" s="13" t="s">
        <v>8956</v>
      </c>
      <c r="M2180" t="s">
        <v>3</v>
      </c>
    </row>
    <row r="2181" spans="1:13" x14ac:dyDescent="0.25">
      <c r="A2181" s="13" t="s">
        <v>11670</v>
      </c>
      <c r="B2181" s="13" t="s">
        <v>11670</v>
      </c>
      <c r="C2181" s="13" t="s">
        <v>11670</v>
      </c>
      <c r="D2181" s="14">
        <v>3.8</v>
      </c>
      <c r="E2181" s="13" t="s">
        <v>11671</v>
      </c>
      <c r="F2181" s="13" t="s">
        <v>8863</v>
      </c>
      <c r="G2181" s="13" t="s">
        <v>2</v>
      </c>
      <c r="H2181" s="13" t="s">
        <v>3</v>
      </c>
      <c r="I2181" s="13" t="s">
        <v>429</v>
      </c>
      <c r="J2181" s="13" t="s">
        <v>8890</v>
      </c>
      <c r="K2181" s="13" t="s">
        <v>6051</v>
      </c>
      <c r="L2181" s="13" t="s">
        <v>8956</v>
      </c>
      <c r="M2181" t="s">
        <v>3</v>
      </c>
    </row>
    <row r="2182" spans="1:13" x14ac:dyDescent="0.25">
      <c r="A2182" s="13" t="s">
        <v>11876</v>
      </c>
      <c r="B2182" s="13" t="s">
        <v>11876</v>
      </c>
      <c r="C2182" s="13" t="s">
        <v>11876</v>
      </c>
      <c r="D2182" s="14">
        <v>2.6</v>
      </c>
      <c r="E2182" s="13" t="s">
        <v>11877</v>
      </c>
      <c r="F2182" s="13" t="s">
        <v>8863</v>
      </c>
      <c r="G2182" s="13" t="s">
        <v>2</v>
      </c>
      <c r="H2182" s="13" t="s">
        <v>3</v>
      </c>
      <c r="I2182" s="13" t="s">
        <v>429</v>
      </c>
      <c r="J2182" s="13" t="s">
        <v>8890</v>
      </c>
      <c r="K2182" s="13" t="s">
        <v>6051</v>
      </c>
      <c r="L2182" s="13" t="s">
        <v>8956</v>
      </c>
      <c r="M2182" t="s">
        <v>3</v>
      </c>
    </row>
    <row r="2183" spans="1:13" x14ac:dyDescent="0.25">
      <c r="A2183" s="13" t="s">
        <v>11672</v>
      </c>
      <c r="B2183" s="13" t="s">
        <v>11672</v>
      </c>
      <c r="C2183" s="13" t="s">
        <v>11672</v>
      </c>
      <c r="D2183" s="14">
        <v>3.6</v>
      </c>
      <c r="E2183" s="13" t="s">
        <v>11673</v>
      </c>
      <c r="F2183" s="13" t="s">
        <v>8863</v>
      </c>
      <c r="G2183" s="13" t="s">
        <v>2</v>
      </c>
      <c r="H2183" s="13" t="s">
        <v>3</v>
      </c>
      <c r="I2183" s="13" t="s">
        <v>429</v>
      </c>
      <c r="J2183" s="13" t="s">
        <v>8890</v>
      </c>
      <c r="K2183" s="13" t="s">
        <v>6051</v>
      </c>
      <c r="L2183" s="13" t="s">
        <v>8956</v>
      </c>
      <c r="M2183" t="s">
        <v>3</v>
      </c>
    </row>
    <row r="2184" spans="1:13" x14ac:dyDescent="0.25">
      <c r="A2184" s="13" t="s">
        <v>5098</v>
      </c>
      <c r="B2184" s="13" t="s">
        <v>5098</v>
      </c>
      <c r="C2184" s="13" t="s">
        <v>9317</v>
      </c>
      <c r="D2184" s="13">
        <v>19</v>
      </c>
      <c r="E2184" s="13" t="s">
        <v>5099</v>
      </c>
      <c r="F2184" s="13" t="s">
        <v>8863</v>
      </c>
      <c r="G2184" s="13" t="s">
        <v>2</v>
      </c>
      <c r="H2184" s="13" t="s">
        <v>3</v>
      </c>
      <c r="I2184" s="13" t="s">
        <v>1263</v>
      </c>
      <c r="J2184" s="13" t="s">
        <v>8890</v>
      </c>
      <c r="K2184" s="13" t="s">
        <v>8422</v>
      </c>
      <c r="L2184" s="13" t="s">
        <v>8956</v>
      </c>
      <c r="M2184" t="s">
        <v>3</v>
      </c>
    </row>
    <row r="2185" spans="1:13" x14ac:dyDescent="0.25">
      <c r="A2185" s="13" t="s">
        <v>11355</v>
      </c>
      <c r="B2185" s="13" t="s">
        <v>11355</v>
      </c>
      <c r="C2185" s="13" t="s">
        <v>11355</v>
      </c>
      <c r="D2185" s="13">
        <v>2</v>
      </c>
      <c r="E2185" s="13" t="s">
        <v>11356</v>
      </c>
      <c r="F2185" s="13" t="s">
        <v>8863</v>
      </c>
      <c r="G2185" s="13" t="s">
        <v>2</v>
      </c>
      <c r="H2185" s="13" t="s">
        <v>3</v>
      </c>
      <c r="I2185" s="13" t="s">
        <v>706</v>
      </c>
      <c r="J2185" s="13" t="s">
        <v>8890</v>
      </c>
      <c r="K2185" s="13" t="s">
        <v>8419</v>
      </c>
      <c r="L2185" s="13" t="s">
        <v>8956</v>
      </c>
      <c r="M2185" t="s">
        <v>3</v>
      </c>
    </row>
    <row r="2186" spans="1:13" x14ac:dyDescent="0.25">
      <c r="A2186" s="13" t="s">
        <v>11674</v>
      </c>
      <c r="B2186" s="13" t="s">
        <v>11674</v>
      </c>
      <c r="C2186" s="13" t="s">
        <v>11674</v>
      </c>
      <c r="D2186" s="13">
        <v>1.2</v>
      </c>
      <c r="E2186" s="13" t="s">
        <v>11675</v>
      </c>
      <c r="F2186" s="13" t="s">
        <v>8863</v>
      </c>
      <c r="G2186" s="13" t="s">
        <v>2</v>
      </c>
      <c r="H2186" s="13" t="s">
        <v>3</v>
      </c>
      <c r="I2186" s="13" t="s">
        <v>429</v>
      </c>
      <c r="J2186" s="13" t="s">
        <v>8890</v>
      </c>
      <c r="K2186" s="13" t="s">
        <v>6051</v>
      </c>
      <c r="L2186" s="13" t="s">
        <v>8956</v>
      </c>
      <c r="M2186" t="s">
        <v>3</v>
      </c>
    </row>
    <row r="2187" spans="1:13" x14ac:dyDescent="0.25">
      <c r="A2187" s="13" t="s">
        <v>11676</v>
      </c>
      <c r="B2187" s="13" t="s">
        <v>11676</v>
      </c>
      <c r="C2187" s="13" t="s">
        <v>11676</v>
      </c>
      <c r="D2187" s="13">
        <v>1.4</v>
      </c>
      <c r="E2187" s="13" t="s">
        <v>11677</v>
      </c>
      <c r="F2187" s="13" t="s">
        <v>8863</v>
      </c>
      <c r="G2187" s="13" t="s">
        <v>2</v>
      </c>
      <c r="H2187" s="13" t="s">
        <v>3</v>
      </c>
      <c r="I2187" s="13" t="s">
        <v>429</v>
      </c>
      <c r="J2187" s="13" t="s">
        <v>8890</v>
      </c>
      <c r="K2187" s="13" t="s">
        <v>6051</v>
      </c>
      <c r="L2187" s="13" t="s">
        <v>8956</v>
      </c>
      <c r="M2187" t="s">
        <v>3</v>
      </c>
    </row>
    <row r="2188" spans="1:13" x14ac:dyDescent="0.25">
      <c r="A2188" s="13" t="s">
        <v>5100</v>
      </c>
      <c r="B2188" s="13" t="s">
        <v>5100</v>
      </c>
      <c r="C2188" s="13" t="s">
        <v>5101</v>
      </c>
      <c r="D2188" s="13">
        <v>22.9</v>
      </c>
      <c r="E2188" s="13" t="s">
        <v>5101</v>
      </c>
      <c r="F2188" s="13" t="s">
        <v>8863</v>
      </c>
      <c r="G2188" s="13" t="s">
        <v>2</v>
      </c>
      <c r="H2188" s="13" t="s">
        <v>3</v>
      </c>
      <c r="I2188" s="13" t="s">
        <v>564</v>
      </c>
      <c r="J2188" s="13" t="s">
        <v>8890</v>
      </c>
      <c r="K2188" s="13" t="s">
        <v>8483</v>
      </c>
      <c r="L2188" s="13" t="s">
        <v>8956</v>
      </c>
      <c r="M2188" t="s">
        <v>3</v>
      </c>
    </row>
    <row r="2189" spans="1:13" x14ac:dyDescent="0.25">
      <c r="A2189" s="13" t="s">
        <v>5102</v>
      </c>
      <c r="B2189" s="13" t="s">
        <v>5102</v>
      </c>
      <c r="C2189" s="13" t="s">
        <v>5103</v>
      </c>
      <c r="D2189" s="13">
        <v>3.1</v>
      </c>
      <c r="E2189" s="13" t="s">
        <v>5104</v>
      </c>
      <c r="F2189" s="13" t="s">
        <v>8863</v>
      </c>
      <c r="G2189" s="13" t="s">
        <v>2</v>
      </c>
      <c r="H2189" s="13" t="s">
        <v>3</v>
      </c>
      <c r="I2189" s="13" t="s">
        <v>228</v>
      </c>
      <c r="J2189" s="13" t="s">
        <v>8890</v>
      </c>
      <c r="K2189" s="13" t="s">
        <v>8418</v>
      </c>
      <c r="L2189" s="13" t="s">
        <v>8956</v>
      </c>
      <c r="M2189" t="s">
        <v>3</v>
      </c>
    </row>
    <row r="2190" spans="1:13" x14ac:dyDescent="0.25">
      <c r="A2190" s="13" t="s">
        <v>5105</v>
      </c>
      <c r="B2190" s="13" t="s">
        <v>5105</v>
      </c>
      <c r="C2190" s="13" t="s">
        <v>5105</v>
      </c>
      <c r="D2190" s="13">
        <v>5.2</v>
      </c>
      <c r="E2190" s="13" t="s">
        <v>5106</v>
      </c>
      <c r="F2190" s="13" t="s">
        <v>8863</v>
      </c>
      <c r="G2190" s="13" t="s">
        <v>2</v>
      </c>
      <c r="H2190" s="13" t="s">
        <v>3</v>
      </c>
      <c r="I2190" s="13" t="s">
        <v>706</v>
      </c>
      <c r="J2190" s="13" t="s">
        <v>8890</v>
      </c>
      <c r="K2190" s="13" t="s">
        <v>8419</v>
      </c>
      <c r="L2190" s="13" t="s">
        <v>8956</v>
      </c>
      <c r="M2190" t="s">
        <v>3</v>
      </c>
    </row>
    <row r="2191" spans="1:13" x14ac:dyDescent="0.25">
      <c r="A2191" s="13" t="s">
        <v>11678</v>
      </c>
      <c r="B2191" s="13" t="s">
        <v>11678</v>
      </c>
      <c r="C2191" s="13" t="s">
        <v>11678</v>
      </c>
      <c r="D2191" s="13">
        <v>4.2</v>
      </c>
      <c r="E2191" s="13" t="s">
        <v>11679</v>
      </c>
      <c r="F2191" s="13" t="s">
        <v>8863</v>
      </c>
      <c r="G2191" s="13" t="s">
        <v>2</v>
      </c>
      <c r="H2191" s="13" t="s">
        <v>3</v>
      </c>
      <c r="I2191" s="13" t="s">
        <v>429</v>
      </c>
      <c r="J2191" s="13" t="s">
        <v>8890</v>
      </c>
      <c r="K2191" s="13" t="s">
        <v>6051</v>
      </c>
      <c r="L2191" s="13" t="s">
        <v>8956</v>
      </c>
      <c r="M2191" t="s">
        <v>3</v>
      </c>
    </row>
    <row r="2192" spans="1:13" x14ac:dyDescent="0.25">
      <c r="A2192" s="13" t="s">
        <v>11680</v>
      </c>
      <c r="B2192" s="13" t="s">
        <v>11680</v>
      </c>
      <c r="C2192" s="13" t="s">
        <v>11680</v>
      </c>
      <c r="D2192" s="13">
        <v>1.7</v>
      </c>
      <c r="E2192" s="13" t="s">
        <v>11681</v>
      </c>
      <c r="F2192" s="13" t="s">
        <v>8863</v>
      </c>
      <c r="G2192" s="13" t="s">
        <v>2</v>
      </c>
      <c r="H2192" s="13" t="s">
        <v>3</v>
      </c>
      <c r="I2192" s="13" t="s">
        <v>429</v>
      </c>
      <c r="J2192" s="13" t="s">
        <v>8890</v>
      </c>
      <c r="K2192" s="13" t="s">
        <v>6051</v>
      </c>
      <c r="L2192" s="13" t="s">
        <v>8956</v>
      </c>
      <c r="M2192" t="s">
        <v>3</v>
      </c>
    </row>
    <row r="2193" spans="1:13" x14ac:dyDescent="0.25">
      <c r="A2193" s="13" t="s">
        <v>5107</v>
      </c>
      <c r="B2193" s="13" t="s">
        <v>5107</v>
      </c>
      <c r="C2193" s="13" t="s">
        <v>5108</v>
      </c>
      <c r="D2193" s="13">
        <v>6.7</v>
      </c>
      <c r="E2193" s="13" t="s">
        <v>5109</v>
      </c>
      <c r="F2193" s="13" t="s">
        <v>8863</v>
      </c>
      <c r="G2193" s="13" t="s">
        <v>2</v>
      </c>
      <c r="H2193" s="13" t="s">
        <v>3</v>
      </c>
      <c r="I2193" s="13" t="s">
        <v>809</v>
      </c>
      <c r="J2193" s="13" t="s">
        <v>8890</v>
      </c>
      <c r="K2193" s="13" t="s">
        <v>8512</v>
      </c>
      <c r="L2193" s="13" t="s">
        <v>8956</v>
      </c>
      <c r="M2193" t="s">
        <v>3</v>
      </c>
    </row>
    <row r="2194" spans="1:13" x14ac:dyDescent="0.25">
      <c r="A2194" s="13" t="s">
        <v>5110</v>
      </c>
      <c r="B2194" s="13" t="s">
        <v>5110</v>
      </c>
      <c r="C2194" s="13" t="s">
        <v>5111</v>
      </c>
      <c r="D2194" s="13">
        <v>1</v>
      </c>
      <c r="E2194" s="13" t="s">
        <v>5111</v>
      </c>
      <c r="F2194" s="13" t="s">
        <v>8863</v>
      </c>
      <c r="G2194" s="13" t="s">
        <v>2</v>
      </c>
      <c r="H2194" s="13" t="s">
        <v>3</v>
      </c>
      <c r="I2194" s="13" t="s">
        <v>447</v>
      </c>
      <c r="J2194" s="13" t="s">
        <v>8890</v>
      </c>
      <c r="K2194" s="13" t="s">
        <v>8421</v>
      </c>
      <c r="L2194" s="13" t="s">
        <v>8956</v>
      </c>
      <c r="M2194" t="s">
        <v>3</v>
      </c>
    </row>
    <row r="2195" spans="1:13" ht="26.25" x14ac:dyDescent="0.25">
      <c r="A2195" s="13" t="s">
        <v>9318</v>
      </c>
      <c r="B2195" s="13" t="s">
        <v>9319</v>
      </c>
      <c r="C2195" s="13" t="s">
        <v>9320</v>
      </c>
      <c r="D2195" s="14">
        <v>1</v>
      </c>
      <c r="E2195" s="13" t="s">
        <v>9321</v>
      </c>
      <c r="F2195" s="13" t="s">
        <v>8860</v>
      </c>
      <c r="G2195" s="13" t="s">
        <v>19</v>
      </c>
      <c r="H2195" s="13" t="s">
        <v>3</v>
      </c>
      <c r="I2195" s="13" t="s">
        <v>9322</v>
      </c>
      <c r="J2195" s="13" t="s">
        <v>21</v>
      </c>
      <c r="K2195" s="13" t="s">
        <v>9323</v>
      </c>
      <c r="L2195" s="13" t="s">
        <v>18</v>
      </c>
      <c r="M2195" t="s">
        <v>3</v>
      </c>
    </row>
    <row r="2196" spans="1:13" ht="26.25" x14ac:dyDescent="0.25">
      <c r="A2196" s="13" t="s">
        <v>5112</v>
      </c>
      <c r="B2196" s="13" t="s">
        <v>5112</v>
      </c>
      <c r="C2196" s="13" t="s">
        <v>5113</v>
      </c>
      <c r="D2196" s="14">
        <v>14000</v>
      </c>
      <c r="E2196" s="13" t="s">
        <v>5114</v>
      </c>
      <c r="F2196" s="13" t="s">
        <v>8860</v>
      </c>
      <c r="G2196" s="13" t="s">
        <v>19</v>
      </c>
      <c r="H2196" s="13" t="s">
        <v>3</v>
      </c>
      <c r="I2196" s="13" t="s">
        <v>2356</v>
      </c>
      <c r="J2196" s="13" t="s">
        <v>1563</v>
      </c>
      <c r="K2196" s="13" t="s">
        <v>8429</v>
      </c>
      <c r="L2196" s="13" t="s">
        <v>9016</v>
      </c>
      <c r="M2196" t="s">
        <v>3</v>
      </c>
    </row>
    <row r="2197" spans="1:13" ht="26.25" x14ac:dyDescent="0.25">
      <c r="A2197" s="13" t="s">
        <v>5115</v>
      </c>
      <c r="B2197" s="13" t="s">
        <v>5115</v>
      </c>
      <c r="C2197" s="13" t="s">
        <v>5116</v>
      </c>
      <c r="D2197" s="13">
        <v>408</v>
      </c>
      <c r="E2197" s="13" t="s">
        <v>5117</v>
      </c>
      <c r="F2197" s="13" t="s">
        <v>1568</v>
      </c>
      <c r="G2197" s="13" t="s">
        <v>19</v>
      </c>
      <c r="H2197" s="13" t="s">
        <v>3</v>
      </c>
      <c r="I2197" s="13" t="s">
        <v>2356</v>
      </c>
      <c r="J2197" s="13" t="s">
        <v>9017</v>
      </c>
      <c r="K2197" s="13" t="s">
        <v>8429</v>
      </c>
      <c r="L2197" s="13" t="s">
        <v>1568</v>
      </c>
      <c r="M2197" t="s">
        <v>3</v>
      </c>
    </row>
    <row r="2198" spans="1:13" ht="26.25" x14ac:dyDescent="0.25">
      <c r="A2198" s="13" t="s">
        <v>5118</v>
      </c>
      <c r="B2198" s="13" t="s">
        <v>5119</v>
      </c>
      <c r="C2198" s="13" t="s">
        <v>5120</v>
      </c>
      <c r="D2198" s="13">
        <v>2</v>
      </c>
      <c r="E2198" s="13" t="s">
        <v>5121</v>
      </c>
      <c r="F2198" s="13" t="s">
        <v>8860</v>
      </c>
      <c r="G2198" s="13" t="s">
        <v>19</v>
      </c>
      <c r="H2198" s="13" t="s">
        <v>3</v>
      </c>
      <c r="I2198" s="13" t="s">
        <v>5122</v>
      </c>
      <c r="J2198" s="13" t="s">
        <v>21</v>
      </c>
      <c r="K2198" s="13" t="s">
        <v>8429</v>
      </c>
      <c r="L2198" s="13" t="s">
        <v>18</v>
      </c>
      <c r="M2198" t="s">
        <v>3</v>
      </c>
    </row>
    <row r="2199" spans="1:13" ht="26.25" x14ac:dyDescent="0.25">
      <c r="A2199" s="13" t="s">
        <v>5123</v>
      </c>
      <c r="B2199" s="13" t="s">
        <v>5124</v>
      </c>
      <c r="C2199" s="13" t="s">
        <v>9324</v>
      </c>
      <c r="D2199" s="13">
        <v>0</v>
      </c>
      <c r="E2199" s="13" t="s">
        <v>5125</v>
      </c>
      <c r="F2199" s="13" t="s">
        <v>8860</v>
      </c>
      <c r="G2199" s="13" t="s">
        <v>19</v>
      </c>
      <c r="H2199" s="13" t="s">
        <v>3</v>
      </c>
      <c r="I2199" s="13" t="s">
        <v>1224</v>
      </c>
      <c r="J2199" s="13" t="s">
        <v>21</v>
      </c>
      <c r="K2199" s="13" t="s">
        <v>8429</v>
      </c>
      <c r="L2199" s="13" t="s">
        <v>18</v>
      </c>
      <c r="M2199" t="s">
        <v>3</v>
      </c>
    </row>
    <row r="2200" spans="1:13" ht="26.25" x14ac:dyDescent="0.25">
      <c r="A2200" s="13" t="s">
        <v>5126</v>
      </c>
      <c r="B2200" s="13" t="s">
        <v>9325</v>
      </c>
      <c r="C2200" s="13" t="s">
        <v>9326</v>
      </c>
      <c r="D2200" s="14">
        <v>1000</v>
      </c>
      <c r="E2200" s="13" t="s">
        <v>5127</v>
      </c>
      <c r="F2200" s="13" t="s">
        <v>8877</v>
      </c>
      <c r="G2200" s="13" t="s">
        <v>19</v>
      </c>
      <c r="H2200" s="13" t="s">
        <v>3</v>
      </c>
      <c r="I2200" s="13" t="s">
        <v>1224</v>
      </c>
      <c r="J2200" s="13" t="s">
        <v>410</v>
      </c>
      <c r="K2200" s="13" t="s">
        <v>8429</v>
      </c>
      <c r="L2200" s="13" t="s">
        <v>9327</v>
      </c>
      <c r="M2200" t="s">
        <v>3</v>
      </c>
    </row>
    <row r="2201" spans="1:13" ht="26.25" x14ac:dyDescent="0.25">
      <c r="A2201" s="13" t="s">
        <v>5128</v>
      </c>
      <c r="B2201" s="13" t="s">
        <v>5128</v>
      </c>
      <c r="C2201" s="13" t="s">
        <v>9328</v>
      </c>
      <c r="D2201" s="13">
        <v>750</v>
      </c>
      <c r="E2201" s="13" t="s">
        <v>5129</v>
      </c>
      <c r="F2201" s="13" t="s">
        <v>8870</v>
      </c>
      <c r="G2201" s="13" t="s">
        <v>19</v>
      </c>
      <c r="H2201" s="13" t="s">
        <v>3</v>
      </c>
      <c r="I2201" s="13" t="s">
        <v>1224</v>
      </c>
      <c r="J2201" s="13" t="s">
        <v>410</v>
      </c>
      <c r="K2201" s="13" t="s">
        <v>8429</v>
      </c>
      <c r="L2201" s="13" t="s">
        <v>8942</v>
      </c>
      <c r="M2201" t="s">
        <v>3</v>
      </c>
    </row>
    <row r="2202" spans="1:13" x14ac:dyDescent="0.25">
      <c r="A2202" s="13" t="s">
        <v>5130</v>
      </c>
      <c r="B2202" s="13" t="s">
        <v>5130</v>
      </c>
      <c r="C2202" s="13" t="s">
        <v>5131</v>
      </c>
      <c r="D2202" s="13">
        <v>1200</v>
      </c>
      <c r="E2202" s="13" t="s">
        <v>5132</v>
      </c>
      <c r="F2202" s="13" t="s">
        <v>8871</v>
      </c>
      <c r="G2202" s="13" t="s">
        <v>2</v>
      </c>
      <c r="H2202" s="13" t="s">
        <v>3</v>
      </c>
      <c r="I2202" s="13" t="s">
        <v>1224</v>
      </c>
      <c r="J2202" s="13" t="s">
        <v>410</v>
      </c>
      <c r="K2202" s="13" t="s">
        <v>8429</v>
      </c>
      <c r="L2202" s="13" t="s">
        <v>8943</v>
      </c>
      <c r="M2202" t="s">
        <v>3</v>
      </c>
    </row>
    <row r="2203" spans="1:13" ht="26.25" x14ac:dyDescent="0.25">
      <c r="A2203" s="13" t="s">
        <v>5133</v>
      </c>
      <c r="B2203" s="13" t="s">
        <v>5133</v>
      </c>
      <c r="C2203" s="13" t="s">
        <v>5134</v>
      </c>
      <c r="D2203" s="13">
        <v>9999</v>
      </c>
      <c r="E2203" s="13" t="s">
        <v>5135</v>
      </c>
      <c r="F2203" s="13" t="s">
        <v>855</v>
      </c>
      <c r="G2203" s="13" t="s">
        <v>19</v>
      </c>
      <c r="H2203" s="13" t="s">
        <v>3</v>
      </c>
      <c r="I2203" s="13" t="s">
        <v>137</v>
      </c>
      <c r="J2203" s="13" t="s">
        <v>856</v>
      </c>
      <c r="K2203" s="13" t="s">
        <v>8429</v>
      </c>
      <c r="L2203" s="13" t="s">
        <v>855</v>
      </c>
      <c r="M2203" t="s">
        <v>3</v>
      </c>
    </row>
    <row r="2204" spans="1:13" x14ac:dyDescent="0.25">
      <c r="A2204" s="13" t="s">
        <v>5136</v>
      </c>
      <c r="B2204" s="13" t="s">
        <v>5136</v>
      </c>
      <c r="C2204" s="13" t="s">
        <v>5137</v>
      </c>
      <c r="D2204" s="13">
        <v>9999</v>
      </c>
      <c r="E2204" s="13" t="s">
        <v>5138</v>
      </c>
      <c r="F2204" s="13" t="s">
        <v>855</v>
      </c>
      <c r="G2204" s="13" t="s">
        <v>2</v>
      </c>
      <c r="H2204" s="13" t="s">
        <v>3</v>
      </c>
      <c r="I2204" s="13" t="s">
        <v>137</v>
      </c>
      <c r="J2204" s="13" t="s">
        <v>856</v>
      </c>
      <c r="K2204" s="13" t="s">
        <v>8429</v>
      </c>
      <c r="L2204" s="13" t="s">
        <v>855</v>
      </c>
      <c r="M2204" t="s">
        <v>3</v>
      </c>
    </row>
    <row r="2205" spans="1:13" ht="26.25" x14ac:dyDescent="0.25">
      <c r="A2205" s="13" t="s">
        <v>5139</v>
      </c>
      <c r="B2205" s="13" t="s">
        <v>5139</v>
      </c>
      <c r="C2205" s="13" t="s">
        <v>5140</v>
      </c>
      <c r="D2205" s="13">
        <v>750</v>
      </c>
      <c r="E2205" s="13" t="s">
        <v>5141</v>
      </c>
      <c r="F2205" s="13" t="s">
        <v>8870</v>
      </c>
      <c r="G2205" s="13" t="s">
        <v>19</v>
      </c>
      <c r="H2205" s="13" t="s">
        <v>3</v>
      </c>
      <c r="I2205" s="13" t="s">
        <v>137</v>
      </c>
      <c r="J2205" s="13" t="s">
        <v>410</v>
      </c>
      <c r="K2205" s="13" t="s">
        <v>8429</v>
      </c>
      <c r="L2205" s="13" t="s">
        <v>8942</v>
      </c>
      <c r="M2205" t="s">
        <v>3</v>
      </c>
    </row>
    <row r="2206" spans="1:13" ht="26.25" x14ac:dyDescent="0.25">
      <c r="A2206" s="13" t="s">
        <v>5142</v>
      </c>
      <c r="B2206" s="13" t="s">
        <v>5142</v>
      </c>
      <c r="C2206" s="13" t="s">
        <v>5143</v>
      </c>
      <c r="D2206" s="13">
        <v>30</v>
      </c>
      <c r="E2206" s="13" t="s">
        <v>5144</v>
      </c>
      <c r="F2206" s="13" t="s">
        <v>275</v>
      </c>
      <c r="G2206" s="13" t="s">
        <v>19</v>
      </c>
      <c r="H2206" s="13" t="s">
        <v>3</v>
      </c>
      <c r="I2206" s="13" t="s">
        <v>137</v>
      </c>
      <c r="J2206" s="13" t="s">
        <v>276</v>
      </c>
      <c r="K2206" s="13" t="s">
        <v>8429</v>
      </c>
      <c r="L2206" s="13" t="s">
        <v>275</v>
      </c>
      <c r="M2206" t="s">
        <v>3</v>
      </c>
    </row>
    <row r="2207" spans="1:13" x14ac:dyDescent="0.25">
      <c r="A2207" s="13" t="s">
        <v>5145</v>
      </c>
      <c r="B2207" s="13" t="s">
        <v>5145</v>
      </c>
      <c r="C2207" s="13" t="s">
        <v>5146</v>
      </c>
      <c r="D2207" s="13">
        <v>1200</v>
      </c>
      <c r="E2207" s="13" t="s">
        <v>5147</v>
      </c>
      <c r="F2207" s="13" t="s">
        <v>8871</v>
      </c>
      <c r="G2207" s="13" t="s">
        <v>2</v>
      </c>
      <c r="H2207" s="13" t="s">
        <v>3</v>
      </c>
      <c r="I2207" s="13" t="s">
        <v>137</v>
      </c>
      <c r="J2207" s="13" t="s">
        <v>410</v>
      </c>
      <c r="K2207" s="13" t="s">
        <v>8429</v>
      </c>
      <c r="L2207" s="13" t="s">
        <v>8943</v>
      </c>
      <c r="M2207" t="s">
        <v>3</v>
      </c>
    </row>
    <row r="2208" spans="1:13" ht="26.25" x14ac:dyDescent="0.25">
      <c r="A2208" s="13" t="s">
        <v>5148</v>
      </c>
      <c r="B2208" s="13" t="s">
        <v>5148</v>
      </c>
      <c r="C2208" s="13" t="s">
        <v>5149</v>
      </c>
      <c r="D2208" s="13">
        <v>9999</v>
      </c>
      <c r="E2208" s="13" t="s">
        <v>5150</v>
      </c>
      <c r="F2208" s="13" t="s">
        <v>855</v>
      </c>
      <c r="G2208" s="13" t="s">
        <v>19</v>
      </c>
      <c r="H2208" s="13" t="s">
        <v>3</v>
      </c>
      <c r="I2208" s="13" t="s">
        <v>137</v>
      </c>
      <c r="J2208" s="13" t="s">
        <v>856</v>
      </c>
      <c r="K2208" s="13" t="s">
        <v>8429</v>
      </c>
      <c r="L2208" s="13" t="s">
        <v>855</v>
      </c>
      <c r="M2208" t="s">
        <v>3</v>
      </c>
    </row>
    <row r="2209" spans="1:13" x14ac:dyDescent="0.25">
      <c r="A2209" s="13" t="s">
        <v>5151</v>
      </c>
      <c r="B2209" s="13" t="s">
        <v>5151</v>
      </c>
      <c r="C2209" s="13" t="s">
        <v>5152</v>
      </c>
      <c r="D2209" s="13">
        <v>9999</v>
      </c>
      <c r="E2209" s="13" t="s">
        <v>5153</v>
      </c>
      <c r="F2209" s="13" t="s">
        <v>855</v>
      </c>
      <c r="G2209" s="13" t="s">
        <v>2</v>
      </c>
      <c r="H2209" s="13" t="s">
        <v>3</v>
      </c>
      <c r="I2209" s="13" t="s">
        <v>137</v>
      </c>
      <c r="J2209" s="13" t="s">
        <v>856</v>
      </c>
      <c r="K2209" s="13" t="s">
        <v>8429</v>
      </c>
      <c r="L2209" s="13" t="s">
        <v>855</v>
      </c>
      <c r="M2209" t="s">
        <v>3</v>
      </c>
    </row>
    <row r="2210" spans="1:13" x14ac:dyDescent="0.25">
      <c r="A2210" s="13" t="s">
        <v>11878</v>
      </c>
      <c r="B2210" s="13" t="s">
        <v>11878</v>
      </c>
      <c r="C2210" s="13" t="s">
        <v>11879</v>
      </c>
      <c r="D2210" s="13">
        <v>31.4</v>
      </c>
      <c r="E2210" s="13" t="s">
        <v>11880</v>
      </c>
      <c r="F2210" s="13" t="s">
        <v>8869</v>
      </c>
      <c r="G2210" s="13" t="s">
        <v>2</v>
      </c>
      <c r="H2210" s="13" t="s">
        <v>3</v>
      </c>
      <c r="I2210" s="13" t="s">
        <v>809</v>
      </c>
      <c r="J2210" s="13" t="s">
        <v>8890</v>
      </c>
      <c r="K2210" s="13" t="s">
        <v>8512</v>
      </c>
      <c r="L2210" s="13" t="s">
        <v>8918</v>
      </c>
      <c r="M2210" t="s">
        <v>3</v>
      </c>
    </row>
    <row r="2211" spans="1:13" x14ac:dyDescent="0.25">
      <c r="A2211" s="13" t="s">
        <v>11881</v>
      </c>
      <c r="B2211" s="13" t="s">
        <v>11881</v>
      </c>
      <c r="C2211" s="13" t="s">
        <v>11882</v>
      </c>
      <c r="D2211" s="13">
        <v>31.4</v>
      </c>
      <c r="E2211" s="13" t="s">
        <v>11883</v>
      </c>
      <c r="F2211" s="13" t="s">
        <v>8869</v>
      </c>
      <c r="G2211" s="13" t="s">
        <v>2</v>
      </c>
      <c r="H2211" s="13" t="s">
        <v>3</v>
      </c>
      <c r="I2211" s="13" t="s">
        <v>809</v>
      </c>
      <c r="J2211" s="13" t="s">
        <v>8890</v>
      </c>
      <c r="K2211" s="13" t="s">
        <v>8512</v>
      </c>
      <c r="L2211" s="13" t="s">
        <v>8918</v>
      </c>
      <c r="M2211" t="s">
        <v>3</v>
      </c>
    </row>
    <row r="2212" spans="1:13" ht="26.25" x14ac:dyDescent="0.25">
      <c r="A2212" s="13" t="s">
        <v>5154</v>
      </c>
      <c r="B2212" s="13" t="s">
        <v>5154</v>
      </c>
      <c r="C2212" s="13" t="s">
        <v>5155</v>
      </c>
      <c r="D2212" s="13">
        <v>30</v>
      </c>
      <c r="E2212" s="13" t="s">
        <v>5156</v>
      </c>
      <c r="F2212" s="13" t="s">
        <v>8860</v>
      </c>
      <c r="G2212" s="13" t="s">
        <v>19</v>
      </c>
      <c r="H2212" s="13" t="s">
        <v>3</v>
      </c>
      <c r="I2212" s="13" t="s">
        <v>5157</v>
      </c>
      <c r="J2212" s="13" t="s">
        <v>21</v>
      </c>
      <c r="K2212" s="13" t="s">
        <v>8429</v>
      </c>
      <c r="L2212" s="13" t="s">
        <v>18</v>
      </c>
      <c r="M2212" t="s">
        <v>3</v>
      </c>
    </row>
    <row r="2213" spans="1:13" ht="26.25" x14ac:dyDescent="0.25">
      <c r="A2213" s="13" t="s">
        <v>5158</v>
      </c>
      <c r="B2213" s="13" t="s">
        <v>5158</v>
      </c>
      <c r="C2213" s="13" t="s">
        <v>5159</v>
      </c>
      <c r="D2213" s="13">
        <v>2</v>
      </c>
      <c r="E2213" s="13" t="s">
        <v>5160</v>
      </c>
      <c r="F2213" s="13" t="s">
        <v>35</v>
      </c>
      <c r="G2213" s="13" t="s">
        <v>19</v>
      </c>
      <c r="H2213" s="13" t="s">
        <v>3</v>
      </c>
      <c r="I2213" s="13" t="s">
        <v>5161</v>
      </c>
      <c r="J2213" s="13" t="s">
        <v>37</v>
      </c>
      <c r="K2213" s="13" t="s">
        <v>8676</v>
      </c>
      <c r="L2213" s="13" t="s">
        <v>35</v>
      </c>
      <c r="M2213" t="s">
        <v>3</v>
      </c>
    </row>
    <row r="2214" spans="1:13" ht="26.25" x14ac:dyDescent="0.25">
      <c r="A2214" s="13" t="s">
        <v>5162</v>
      </c>
      <c r="B2214" s="13" t="s">
        <v>5162</v>
      </c>
      <c r="C2214" s="13" t="s">
        <v>5163</v>
      </c>
      <c r="D2214" s="13">
        <v>1.9</v>
      </c>
      <c r="E2214" s="13" t="s">
        <v>5164</v>
      </c>
      <c r="F2214" s="13" t="s">
        <v>35</v>
      </c>
      <c r="G2214" s="13" t="s">
        <v>19</v>
      </c>
      <c r="H2214" s="13" t="s">
        <v>3</v>
      </c>
      <c r="I2214" s="13" t="s">
        <v>5161</v>
      </c>
      <c r="J2214" s="13" t="s">
        <v>37</v>
      </c>
      <c r="K2214" s="13" t="s">
        <v>8676</v>
      </c>
      <c r="L2214" s="13" t="s">
        <v>35</v>
      </c>
      <c r="M2214" t="s">
        <v>3</v>
      </c>
    </row>
    <row r="2215" spans="1:13" ht="26.25" x14ac:dyDescent="0.25">
      <c r="A2215" s="13" t="s">
        <v>5165</v>
      </c>
      <c r="B2215" s="13" t="s">
        <v>5166</v>
      </c>
      <c r="C2215" s="13" t="s">
        <v>5167</v>
      </c>
      <c r="D2215" s="13">
        <v>0.5</v>
      </c>
      <c r="E2215" s="13" t="s">
        <v>5168</v>
      </c>
      <c r="F2215" s="13" t="s">
        <v>35</v>
      </c>
      <c r="G2215" s="13" t="s">
        <v>19</v>
      </c>
      <c r="H2215" s="13" t="s">
        <v>3</v>
      </c>
      <c r="I2215" s="13" t="s">
        <v>5169</v>
      </c>
      <c r="J2215" s="13" t="s">
        <v>37</v>
      </c>
      <c r="K2215" s="13" t="s">
        <v>8677</v>
      </c>
      <c r="L2215" s="13" t="s">
        <v>35</v>
      </c>
      <c r="M2215" t="s">
        <v>3</v>
      </c>
    </row>
    <row r="2216" spans="1:13" ht="26.25" x14ac:dyDescent="0.25">
      <c r="A2216" s="13" t="s">
        <v>5170</v>
      </c>
      <c r="B2216" s="13" t="s">
        <v>5171</v>
      </c>
      <c r="C2216" s="13" t="s">
        <v>5172</v>
      </c>
      <c r="D2216" s="13">
        <v>500</v>
      </c>
      <c r="E2216" s="13" t="s">
        <v>5173</v>
      </c>
      <c r="F2216" s="13" t="s">
        <v>8860</v>
      </c>
      <c r="G2216" s="13" t="s">
        <v>19</v>
      </c>
      <c r="H2216" s="13" t="s">
        <v>3</v>
      </c>
      <c r="I2216" s="13" t="s">
        <v>5174</v>
      </c>
      <c r="J2216" s="13" t="s">
        <v>21</v>
      </c>
      <c r="K2216" s="13" t="s">
        <v>8678</v>
      </c>
      <c r="L2216" s="13" t="s">
        <v>18</v>
      </c>
      <c r="M2216" t="s">
        <v>3</v>
      </c>
    </row>
    <row r="2217" spans="1:13" ht="26.25" x14ac:dyDescent="0.25">
      <c r="A2217" s="13" t="s">
        <v>5175</v>
      </c>
      <c r="B2217" s="13" t="s">
        <v>5176</v>
      </c>
      <c r="C2217" s="13" t="s">
        <v>9329</v>
      </c>
      <c r="D2217" s="13">
        <v>65</v>
      </c>
      <c r="E2217" s="13" t="s">
        <v>5177</v>
      </c>
      <c r="F2217" s="13" t="s">
        <v>8860</v>
      </c>
      <c r="G2217" s="13" t="s">
        <v>19</v>
      </c>
      <c r="H2217" s="13" t="s">
        <v>3</v>
      </c>
      <c r="I2217" s="13" t="s">
        <v>5178</v>
      </c>
      <c r="J2217" s="13" t="s">
        <v>21</v>
      </c>
      <c r="K2217" s="13" t="s">
        <v>8679</v>
      </c>
      <c r="L2217" s="13" t="s">
        <v>18</v>
      </c>
      <c r="M2217" t="s">
        <v>3</v>
      </c>
    </row>
    <row r="2218" spans="1:13" ht="26.25" x14ac:dyDescent="0.25">
      <c r="A2218" s="13" t="s">
        <v>5179</v>
      </c>
      <c r="B2218" s="13" t="s">
        <v>5179</v>
      </c>
      <c r="C2218" s="13" t="s">
        <v>5180</v>
      </c>
      <c r="D2218" s="13">
        <v>5</v>
      </c>
      <c r="E2218" s="13" t="s">
        <v>5181</v>
      </c>
      <c r="F2218" s="13" t="s">
        <v>8860</v>
      </c>
      <c r="G2218" s="13" t="s">
        <v>19</v>
      </c>
      <c r="H2218" s="13" t="s">
        <v>3</v>
      </c>
      <c r="I2218" s="13" t="s">
        <v>5182</v>
      </c>
      <c r="J2218" s="13" t="s">
        <v>21</v>
      </c>
      <c r="K2218" s="13" t="s">
        <v>8429</v>
      </c>
      <c r="L2218" s="13" t="s">
        <v>18</v>
      </c>
      <c r="M2218" t="s">
        <v>3</v>
      </c>
    </row>
    <row r="2219" spans="1:13" ht="26.25" x14ac:dyDescent="0.25">
      <c r="A2219" s="13" t="s">
        <v>5183</v>
      </c>
      <c r="B2219" s="13" t="s">
        <v>5183</v>
      </c>
      <c r="C2219" s="13" t="s">
        <v>5184</v>
      </c>
      <c r="D2219" s="13">
        <v>437.9</v>
      </c>
      <c r="E2219" s="13" t="s">
        <v>5185</v>
      </c>
      <c r="F2219" s="13" t="s">
        <v>8860</v>
      </c>
      <c r="G2219" s="13" t="s">
        <v>19</v>
      </c>
      <c r="H2219" s="13" t="s">
        <v>3</v>
      </c>
      <c r="I2219" s="13" t="s">
        <v>5182</v>
      </c>
      <c r="J2219" s="13" t="s">
        <v>21</v>
      </c>
      <c r="K2219" s="13" t="s">
        <v>8429</v>
      </c>
      <c r="L2219" s="13" t="s">
        <v>18</v>
      </c>
      <c r="M2219" t="s">
        <v>3</v>
      </c>
    </row>
    <row r="2220" spans="1:13" ht="26.25" x14ac:dyDescent="0.25">
      <c r="A2220" s="13" t="s">
        <v>5186</v>
      </c>
      <c r="B2220" s="13" t="s">
        <v>5186</v>
      </c>
      <c r="C2220" s="13" t="s">
        <v>9330</v>
      </c>
      <c r="D2220" s="13">
        <v>9999</v>
      </c>
      <c r="E2220" s="13" t="s">
        <v>5187</v>
      </c>
      <c r="F2220" s="13" t="s">
        <v>855</v>
      </c>
      <c r="G2220" s="13" t="s">
        <v>19</v>
      </c>
      <c r="H2220" s="13" t="s">
        <v>3</v>
      </c>
      <c r="I2220" s="13" t="s">
        <v>2356</v>
      </c>
      <c r="J2220" s="13" t="s">
        <v>856</v>
      </c>
      <c r="K2220" s="13" t="s">
        <v>8429</v>
      </c>
      <c r="L2220" s="13" t="s">
        <v>855</v>
      </c>
      <c r="M2220" t="s">
        <v>3</v>
      </c>
    </row>
    <row r="2221" spans="1:13" x14ac:dyDescent="0.25">
      <c r="A2221" s="13" t="s">
        <v>5188</v>
      </c>
      <c r="B2221" s="13" t="s">
        <v>5188</v>
      </c>
      <c r="C2221" s="13" t="s">
        <v>9331</v>
      </c>
      <c r="D2221" s="13">
        <v>9999</v>
      </c>
      <c r="E2221" s="13" t="s">
        <v>5189</v>
      </c>
      <c r="F2221" s="13" t="s">
        <v>855</v>
      </c>
      <c r="G2221" s="13" t="s">
        <v>2</v>
      </c>
      <c r="H2221" s="13" t="s">
        <v>3</v>
      </c>
      <c r="I2221" s="13" t="s">
        <v>2356</v>
      </c>
      <c r="J2221" s="13" t="s">
        <v>856</v>
      </c>
      <c r="K2221" s="13" t="s">
        <v>8429</v>
      </c>
      <c r="L2221" s="13" t="s">
        <v>855</v>
      </c>
      <c r="M2221" t="s">
        <v>3</v>
      </c>
    </row>
    <row r="2222" spans="1:13" ht="26.25" x14ac:dyDescent="0.25">
      <c r="A2222" s="13" t="s">
        <v>9659</v>
      </c>
      <c r="B2222" s="13" t="s">
        <v>9659</v>
      </c>
      <c r="C2222" s="13" t="s">
        <v>9660</v>
      </c>
      <c r="D2222" s="13">
        <v>0</v>
      </c>
      <c r="E2222" s="13" t="s">
        <v>9661</v>
      </c>
      <c r="F2222" s="13" t="s">
        <v>8860</v>
      </c>
      <c r="G2222" s="13" t="s">
        <v>19</v>
      </c>
      <c r="H2222" s="13" t="s">
        <v>3</v>
      </c>
      <c r="I2222" s="13" t="s">
        <v>9662</v>
      </c>
      <c r="J2222" s="13" t="s">
        <v>21</v>
      </c>
      <c r="K2222" s="13" t="s">
        <v>9663</v>
      </c>
      <c r="L2222" s="13" t="s">
        <v>18</v>
      </c>
      <c r="M2222" t="s">
        <v>3</v>
      </c>
    </row>
    <row r="2223" spans="1:13" ht="26.25" x14ac:dyDescent="0.25">
      <c r="A2223" s="13" t="s">
        <v>5190</v>
      </c>
      <c r="B2223" s="13" t="s">
        <v>5191</v>
      </c>
      <c r="C2223" s="13" t="s">
        <v>5192</v>
      </c>
      <c r="D2223" s="14">
        <v>10</v>
      </c>
      <c r="E2223" s="13" t="s">
        <v>5193</v>
      </c>
      <c r="F2223" s="13" t="s">
        <v>8860</v>
      </c>
      <c r="G2223" s="13" t="s">
        <v>19</v>
      </c>
      <c r="H2223" s="13" t="s">
        <v>3</v>
      </c>
      <c r="I2223" s="13" t="s">
        <v>5194</v>
      </c>
      <c r="J2223" s="13" t="s">
        <v>21</v>
      </c>
      <c r="K2223" s="13" t="s">
        <v>8680</v>
      </c>
      <c r="L2223" s="13" t="s">
        <v>18</v>
      </c>
      <c r="M2223" t="s">
        <v>3</v>
      </c>
    </row>
    <row r="2224" spans="1:13" x14ac:dyDescent="0.25">
      <c r="A2224" s="13" t="s">
        <v>5195</v>
      </c>
      <c r="B2224" s="13" t="s">
        <v>5195</v>
      </c>
      <c r="C2224" s="13" t="s">
        <v>5196</v>
      </c>
      <c r="D2224" s="14">
        <v>0.2</v>
      </c>
      <c r="E2224" s="13" t="s">
        <v>5197</v>
      </c>
      <c r="F2224" s="13" t="s">
        <v>8869</v>
      </c>
      <c r="G2224" s="13" t="s">
        <v>2</v>
      </c>
      <c r="H2224" s="13" t="s">
        <v>3</v>
      </c>
      <c r="I2224" s="13" t="s">
        <v>228</v>
      </c>
      <c r="J2224" s="13" t="s">
        <v>8890</v>
      </c>
      <c r="K2224" s="13" t="s">
        <v>8418</v>
      </c>
      <c r="L2224" s="13" t="s">
        <v>8918</v>
      </c>
      <c r="M2224" t="s">
        <v>3</v>
      </c>
    </row>
    <row r="2225" spans="1:13" ht="26.25" x14ac:dyDescent="0.25">
      <c r="A2225" s="13" t="s">
        <v>5198</v>
      </c>
      <c r="B2225" s="13" t="s">
        <v>5198</v>
      </c>
      <c r="C2225" s="13" t="s">
        <v>9332</v>
      </c>
      <c r="D2225" s="14">
        <v>13000</v>
      </c>
      <c r="E2225" s="13" t="s">
        <v>5199</v>
      </c>
      <c r="F2225" s="13" t="s">
        <v>8860</v>
      </c>
      <c r="G2225" s="13" t="s">
        <v>19</v>
      </c>
      <c r="H2225" s="13" t="s">
        <v>3</v>
      </c>
      <c r="I2225" s="13" t="s">
        <v>137</v>
      </c>
      <c r="J2225" s="13" t="s">
        <v>21</v>
      </c>
      <c r="K2225" s="13" t="s">
        <v>8429</v>
      </c>
      <c r="L2225" s="13" t="s">
        <v>18</v>
      </c>
      <c r="M2225" t="s">
        <v>3</v>
      </c>
    </row>
    <row r="2226" spans="1:13" ht="26.25" x14ac:dyDescent="0.25">
      <c r="A2226" s="13" t="s">
        <v>5200</v>
      </c>
      <c r="B2226" s="13" t="s">
        <v>5201</v>
      </c>
      <c r="C2226" s="13" t="s">
        <v>5202</v>
      </c>
      <c r="D2226" s="14">
        <v>1</v>
      </c>
      <c r="E2226" s="13" t="s">
        <v>5203</v>
      </c>
      <c r="F2226" s="13" t="s">
        <v>8860</v>
      </c>
      <c r="G2226" s="13" t="s">
        <v>19</v>
      </c>
      <c r="H2226" s="13" t="s">
        <v>3</v>
      </c>
      <c r="I2226" s="13" t="s">
        <v>516</v>
      </c>
      <c r="J2226" s="13" t="s">
        <v>21</v>
      </c>
      <c r="K2226" s="13" t="s">
        <v>516</v>
      </c>
      <c r="L2226" s="13" t="s">
        <v>18</v>
      </c>
      <c r="M2226" t="s">
        <v>3</v>
      </c>
    </row>
    <row r="2227" spans="1:13" ht="26.25" x14ac:dyDescent="0.25">
      <c r="A2227" s="13" t="s">
        <v>5204</v>
      </c>
      <c r="B2227" s="13" t="s">
        <v>5205</v>
      </c>
      <c r="C2227" s="13" t="s">
        <v>5206</v>
      </c>
      <c r="D2227" s="13">
        <v>6.7</v>
      </c>
      <c r="E2227" s="13" t="s">
        <v>5207</v>
      </c>
      <c r="F2227" s="13" t="s">
        <v>8867</v>
      </c>
      <c r="G2227" s="13" t="s">
        <v>2</v>
      </c>
      <c r="H2227" s="13" t="s">
        <v>8958</v>
      </c>
      <c r="I2227" s="13" t="s">
        <v>516</v>
      </c>
      <c r="J2227" s="13" t="s">
        <v>8890</v>
      </c>
      <c r="K2227" s="13" t="s">
        <v>516</v>
      </c>
      <c r="L2227" s="13" t="s">
        <v>158</v>
      </c>
      <c r="M2227" t="s">
        <v>8958</v>
      </c>
    </row>
    <row r="2228" spans="1:13" ht="26.25" x14ac:dyDescent="0.25">
      <c r="A2228" s="13" t="s">
        <v>5208</v>
      </c>
      <c r="B2228" s="13" t="s">
        <v>5209</v>
      </c>
      <c r="C2228" s="13" t="s">
        <v>5210</v>
      </c>
      <c r="D2228" s="13">
        <v>0.2</v>
      </c>
      <c r="E2228" s="13" t="s">
        <v>5211</v>
      </c>
      <c r="F2228" s="13" t="s">
        <v>8860</v>
      </c>
      <c r="G2228" s="13" t="s">
        <v>19</v>
      </c>
      <c r="H2228" s="13" t="s">
        <v>3</v>
      </c>
      <c r="I2228" s="13" t="s">
        <v>5212</v>
      </c>
      <c r="J2228" s="13" t="s">
        <v>21</v>
      </c>
      <c r="K2228" s="13" t="s">
        <v>5210</v>
      </c>
      <c r="L2228" s="13" t="s">
        <v>18</v>
      </c>
      <c r="M2228" t="s">
        <v>3</v>
      </c>
    </row>
    <row r="2229" spans="1:13" x14ac:dyDescent="0.25">
      <c r="A2229" s="13" t="s">
        <v>9940</v>
      </c>
      <c r="B2229" s="13" t="s">
        <v>9940</v>
      </c>
      <c r="C2229" s="13" t="s">
        <v>9940</v>
      </c>
      <c r="D2229" s="13">
        <v>2.9</v>
      </c>
      <c r="E2229" s="13" t="s">
        <v>9941</v>
      </c>
      <c r="F2229" s="13" t="s">
        <v>8867</v>
      </c>
      <c r="G2229" s="13" t="s">
        <v>2</v>
      </c>
      <c r="H2229" s="13" t="s">
        <v>3</v>
      </c>
      <c r="I2229" s="13" t="s">
        <v>5212</v>
      </c>
      <c r="J2229" s="13" t="s">
        <v>8890</v>
      </c>
      <c r="K2229" s="13" t="s">
        <v>5210</v>
      </c>
      <c r="L2229" s="13" t="s">
        <v>158</v>
      </c>
      <c r="M2229" t="s">
        <v>3</v>
      </c>
    </row>
    <row r="2230" spans="1:13" x14ac:dyDescent="0.25">
      <c r="A2230" s="13" t="s">
        <v>10300</v>
      </c>
      <c r="B2230" s="13" t="s">
        <v>10300</v>
      </c>
      <c r="C2230" s="13" t="s">
        <v>10300</v>
      </c>
      <c r="D2230" s="14">
        <v>1.5</v>
      </c>
      <c r="E2230" s="13" t="s">
        <v>10301</v>
      </c>
      <c r="F2230" s="13" t="s">
        <v>8867</v>
      </c>
      <c r="G2230" s="13" t="s">
        <v>2</v>
      </c>
      <c r="H2230" s="13" t="s">
        <v>3</v>
      </c>
      <c r="I2230" s="13" t="s">
        <v>5212</v>
      </c>
      <c r="J2230" s="13" t="s">
        <v>8890</v>
      </c>
      <c r="K2230" s="13" t="s">
        <v>5210</v>
      </c>
      <c r="L2230" s="13" t="s">
        <v>158</v>
      </c>
      <c r="M2230" t="s">
        <v>3</v>
      </c>
    </row>
    <row r="2231" spans="1:13" ht="26.25" x14ac:dyDescent="0.25">
      <c r="A2231" s="13" t="s">
        <v>5213</v>
      </c>
      <c r="B2231" s="13" t="s">
        <v>5214</v>
      </c>
      <c r="C2231" s="13" t="s">
        <v>5215</v>
      </c>
      <c r="D2231" s="13">
        <v>0.1</v>
      </c>
      <c r="E2231" s="13" t="s">
        <v>5216</v>
      </c>
      <c r="F2231" s="13" t="s">
        <v>8860</v>
      </c>
      <c r="G2231" s="13" t="s">
        <v>19</v>
      </c>
      <c r="H2231" s="13" t="s">
        <v>3</v>
      </c>
      <c r="I2231" s="13" t="s">
        <v>5217</v>
      </c>
      <c r="J2231" s="13" t="s">
        <v>21</v>
      </c>
      <c r="K2231" s="13" t="s">
        <v>8681</v>
      </c>
      <c r="L2231" s="13" t="s">
        <v>18</v>
      </c>
      <c r="M2231" t="s">
        <v>3</v>
      </c>
    </row>
    <row r="2232" spans="1:13" ht="26.25" x14ac:dyDescent="0.25">
      <c r="A2232" s="13" t="s">
        <v>10562</v>
      </c>
      <c r="B2232" s="13" t="s">
        <v>10563</v>
      </c>
      <c r="C2232" s="13" t="s">
        <v>10564</v>
      </c>
      <c r="D2232" s="13">
        <v>5.5</v>
      </c>
      <c r="E2232" s="13" t="s">
        <v>10565</v>
      </c>
      <c r="F2232" s="13" t="s">
        <v>8860</v>
      </c>
      <c r="G2232" s="13" t="s">
        <v>19</v>
      </c>
      <c r="H2232" s="13" t="s">
        <v>3</v>
      </c>
      <c r="I2232" s="13" t="s">
        <v>10566</v>
      </c>
      <c r="J2232" s="13" t="s">
        <v>21</v>
      </c>
      <c r="K2232" s="13" t="s">
        <v>10567</v>
      </c>
      <c r="L2232" s="13" t="s">
        <v>18</v>
      </c>
      <c r="M2232" t="s">
        <v>3</v>
      </c>
    </row>
    <row r="2233" spans="1:13" ht="26.25" x14ac:dyDescent="0.25">
      <c r="A2233" s="13" t="s">
        <v>9664</v>
      </c>
      <c r="B2233" s="13" t="s">
        <v>9665</v>
      </c>
      <c r="C2233" s="13" t="s">
        <v>9666</v>
      </c>
      <c r="D2233" s="13">
        <v>1</v>
      </c>
      <c r="E2233" s="13" t="s">
        <v>9667</v>
      </c>
      <c r="F2233" s="13" t="s">
        <v>8860</v>
      </c>
      <c r="G2233" s="13" t="s">
        <v>19</v>
      </c>
      <c r="H2233" s="13" t="s">
        <v>3</v>
      </c>
      <c r="I2233" s="13" t="s">
        <v>9668</v>
      </c>
      <c r="J2233" s="13" t="s">
        <v>21</v>
      </c>
      <c r="K2233" s="13" t="s">
        <v>9669</v>
      </c>
      <c r="L2233" s="13" t="s">
        <v>18</v>
      </c>
      <c r="M2233" t="s">
        <v>3</v>
      </c>
    </row>
    <row r="2234" spans="1:13" ht="26.25" x14ac:dyDescent="0.25">
      <c r="A2234" s="13" t="s">
        <v>5218</v>
      </c>
      <c r="B2234" s="13" t="s">
        <v>5218</v>
      </c>
      <c r="C2234" s="13" t="s">
        <v>5219</v>
      </c>
      <c r="D2234" s="13">
        <v>40</v>
      </c>
      <c r="E2234" s="13" t="s">
        <v>5220</v>
      </c>
      <c r="F2234" s="13" t="s">
        <v>8860</v>
      </c>
      <c r="G2234" s="13" t="s">
        <v>19</v>
      </c>
      <c r="H2234" s="13" t="s">
        <v>3</v>
      </c>
      <c r="I2234" s="13" t="s">
        <v>5221</v>
      </c>
      <c r="J2234" s="13" t="s">
        <v>21</v>
      </c>
      <c r="K2234" s="13" t="s">
        <v>5219</v>
      </c>
      <c r="L2234" s="13" t="s">
        <v>18</v>
      </c>
      <c r="M2234" t="s">
        <v>3</v>
      </c>
    </row>
    <row r="2235" spans="1:13" ht="26.25" x14ac:dyDescent="0.25">
      <c r="A2235" s="13" t="s">
        <v>11357</v>
      </c>
      <c r="B2235" s="13" t="s">
        <v>11357</v>
      </c>
      <c r="C2235" s="13" t="s">
        <v>11358</v>
      </c>
      <c r="D2235" s="13">
        <v>0.1</v>
      </c>
      <c r="E2235" s="13" t="s">
        <v>11359</v>
      </c>
      <c r="F2235" s="13" t="s">
        <v>8860</v>
      </c>
      <c r="G2235" s="13" t="s">
        <v>19</v>
      </c>
      <c r="H2235" s="13" t="s">
        <v>3</v>
      </c>
      <c r="I2235" s="13" t="s">
        <v>11360</v>
      </c>
      <c r="J2235" s="13" t="s">
        <v>21</v>
      </c>
      <c r="K2235" s="13" t="s">
        <v>11361</v>
      </c>
      <c r="L2235" s="13" t="s">
        <v>18</v>
      </c>
      <c r="M2235" t="s">
        <v>3</v>
      </c>
    </row>
    <row r="2236" spans="1:13" ht="26.25" x14ac:dyDescent="0.25">
      <c r="A2236" s="13" t="s">
        <v>5222</v>
      </c>
      <c r="B2236" s="13" t="s">
        <v>5222</v>
      </c>
      <c r="C2236" s="13" t="s">
        <v>5223</v>
      </c>
      <c r="D2236" s="13">
        <v>0</v>
      </c>
      <c r="E2236" s="13" t="s">
        <v>5224</v>
      </c>
      <c r="F2236" s="13" t="s">
        <v>8860</v>
      </c>
      <c r="G2236" s="13" t="s">
        <v>19</v>
      </c>
      <c r="H2236" s="13" t="s">
        <v>3</v>
      </c>
      <c r="I2236" s="13" t="s">
        <v>5225</v>
      </c>
      <c r="J2236" s="13" t="s">
        <v>21</v>
      </c>
      <c r="K2236" s="13" t="s">
        <v>5225</v>
      </c>
      <c r="L2236" s="13" t="s">
        <v>18</v>
      </c>
      <c r="M2236" t="s">
        <v>3</v>
      </c>
    </row>
    <row r="2237" spans="1:13" ht="26.25" x14ac:dyDescent="0.25">
      <c r="A2237" s="13" t="s">
        <v>11362</v>
      </c>
      <c r="B2237" s="13" t="s">
        <v>11363</v>
      </c>
      <c r="C2237" s="13" t="s">
        <v>11364</v>
      </c>
      <c r="D2237" s="13">
        <v>0.2</v>
      </c>
      <c r="E2237" s="13" t="s">
        <v>11365</v>
      </c>
      <c r="F2237" s="13" t="s">
        <v>8860</v>
      </c>
      <c r="G2237" s="13" t="s">
        <v>19</v>
      </c>
      <c r="H2237" s="13" t="s">
        <v>3</v>
      </c>
      <c r="I2237" s="13" t="s">
        <v>11366</v>
      </c>
      <c r="J2237" s="13" t="s">
        <v>21</v>
      </c>
      <c r="K2237" s="13" t="s">
        <v>11367</v>
      </c>
      <c r="L2237" s="13" t="s">
        <v>18</v>
      </c>
      <c r="M2237" t="s">
        <v>3</v>
      </c>
    </row>
    <row r="2238" spans="1:13" ht="26.25" x14ac:dyDescent="0.25">
      <c r="A2238" s="13" t="s">
        <v>5226</v>
      </c>
      <c r="B2238" s="13" t="s">
        <v>5226</v>
      </c>
      <c r="C2238" s="13" t="s">
        <v>5227</v>
      </c>
      <c r="D2238" s="13">
        <v>0.2</v>
      </c>
      <c r="E2238" s="13" t="s">
        <v>5228</v>
      </c>
      <c r="F2238" s="13" t="s">
        <v>8860</v>
      </c>
      <c r="G2238" s="13" t="s">
        <v>19</v>
      </c>
      <c r="H2238" s="13" t="s">
        <v>3</v>
      </c>
      <c r="I2238" s="13" t="s">
        <v>5229</v>
      </c>
      <c r="J2238" s="13" t="s">
        <v>21</v>
      </c>
      <c r="K2238" s="13" t="s">
        <v>8682</v>
      </c>
      <c r="L2238" s="13" t="s">
        <v>18</v>
      </c>
      <c r="M2238" t="s">
        <v>3</v>
      </c>
    </row>
    <row r="2239" spans="1:13" ht="26.25" x14ac:dyDescent="0.25">
      <c r="A2239" s="13" t="s">
        <v>5230</v>
      </c>
      <c r="B2239" s="13" t="s">
        <v>5233</v>
      </c>
      <c r="C2239" s="13" t="s">
        <v>5231</v>
      </c>
      <c r="D2239" s="13">
        <v>0.1</v>
      </c>
      <c r="E2239" s="13" t="s">
        <v>5232</v>
      </c>
      <c r="F2239" s="13" t="s">
        <v>8860</v>
      </c>
      <c r="G2239" s="13" t="s">
        <v>19</v>
      </c>
      <c r="H2239" s="13" t="s">
        <v>3</v>
      </c>
      <c r="I2239" s="13" t="s">
        <v>5233</v>
      </c>
      <c r="J2239" s="13" t="s">
        <v>21</v>
      </c>
      <c r="K2239" s="13" t="s">
        <v>5231</v>
      </c>
      <c r="L2239" s="13" t="s">
        <v>18</v>
      </c>
      <c r="M2239" t="s">
        <v>3</v>
      </c>
    </row>
    <row r="2240" spans="1:13" ht="26.25" x14ac:dyDescent="0.25">
      <c r="A2240" s="13" t="s">
        <v>10923</v>
      </c>
      <c r="B2240" s="13" t="s">
        <v>10923</v>
      </c>
      <c r="C2240" s="13" t="s">
        <v>10923</v>
      </c>
      <c r="D2240" s="13">
        <v>0.1</v>
      </c>
      <c r="E2240" s="13" t="s">
        <v>10924</v>
      </c>
      <c r="F2240" s="13" t="s">
        <v>8860</v>
      </c>
      <c r="G2240" s="13" t="s">
        <v>19</v>
      </c>
      <c r="H2240" s="13" t="s">
        <v>3</v>
      </c>
      <c r="I2240" s="13" t="s">
        <v>10925</v>
      </c>
      <c r="J2240" s="13" t="s">
        <v>21</v>
      </c>
      <c r="K2240" s="13" t="s">
        <v>10926</v>
      </c>
      <c r="L2240" s="13" t="s">
        <v>18</v>
      </c>
      <c r="M2240" t="s">
        <v>3</v>
      </c>
    </row>
    <row r="2241" spans="1:13" ht="26.25" x14ac:dyDescent="0.25">
      <c r="A2241" s="13" t="s">
        <v>5234</v>
      </c>
      <c r="B2241" s="13" t="s">
        <v>5234</v>
      </c>
      <c r="C2241" s="13" t="s">
        <v>5235</v>
      </c>
      <c r="D2241" s="13">
        <v>90</v>
      </c>
      <c r="E2241" s="13" t="s">
        <v>5236</v>
      </c>
      <c r="F2241" s="13" t="s">
        <v>8860</v>
      </c>
      <c r="G2241" s="13" t="s">
        <v>19</v>
      </c>
      <c r="H2241" s="13" t="s">
        <v>3</v>
      </c>
      <c r="I2241" s="13" t="s">
        <v>5237</v>
      </c>
      <c r="J2241" s="13" t="s">
        <v>21</v>
      </c>
      <c r="K2241" s="13" t="s">
        <v>8683</v>
      </c>
      <c r="L2241" s="13" t="s">
        <v>18</v>
      </c>
      <c r="M2241" t="s">
        <v>3</v>
      </c>
    </row>
    <row r="2242" spans="1:13" ht="26.25" x14ac:dyDescent="0.25">
      <c r="A2242" s="13" t="s">
        <v>5238</v>
      </c>
      <c r="B2242" s="13" t="s">
        <v>5239</v>
      </c>
      <c r="C2242" s="13" t="s">
        <v>5240</v>
      </c>
      <c r="D2242" s="13">
        <v>0.1</v>
      </c>
      <c r="E2242" s="13" t="s">
        <v>5241</v>
      </c>
      <c r="F2242" s="13" t="s">
        <v>8860</v>
      </c>
      <c r="G2242" s="13" t="s">
        <v>19</v>
      </c>
      <c r="H2242" s="13" t="s">
        <v>3</v>
      </c>
      <c r="I2242" s="13" t="s">
        <v>5239</v>
      </c>
      <c r="J2242" s="13" t="s">
        <v>21</v>
      </c>
      <c r="K2242" s="13" t="s">
        <v>8684</v>
      </c>
      <c r="L2242" s="13" t="s">
        <v>18</v>
      </c>
      <c r="M2242" t="s">
        <v>3</v>
      </c>
    </row>
    <row r="2243" spans="1:13" ht="26.25" x14ac:dyDescent="0.25">
      <c r="A2243" s="13" t="s">
        <v>5242</v>
      </c>
      <c r="B2243" s="13" t="s">
        <v>5242</v>
      </c>
      <c r="C2243" s="13" t="s">
        <v>5242</v>
      </c>
      <c r="D2243" s="13">
        <v>0.2</v>
      </c>
      <c r="E2243" s="13" t="s">
        <v>5243</v>
      </c>
      <c r="F2243" s="13" t="s">
        <v>8860</v>
      </c>
      <c r="G2243" s="13" t="s">
        <v>19</v>
      </c>
      <c r="H2243" s="13" t="s">
        <v>3</v>
      </c>
      <c r="I2243" s="13" t="s">
        <v>5244</v>
      </c>
      <c r="J2243" s="13" t="s">
        <v>21</v>
      </c>
      <c r="K2243" s="13" t="s">
        <v>8685</v>
      </c>
      <c r="L2243" s="13" t="s">
        <v>18</v>
      </c>
      <c r="M2243" t="s">
        <v>3</v>
      </c>
    </row>
    <row r="2244" spans="1:13" ht="26.25" x14ac:dyDescent="0.25">
      <c r="A2244" s="13" t="s">
        <v>5245</v>
      </c>
      <c r="B2244" s="13" t="s">
        <v>5246</v>
      </c>
      <c r="C2244" s="13" t="s">
        <v>9333</v>
      </c>
      <c r="D2244" s="13">
        <v>0.1</v>
      </c>
      <c r="E2244" s="13" t="s">
        <v>5248</v>
      </c>
      <c r="F2244" s="13" t="s">
        <v>8860</v>
      </c>
      <c r="G2244" s="13" t="s">
        <v>19</v>
      </c>
      <c r="H2244" s="13" t="s">
        <v>3</v>
      </c>
      <c r="I2244" s="13" t="s">
        <v>5249</v>
      </c>
      <c r="J2244" s="13" t="s">
        <v>21</v>
      </c>
      <c r="K2244" s="13" t="s">
        <v>5247</v>
      </c>
      <c r="L2244" s="13" t="s">
        <v>18</v>
      </c>
      <c r="M2244" t="s">
        <v>3</v>
      </c>
    </row>
    <row r="2245" spans="1:13" ht="26.25" x14ac:dyDescent="0.25">
      <c r="A2245" s="13" t="s">
        <v>5250</v>
      </c>
      <c r="B2245" s="13" t="s">
        <v>5251</v>
      </c>
      <c r="C2245" s="13" t="s">
        <v>5252</v>
      </c>
      <c r="D2245" s="13">
        <v>0.1</v>
      </c>
      <c r="E2245" s="13" t="s">
        <v>5253</v>
      </c>
      <c r="F2245" s="13" t="s">
        <v>8860</v>
      </c>
      <c r="G2245" s="13" t="s">
        <v>19</v>
      </c>
      <c r="H2245" s="13" t="s">
        <v>3</v>
      </c>
      <c r="I2245" s="13" t="s">
        <v>5251</v>
      </c>
      <c r="J2245" s="13" t="s">
        <v>21</v>
      </c>
      <c r="K2245" s="13" t="s">
        <v>8686</v>
      </c>
      <c r="L2245" s="13" t="s">
        <v>18</v>
      </c>
      <c r="M2245" t="s">
        <v>3</v>
      </c>
    </row>
    <row r="2246" spans="1:13" ht="26.25" x14ac:dyDescent="0.25">
      <c r="A2246" s="13" t="s">
        <v>9942</v>
      </c>
      <c r="B2246" s="13" t="s">
        <v>9943</v>
      </c>
      <c r="C2246" s="13" t="s">
        <v>9944</v>
      </c>
      <c r="D2246" s="13">
        <v>0.1</v>
      </c>
      <c r="E2246" s="13" t="s">
        <v>9945</v>
      </c>
      <c r="F2246" s="13" t="s">
        <v>8860</v>
      </c>
      <c r="G2246" s="13" t="s">
        <v>19</v>
      </c>
      <c r="H2246" s="13" t="s">
        <v>3</v>
      </c>
      <c r="I2246" s="13" t="s">
        <v>9943</v>
      </c>
      <c r="J2246" s="13" t="s">
        <v>21</v>
      </c>
      <c r="K2246" s="13" t="s">
        <v>9946</v>
      </c>
      <c r="L2246" s="13" t="s">
        <v>18</v>
      </c>
      <c r="M2246" t="s">
        <v>3</v>
      </c>
    </row>
    <row r="2247" spans="1:13" ht="26.25" x14ac:dyDescent="0.25">
      <c r="A2247" s="13" t="s">
        <v>5254</v>
      </c>
      <c r="B2247" s="13" t="s">
        <v>5254</v>
      </c>
      <c r="C2247" s="13" t="s">
        <v>5255</v>
      </c>
      <c r="D2247" s="13">
        <v>0.1</v>
      </c>
      <c r="E2247" s="13" t="s">
        <v>5256</v>
      </c>
      <c r="F2247" s="13" t="s">
        <v>35</v>
      </c>
      <c r="G2247" s="13" t="s">
        <v>19</v>
      </c>
      <c r="H2247" s="13" t="s">
        <v>3</v>
      </c>
      <c r="I2247" s="13" t="s">
        <v>5257</v>
      </c>
      <c r="J2247" s="13" t="s">
        <v>37</v>
      </c>
      <c r="K2247" s="13" t="s">
        <v>9334</v>
      </c>
      <c r="L2247" s="13" t="s">
        <v>35</v>
      </c>
      <c r="M2247" t="s">
        <v>3</v>
      </c>
    </row>
    <row r="2248" spans="1:13" ht="26.25" x14ac:dyDescent="0.25">
      <c r="A2248" s="13" t="s">
        <v>5258</v>
      </c>
      <c r="B2248" s="13" t="s">
        <v>5258</v>
      </c>
      <c r="C2248" s="13" t="s">
        <v>5258</v>
      </c>
      <c r="D2248" s="13">
        <v>9999</v>
      </c>
      <c r="E2248" s="13" t="s">
        <v>5259</v>
      </c>
      <c r="F2248" s="13" t="s">
        <v>855</v>
      </c>
      <c r="G2248" s="13" t="s">
        <v>19</v>
      </c>
      <c r="H2248" s="13" t="s">
        <v>3</v>
      </c>
      <c r="I2248" s="13" t="s">
        <v>2458</v>
      </c>
      <c r="J2248" s="13" t="s">
        <v>856</v>
      </c>
      <c r="K2248" s="13" t="s">
        <v>8604</v>
      </c>
      <c r="L2248" s="13" t="s">
        <v>855</v>
      </c>
      <c r="M2248" t="s">
        <v>3</v>
      </c>
    </row>
    <row r="2249" spans="1:13" ht="26.25" x14ac:dyDescent="0.25">
      <c r="A2249" s="13" t="s">
        <v>5260</v>
      </c>
      <c r="B2249" s="13" t="s">
        <v>5260</v>
      </c>
      <c r="C2249" s="13" t="s">
        <v>5260</v>
      </c>
      <c r="D2249" s="13">
        <v>9999</v>
      </c>
      <c r="E2249" s="13" t="s">
        <v>5261</v>
      </c>
      <c r="F2249" s="13" t="s">
        <v>855</v>
      </c>
      <c r="G2249" s="13" t="s">
        <v>2</v>
      </c>
      <c r="H2249" s="13" t="s">
        <v>3</v>
      </c>
      <c r="I2249" s="13" t="s">
        <v>2458</v>
      </c>
      <c r="J2249" s="13" t="s">
        <v>856</v>
      </c>
      <c r="K2249" s="13" t="s">
        <v>8604</v>
      </c>
      <c r="L2249" s="13" t="s">
        <v>855</v>
      </c>
      <c r="M2249" t="s">
        <v>3</v>
      </c>
    </row>
    <row r="2250" spans="1:13" ht="26.25" x14ac:dyDescent="0.25">
      <c r="A2250" s="13" t="s">
        <v>5262</v>
      </c>
      <c r="B2250" s="13" t="s">
        <v>5262</v>
      </c>
      <c r="C2250" s="13" t="s">
        <v>5262</v>
      </c>
      <c r="D2250" s="13">
        <v>9999</v>
      </c>
      <c r="E2250" s="13" t="s">
        <v>5263</v>
      </c>
      <c r="F2250" s="13" t="s">
        <v>855</v>
      </c>
      <c r="G2250" s="13" t="s">
        <v>19</v>
      </c>
      <c r="H2250" s="13" t="s">
        <v>3</v>
      </c>
      <c r="I2250" s="13" t="s">
        <v>2458</v>
      </c>
      <c r="J2250" s="13" t="s">
        <v>856</v>
      </c>
      <c r="K2250" s="13" t="s">
        <v>8604</v>
      </c>
      <c r="L2250" s="13" t="s">
        <v>855</v>
      </c>
      <c r="M2250" t="s">
        <v>3</v>
      </c>
    </row>
    <row r="2251" spans="1:13" ht="26.25" x14ac:dyDescent="0.25">
      <c r="A2251" s="13" t="s">
        <v>5264</v>
      </c>
      <c r="B2251" s="13" t="s">
        <v>5264</v>
      </c>
      <c r="C2251" s="13" t="s">
        <v>5264</v>
      </c>
      <c r="D2251" s="13">
        <v>9999</v>
      </c>
      <c r="E2251" s="13" t="s">
        <v>5265</v>
      </c>
      <c r="F2251" s="13" t="s">
        <v>855</v>
      </c>
      <c r="G2251" s="13" t="s">
        <v>2</v>
      </c>
      <c r="H2251" s="13" t="s">
        <v>3</v>
      </c>
      <c r="I2251" s="13" t="s">
        <v>2458</v>
      </c>
      <c r="J2251" s="13" t="s">
        <v>856</v>
      </c>
      <c r="K2251" s="13" t="s">
        <v>8604</v>
      </c>
      <c r="L2251" s="13" t="s">
        <v>855</v>
      </c>
      <c r="M2251" t="s">
        <v>3</v>
      </c>
    </row>
    <row r="2252" spans="1:13" ht="26.25" x14ac:dyDescent="0.25">
      <c r="A2252" s="13" t="s">
        <v>5266</v>
      </c>
      <c r="B2252" s="13" t="s">
        <v>5267</v>
      </c>
      <c r="C2252" s="13" t="s">
        <v>5268</v>
      </c>
      <c r="D2252" s="13">
        <v>0.1</v>
      </c>
      <c r="E2252" s="13" t="s">
        <v>5269</v>
      </c>
      <c r="F2252" s="13" t="s">
        <v>8860</v>
      </c>
      <c r="G2252" s="13" t="s">
        <v>19</v>
      </c>
      <c r="H2252" s="13" t="s">
        <v>3</v>
      </c>
      <c r="I2252" s="13" t="s">
        <v>2458</v>
      </c>
      <c r="J2252" s="13" t="s">
        <v>21</v>
      </c>
      <c r="K2252" s="13" t="s">
        <v>8604</v>
      </c>
      <c r="L2252" s="13" t="s">
        <v>18</v>
      </c>
      <c r="M2252" t="s">
        <v>3</v>
      </c>
    </row>
    <row r="2253" spans="1:13" ht="26.25" x14ac:dyDescent="0.25">
      <c r="A2253" s="13" t="s">
        <v>5270</v>
      </c>
      <c r="B2253" s="13" t="s">
        <v>5271</v>
      </c>
      <c r="C2253" s="13" t="s">
        <v>5272</v>
      </c>
      <c r="D2253" s="13">
        <v>1</v>
      </c>
      <c r="E2253" s="13" t="s">
        <v>5273</v>
      </c>
      <c r="F2253" s="13" t="s">
        <v>8860</v>
      </c>
      <c r="G2253" s="13" t="s">
        <v>19</v>
      </c>
      <c r="H2253" s="13" t="s">
        <v>3</v>
      </c>
      <c r="I2253" s="13" t="s">
        <v>5274</v>
      </c>
      <c r="J2253" s="13" t="s">
        <v>21</v>
      </c>
      <c r="K2253" s="13" t="s">
        <v>8687</v>
      </c>
      <c r="L2253" s="13" t="s">
        <v>18</v>
      </c>
      <c r="M2253" t="s">
        <v>3</v>
      </c>
    </row>
    <row r="2254" spans="1:13" ht="26.25" x14ac:dyDescent="0.25">
      <c r="A2254" s="13" t="s">
        <v>9947</v>
      </c>
      <c r="B2254" s="13" t="s">
        <v>9947</v>
      </c>
      <c r="C2254" s="13" t="s">
        <v>9947</v>
      </c>
      <c r="D2254" s="13">
        <v>0.1</v>
      </c>
      <c r="E2254" s="13" t="s">
        <v>9948</v>
      </c>
      <c r="F2254" s="13" t="s">
        <v>8860</v>
      </c>
      <c r="G2254" s="13" t="s">
        <v>19</v>
      </c>
      <c r="H2254" s="13" t="s">
        <v>3</v>
      </c>
      <c r="I2254" s="13" t="s">
        <v>9949</v>
      </c>
      <c r="J2254" s="13" t="s">
        <v>21</v>
      </c>
      <c r="K2254" s="13" t="s">
        <v>9950</v>
      </c>
      <c r="L2254" s="13" t="s">
        <v>18</v>
      </c>
      <c r="M2254" t="s">
        <v>3</v>
      </c>
    </row>
    <row r="2255" spans="1:13" ht="26.25" x14ac:dyDescent="0.25">
      <c r="A2255" s="13" t="s">
        <v>5275</v>
      </c>
      <c r="B2255" s="13" t="s">
        <v>5276</v>
      </c>
      <c r="C2255" s="13" t="s">
        <v>5276</v>
      </c>
      <c r="D2255" s="13">
        <v>1101.5</v>
      </c>
      <c r="E2255" s="13" t="s">
        <v>5277</v>
      </c>
      <c r="F2255" s="13" t="s">
        <v>35</v>
      </c>
      <c r="G2255" s="13" t="s">
        <v>19</v>
      </c>
      <c r="H2255" s="13" t="s">
        <v>3</v>
      </c>
      <c r="I2255" s="13" t="s">
        <v>5278</v>
      </c>
      <c r="J2255" s="13" t="s">
        <v>37</v>
      </c>
      <c r="K2255" s="13">
        <v>1</v>
      </c>
      <c r="L2255" s="13" t="s">
        <v>35</v>
      </c>
      <c r="M2255" t="s">
        <v>3</v>
      </c>
    </row>
    <row r="2256" spans="1:13" x14ac:dyDescent="0.25">
      <c r="A2256" s="13" t="s">
        <v>10927</v>
      </c>
      <c r="B2256" s="13" t="s">
        <v>10927</v>
      </c>
      <c r="C2256" s="13" t="s">
        <v>10928</v>
      </c>
      <c r="D2256" s="13">
        <v>0.3</v>
      </c>
      <c r="E2256" s="13" t="s">
        <v>10929</v>
      </c>
      <c r="F2256" s="13" t="s">
        <v>8867</v>
      </c>
      <c r="G2256" s="13" t="s">
        <v>2</v>
      </c>
      <c r="H2256" s="13" t="s">
        <v>3</v>
      </c>
      <c r="I2256" s="13" t="s">
        <v>517</v>
      </c>
      <c r="J2256" s="13" t="s">
        <v>8890</v>
      </c>
      <c r="K2256" s="13" t="s">
        <v>8477</v>
      </c>
      <c r="L2256" s="13" t="s">
        <v>158</v>
      </c>
      <c r="M2256" t="s">
        <v>3</v>
      </c>
    </row>
    <row r="2257" spans="1:13" ht="26.25" x14ac:dyDescent="0.25">
      <c r="A2257" s="13" t="s">
        <v>5279</v>
      </c>
      <c r="B2257" s="13" t="s">
        <v>5279</v>
      </c>
      <c r="C2257" s="13" t="s">
        <v>5280</v>
      </c>
      <c r="D2257" s="13">
        <v>0.7</v>
      </c>
      <c r="E2257" s="13" t="s">
        <v>5281</v>
      </c>
      <c r="F2257" s="13" t="s">
        <v>8860</v>
      </c>
      <c r="G2257" s="13" t="s">
        <v>19</v>
      </c>
      <c r="H2257" s="13" t="s">
        <v>3</v>
      </c>
      <c r="I2257" s="13" t="s">
        <v>5282</v>
      </c>
      <c r="J2257" s="13" t="s">
        <v>21</v>
      </c>
      <c r="K2257" s="13" t="s">
        <v>8688</v>
      </c>
      <c r="L2257" s="13" t="s">
        <v>18</v>
      </c>
      <c r="M2257" t="s">
        <v>3</v>
      </c>
    </row>
    <row r="2258" spans="1:13" ht="26.25" x14ac:dyDescent="0.25">
      <c r="A2258" s="13" t="s">
        <v>10769</v>
      </c>
      <c r="B2258" s="13" t="s">
        <v>10770</v>
      </c>
      <c r="C2258" s="13" t="s">
        <v>10771</v>
      </c>
      <c r="D2258" s="13">
        <v>0.1</v>
      </c>
      <c r="E2258" s="13" t="s">
        <v>10772</v>
      </c>
      <c r="F2258" s="13" t="s">
        <v>8860</v>
      </c>
      <c r="G2258" s="13" t="s">
        <v>19</v>
      </c>
      <c r="H2258" s="13" t="s">
        <v>3</v>
      </c>
      <c r="I2258" s="13" t="s">
        <v>10773</v>
      </c>
      <c r="J2258" s="13" t="s">
        <v>21</v>
      </c>
      <c r="K2258" s="13" t="s">
        <v>10774</v>
      </c>
      <c r="L2258" s="13" t="s">
        <v>18</v>
      </c>
      <c r="M2258" t="s">
        <v>3</v>
      </c>
    </row>
    <row r="2259" spans="1:13" ht="26.25" x14ac:dyDescent="0.25">
      <c r="A2259" s="13" t="s">
        <v>5283</v>
      </c>
      <c r="B2259" s="13" t="s">
        <v>5283</v>
      </c>
      <c r="C2259" s="13" t="s">
        <v>9335</v>
      </c>
      <c r="D2259" s="13">
        <v>0</v>
      </c>
      <c r="E2259" s="13" t="s">
        <v>5284</v>
      </c>
      <c r="F2259" s="13" t="s">
        <v>8870</v>
      </c>
      <c r="G2259" s="13" t="s">
        <v>19</v>
      </c>
      <c r="H2259" s="13" t="s">
        <v>3</v>
      </c>
      <c r="I2259" s="13" t="s">
        <v>4344</v>
      </c>
      <c r="J2259" s="13" t="s">
        <v>410</v>
      </c>
      <c r="K2259" s="13" t="s">
        <v>4342</v>
      </c>
      <c r="L2259" s="13" t="s">
        <v>8942</v>
      </c>
      <c r="M2259" t="s">
        <v>3</v>
      </c>
    </row>
    <row r="2260" spans="1:13" x14ac:dyDescent="0.25">
      <c r="A2260" s="13" t="s">
        <v>5285</v>
      </c>
      <c r="B2260" s="13" t="s">
        <v>5285</v>
      </c>
      <c r="C2260" s="13" t="s">
        <v>9336</v>
      </c>
      <c r="D2260" s="13">
        <v>0</v>
      </c>
      <c r="E2260" s="13" t="s">
        <v>5286</v>
      </c>
      <c r="F2260" s="13" t="s">
        <v>8871</v>
      </c>
      <c r="G2260" s="13" t="s">
        <v>2</v>
      </c>
      <c r="H2260" s="13" t="s">
        <v>3</v>
      </c>
      <c r="I2260" s="13" t="s">
        <v>4344</v>
      </c>
      <c r="J2260" s="13" t="s">
        <v>410</v>
      </c>
      <c r="K2260" s="13" t="s">
        <v>4342</v>
      </c>
      <c r="L2260" s="13" t="s">
        <v>8943</v>
      </c>
      <c r="M2260" t="s">
        <v>3</v>
      </c>
    </row>
    <row r="2261" spans="1:13" ht="26.25" x14ac:dyDescent="0.25">
      <c r="A2261" s="13" t="s">
        <v>5287</v>
      </c>
      <c r="B2261" s="13" t="s">
        <v>5288</v>
      </c>
      <c r="C2261" s="13" t="s">
        <v>5289</v>
      </c>
      <c r="D2261" s="13">
        <v>0.6</v>
      </c>
      <c r="E2261" s="13" t="s">
        <v>5290</v>
      </c>
      <c r="F2261" s="13" t="s">
        <v>8860</v>
      </c>
      <c r="G2261" s="13" t="s">
        <v>19</v>
      </c>
      <c r="H2261" s="13" t="s">
        <v>3</v>
      </c>
      <c r="I2261" s="13" t="s">
        <v>5291</v>
      </c>
      <c r="J2261" s="13" t="s">
        <v>21</v>
      </c>
      <c r="K2261" s="13" t="s">
        <v>8689</v>
      </c>
      <c r="L2261" s="13" t="s">
        <v>18</v>
      </c>
      <c r="M2261" t="s">
        <v>3</v>
      </c>
    </row>
    <row r="2262" spans="1:13" x14ac:dyDescent="0.25">
      <c r="A2262" s="13" t="s">
        <v>5292</v>
      </c>
      <c r="B2262" s="13" t="s">
        <v>5293</v>
      </c>
      <c r="C2262" s="13" t="s">
        <v>5294</v>
      </c>
      <c r="D2262" s="14">
        <v>712.7</v>
      </c>
      <c r="E2262" s="13" t="s">
        <v>5295</v>
      </c>
      <c r="F2262" s="13" t="s">
        <v>8863</v>
      </c>
      <c r="G2262" s="13" t="s">
        <v>2</v>
      </c>
      <c r="H2262" s="13" t="s">
        <v>1224</v>
      </c>
      <c r="I2262" s="13" t="s">
        <v>1224</v>
      </c>
      <c r="J2262" s="13" t="s">
        <v>8890</v>
      </c>
      <c r="K2262" s="13" t="s">
        <v>8429</v>
      </c>
      <c r="L2262" s="13" t="s">
        <v>8893</v>
      </c>
      <c r="M2262" t="s">
        <v>10682</v>
      </c>
    </row>
    <row r="2263" spans="1:13" x14ac:dyDescent="0.25">
      <c r="A2263" s="13" t="s">
        <v>5296</v>
      </c>
      <c r="B2263" s="13" t="s">
        <v>5296</v>
      </c>
      <c r="C2263" s="13" t="s">
        <v>5297</v>
      </c>
      <c r="D2263" s="14">
        <v>0.8</v>
      </c>
      <c r="E2263" s="13" t="s">
        <v>5298</v>
      </c>
      <c r="F2263" s="13" t="s">
        <v>8863</v>
      </c>
      <c r="G2263" s="13" t="s">
        <v>2</v>
      </c>
      <c r="H2263" s="13" t="s">
        <v>3</v>
      </c>
      <c r="I2263" s="13" t="s">
        <v>1097</v>
      </c>
      <c r="J2263" s="13" t="s">
        <v>8890</v>
      </c>
      <c r="K2263" s="13" t="s">
        <v>8524</v>
      </c>
      <c r="L2263" s="13" t="s">
        <v>8893</v>
      </c>
      <c r="M2263" t="s">
        <v>3</v>
      </c>
    </row>
    <row r="2264" spans="1:13" ht="26.25" x14ac:dyDescent="0.25">
      <c r="A2264" s="13" t="s">
        <v>5299</v>
      </c>
      <c r="B2264" s="13" t="s">
        <v>5299</v>
      </c>
      <c r="C2264" s="13" t="s">
        <v>5299</v>
      </c>
      <c r="D2264" s="13">
        <v>0.1</v>
      </c>
      <c r="E2264" s="13" t="s">
        <v>5300</v>
      </c>
      <c r="F2264" s="13" t="s">
        <v>8860</v>
      </c>
      <c r="G2264" s="13" t="s">
        <v>19</v>
      </c>
      <c r="H2264" s="13" t="s">
        <v>3</v>
      </c>
      <c r="I2264" s="13" t="s">
        <v>5301</v>
      </c>
      <c r="J2264" s="13" t="s">
        <v>21</v>
      </c>
      <c r="K2264" s="13" t="s">
        <v>8690</v>
      </c>
      <c r="L2264" s="13" t="s">
        <v>18</v>
      </c>
      <c r="M2264" t="s">
        <v>3</v>
      </c>
    </row>
    <row r="2265" spans="1:13" ht="26.25" x14ac:dyDescent="0.25">
      <c r="A2265" s="13" t="s">
        <v>5302</v>
      </c>
      <c r="B2265" s="13" t="s">
        <v>5302</v>
      </c>
      <c r="C2265" s="13" t="s">
        <v>5303</v>
      </c>
      <c r="D2265" s="13">
        <v>1</v>
      </c>
      <c r="E2265" s="13" t="s">
        <v>5304</v>
      </c>
      <c r="F2265" s="13" t="s">
        <v>8860</v>
      </c>
      <c r="G2265" s="13" t="s">
        <v>19</v>
      </c>
      <c r="H2265" s="13" t="s">
        <v>3</v>
      </c>
      <c r="I2265" s="13" t="s">
        <v>5305</v>
      </c>
      <c r="J2265" s="13" t="s">
        <v>21</v>
      </c>
      <c r="K2265" s="13" t="s">
        <v>9337</v>
      </c>
      <c r="L2265" s="13" t="s">
        <v>18</v>
      </c>
      <c r="M2265" t="s">
        <v>3</v>
      </c>
    </row>
    <row r="2266" spans="1:13" x14ac:dyDescent="0.25">
      <c r="A2266" s="13" t="s">
        <v>5306</v>
      </c>
      <c r="B2266" s="13" t="s">
        <v>5306</v>
      </c>
      <c r="C2266" s="13" t="s">
        <v>5307</v>
      </c>
      <c r="D2266" s="13">
        <v>1.9</v>
      </c>
      <c r="E2266" s="13" t="s">
        <v>5308</v>
      </c>
      <c r="F2266" s="13" t="s">
        <v>8865</v>
      </c>
      <c r="G2266" s="13" t="s">
        <v>2</v>
      </c>
      <c r="H2266" s="13" t="s">
        <v>3</v>
      </c>
      <c r="I2266" s="13" t="s">
        <v>5309</v>
      </c>
      <c r="J2266" s="13" t="s">
        <v>8890</v>
      </c>
      <c r="K2266" s="13" t="s">
        <v>8691</v>
      </c>
      <c r="L2266" s="13" t="s">
        <v>8901</v>
      </c>
      <c r="M2266" t="s">
        <v>3</v>
      </c>
    </row>
    <row r="2267" spans="1:13" ht="26.25" x14ac:dyDescent="0.25">
      <c r="A2267" s="13" t="s">
        <v>5310</v>
      </c>
      <c r="B2267" s="13" t="s">
        <v>5311</v>
      </c>
      <c r="C2267" s="13" t="s">
        <v>5312</v>
      </c>
      <c r="D2267" s="13">
        <v>1.1000000000000001</v>
      </c>
      <c r="E2267" s="13" t="s">
        <v>5313</v>
      </c>
      <c r="F2267" s="13" t="s">
        <v>35</v>
      </c>
      <c r="G2267" s="13" t="s">
        <v>19</v>
      </c>
      <c r="H2267" s="13" t="s">
        <v>3</v>
      </c>
      <c r="I2267" s="13" t="s">
        <v>633</v>
      </c>
      <c r="J2267" s="13" t="s">
        <v>37</v>
      </c>
      <c r="K2267" s="13" t="s">
        <v>8491</v>
      </c>
      <c r="L2267" s="13" t="s">
        <v>35</v>
      </c>
      <c r="M2267" t="s">
        <v>3</v>
      </c>
    </row>
    <row r="2268" spans="1:13" ht="26.25" x14ac:dyDescent="0.25">
      <c r="A2268" s="13" t="s">
        <v>5314</v>
      </c>
      <c r="B2268" s="13" t="s">
        <v>5315</v>
      </c>
      <c r="C2268" s="13" t="s">
        <v>5316</v>
      </c>
      <c r="D2268" s="13">
        <v>4</v>
      </c>
      <c r="E2268" s="13" t="s">
        <v>5317</v>
      </c>
      <c r="F2268" s="13" t="s">
        <v>8860</v>
      </c>
      <c r="G2268" s="13" t="s">
        <v>19</v>
      </c>
      <c r="H2268" s="13" t="s">
        <v>3</v>
      </c>
      <c r="I2268" s="13" t="s">
        <v>5318</v>
      </c>
      <c r="J2268" s="13" t="s">
        <v>21</v>
      </c>
      <c r="K2268" s="13" t="s">
        <v>8692</v>
      </c>
      <c r="L2268" s="13" t="s">
        <v>18</v>
      </c>
      <c r="M2268" t="s">
        <v>3</v>
      </c>
    </row>
    <row r="2269" spans="1:13" ht="26.25" x14ac:dyDescent="0.25">
      <c r="A2269" s="13" t="s">
        <v>5319</v>
      </c>
      <c r="B2269" s="13" t="s">
        <v>5319</v>
      </c>
      <c r="C2269" s="13" t="s">
        <v>5320</v>
      </c>
      <c r="D2269" s="13">
        <v>1</v>
      </c>
      <c r="E2269" s="13" t="s">
        <v>5321</v>
      </c>
      <c r="F2269" s="13" t="s">
        <v>8860</v>
      </c>
      <c r="G2269" s="13" t="s">
        <v>19</v>
      </c>
      <c r="H2269" s="13" t="s">
        <v>3</v>
      </c>
      <c r="I2269" s="13" t="s">
        <v>5322</v>
      </c>
      <c r="J2269" s="13" t="s">
        <v>21</v>
      </c>
      <c r="K2269" s="13" t="s">
        <v>8693</v>
      </c>
      <c r="L2269" s="13" t="s">
        <v>18</v>
      </c>
      <c r="M2269" t="s">
        <v>3</v>
      </c>
    </row>
    <row r="2270" spans="1:13" ht="26.25" x14ac:dyDescent="0.25">
      <c r="A2270" s="13" t="s">
        <v>9951</v>
      </c>
      <c r="B2270" s="13" t="s">
        <v>9951</v>
      </c>
      <c r="C2270" s="13" t="s">
        <v>9952</v>
      </c>
      <c r="D2270" s="13">
        <v>0</v>
      </c>
      <c r="E2270" s="13" t="s">
        <v>9953</v>
      </c>
      <c r="F2270" s="13" t="s">
        <v>8860</v>
      </c>
      <c r="G2270" s="13" t="s">
        <v>19</v>
      </c>
      <c r="H2270" s="13" t="s">
        <v>3</v>
      </c>
      <c r="I2270" s="13" t="s">
        <v>9954</v>
      </c>
      <c r="J2270" s="13" t="s">
        <v>21</v>
      </c>
      <c r="K2270" s="13" t="s">
        <v>9955</v>
      </c>
      <c r="L2270" s="13" t="s">
        <v>18</v>
      </c>
      <c r="M2270" t="s">
        <v>3</v>
      </c>
    </row>
    <row r="2271" spans="1:13" ht="26.25" x14ac:dyDescent="0.25">
      <c r="A2271" s="13" t="s">
        <v>5323</v>
      </c>
      <c r="B2271" s="13" t="s">
        <v>5324</v>
      </c>
      <c r="C2271" s="13" t="s">
        <v>5325</v>
      </c>
      <c r="D2271" s="13">
        <v>1</v>
      </c>
      <c r="E2271" s="13" t="s">
        <v>5326</v>
      </c>
      <c r="F2271" s="13" t="s">
        <v>8860</v>
      </c>
      <c r="G2271" s="13" t="s">
        <v>19</v>
      </c>
      <c r="H2271" s="13" t="s">
        <v>3</v>
      </c>
      <c r="I2271" s="13" t="s">
        <v>5327</v>
      </c>
      <c r="J2271" s="13" t="s">
        <v>21</v>
      </c>
      <c r="K2271" s="13" t="s">
        <v>5325</v>
      </c>
      <c r="L2271" s="13" t="s">
        <v>18</v>
      </c>
      <c r="M2271" t="s">
        <v>3</v>
      </c>
    </row>
    <row r="2272" spans="1:13" ht="26.25" x14ac:dyDescent="0.25">
      <c r="A2272" s="13" t="s">
        <v>5328</v>
      </c>
      <c r="B2272" s="13" t="s">
        <v>5328</v>
      </c>
      <c r="C2272" s="13" t="s">
        <v>5328</v>
      </c>
      <c r="D2272" s="13">
        <v>0.1</v>
      </c>
      <c r="E2272" s="13" t="s">
        <v>5329</v>
      </c>
      <c r="F2272" s="13" t="s">
        <v>8860</v>
      </c>
      <c r="G2272" s="13" t="s">
        <v>19</v>
      </c>
      <c r="H2272" s="13" t="s">
        <v>3</v>
      </c>
      <c r="I2272" s="13" t="s">
        <v>5330</v>
      </c>
      <c r="J2272" s="13" t="s">
        <v>21</v>
      </c>
      <c r="K2272" s="13" t="s">
        <v>8694</v>
      </c>
      <c r="L2272" s="13" t="s">
        <v>18</v>
      </c>
      <c r="M2272" t="s">
        <v>3</v>
      </c>
    </row>
    <row r="2273" spans="1:13" ht="26.25" x14ac:dyDescent="0.25">
      <c r="A2273" s="13" t="s">
        <v>5331</v>
      </c>
      <c r="B2273" s="13" t="s">
        <v>5332</v>
      </c>
      <c r="C2273" s="13" t="s">
        <v>5333</v>
      </c>
      <c r="D2273" s="13">
        <v>0.1</v>
      </c>
      <c r="E2273" s="13" t="s">
        <v>5334</v>
      </c>
      <c r="F2273" s="13" t="s">
        <v>8860</v>
      </c>
      <c r="G2273" s="13" t="s">
        <v>19</v>
      </c>
      <c r="H2273" s="13" t="s">
        <v>3</v>
      </c>
      <c r="I2273" s="13" t="s">
        <v>5335</v>
      </c>
      <c r="J2273" s="13" t="s">
        <v>21</v>
      </c>
      <c r="K2273" s="13" t="s">
        <v>8695</v>
      </c>
      <c r="L2273" s="13" t="s">
        <v>18</v>
      </c>
      <c r="M2273" t="s">
        <v>3</v>
      </c>
    </row>
    <row r="2274" spans="1:13" ht="26.25" x14ac:dyDescent="0.25">
      <c r="A2274" s="13" t="s">
        <v>5336</v>
      </c>
      <c r="B2274" s="13" t="s">
        <v>5336</v>
      </c>
      <c r="C2274" s="13" t="s">
        <v>5337</v>
      </c>
      <c r="D2274" s="13">
        <v>10</v>
      </c>
      <c r="E2274" s="13" t="s">
        <v>5338</v>
      </c>
      <c r="F2274" s="13" t="s">
        <v>8860</v>
      </c>
      <c r="G2274" s="13" t="s">
        <v>19</v>
      </c>
      <c r="H2274" s="13" t="s">
        <v>3</v>
      </c>
      <c r="I2274" s="13" t="s">
        <v>5339</v>
      </c>
      <c r="J2274" s="13" t="s">
        <v>21</v>
      </c>
      <c r="K2274" s="13" t="s">
        <v>8696</v>
      </c>
      <c r="L2274" s="13" t="s">
        <v>18</v>
      </c>
      <c r="M2274" t="s">
        <v>3</v>
      </c>
    </row>
    <row r="2275" spans="1:13" ht="26.25" x14ac:dyDescent="0.25">
      <c r="A2275" s="13" t="s">
        <v>5340</v>
      </c>
      <c r="B2275" s="13" t="s">
        <v>5341</v>
      </c>
      <c r="C2275" s="13" t="s">
        <v>5342</v>
      </c>
      <c r="D2275" s="13">
        <v>1</v>
      </c>
      <c r="E2275" s="13" t="s">
        <v>5343</v>
      </c>
      <c r="F2275" s="13" t="s">
        <v>8860</v>
      </c>
      <c r="G2275" s="13" t="s">
        <v>19</v>
      </c>
      <c r="H2275" s="13" t="s">
        <v>3</v>
      </c>
      <c r="I2275" s="13" t="s">
        <v>5344</v>
      </c>
      <c r="J2275" s="13" t="s">
        <v>21</v>
      </c>
      <c r="K2275" s="13" t="s">
        <v>8697</v>
      </c>
      <c r="L2275" s="13" t="s">
        <v>18</v>
      </c>
      <c r="M2275" t="s">
        <v>3</v>
      </c>
    </row>
    <row r="2276" spans="1:13" ht="26.25" x14ac:dyDescent="0.25">
      <c r="A2276" s="13" t="s">
        <v>5345</v>
      </c>
      <c r="B2276" s="13" t="s">
        <v>5346</v>
      </c>
      <c r="C2276" s="13" t="s">
        <v>5347</v>
      </c>
      <c r="D2276" s="14">
        <v>4.3</v>
      </c>
      <c r="E2276" s="13" t="s">
        <v>5348</v>
      </c>
      <c r="F2276" s="13" t="s">
        <v>8860</v>
      </c>
      <c r="G2276" s="13" t="s">
        <v>19</v>
      </c>
      <c r="H2276" s="13" t="s">
        <v>3</v>
      </c>
      <c r="I2276" s="13" t="s">
        <v>5349</v>
      </c>
      <c r="J2276" s="13" t="s">
        <v>21</v>
      </c>
      <c r="K2276" s="13" t="s">
        <v>8698</v>
      </c>
      <c r="L2276" s="13" t="s">
        <v>18</v>
      </c>
      <c r="M2276" t="s">
        <v>3</v>
      </c>
    </row>
    <row r="2277" spans="1:13" ht="26.25" x14ac:dyDescent="0.25">
      <c r="A2277" s="13" t="s">
        <v>5350</v>
      </c>
      <c r="B2277" s="13" t="s">
        <v>5351</v>
      </c>
      <c r="C2277" s="13" t="s">
        <v>5352</v>
      </c>
      <c r="D2277" s="13">
        <v>0.1</v>
      </c>
      <c r="E2277" s="13" t="s">
        <v>5353</v>
      </c>
      <c r="F2277" s="13" t="s">
        <v>8860</v>
      </c>
      <c r="G2277" s="13" t="s">
        <v>19</v>
      </c>
      <c r="H2277" s="13" t="s">
        <v>3</v>
      </c>
      <c r="I2277" s="13" t="s">
        <v>5354</v>
      </c>
      <c r="J2277" s="13" t="s">
        <v>21</v>
      </c>
      <c r="K2277" s="13" t="s">
        <v>5352</v>
      </c>
      <c r="L2277" s="13" t="s">
        <v>18</v>
      </c>
      <c r="M2277" t="s">
        <v>3</v>
      </c>
    </row>
    <row r="2278" spans="1:13" ht="26.25" x14ac:dyDescent="0.25">
      <c r="A2278" s="13" t="s">
        <v>10930</v>
      </c>
      <c r="B2278" s="13" t="s">
        <v>10931</v>
      </c>
      <c r="C2278" s="13" t="s">
        <v>10932</v>
      </c>
      <c r="D2278" s="13">
        <v>0.6</v>
      </c>
      <c r="E2278" s="13" t="s">
        <v>10933</v>
      </c>
      <c r="F2278" s="13" t="s">
        <v>8860</v>
      </c>
      <c r="G2278" s="13" t="s">
        <v>19</v>
      </c>
      <c r="H2278" s="13" t="s">
        <v>3</v>
      </c>
      <c r="I2278" s="13" t="s">
        <v>10934</v>
      </c>
      <c r="J2278" s="13" t="s">
        <v>21</v>
      </c>
      <c r="K2278" s="13" t="s">
        <v>10932</v>
      </c>
      <c r="L2278" s="13" t="s">
        <v>18</v>
      </c>
      <c r="M2278" t="s">
        <v>3</v>
      </c>
    </row>
    <row r="2279" spans="1:13" x14ac:dyDescent="0.25">
      <c r="A2279" s="13" t="s">
        <v>5355</v>
      </c>
      <c r="B2279" s="13" t="s">
        <v>5355</v>
      </c>
      <c r="C2279" s="13" t="s">
        <v>5355</v>
      </c>
      <c r="D2279" s="13">
        <v>39</v>
      </c>
      <c r="E2279" s="13" t="s">
        <v>5356</v>
      </c>
      <c r="F2279" s="13" t="s">
        <v>8867</v>
      </c>
      <c r="G2279" s="13" t="s">
        <v>2</v>
      </c>
      <c r="H2279" s="13" t="s">
        <v>9224</v>
      </c>
      <c r="I2279" s="13" t="s">
        <v>228</v>
      </c>
      <c r="J2279" s="13" t="s">
        <v>8890</v>
      </c>
      <c r="K2279" s="13" t="s">
        <v>8418</v>
      </c>
      <c r="L2279" s="13" t="s">
        <v>158</v>
      </c>
      <c r="M2279" t="s">
        <v>10685</v>
      </c>
    </row>
    <row r="2280" spans="1:13" x14ac:dyDescent="0.25">
      <c r="A2280" s="13" t="s">
        <v>11884</v>
      </c>
      <c r="B2280" s="13" t="s">
        <v>11885</v>
      </c>
      <c r="C2280" s="13" t="s">
        <v>11886</v>
      </c>
      <c r="D2280" s="13">
        <v>1</v>
      </c>
      <c r="E2280" s="13" t="s">
        <v>11887</v>
      </c>
      <c r="F2280" s="13" t="s">
        <v>8867</v>
      </c>
      <c r="G2280" s="13" t="s">
        <v>2</v>
      </c>
      <c r="H2280" s="13" t="s">
        <v>3</v>
      </c>
      <c r="I2280" s="13" t="s">
        <v>723</v>
      </c>
      <c r="J2280" s="13" t="s">
        <v>8890</v>
      </c>
      <c r="K2280" s="13" t="s">
        <v>8502</v>
      </c>
      <c r="L2280" s="13" t="s">
        <v>158</v>
      </c>
      <c r="M2280" t="s">
        <v>3</v>
      </c>
    </row>
    <row r="2281" spans="1:13" x14ac:dyDescent="0.25">
      <c r="A2281" s="13" t="s">
        <v>5357</v>
      </c>
      <c r="B2281" s="13" t="s">
        <v>5357</v>
      </c>
      <c r="C2281" s="13" t="s">
        <v>5358</v>
      </c>
      <c r="D2281" s="13">
        <v>0.8</v>
      </c>
      <c r="E2281" s="13" t="s">
        <v>5359</v>
      </c>
      <c r="F2281" s="13" t="s">
        <v>8863</v>
      </c>
      <c r="G2281" s="13" t="s">
        <v>2</v>
      </c>
      <c r="H2281" s="13" t="s">
        <v>3</v>
      </c>
      <c r="I2281" s="13" t="s">
        <v>5360</v>
      </c>
      <c r="J2281" s="13" t="s">
        <v>8890</v>
      </c>
      <c r="K2281" s="13" t="s">
        <v>8699</v>
      </c>
      <c r="L2281" s="13" t="s">
        <v>8893</v>
      </c>
      <c r="M2281" t="s">
        <v>3</v>
      </c>
    </row>
    <row r="2282" spans="1:13" x14ac:dyDescent="0.25">
      <c r="A2282" s="13" t="s">
        <v>5361</v>
      </c>
      <c r="B2282" s="13" t="s">
        <v>5362</v>
      </c>
      <c r="C2282" s="13" t="s">
        <v>5363</v>
      </c>
      <c r="D2282" s="13">
        <v>0.3</v>
      </c>
      <c r="E2282" s="13" t="s">
        <v>5364</v>
      </c>
      <c r="F2282" s="13" t="s">
        <v>8863</v>
      </c>
      <c r="G2282" s="13" t="s">
        <v>2</v>
      </c>
      <c r="H2282" s="13" t="s">
        <v>3</v>
      </c>
      <c r="I2282" s="13" t="s">
        <v>5360</v>
      </c>
      <c r="J2282" s="13" t="s">
        <v>8890</v>
      </c>
      <c r="K2282" s="13" t="s">
        <v>8699</v>
      </c>
      <c r="L2282" s="13" t="s">
        <v>8893</v>
      </c>
      <c r="M2282" t="s">
        <v>3</v>
      </c>
    </row>
    <row r="2283" spans="1:13" ht="26.25" x14ac:dyDescent="0.25">
      <c r="A2283" s="13" t="s">
        <v>5365</v>
      </c>
      <c r="B2283" s="13" t="s">
        <v>9338</v>
      </c>
      <c r="C2283" s="13" t="s">
        <v>5366</v>
      </c>
      <c r="D2283" s="13">
        <v>1.9</v>
      </c>
      <c r="E2283" s="13" t="s">
        <v>5367</v>
      </c>
      <c r="F2283" s="13" t="s">
        <v>35</v>
      </c>
      <c r="G2283" s="13" t="s">
        <v>19</v>
      </c>
      <c r="H2283" s="13" t="s">
        <v>3</v>
      </c>
      <c r="I2283" s="13" t="s">
        <v>5368</v>
      </c>
      <c r="J2283" s="13" t="s">
        <v>37</v>
      </c>
      <c r="K2283" s="13" t="s">
        <v>8700</v>
      </c>
      <c r="L2283" s="13" t="s">
        <v>35</v>
      </c>
      <c r="M2283" t="s">
        <v>3</v>
      </c>
    </row>
    <row r="2284" spans="1:13" ht="39" x14ac:dyDescent="0.25">
      <c r="A2284" s="13" t="s">
        <v>5369</v>
      </c>
      <c r="B2284" s="13" t="s">
        <v>5369</v>
      </c>
      <c r="C2284" s="13" t="s">
        <v>5370</v>
      </c>
      <c r="D2284" s="13">
        <v>0.1</v>
      </c>
      <c r="E2284" s="13" t="s">
        <v>5371</v>
      </c>
      <c r="F2284" s="13" t="s">
        <v>8860</v>
      </c>
      <c r="G2284" s="13" t="s">
        <v>19</v>
      </c>
      <c r="H2284" s="13" t="s">
        <v>3</v>
      </c>
      <c r="I2284" s="13" t="s">
        <v>5372</v>
      </c>
      <c r="J2284" s="13" t="s">
        <v>21</v>
      </c>
      <c r="K2284" s="13" t="s">
        <v>8701</v>
      </c>
      <c r="L2284" s="13" t="s">
        <v>18</v>
      </c>
      <c r="M2284" t="s">
        <v>3</v>
      </c>
    </row>
    <row r="2285" spans="1:13" ht="26.25" x14ac:dyDescent="0.25">
      <c r="A2285" s="13" t="s">
        <v>5373</v>
      </c>
      <c r="B2285" s="13" t="s">
        <v>5374</v>
      </c>
      <c r="C2285" s="13" t="s">
        <v>5375</v>
      </c>
      <c r="D2285" s="13">
        <v>0.1</v>
      </c>
      <c r="E2285" s="13" t="s">
        <v>5376</v>
      </c>
      <c r="F2285" s="13" t="s">
        <v>8860</v>
      </c>
      <c r="G2285" s="13" t="s">
        <v>19</v>
      </c>
      <c r="H2285" s="13" t="s">
        <v>3</v>
      </c>
      <c r="I2285" s="13" t="s">
        <v>5377</v>
      </c>
      <c r="J2285" s="13" t="s">
        <v>21</v>
      </c>
      <c r="K2285" s="13" t="s">
        <v>5377</v>
      </c>
      <c r="L2285" s="13" t="s">
        <v>18</v>
      </c>
      <c r="M2285" t="s">
        <v>3</v>
      </c>
    </row>
    <row r="2286" spans="1:13" ht="26.25" x14ac:dyDescent="0.25">
      <c r="A2286" s="13" t="s">
        <v>5378</v>
      </c>
      <c r="B2286" s="13" t="s">
        <v>5378</v>
      </c>
      <c r="C2286" s="13" t="s">
        <v>5378</v>
      </c>
      <c r="D2286" s="13">
        <v>12.8</v>
      </c>
      <c r="E2286" s="13" t="s">
        <v>5379</v>
      </c>
      <c r="F2286" s="13" t="s">
        <v>8867</v>
      </c>
      <c r="G2286" s="13" t="s">
        <v>2</v>
      </c>
      <c r="H2286" s="13" t="s">
        <v>3</v>
      </c>
      <c r="I2286" s="13" t="s">
        <v>228</v>
      </c>
      <c r="J2286" s="13" t="s">
        <v>8890</v>
      </c>
      <c r="K2286" s="13" t="s">
        <v>8418</v>
      </c>
      <c r="L2286" s="13" t="s">
        <v>158</v>
      </c>
      <c r="M2286" t="s">
        <v>3</v>
      </c>
    </row>
    <row r="2287" spans="1:13" ht="26.25" x14ac:dyDescent="0.25">
      <c r="A2287" s="13" t="s">
        <v>5380</v>
      </c>
      <c r="B2287" s="13" t="s">
        <v>5380</v>
      </c>
      <c r="C2287" s="13" t="s">
        <v>5380</v>
      </c>
      <c r="D2287" s="13">
        <v>9999</v>
      </c>
      <c r="E2287" s="13" t="s">
        <v>5381</v>
      </c>
      <c r="F2287" s="13" t="s">
        <v>855</v>
      </c>
      <c r="G2287" s="13" t="s">
        <v>19</v>
      </c>
      <c r="H2287" s="13" t="s">
        <v>3</v>
      </c>
      <c r="I2287" s="13" t="s">
        <v>3851</v>
      </c>
      <c r="J2287" s="13" t="s">
        <v>856</v>
      </c>
      <c r="K2287" s="13" t="s">
        <v>8628</v>
      </c>
      <c r="L2287" s="13" t="s">
        <v>855</v>
      </c>
      <c r="M2287" t="s">
        <v>3</v>
      </c>
    </row>
    <row r="2288" spans="1:13" ht="26.25" x14ac:dyDescent="0.25">
      <c r="A2288" s="13" t="s">
        <v>5382</v>
      </c>
      <c r="B2288" s="13" t="s">
        <v>5382</v>
      </c>
      <c r="C2288" s="13" t="s">
        <v>5382</v>
      </c>
      <c r="D2288" s="13">
        <v>9999</v>
      </c>
      <c r="E2288" s="13" t="s">
        <v>5383</v>
      </c>
      <c r="F2288" s="13" t="s">
        <v>855</v>
      </c>
      <c r="G2288" s="13" t="s">
        <v>2</v>
      </c>
      <c r="H2288" s="13" t="s">
        <v>3</v>
      </c>
      <c r="I2288" s="13" t="s">
        <v>3851</v>
      </c>
      <c r="J2288" s="13" t="s">
        <v>856</v>
      </c>
      <c r="K2288" s="13" t="s">
        <v>8628</v>
      </c>
      <c r="L2288" s="13" t="s">
        <v>855</v>
      </c>
      <c r="M2288" t="s">
        <v>3</v>
      </c>
    </row>
    <row r="2289" spans="1:13" ht="26.25" x14ac:dyDescent="0.25">
      <c r="A2289" s="13" t="s">
        <v>5384</v>
      </c>
      <c r="B2289" s="13" t="s">
        <v>5384</v>
      </c>
      <c r="C2289" s="13" t="s">
        <v>9339</v>
      </c>
      <c r="D2289" s="13">
        <v>15</v>
      </c>
      <c r="E2289" s="13" t="s">
        <v>5385</v>
      </c>
      <c r="F2289" s="13" t="s">
        <v>8860</v>
      </c>
      <c r="G2289" s="13" t="s">
        <v>19</v>
      </c>
      <c r="H2289" s="13" t="s">
        <v>3</v>
      </c>
      <c r="I2289" s="13" t="s">
        <v>3851</v>
      </c>
      <c r="J2289" s="13" t="s">
        <v>21</v>
      </c>
      <c r="K2289" s="13" t="s">
        <v>8628</v>
      </c>
      <c r="L2289" s="13" t="s">
        <v>18</v>
      </c>
      <c r="M2289" t="s">
        <v>3</v>
      </c>
    </row>
    <row r="2290" spans="1:13" ht="26.25" x14ac:dyDescent="0.25">
      <c r="A2290" s="13" t="s">
        <v>5386</v>
      </c>
      <c r="B2290" s="13" t="s">
        <v>5387</v>
      </c>
      <c r="C2290" s="13" t="s">
        <v>5388</v>
      </c>
      <c r="D2290" s="13">
        <v>3</v>
      </c>
      <c r="E2290" s="13" t="s">
        <v>5389</v>
      </c>
      <c r="F2290" s="13" t="s">
        <v>8860</v>
      </c>
      <c r="G2290" s="13" t="s">
        <v>19</v>
      </c>
      <c r="H2290" s="13" t="s">
        <v>3</v>
      </c>
      <c r="I2290" s="13" t="s">
        <v>5390</v>
      </c>
      <c r="J2290" s="13" t="s">
        <v>21</v>
      </c>
      <c r="K2290" s="13" t="s">
        <v>8702</v>
      </c>
      <c r="L2290" s="13" t="s">
        <v>18</v>
      </c>
      <c r="M2290" t="s">
        <v>3</v>
      </c>
    </row>
    <row r="2291" spans="1:13" ht="26.25" x14ac:dyDescent="0.25">
      <c r="A2291" s="13" t="s">
        <v>5391</v>
      </c>
      <c r="B2291" s="13" t="s">
        <v>5391</v>
      </c>
      <c r="C2291" s="13" t="s">
        <v>5392</v>
      </c>
      <c r="D2291" s="13">
        <v>0.6</v>
      </c>
      <c r="E2291" s="13" t="s">
        <v>5393</v>
      </c>
      <c r="F2291" s="13" t="s">
        <v>8863</v>
      </c>
      <c r="G2291" s="13" t="s">
        <v>2</v>
      </c>
      <c r="H2291" s="13" t="s">
        <v>3</v>
      </c>
      <c r="I2291" s="13" t="s">
        <v>10</v>
      </c>
      <c r="J2291" s="13" t="s">
        <v>8890</v>
      </c>
      <c r="K2291" s="13" t="s">
        <v>8425</v>
      </c>
      <c r="L2291" s="13" t="s">
        <v>8893</v>
      </c>
      <c r="M2291" t="s">
        <v>3</v>
      </c>
    </row>
    <row r="2292" spans="1:13" ht="26.25" x14ac:dyDescent="0.25">
      <c r="A2292" s="13" t="s">
        <v>5394</v>
      </c>
      <c r="B2292" s="13" t="s">
        <v>5394</v>
      </c>
      <c r="C2292" s="13" t="s">
        <v>5395</v>
      </c>
      <c r="D2292" s="13">
        <v>40</v>
      </c>
      <c r="E2292" s="13" t="s">
        <v>5396</v>
      </c>
      <c r="F2292" s="13" t="s">
        <v>8860</v>
      </c>
      <c r="G2292" s="13" t="s">
        <v>19</v>
      </c>
      <c r="H2292" s="13" t="s">
        <v>3</v>
      </c>
      <c r="I2292" s="13" t="s">
        <v>5397</v>
      </c>
      <c r="J2292" s="13" t="s">
        <v>21</v>
      </c>
      <c r="K2292" s="13" t="s">
        <v>8703</v>
      </c>
      <c r="L2292" s="13" t="s">
        <v>18</v>
      </c>
      <c r="M2292" t="s">
        <v>3</v>
      </c>
    </row>
    <row r="2293" spans="1:13" ht="26.25" x14ac:dyDescent="0.25">
      <c r="A2293" s="13" t="s">
        <v>5398</v>
      </c>
      <c r="B2293" s="13" t="s">
        <v>5399</v>
      </c>
      <c r="C2293" s="13" t="s">
        <v>5400</v>
      </c>
      <c r="D2293" s="13">
        <v>0.1</v>
      </c>
      <c r="E2293" s="13" t="s">
        <v>5401</v>
      </c>
      <c r="F2293" s="13" t="s">
        <v>8860</v>
      </c>
      <c r="G2293" s="13" t="s">
        <v>19</v>
      </c>
      <c r="H2293" s="13" t="s">
        <v>3</v>
      </c>
      <c r="I2293" s="13" t="s">
        <v>5399</v>
      </c>
      <c r="J2293" s="13" t="s">
        <v>21</v>
      </c>
      <c r="K2293" s="13" t="s">
        <v>8704</v>
      </c>
      <c r="L2293" s="13" t="s">
        <v>18</v>
      </c>
      <c r="M2293" t="s">
        <v>3</v>
      </c>
    </row>
    <row r="2294" spans="1:13" x14ac:dyDescent="0.25">
      <c r="A2294" s="13" t="s">
        <v>5402</v>
      </c>
      <c r="B2294" s="13" t="s">
        <v>5402</v>
      </c>
      <c r="C2294" s="13" t="s">
        <v>5402</v>
      </c>
      <c r="D2294" s="13">
        <v>9.6</v>
      </c>
      <c r="E2294" s="13" t="s">
        <v>5403</v>
      </c>
      <c r="F2294" s="13" t="s">
        <v>8869</v>
      </c>
      <c r="G2294" s="13" t="s">
        <v>2</v>
      </c>
      <c r="H2294" s="13" t="s">
        <v>3</v>
      </c>
      <c r="I2294" s="13" t="s">
        <v>228</v>
      </c>
      <c r="J2294" s="13" t="s">
        <v>8890</v>
      </c>
      <c r="K2294" s="13" t="s">
        <v>8418</v>
      </c>
      <c r="L2294" s="13" t="s">
        <v>8918</v>
      </c>
      <c r="M2294" t="s">
        <v>3</v>
      </c>
    </row>
    <row r="2295" spans="1:13" ht="26.25" x14ac:dyDescent="0.25">
      <c r="A2295" s="13" t="s">
        <v>5404</v>
      </c>
      <c r="B2295" s="13" t="s">
        <v>5405</v>
      </c>
      <c r="C2295" s="13" t="s">
        <v>5406</v>
      </c>
      <c r="D2295" s="13">
        <v>0.1</v>
      </c>
      <c r="E2295" s="13" t="s">
        <v>5407</v>
      </c>
      <c r="F2295" s="13" t="s">
        <v>8860</v>
      </c>
      <c r="G2295" s="13" t="s">
        <v>19</v>
      </c>
      <c r="H2295" s="13" t="s">
        <v>3</v>
      </c>
      <c r="I2295" s="13" t="s">
        <v>5408</v>
      </c>
      <c r="J2295" s="13" t="s">
        <v>21</v>
      </c>
      <c r="K2295" s="13" t="s">
        <v>8705</v>
      </c>
      <c r="L2295" s="13" t="s">
        <v>18</v>
      </c>
      <c r="M2295" t="s">
        <v>3</v>
      </c>
    </row>
    <row r="2296" spans="1:13" ht="26.25" x14ac:dyDescent="0.25">
      <c r="A2296" s="13" t="s">
        <v>5409</v>
      </c>
      <c r="B2296" s="13" t="s">
        <v>5410</v>
      </c>
      <c r="C2296" s="13" t="s">
        <v>5411</v>
      </c>
      <c r="D2296" s="13">
        <v>0</v>
      </c>
      <c r="E2296" s="13" t="s">
        <v>5412</v>
      </c>
      <c r="F2296" s="13" t="s">
        <v>8860</v>
      </c>
      <c r="G2296" s="13" t="s">
        <v>19</v>
      </c>
      <c r="H2296" s="13" t="s">
        <v>3</v>
      </c>
      <c r="I2296" s="13" t="s">
        <v>5413</v>
      </c>
      <c r="J2296" s="13" t="s">
        <v>21</v>
      </c>
      <c r="K2296" s="13" t="s">
        <v>8706</v>
      </c>
      <c r="L2296" s="13" t="s">
        <v>18</v>
      </c>
      <c r="M2296" t="s">
        <v>3</v>
      </c>
    </row>
    <row r="2297" spans="1:13" ht="26.25" x14ac:dyDescent="0.25">
      <c r="A2297" s="13" t="s">
        <v>9956</v>
      </c>
      <c r="B2297" s="13" t="s">
        <v>9957</v>
      </c>
      <c r="C2297" s="13" t="s">
        <v>9958</v>
      </c>
      <c r="D2297" s="13">
        <v>0</v>
      </c>
      <c r="E2297" s="13" t="s">
        <v>9959</v>
      </c>
      <c r="F2297" s="13" t="s">
        <v>8860</v>
      </c>
      <c r="G2297" s="13" t="s">
        <v>19</v>
      </c>
      <c r="H2297" s="13" t="s">
        <v>3</v>
      </c>
      <c r="I2297" s="13" t="s">
        <v>9960</v>
      </c>
      <c r="J2297" s="13" t="s">
        <v>21</v>
      </c>
      <c r="K2297" s="13" t="s">
        <v>9961</v>
      </c>
      <c r="L2297" s="13" t="s">
        <v>18</v>
      </c>
      <c r="M2297" t="s">
        <v>3</v>
      </c>
    </row>
    <row r="2298" spans="1:13" ht="26.25" x14ac:dyDescent="0.25">
      <c r="A2298" s="13" t="s">
        <v>5414</v>
      </c>
      <c r="B2298" s="13" t="s">
        <v>5417</v>
      </c>
      <c r="C2298" s="13" t="s">
        <v>5415</v>
      </c>
      <c r="D2298" s="13">
        <v>7</v>
      </c>
      <c r="E2298" s="13" t="s">
        <v>5416</v>
      </c>
      <c r="F2298" s="13" t="s">
        <v>8860</v>
      </c>
      <c r="G2298" s="13" t="s">
        <v>19</v>
      </c>
      <c r="H2298" s="13" t="s">
        <v>3</v>
      </c>
      <c r="I2298" s="13" t="s">
        <v>5417</v>
      </c>
      <c r="J2298" s="13" t="s">
        <v>21</v>
      </c>
      <c r="K2298" s="13" t="s">
        <v>8707</v>
      </c>
      <c r="L2298" s="13" t="s">
        <v>18</v>
      </c>
      <c r="M2298" t="s">
        <v>3</v>
      </c>
    </row>
    <row r="2299" spans="1:13" ht="26.25" x14ac:dyDescent="0.25">
      <c r="A2299" s="13" t="s">
        <v>5418</v>
      </c>
      <c r="B2299" s="13" t="s">
        <v>5418</v>
      </c>
      <c r="C2299" s="13" t="s">
        <v>5418</v>
      </c>
      <c r="D2299" s="13">
        <v>0.1</v>
      </c>
      <c r="E2299" s="13" t="s">
        <v>5419</v>
      </c>
      <c r="F2299" s="13" t="s">
        <v>8860</v>
      </c>
      <c r="G2299" s="13" t="s">
        <v>19</v>
      </c>
      <c r="H2299" s="13" t="s">
        <v>3</v>
      </c>
      <c r="I2299" s="13" t="s">
        <v>5420</v>
      </c>
      <c r="J2299" s="13" t="s">
        <v>21</v>
      </c>
      <c r="K2299" s="13" t="s">
        <v>8708</v>
      </c>
      <c r="L2299" s="13" t="s">
        <v>18</v>
      </c>
      <c r="M2299" t="s">
        <v>3</v>
      </c>
    </row>
    <row r="2300" spans="1:13" ht="26.25" x14ac:dyDescent="0.25">
      <c r="A2300" s="13" t="s">
        <v>5421</v>
      </c>
      <c r="B2300" s="13" t="s">
        <v>5421</v>
      </c>
      <c r="C2300" s="13" t="s">
        <v>5421</v>
      </c>
      <c r="D2300" s="13">
        <v>2.8</v>
      </c>
      <c r="E2300" s="13" t="s">
        <v>5422</v>
      </c>
      <c r="F2300" s="13" t="s">
        <v>8867</v>
      </c>
      <c r="G2300" s="13" t="s">
        <v>2</v>
      </c>
      <c r="H2300" s="13" t="s">
        <v>3</v>
      </c>
      <c r="I2300" s="13" t="s">
        <v>5420</v>
      </c>
      <c r="J2300" s="13" t="s">
        <v>8890</v>
      </c>
      <c r="K2300" s="13" t="s">
        <v>8708</v>
      </c>
      <c r="L2300" s="13" t="s">
        <v>158</v>
      </c>
      <c r="M2300" t="s">
        <v>3</v>
      </c>
    </row>
    <row r="2301" spans="1:13" ht="26.25" x14ac:dyDescent="0.25">
      <c r="A2301" s="13" t="s">
        <v>11368</v>
      </c>
      <c r="B2301" s="13" t="s">
        <v>11369</v>
      </c>
      <c r="C2301" s="13" t="s">
        <v>11369</v>
      </c>
      <c r="D2301" s="13">
        <v>2000</v>
      </c>
      <c r="E2301" s="13" t="s">
        <v>11370</v>
      </c>
      <c r="F2301" s="13" t="s">
        <v>35</v>
      </c>
      <c r="G2301" s="13" t="s">
        <v>19</v>
      </c>
      <c r="H2301" s="13" t="s">
        <v>3</v>
      </c>
      <c r="I2301" s="13" t="s">
        <v>11371</v>
      </c>
      <c r="J2301" s="13" t="s">
        <v>37</v>
      </c>
      <c r="K2301" s="13" t="s">
        <v>11372</v>
      </c>
      <c r="L2301" s="13" t="s">
        <v>35</v>
      </c>
      <c r="M2301" t="s">
        <v>3</v>
      </c>
    </row>
    <row r="2302" spans="1:13" ht="26.25" x14ac:dyDescent="0.25">
      <c r="A2302" s="13" t="s">
        <v>5423</v>
      </c>
      <c r="B2302" s="13" t="s">
        <v>5424</v>
      </c>
      <c r="C2302" s="13" t="s">
        <v>5425</v>
      </c>
      <c r="D2302" s="13">
        <v>5</v>
      </c>
      <c r="E2302" s="13" t="s">
        <v>5426</v>
      </c>
      <c r="F2302" s="13" t="s">
        <v>8860</v>
      </c>
      <c r="G2302" s="13" t="s">
        <v>19</v>
      </c>
      <c r="H2302" s="13" t="s">
        <v>3</v>
      </c>
      <c r="I2302" s="13" t="s">
        <v>5427</v>
      </c>
      <c r="J2302" s="13" t="s">
        <v>21</v>
      </c>
      <c r="K2302" s="13" t="s">
        <v>9340</v>
      </c>
      <c r="L2302" s="13" t="s">
        <v>18</v>
      </c>
      <c r="M2302" t="s">
        <v>3</v>
      </c>
    </row>
    <row r="2303" spans="1:13" ht="26.25" x14ac:dyDescent="0.25">
      <c r="A2303" s="13" t="s">
        <v>5428</v>
      </c>
      <c r="B2303" s="13" t="s">
        <v>5429</v>
      </c>
      <c r="C2303" s="13" t="s">
        <v>5430</v>
      </c>
      <c r="D2303" s="13">
        <v>0.1</v>
      </c>
      <c r="E2303" s="13" t="s">
        <v>5431</v>
      </c>
      <c r="F2303" s="13" t="s">
        <v>8860</v>
      </c>
      <c r="G2303" s="13" t="s">
        <v>19</v>
      </c>
      <c r="H2303" s="13" t="s">
        <v>3</v>
      </c>
      <c r="I2303" s="13" t="s">
        <v>5429</v>
      </c>
      <c r="J2303" s="13" t="s">
        <v>21</v>
      </c>
      <c r="K2303" s="13" t="s">
        <v>8709</v>
      </c>
      <c r="L2303" s="13" t="s">
        <v>18</v>
      </c>
      <c r="M2303" t="s">
        <v>3</v>
      </c>
    </row>
    <row r="2304" spans="1:13" ht="26.25" x14ac:dyDescent="0.25">
      <c r="A2304" s="13" t="s">
        <v>5432</v>
      </c>
      <c r="B2304" s="13" t="s">
        <v>5432</v>
      </c>
      <c r="C2304" s="13" t="s">
        <v>5433</v>
      </c>
      <c r="D2304" s="13">
        <v>0.1</v>
      </c>
      <c r="E2304" s="13" t="s">
        <v>5434</v>
      </c>
      <c r="F2304" s="13" t="s">
        <v>8863</v>
      </c>
      <c r="G2304" s="13" t="s">
        <v>2</v>
      </c>
      <c r="H2304" s="13" t="s">
        <v>3</v>
      </c>
      <c r="I2304" s="13" t="s">
        <v>10</v>
      </c>
      <c r="J2304" s="13" t="s">
        <v>8890</v>
      </c>
      <c r="K2304" s="13" t="s">
        <v>8425</v>
      </c>
      <c r="L2304" s="13" t="s">
        <v>8893</v>
      </c>
      <c r="M2304" t="s">
        <v>3</v>
      </c>
    </row>
    <row r="2305" spans="1:13" ht="26.25" x14ac:dyDescent="0.25">
      <c r="A2305" s="13" t="s">
        <v>5435</v>
      </c>
      <c r="B2305" s="13" t="s">
        <v>5435</v>
      </c>
      <c r="C2305" s="13" t="s">
        <v>5436</v>
      </c>
      <c r="D2305" s="13">
        <v>0.1</v>
      </c>
      <c r="E2305" s="13" t="s">
        <v>5437</v>
      </c>
      <c r="F2305" s="13" t="s">
        <v>8863</v>
      </c>
      <c r="G2305" s="13" t="s">
        <v>2</v>
      </c>
      <c r="H2305" s="13" t="s">
        <v>3</v>
      </c>
      <c r="I2305" s="13" t="s">
        <v>10</v>
      </c>
      <c r="J2305" s="13" t="s">
        <v>8890</v>
      </c>
      <c r="K2305" s="13" t="s">
        <v>8425</v>
      </c>
      <c r="L2305" s="13" t="s">
        <v>8893</v>
      </c>
      <c r="M2305" t="s">
        <v>3</v>
      </c>
    </row>
    <row r="2306" spans="1:13" ht="26.25" x14ac:dyDescent="0.25">
      <c r="A2306" s="13" t="s">
        <v>5438</v>
      </c>
      <c r="B2306" s="13" t="s">
        <v>5438</v>
      </c>
      <c r="C2306" s="13" t="s">
        <v>5439</v>
      </c>
      <c r="D2306" s="13">
        <v>0.1</v>
      </c>
      <c r="E2306" s="13" t="s">
        <v>5440</v>
      </c>
      <c r="F2306" s="13" t="s">
        <v>8863</v>
      </c>
      <c r="G2306" s="13" t="s">
        <v>2</v>
      </c>
      <c r="H2306" s="13" t="s">
        <v>3</v>
      </c>
      <c r="I2306" s="13" t="s">
        <v>10</v>
      </c>
      <c r="J2306" s="13" t="s">
        <v>8890</v>
      </c>
      <c r="K2306" s="13" t="s">
        <v>8425</v>
      </c>
      <c r="L2306" s="13" t="s">
        <v>8893</v>
      </c>
      <c r="M2306" t="s">
        <v>3</v>
      </c>
    </row>
    <row r="2307" spans="1:13" ht="26.25" x14ac:dyDescent="0.25">
      <c r="A2307" s="13" t="s">
        <v>5441</v>
      </c>
      <c r="B2307" s="13" t="s">
        <v>5441</v>
      </c>
      <c r="C2307" s="13" t="s">
        <v>5442</v>
      </c>
      <c r="D2307" s="13">
        <v>0.5</v>
      </c>
      <c r="E2307" s="13" t="s">
        <v>5443</v>
      </c>
      <c r="F2307" s="13" t="s">
        <v>8863</v>
      </c>
      <c r="G2307" s="13" t="s">
        <v>2</v>
      </c>
      <c r="H2307" s="13" t="s">
        <v>3</v>
      </c>
      <c r="I2307" s="13" t="s">
        <v>10</v>
      </c>
      <c r="J2307" s="13" t="s">
        <v>8890</v>
      </c>
      <c r="K2307" s="13" t="s">
        <v>8425</v>
      </c>
      <c r="L2307" s="13" t="s">
        <v>8893</v>
      </c>
      <c r="M2307" t="s">
        <v>3</v>
      </c>
    </row>
    <row r="2308" spans="1:13" ht="26.25" x14ac:dyDescent="0.25">
      <c r="A2308" s="13" t="s">
        <v>5444</v>
      </c>
      <c r="B2308" s="13" t="s">
        <v>5444</v>
      </c>
      <c r="C2308" s="13" t="s">
        <v>9341</v>
      </c>
      <c r="D2308" s="13">
        <v>0.5</v>
      </c>
      <c r="E2308" s="13" t="s">
        <v>5445</v>
      </c>
      <c r="F2308" s="13" t="s">
        <v>8860</v>
      </c>
      <c r="G2308" s="13" t="s">
        <v>19</v>
      </c>
      <c r="H2308" s="13" t="s">
        <v>3</v>
      </c>
      <c r="I2308" s="13" t="s">
        <v>497</v>
      </c>
      <c r="J2308" s="13" t="s">
        <v>21</v>
      </c>
      <c r="K2308" s="13" t="s">
        <v>8475</v>
      </c>
      <c r="L2308" s="13" t="s">
        <v>18</v>
      </c>
      <c r="M2308" t="s">
        <v>3</v>
      </c>
    </row>
    <row r="2309" spans="1:13" ht="26.25" x14ac:dyDescent="0.25">
      <c r="A2309" s="13" t="s">
        <v>5446</v>
      </c>
      <c r="B2309" s="13" t="s">
        <v>5446</v>
      </c>
      <c r="C2309" s="13" t="s">
        <v>5447</v>
      </c>
      <c r="D2309" s="13">
        <v>0.2</v>
      </c>
      <c r="E2309" s="13" t="s">
        <v>5448</v>
      </c>
      <c r="F2309" s="13" t="s">
        <v>8863</v>
      </c>
      <c r="G2309" s="13" t="s">
        <v>2</v>
      </c>
      <c r="H2309" s="13" t="s">
        <v>3</v>
      </c>
      <c r="I2309" s="13" t="s">
        <v>10</v>
      </c>
      <c r="J2309" s="13" t="s">
        <v>8890</v>
      </c>
      <c r="K2309" s="13" t="s">
        <v>8425</v>
      </c>
      <c r="L2309" s="13" t="s">
        <v>8893</v>
      </c>
      <c r="M2309" t="s">
        <v>3</v>
      </c>
    </row>
    <row r="2310" spans="1:13" ht="26.25" x14ac:dyDescent="0.25">
      <c r="A2310" s="13" t="s">
        <v>5449</v>
      </c>
      <c r="B2310" s="13" t="s">
        <v>5449</v>
      </c>
      <c r="C2310" s="13" t="s">
        <v>5450</v>
      </c>
      <c r="D2310" s="13">
        <v>0.2</v>
      </c>
      <c r="E2310" s="13" t="s">
        <v>5451</v>
      </c>
      <c r="F2310" s="13" t="s">
        <v>8863</v>
      </c>
      <c r="G2310" s="13" t="s">
        <v>2</v>
      </c>
      <c r="H2310" s="13" t="s">
        <v>3</v>
      </c>
      <c r="I2310" s="13" t="s">
        <v>10</v>
      </c>
      <c r="J2310" s="13" t="s">
        <v>8890</v>
      </c>
      <c r="K2310" s="13" t="s">
        <v>8425</v>
      </c>
      <c r="L2310" s="13" t="s">
        <v>8893</v>
      </c>
      <c r="M2310" t="s">
        <v>3</v>
      </c>
    </row>
    <row r="2311" spans="1:13" ht="26.25" x14ac:dyDescent="0.25">
      <c r="A2311" s="13" t="s">
        <v>5452</v>
      </c>
      <c r="B2311" s="13" t="s">
        <v>5452</v>
      </c>
      <c r="C2311" s="13" t="s">
        <v>5453</v>
      </c>
      <c r="D2311" s="13">
        <v>0.1</v>
      </c>
      <c r="E2311" s="13" t="s">
        <v>5454</v>
      </c>
      <c r="F2311" s="13" t="s">
        <v>8863</v>
      </c>
      <c r="G2311" s="13" t="s">
        <v>2</v>
      </c>
      <c r="H2311" s="13" t="s">
        <v>3</v>
      </c>
      <c r="I2311" s="13" t="s">
        <v>10</v>
      </c>
      <c r="J2311" s="13" t="s">
        <v>8890</v>
      </c>
      <c r="K2311" s="13" t="s">
        <v>8425</v>
      </c>
      <c r="L2311" s="13" t="s">
        <v>8893</v>
      </c>
      <c r="M2311" t="s">
        <v>3</v>
      </c>
    </row>
    <row r="2312" spans="1:13" ht="26.25" x14ac:dyDescent="0.25">
      <c r="A2312" s="13" t="s">
        <v>5455</v>
      </c>
      <c r="B2312" s="13" t="s">
        <v>5455</v>
      </c>
      <c r="C2312" s="13" t="s">
        <v>5456</v>
      </c>
      <c r="D2312" s="13">
        <v>0.3</v>
      </c>
      <c r="E2312" s="13" t="s">
        <v>5457</v>
      </c>
      <c r="F2312" s="13" t="s">
        <v>8863</v>
      </c>
      <c r="G2312" s="13" t="s">
        <v>2</v>
      </c>
      <c r="H2312" s="13" t="s">
        <v>3</v>
      </c>
      <c r="I2312" s="13" t="s">
        <v>10</v>
      </c>
      <c r="J2312" s="13" t="s">
        <v>8890</v>
      </c>
      <c r="K2312" s="13" t="s">
        <v>8425</v>
      </c>
      <c r="L2312" s="13" t="s">
        <v>8893</v>
      </c>
      <c r="M2312" t="s">
        <v>3</v>
      </c>
    </row>
    <row r="2313" spans="1:13" ht="26.25" x14ac:dyDescent="0.25">
      <c r="A2313" s="13" t="s">
        <v>5458</v>
      </c>
      <c r="B2313" s="13" t="s">
        <v>5459</v>
      </c>
      <c r="C2313" s="13" t="s">
        <v>5460</v>
      </c>
      <c r="D2313" s="13">
        <v>0.9</v>
      </c>
      <c r="E2313" s="13" t="s">
        <v>5461</v>
      </c>
      <c r="F2313" s="13" t="s">
        <v>35</v>
      </c>
      <c r="G2313" s="13" t="s">
        <v>19</v>
      </c>
      <c r="H2313" s="13" t="s">
        <v>3</v>
      </c>
      <c r="I2313" s="13" t="s">
        <v>5462</v>
      </c>
      <c r="J2313" s="13" t="s">
        <v>37</v>
      </c>
      <c r="K2313" s="13" t="s">
        <v>5460</v>
      </c>
      <c r="L2313" s="13" t="s">
        <v>35</v>
      </c>
      <c r="M2313" t="s">
        <v>3</v>
      </c>
    </row>
    <row r="2314" spans="1:13" x14ac:dyDescent="0.25">
      <c r="A2314" s="13" t="s">
        <v>9810</v>
      </c>
      <c r="B2314" s="13" t="s">
        <v>9810</v>
      </c>
      <c r="C2314" s="13" t="s">
        <v>9810</v>
      </c>
      <c r="D2314" s="14">
        <v>28</v>
      </c>
      <c r="E2314" s="13" t="s">
        <v>9811</v>
      </c>
      <c r="F2314" s="13" t="s">
        <v>8867</v>
      </c>
      <c r="G2314" s="13" t="s">
        <v>2</v>
      </c>
      <c r="H2314" s="13" t="s">
        <v>9224</v>
      </c>
      <c r="I2314" s="13" t="s">
        <v>228</v>
      </c>
      <c r="J2314" s="13" t="s">
        <v>8890</v>
      </c>
      <c r="K2314" s="13" t="s">
        <v>8418</v>
      </c>
      <c r="L2314" s="13" t="s">
        <v>158</v>
      </c>
      <c r="M2314" t="s">
        <v>10685</v>
      </c>
    </row>
    <row r="2315" spans="1:13" x14ac:dyDescent="0.25">
      <c r="A2315" s="13" t="s">
        <v>9670</v>
      </c>
      <c r="B2315" s="13" t="s">
        <v>9670</v>
      </c>
      <c r="C2315" s="13" t="s">
        <v>9670</v>
      </c>
      <c r="D2315" s="14">
        <v>24.1</v>
      </c>
      <c r="E2315" s="13" t="s">
        <v>9671</v>
      </c>
      <c r="F2315" s="13" t="s">
        <v>8867</v>
      </c>
      <c r="G2315" s="13" t="s">
        <v>2</v>
      </c>
      <c r="H2315" s="13" t="s">
        <v>9224</v>
      </c>
      <c r="I2315" s="13" t="s">
        <v>228</v>
      </c>
      <c r="J2315" s="13" t="s">
        <v>8890</v>
      </c>
      <c r="K2315" s="13" t="s">
        <v>8418</v>
      </c>
      <c r="L2315" s="13" t="s">
        <v>158</v>
      </c>
      <c r="M2315" t="s">
        <v>10685</v>
      </c>
    </row>
    <row r="2316" spans="1:13" ht="26.25" x14ac:dyDescent="0.25">
      <c r="A2316" s="13" t="s">
        <v>5463</v>
      </c>
      <c r="B2316" s="13" t="s">
        <v>5463</v>
      </c>
      <c r="C2316" s="13" t="s">
        <v>5464</v>
      </c>
      <c r="D2316" s="14">
        <v>0.6</v>
      </c>
      <c r="E2316" s="13" t="s">
        <v>5465</v>
      </c>
      <c r="F2316" s="13" t="s">
        <v>8863</v>
      </c>
      <c r="G2316" s="13" t="s">
        <v>2</v>
      </c>
      <c r="H2316" s="13" t="s">
        <v>3</v>
      </c>
      <c r="I2316" s="13" t="s">
        <v>10</v>
      </c>
      <c r="J2316" s="13" t="s">
        <v>8890</v>
      </c>
      <c r="K2316" s="13" t="s">
        <v>8425</v>
      </c>
      <c r="L2316" s="13" t="s">
        <v>8893</v>
      </c>
      <c r="M2316" t="s">
        <v>3</v>
      </c>
    </row>
    <row r="2317" spans="1:13" ht="26.25" x14ac:dyDescent="0.25">
      <c r="A2317" s="13" t="s">
        <v>5466</v>
      </c>
      <c r="B2317" s="13" t="s">
        <v>5466</v>
      </c>
      <c r="C2317" s="13" t="s">
        <v>5467</v>
      </c>
      <c r="D2317" s="14">
        <v>0.1</v>
      </c>
      <c r="E2317" s="13" t="s">
        <v>5468</v>
      </c>
      <c r="F2317" s="13" t="s">
        <v>8860</v>
      </c>
      <c r="G2317" s="13" t="s">
        <v>19</v>
      </c>
      <c r="H2317" s="13" t="s">
        <v>3</v>
      </c>
      <c r="I2317" s="13" t="s">
        <v>5469</v>
      </c>
      <c r="J2317" s="13" t="s">
        <v>21</v>
      </c>
      <c r="K2317" s="13" t="s">
        <v>8710</v>
      </c>
      <c r="L2317" s="13" t="s">
        <v>18</v>
      </c>
      <c r="M2317" t="s">
        <v>3</v>
      </c>
    </row>
    <row r="2318" spans="1:13" ht="26.25" x14ac:dyDescent="0.25">
      <c r="A2318" s="13" t="s">
        <v>11682</v>
      </c>
      <c r="B2318" s="13" t="s">
        <v>11683</v>
      </c>
      <c r="C2318" s="13" t="s">
        <v>11683</v>
      </c>
      <c r="D2318" s="13">
        <v>0.1</v>
      </c>
      <c r="E2318" s="13" t="s">
        <v>11684</v>
      </c>
      <c r="F2318" s="13" t="s">
        <v>8860</v>
      </c>
      <c r="G2318" s="13" t="s">
        <v>19</v>
      </c>
      <c r="H2318" s="13" t="s">
        <v>3</v>
      </c>
      <c r="I2318" s="13" t="s">
        <v>11685</v>
      </c>
      <c r="J2318" s="13" t="s">
        <v>21</v>
      </c>
      <c r="K2318" s="13" t="s">
        <v>11686</v>
      </c>
      <c r="L2318" s="13" t="s">
        <v>18</v>
      </c>
      <c r="M2318" t="s">
        <v>3</v>
      </c>
    </row>
    <row r="2319" spans="1:13" ht="26.25" x14ac:dyDescent="0.25">
      <c r="A2319" s="13" t="s">
        <v>5470</v>
      </c>
      <c r="B2319" s="13" t="s">
        <v>5471</v>
      </c>
      <c r="C2319" s="13" t="s">
        <v>5472</v>
      </c>
      <c r="D2319" s="13">
        <v>0.1</v>
      </c>
      <c r="E2319" s="13" t="s">
        <v>5473</v>
      </c>
      <c r="F2319" s="13" t="s">
        <v>8860</v>
      </c>
      <c r="G2319" s="13" t="s">
        <v>19</v>
      </c>
      <c r="H2319" s="13" t="s">
        <v>3</v>
      </c>
      <c r="I2319" s="13" t="s">
        <v>5474</v>
      </c>
      <c r="J2319" s="13" t="s">
        <v>21</v>
      </c>
      <c r="K2319" s="13" t="s">
        <v>8711</v>
      </c>
      <c r="L2319" s="13" t="s">
        <v>18</v>
      </c>
      <c r="M2319" t="s">
        <v>3</v>
      </c>
    </row>
    <row r="2320" spans="1:13" ht="26.25" x14ac:dyDescent="0.25">
      <c r="A2320" s="13" t="s">
        <v>5475</v>
      </c>
      <c r="B2320" s="13" t="s">
        <v>5476</v>
      </c>
      <c r="C2320" s="13" t="s">
        <v>9342</v>
      </c>
      <c r="D2320" s="13">
        <v>0.3</v>
      </c>
      <c r="E2320" s="13" t="s">
        <v>5477</v>
      </c>
      <c r="F2320" s="13" t="s">
        <v>8860</v>
      </c>
      <c r="G2320" s="13" t="s">
        <v>19</v>
      </c>
      <c r="H2320" s="13" t="s">
        <v>3</v>
      </c>
      <c r="I2320" s="13" t="s">
        <v>5478</v>
      </c>
      <c r="J2320" s="13" t="s">
        <v>21</v>
      </c>
      <c r="K2320" s="13" t="s">
        <v>8712</v>
      </c>
      <c r="L2320" s="13" t="s">
        <v>18</v>
      </c>
      <c r="M2320" t="s">
        <v>3</v>
      </c>
    </row>
    <row r="2321" spans="1:13" x14ac:dyDescent="0.25">
      <c r="A2321" s="13" t="s">
        <v>11888</v>
      </c>
      <c r="B2321" s="13" t="s">
        <v>11888</v>
      </c>
      <c r="C2321" s="13" t="s">
        <v>11888</v>
      </c>
      <c r="D2321" s="13">
        <v>50</v>
      </c>
      <c r="E2321" s="13" t="s">
        <v>11889</v>
      </c>
      <c r="F2321" s="13" t="s">
        <v>8869</v>
      </c>
      <c r="G2321" s="13" t="s">
        <v>2</v>
      </c>
      <c r="H2321" s="13" t="s">
        <v>3</v>
      </c>
      <c r="I2321" s="13" t="s">
        <v>809</v>
      </c>
      <c r="J2321" s="13" t="s">
        <v>8890</v>
      </c>
      <c r="K2321" s="13" t="s">
        <v>8512</v>
      </c>
      <c r="L2321" s="13" t="s">
        <v>8918</v>
      </c>
      <c r="M2321" t="s">
        <v>3</v>
      </c>
    </row>
    <row r="2322" spans="1:13" ht="26.25" x14ac:dyDescent="0.25">
      <c r="A2322" s="13" t="s">
        <v>5479</v>
      </c>
      <c r="B2322" s="13" t="s">
        <v>5480</v>
      </c>
      <c r="C2322" s="13" t="s">
        <v>5481</v>
      </c>
      <c r="D2322" s="13">
        <v>1</v>
      </c>
      <c r="E2322" s="13" t="s">
        <v>5482</v>
      </c>
      <c r="F2322" s="13" t="s">
        <v>8860</v>
      </c>
      <c r="G2322" s="13" t="s">
        <v>19</v>
      </c>
      <c r="H2322" s="13" t="s">
        <v>3</v>
      </c>
      <c r="I2322" s="13" t="s">
        <v>5483</v>
      </c>
      <c r="J2322" s="13" t="s">
        <v>21</v>
      </c>
      <c r="K2322" s="13" t="s">
        <v>9343</v>
      </c>
      <c r="L2322" s="13" t="s">
        <v>18</v>
      </c>
      <c r="M2322" t="s">
        <v>3</v>
      </c>
    </row>
    <row r="2323" spans="1:13" ht="26.25" x14ac:dyDescent="0.25">
      <c r="A2323" s="13" t="s">
        <v>5484</v>
      </c>
      <c r="B2323" s="13" t="s">
        <v>5485</v>
      </c>
      <c r="C2323" s="13" t="s">
        <v>5486</v>
      </c>
      <c r="D2323" s="13">
        <v>1</v>
      </c>
      <c r="E2323" s="13" t="s">
        <v>5487</v>
      </c>
      <c r="F2323" s="13" t="s">
        <v>8860</v>
      </c>
      <c r="G2323" s="13" t="s">
        <v>19</v>
      </c>
      <c r="H2323" s="13" t="s">
        <v>3</v>
      </c>
      <c r="I2323" s="13" t="s">
        <v>5488</v>
      </c>
      <c r="J2323" s="13" t="s">
        <v>21</v>
      </c>
      <c r="K2323" s="13" t="s">
        <v>9344</v>
      </c>
      <c r="L2323" s="13" t="s">
        <v>18</v>
      </c>
      <c r="M2323" t="s">
        <v>3</v>
      </c>
    </row>
    <row r="2324" spans="1:13" ht="26.25" x14ac:dyDescent="0.25">
      <c r="A2324" s="13" t="s">
        <v>5489</v>
      </c>
      <c r="B2324" s="13" t="s">
        <v>5490</v>
      </c>
      <c r="C2324" s="13" t="s">
        <v>4482</v>
      </c>
      <c r="D2324" s="13">
        <v>1</v>
      </c>
      <c r="E2324" s="13" t="s">
        <v>5491</v>
      </c>
      <c r="F2324" s="13" t="s">
        <v>8860</v>
      </c>
      <c r="G2324" s="13" t="s">
        <v>19</v>
      </c>
      <c r="H2324" s="13" t="s">
        <v>3</v>
      </c>
      <c r="I2324" s="13" t="s">
        <v>5492</v>
      </c>
      <c r="J2324" s="13" t="s">
        <v>21</v>
      </c>
      <c r="K2324" s="13" t="s">
        <v>8713</v>
      </c>
      <c r="L2324" s="13" t="s">
        <v>18</v>
      </c>
      <c r="M2324" t="s">
        <v>3</v>
      </c>
    </row>
    <row r="2325" spans="1:13" ht="26.25" x14ac:dyDescent="0.25">
      <c r="A2325" s="13" t="s">
        <v>11373</v>
      </c>
      <c r="B2325" s="13" t="s">
        <v>11374</v>
      </c>
      <c r="C2325" s="13" t="s">
        <v>11375</v>
      </c>
      <c r="D2325" s="13">
        <v>0.1</v>
      </c>
      <c r="E2325" s="13" t="s">
        <v>11376</v>
      </c>
      <c r="F2325" s="13" t="s">
        <v>8860</v>
      </c>
      <c r="G2325" s="13" t="s">
        <v>19</v>
      </c>
      <c r="H2325" s="13" t="s">
        <v>3</v>
      </c>
      <c r="I2325" s="13" t="s">
        <v>11377</v>
      </c>
      <c r="J2325" s="13" t="s">
        <v>21</v>
      </c>
      <c r="K2325" s="13" t="s">
        <v>11378</v>
      </c>
      <c r="L2325" s="13" t="s">
        <v>18</v>
      </c>
      <c r="M2325" t="s">
        <v>3</v>
      </c>
    </row>
    <row r="2326" spans="1:13" ht="26.25" x14ac:dyDescent="0.25">
      <c r="A2326" s="13" t="s">
        <v>5493</v>
      </c>
      <c r="B2326" s="13" t="s">
        <v>5493</v>
      </c>
      <c r="C2326" s="13" t="s">
        <v>9345</v>
      </c>
      <c r="D2326" s="13">
        <v>6.4</v>
      </c>
      <c r="E2326" s="13" t="s">
        <v>5494</v>
      </c>
      <c r="F2326" s="13" t="s">
        <v>8860</v>
      </c>
      <c r="G2326" s="13" t="s">
        <v>19</v>
      </c>
      <c r="H2326" s="13" t="s">
        <v>3</v>
      </c>
      <c r="I2326" s="13" t="s">
        <v>5495</v>
      </c>
      <c r="J2326" s="13" t="s">
        <v>21</v>
      </c>
      <c r="K2326" s="13" t="s">
        <v>8714</v>
      </c>
      <c r="L2326" s="13" t="s">
        <v>18</v>
      </c>
      <c r="M2326" t="s">
        <v>3</v>
      </c>
    </row>
    <row r="2327" spans="1:13" ht="26.25" x14ac:dyDescent="0.25">
      <c r="A2327" s="13" t="s">
        <v>5496</v>
      </c>
      <c r="B2327" s="13" t="s">
        <v>5496</v>
      </c>
      <c r="C2327" s="13" t="s">
        <v>5497</v>
      </c>
      <c r="D2327" s="13">
        <v>1</v>
      </c>
      <c r="E2327" s="13" t="s">
        <v>5497</v>
      </c>
      <c r="F2327" s="13" t="s">
        <v>8860</v>
      </c>
      <c r="G2327" s="13" t="s">
        <v>19</v>
      </c>
      <c r="H2327" s="13" t="s">
        <v>3</v>
      </c>
      <c r="I2327" s="13" t="s">
        <v>5498</v>
      </c>
      <c r="J2327" s="13" t="s">
        <v>21</v>
      </c>
      <c r="K2327" s="13" t="s">
        <v>8715</v>
      </c>
      <c r="L2327" s="13" t="s">
        <v>18</v>
      </c>
      <c r="M2327" t="s">
        <v>3</v>
      </c>
    </row>
    <row r="2328" spans="1:13" ht="26.25" x14ac:dyDescent="0.25">
      <c r="A2328" s="13" t="s">
        <v>5499</v>
      </c>
      <c r="B2328" s="13" t="s">
        <v>5500</v>
      </c>
      <c r="C2328" s="13" t="s">
        <v>5500</v>
      </c>
      <c r="D2328" s="13">
        <v>2</v>
      </c>
      <c r="E2328" s="13" t="s">
        <v>5501</v>
      </c>
      <c r="F2328" s="13" t="s">
        <v>8860</v>
      </c>
      <c r="G2328" s="13" t="s">
        <v>19</v>
      </c>
      <c r="H2328" s="13" t="s">
        <v>3</v>
      </c>
      <c r="I2328" s="13" t="s">
        <v>5502</v>
      </c>
      <c r="J2328" s="13" t="s">
        <v>21</v>
      </c>
      <c r="K2328" s="13" t="s">
        <v>8716</v>
      </c>
      <c r="L2328" s="13" t="s">
        <v>18</v>
      </c>
      <c r="M2328" t="s">
        <v>3</v>
      </c>
    </row>
    <row r="2329" spans="1:13" ht="26.25" x14ac:dyDescent="0.25">
      <c r="A2329" s="13" t="s">
        <v>5503</v>
      </c>
      <c r="B2329" s="13" t="s">
        <v>5504</v>
      </c>
      <c r="C2329" s="13" t="s">
        <v>5505</v>
      </c>
      <c r="D2329" s="13">
        <v>1</v>
      </c>
      <c r="E2329" s="13" t="s">
        <v>5506</v>
      </c>
      <c r="F2329" s="13" t="s">
        <v>8867</v>
      </c>
      <c r="G2329" s="13" t="s">
        <v>2</v>
      </c>
      <c r="H2329" s="13" t="s">
        <v>3</v>
      </c>
      <c r="I2329" s="13" t="s">
        <v>1128</v>
      </c>
      <c r="J2329" s="13" t="s">
        <v>8890</v>
      </c>
      <c r="K2329" s="13" t="s">
        <v>8527</v>
      </c>
      <c r="L2329" s="13" t="s">
        <v>158</v>
      </c>
      <c r="M2329" t="s">
        <v>3</v>
      </c>
    </row>
    <row r="2330" spans="1:13" ht="26.25" x14ac:dyDescent="0.25">
      <c r="A2330" s="13" t="s">
        <v>5507</v>
      </c>
      <c r="B2330" s="13" t="s">
        <v>5508</v>
      </c>
      <c r="C2330" s="13" t="s">
        <v>5509</v>
      </c>
      <c r="D2330" s="13">
        <v>0.1</v>
      </c>
      <c r="E2330" s="13" t="s">
        <v>5510</v>
      </c>
      <c r="F2330" s="13" t="s">
        <v>8860</v>
      </c>
      <c r="G2330" s="13" t="s">
        <v>19</v>
      </c>
      <c r="H2330" s="13" t="s">
        <v>3</v>
      </c>
      <c r="I2330" s="13" t="s">
        <v>5511</v>
      </c>
      <c r="J2330" s="13" t="s">
        <v>21</v>
      </c>
      <c r="K2330" s="13" t="s">
        <v>8717</v>
      </c>
      <c r="L2330" s="13" t="s">
        <v>18</v>
      </c>
      <c r="M2330" t="s">
        <v>3</v>
      </c>
    </row>
    <row r="2331" spans="1:13" ht="26.25" x14ac:dyDescent="0.25">
      <c r="A2331" s="13" t="s">
        <v>10568</v>
      </c>
      <c r="B2331" s="13" t="s">
        <v>10568</v>
      </c>
      <c r="C2331" s="13" t="s">
        <v>10568</v>
      </c>
      <c r="D2331" s="13">
        <v>0</v>
      </c>
      <c r="E2331" s="13" t="s">
        <v>10569</v>
      </c>
      <c r="F2331" s="13" t="s">
        <v>8860</v>
      </c>
      <c r="G2331" s="13" t="s">
        <v>19</v>
      </c>
      <c r="H2331" s="13" t="s">
        <v>3</v>
      </c>
      <c r="I2331" s="13" t="s">
        <v>10570</v>
      </c>
      <c r="J2331" s="13" t="s">
        <v>21</v>
      </c>
      <c r="K2331" s="13" t="s">
        <v>10571</v>
      </c>
      <c r="L2331" s="13" t="s">
        <v>18</v>
      </c>
      <c r="M2331" t="s">
        <v>3</v>
      </c>
    </row>
    <row r="2332" spans="1:13" ht="26.25" x14ac:dyDescent="0.25">
      <c r="A2332" s="13" t="s">
        <v>5512</v>
      </c>
      <c r="B2332" s="13" t="s">
        <v>5513</v>
      </c>
      <c r="C2332" s="13" t="s">
        <v>5514</v>
      </c>
      <c r="D2332" s="13">
        <v>25</v>
      </c>
      <c r="E2332" s="13" t="s">
        <v>5515</v>
      </c>
      <c r="F2332" s="13" t="s">
        <v>8860</v>
      </c>
      <c r="G2332" s="13" t="s">
        <v>19</v>
      </c>
      <c r="H2332" s="13" t="s">
        <v>3</v>
      </c>
      <c r="I2332" s="13" t="s">
        <v>5516</v>
      </c>
      <c r="J2332" s="13" t="s">
        <v>21</v>
      </c>
      <c r="K2332" s="13" t="s">
        <v>8718</v>
      </c>
      <c r="L2332" s="13" t="s">
        <v>18</v>
      </c>
      <c r="M2332" t="s">
        <v>3</v>
      </c>
    </row>
    <row r="2333" spans="1:13" ht="26.25" x14ac:dyDescent="0.25">
      <c r="A2333" s="13" t="s">
        <v>5517</v>
      </c>
      <c r="B2333" s="13" t="s">
        <v>5518</v>
      </c>
      <c r="C2333" s="13" t="s">
        <v>5519</v>
      </c>
      <c r="D2333" s="13">
        <v>0.1</v>
      </c>
      <c r="E2333" s="13" t="s">
        <v>5520</v>
      </c>
      <c r="F2333" s="13" t="s">
        <v>8860</v>
      </c>
      <c r="G2333" s="13" t="s">
        <v>19</v>
      </c>
      <c r="H2333" s="13" t="s">
        <v>3</v>
      </c>
      <c r="I2333" s="13" t="s">
        <v>5521</v>
      </c>
      <c r="J2333" s="13" t="s">
        <v>21</v>
      </c>
      <c r="K2333" s="13" t="s">
        <v>8719</v>
      </c>
      <c r="L2333" s="13" t="s">
        <v>18</v>
      </c>
      <c r="M2333" t="s">
        <v>3</v>
      </c>
    </row>
    <row r="2334" spans="1:13" ht="26.25" x14ac:dyDescent="0.25">
      <c r="A2334" s="13" t="s">
        <v>5522</v>
      </c>
      <c r="B2334" s="13" t="s">
        <v>5522</v>
      </c>
      <c r="C2334" s="13" t="s">
        <v>5522</v>
      </c>
      <c r="D2334" s="13">
        <v>0.1</v>
      </c>
      <c r="E2334" s="13" t="s">
        <v>5523</v>
      </c>
      <c r="F2334" s="13" t="s">
        <v>8860</v>
      </c>
      <c r="G2334" s="13" t="s">
        <v>19</v>
      </c>
      <c r="H2334" s="13" t="s">
        <v>3</v>
      </c>
      <c r="I2334" s="13" t="s">
        <v>5524</v>
      </c>
      <c r="J2334" s="13" t="s">
        <v>21</v>
      </c>
      <c r="K2334" s="13" t="s">
        <v>8720</v>
      </c>
      <c r="L2334" s="13" t="s">
        <v>18</v>
      </c>
      <c r="M2334" t="s">
        <v>3</v>
      </c>
    </row>
    <row r="2335" spans="1:13" ht="26.25" x14ac:dyDescent="0.25">
      <c r="A2335" s="13" t="s">
        <v>5525</v>
      </c>
      <c r="B2335" s="13" t="s">
        <v>5525</v>
      </c>
      <c r="C2335" s="13" t="s">
        <v>5525</v>
      </c>
      <c r="D2335" s="13">
        <v>1.7</v>
      </c>
      <c r="E2335" s="13" t="s">
        <v>5526</v>
      </c>
      <c r="F2335" s="13" t="s">
        <v>35</v>
      </c>
      <c r="G2335" s="13" t="s">
        <v>19</v>
      </c>
      <c r="H2335" s="13" t="s">
        <v>3</v>
      </c>
      <c r="I2335" s="13" t="s">
        <v>5527</v>
      </c>
      <c r="J2335" s="13" t="s">
        <v>37</v>
      </c>
      <c r="K2335" s="13" t="s">
        <v>5527</v>
      </c>
      <c r="L2335" s="13" t="s">
        <v>35</v>
      </c>
      <c r="M2335" t="s">
        <v>3</v>
      </c>
    </row>
    <row r="2336" spans="1:13" x14ac:dyDescent="0.25">
      <c r="A2336" s="13" t="s">
        <v>5528</v>
      </c>
      <c r="B2336" s="13" t="s">
        <v>5528</v>
      </c>
      <c r="C2336" s="13" t="s">
        <v>5529</v>
      </c>
      <c r="D2336" s="13">
        <v>415.5</v>
      </c>
      <c r="E2336" s="13" t="s">
        <v>5530</v>
      </c>
      <c r="F2336" s="13" t="s">
        <v>8864</v>
      </c>
      <c r="G2336" s="13" t="s">
        <v>2</v>
      </c>
      <c r="H2336" s="13" t="s">
        <v>8900</v>
      </c>
      <c r="I2336" s="13" t="s">
        <v>62</v>
      </c>
      <c r="J2336" s="13" t="s">
        <v>8890</v>
      </c>
      <c r="K2336" s="13" t="s">
        <v>8430</v>
      </c>
      <c r="L2336" s="13" t="s">
        <v>56</v>
      </c>
      <c r="M2336" t="s">
        <v>10683</v>
      </c>
    </row>
    <row r="2337" spans="1:13" ht="26.25" x14ac:dyDescent="0.25">
      <c r="A2337" s="13" t="s">
        <v>5531</v>
      </c>
      <c r="B2337" s="13" t="s">
        <v>5531</v>
      </c>
      <c r="C2337" s="13" t="s">
        <v>205</v>
      </c>
      <c r="D2337" s="13">
        <v>1</v>
      </c>
      <c r="E2337" s="13" t="s">
        <v>5532</v>
      </c>
      <c r="F2337" s="13" t="s">
        <v>8860</v>
      </c>
      <c r="G2337" s="13" t="s">
        <v>19</v>
      </c>
      <c r="H2337" s="13" t="s">
        <v>3</v>
      </c>
      <c r="I2337" s="13" t="s">
        <v>5533</v>
      </c>
      <c r="J2337" s="13" t="s">
        <v>21</v>
      </c>
      <c r="K2337" s="13" t="s">
        <v>9346</v>
      </c>
      <c r="L2337" s="13" t="s">
        <v>18</v>
      </c>
      <c r="M2337" t="s">
        <v>3</v>
      </c>
    </row>
    <row r="2338" spans="1:13" ht="26.25" x14ac:dyDescent="0.25">
      <c r="A2338" s="13" t="s">
        <v>5534</v>
      </c>
      <c r="B2338" s="13" t="s">
        <v>5535</v>
      </c>
      <c r="C2338" s="13" t="s">
        <v>5536</v>
      </c>
      <c r="D2338" s="13">
        <v>0.4</v>
      </c>
      <c r="E2338" s="13" t="s">
        <v>5537</v>
      </c>
      <c r="F2338" s="13" t="s">
        <v>35</v>
      </c>
      <c r="G2338" s="13" t="s">
        <v>19</v>
      </c>
      <c r="H2338" s="13" t="s">
        <v>3</v>
      </c>
      <c r="I2338" s="13" t="s">
        <v>5538</v>
      </c>
      <c r="J2338" s="13" t="s">
        <v>37</v>
      </c>
      <c r="K2338" s="13" t="s">
        <v>8721</v>
      </c>
      <c r="L2338" s="13" t="s">
        <v>35</v>
      </c>
      <c r="M2338" t="s">
        <v>3</v>
      </c>
    </row>
    <row r="2339" spans="1:13" ht="26.25" x14ac:dyDescent="0.25">
      <c r="A2339" s="13" t="s">
        <v>10302</v>
      </c>
      <c r="B2339" s="13" t="s">
        <v>10303</v>
      </c>
      <c r="C2339" s="13" t="s">
        <v>10304</v>
      </c>
      <c r="D2339" s="14">
        <v>9999</v>
      </c>
      <c r="E2339" s="13" t="s">
        <v>10305</v>
      </c>
      <c r="F2339" s="13" t="s">
        <v>41</v>
      </c>
      <c r="G2339" s="13" t="s">
        <v>19</v>
      </c>
      <c r="H2339" s="13" t="s">
        <v>3</v>
      </c>
      <c r="I2339" s="13" t="s">
        <v>42</v>
      </c>
      <c r="J2339" s="13" t="s">
        <v>41</v>
      </c>
      <c r="K2339" s="13" t="s">
        <v>42</v>
      </c>
      <c r="L2339" s="13" t="s">
        <v>41</v>
      </c>
      <c r="M2339" t="s">
        <v>3</v>
      </c>
    </row>
    <row r="2340" spans="1:13" ht="26.25" x14ac:dyDescent="0.25">
      <c r="A2340" s="13" t="s">
        <v>10306</v>
      </c>
      <c r="B2340" s="13" t="s">
        <v>10307</v>
      </c>
      <c r="C2340" s="13" t="s">
        <v>10308</v>
      </c>
      <c r="D2340" s="14">
        <v>9999</v>
      </c>
      <c r="E2340" s="13" t="s">
        <v>10309</v>
      </c>
      <c r="F2340" s="13" t="s">
        <v>41</v>
      </c>
      <c r="G2340" s="13" t="s">
        <v>2</v>
      </c>
      <c r="H2340" s="13" t="s">
        <v>3</v>
      </c>
      <c r="I2340" s="13" t="s">
        <v>42</v>
      </c>
      <c r="J2340" s="13" t="s">
        <v>41</v>
      </c>
      <c r="K2340" s="13" t="s">
        <v>42</v>
      </c>
      <c r="L2340" s="13" t="s">
        <v>41</v>
      </c>
      <c r="M2340" t="s">
        <v>3</v>
      </c>
    </row>
    <row r="2341" spans="1:13" ht="26.25" x14ac:dyDescent="0.25">
      <c r="A2341" s="13" t="s">
        <v>10310</v>
      </c>
      <c r="B2341" s="13" t="s">
        <v>10311</v>
      </c>
      <c r="C2341" s="13" t="s">
        <v>10312</v>
      </c>
      <c r="D2341" s="14">
        <v>9999</v>
      </c>
      <c r="E2341" s="13" t="s">
        <v>10313</v>
      </c>
      <c r="F2341" s="13" t="s">
        <v>41</v>
      </c>
      <c r="G2341" s="13" t="s">
        <v>19</v>
      </c>
      <c r="H2341" s="13" t="s">
        <v>3</v>
      </c>
      <c r="I2341" s="13" t="s">
        <v>42</v>
      </c>
      <c r="J2341" s="13" t="s">
        <v>41</v>
      </c>
      <c r="K2341" s="13" t="s">
        <v>42</v>
      </c>
      <c r="L2341" s="13" t="s">
        <v>41</v>
      </c>
      <c r="M2341" t="s">
        <v>3</v>
      </c>
    </row>
    <row r="2342" spans="1:13" ht="26.25" x14ac:dyDescent="0.25">
      <c r="A2342" s="13" t="s">
        <v>10314</v>
      </c>
      <c r="B2342" s="13" t="s">
        <v>10315</v>
      </c>
      <c r="C2342" s="13" t="s">
        <v>10316</v>
      </c>
      <c r="D2342" s="14">
        <v>9999</v>
      </c>
      <c r="E2342" s="13" t="s">
        <v>10317</v>
      </c>
      <c r="F2342" s="13" t="s">
        <v>41</v>
      </c>
      <c r="G2342" s="13" t="s">
        <v>2</v>
      </c>
      <c r="H2342" s="13" t="s">
        <v>3</v>
      </c>
      <c r="I2342" s="13" t="s">
        <v>42</v>
      </c>
      <c r="J2342" s="13" t="s">
        <v>41</v>
      </c>
      <c r="K2342" s="13" t="s">
        <v>42</v>
      </c>
      <c r="L2342" s="13" t="s">
        <v>41</v>
      </c>
      <c r="M2342" t="s">
        <v>3</v>
      </c>
    </row>
    <row r="2343" spans="1:13" ht="26.25" x14ac:dyDescent="0.25">
      <c r="A2343" s="13" t="s">
        <v>5540</v>
      </c>
      <c r="B2343" s="13" t="s">
        <v>5541</v>
      </c>
      <c r="C2343" s="13" t="s">
        <v>5542</v>
      </c>
      <c r="D2343" s="13">
        <v>1</v>
      </c>
      <c r="E2343" s="13" t="s">
        <v>5543</v>
      </c>
      <c r="F2343" s="13" t="s">
        <v>8860</v>
      </c>
      <c r="G2343" s="13" t="s">
        <v>19</v>
      </c>
      <c r="H2343" s="13" t="s">
        <v>3</v>
      </c>
      <c r="I2343" s="13" t="s">
        <v>4349</v>
      </c>
      <c r="J2343" s="13" t="s">
        <v>21</v>
      </c>
      <c r="K2343" s="13" t="s">
        <v>8645</v>
      </c>
      <c r="L2343" s="13" t="s">
        <v>18</v>
      </c>
      <c r="M2343" t="s">
        <v>3</v>
      </c>
    </row>
    <row r="2344" spans="1:13" ht="26.25" x14ac:dyDescent="0.25">
      <c r="A2344" s="13" t="s">
        <v>10935</v>
      </c>
      <c r="B2344" s="13" t="s">
        <v>10935</v>
      </c>
      <c r="C2344" s="13" t="s">
        <v>10935</v>
      </c>
      <c r="D2344" s="13">
        <v>0.1</v>
      </c>
      <c r="E2344" s="13" t="s">
        <v>10936</v>
      </c>
      <c r="F2344" s="13" t="s">
        <v>8860</v>
      </c>
      <c r="G2344" s="13" t="s">
        <v>19</v>
      </c>
      <c r="H2344" s="13" t="s">
        <v>3</v>
      </c>
      <c r="I2344" s="13" t="s">
        <v>10937</v>
      </c>
      <c r="J2344" s="13" t="s">
        <v>21</v>
      </c>
      <c r="K2344" s="13" t="s">
        <v>10938</v>
      </c>
      <c r="L2344" s="13" t="s">
        <v>18</v>
      </c>
      <c r="M2344" t="s">
        <v>3</v>
      </c>
    </row>
    <row r="2345" spans="1:13" ht="26.25" x14ac:dyDescent="0.25">
      <c r="A2345" s="13" t="s">
        <v>5544</v>
      </c>
      <c r="B2345" s="13" t="s">
        <v>5545</v>
      </c>
      <c r="C2345" s="13" t="s">
        <v>5546</v>
      </c>
      <c r="D2345" s="13">
        <v>0</v>
      </c>
      <c r="E2345" s="13" t="s">
        <v>5547</v>
      </c>
      <c r="F2345" s="13" t="s">
        <v>8860</v>
      </c>
      <c r="G2345" s="13" t="s">
        <v>19</v>
      </c>
      <c r="H2345" s="13" t="s">
        <v>3</v>
      </c>
      <c r="I2345" s="13" t="s">
        <v>5548</v>
      </c>
      <c r="J2345" s="13" t="s">
        <v>21</v>
      </c>
      <c r="K2345" s="13" t="s">
        <v>8722</v>
      </c>
      <c r="L2345" s="13" t="s">
        <v>18</v>
      </c>
      <c r="M2345" t="s">
        <v>3</v>
      </c>
    </row>
    <row r="2346" spans="1:13" x14ac:dyDescent="0.25">
      <c r="A2346" s="13" t="s">
        <v>5549</v>
      </c>
      <c r="B2346" s="13" t="s">
        <v>5550</v>
      </c>
      <c r="C2346" s="13" t="s">
        <v>5550</v>
      </c>
      <c r="D2346" s="13">
        <v>0.5</v>
      </c>
      <c r="E2346" s="13" t="s">
        <v>5551</v>
      </c>
      <c r="F2346" s="13" t="s">
        <v>8867</v>
      </c>
      <c r="G2346" s="13" t="s">
        <v>2</v>
      </c>
      <c r="H2346" s="13" t="s">
        <v>3</v>
      </c>
      <c r="I2346" s="13" t="s">
        <v>5548</v>
      </c>
      <c r="J2346" s="13" t="s">
        <v>8890</v>
      </c>
      <c r="K2346" s="13" t="s">
        <v>8722</v>
      </c>
      <c r="L2346" s="13" t="s">
        <v>158</v>
      </c>
      <c r="M2346" t="s">
        <v>3</v>
      </c>
    </row>
    <row r="2347" spans="1:13" ht="26.25" x14ac:dyDescent="0.25">
      <c r="A2347" s="13" t="s">
        <v>10939</v>
      </c>
      <c r="B2347" s="13" t="s">
        <v>10940</v>
      </c>
      <c r="C2347" s="13" t="s">
        <v>10941</v>
      </c>
      <c r="D2347" s="13">
        <v>5</v>
      </c>
      <c r="E2347" s="13" t="s">
        <v>10942</v>
      </c>
      <c r="F2347" s="13" t="s">
        <v>8860</v>
      </c>
      <c r="G2347" s="13" t="s">
        <v>19</v>
      </c>
      <c r="H2347" s="13" t="s">
        <v>3</v>
      </c>
      <c r="I2347" s="13" t="s">
        <v>10943</v>
      </c>
      <c r="J2347" s="13" t="s">
        <v>21</v>
      </c>
      <c r="K2347" s="13" t="s">
        <v>10944</v>
      </c>
      <c r="L2347" s="13" t="s">
        <v>18</v>
      </c>
      <c r="M2347" t="s">
        <v>3</v>
      </c>
    </row>
    <row r="2348" spans="1:13" ht="26.25" x14ac:dyDescent="0.25">
      <c r="A2348" s="13" t="s">
        <v>5552</v>
      </c>
      <c r="B2348" s="13" t="s">
        <v>5552</v>
      </c>
      <c r="C2348" s="13" t="s">
        <v>5553</v>
      </c>
      <c r="D2348" s="13">
        <v>0.1</v>
      </c>
      <c r="E2348" s="13" t="s">
        <v>5554</v>
      </c>
      <c r="F2348" s="13" t="s">
        <v>8860</v>
      </c>
      <c r="G2348" s="13" t="s">
        <v>19</v>
      </c>
      <c r="H2348" s="13" t="s">
        <v>3</v>
      </c>
      <c r="I2348" s="13" t="s">
        <v>5555</v>
      </c>
      <c r="J2348" s="13" t="s">
        <v>21</v>
      </c>
      <c r="K2348" s="13" t="s">
        <v>8723</v>
      </c>
      <c r="L2348" s="13" t="s">
        <v>18</v>
      </c>
      <c r="M2348" t="s">
        <v>3</v>
      </c>
    </row>
    <row r="2349" spans="1:13" ht="26.25" x14ac:dyDescent="0.25">
      <c r="A2349" s="13" t="s">
        <v>5556</v>
      </c>
      <c r="B2349" s="13" t="s">
        <v>5557</v>
      </c>
      <c r="C2349" s="13" t="s">
        <v>5558</v>
      </c>
      <c r="D2349" s="13">
        <v>0.5</v>
      </c>
      <c r="E2349" s="13" t="s">
        <v>5559</v>
      </c>
      <c r="F2349" s="13" t="s">
        <v>35</v>
      </c>
      <c r="G2349" s="13" t="s">
        <v>19</v>
      </c>
      <c r="H2349" s="13" t="s">
        <v>3</v>
      </c>
      <c r="I2349" s="13" t="s">
        <v>5560</v>
      </c>
      <c r="J2349" s="13" t="s">
        <v>37</v>
      </c>
      <c r="K2349" s="13" t="s">
        <v>5558</v>
      </c>
      <c r="L2349" s="13" t="s">
        <v>35</v>
      </c>
      <c r="M2349" t="s">
        <v>3</v>
      </c>
    </row>
    <row r="2350" spans="1:13" ht="26.25" x14ac:dyDescent="0.25">
      <c r="A2350" s="13" t="s">
        <v>5561</v>
      </c>
      <c r="B2350" s="13" t="s">
        <v>5561</v>
      </c>
      <c r="C2350" s="13" t="s">
        <v>5562</v>
      </c>
      <c r="D2350" s="13">
        <v>0</v>
      </c>
      <c r="E2350" s="13" t="s">
        <v>5563</v>
      </c>
      <c r="F2350" s="13" t="s">
        <v>8860</v>
      </c>
      <c r="G2350" s="13" t="s">
        <v>19</v>
      </c>
      <c r="H2350" s="13" t="s">
        <v>3</v>
      </c>
      <c r="I2350" s="13" t="s">
        <v>5564</v>
      </c>
      <c r="J2350" s="13" t="s">
        <v>21</v>
      </c>
      <c r="K2350" s="13" t="s">
        <v>5564</v>
      </c>
      <c r="L2350" s="13" t="s">
        <v>18</v>
      </c>
      <c r="M2350" t="s">
        <v>3</v>
      </c>
    </row>
    <row r="2351" spans="1:13" ht="26.25" x14ac:dyDescent="0.25">
      <c r="A2351" s="13" t="s">
        <v>11687</v>
      </c>
      <c r="B2351" s="13" t="s">
        <v>11688</v>
      </c>
      <c r="C2351" s="13" t="s">
        <v>11689</v>
      </c>
      <c r="D2351" s="13">
        <v>1</v>
      </c>
      <c r="E2351" s="13" t="s">
        <v>11690</v>
      </c>
      <c r="F2351" s="13" t="s">
        <v>8860</v>
      </c>
      <c r="G2351" s="13" t="s">
        <v>19</v>
      </c>
      <c r="H2351" s="13" t="s">
        <v>3</v>
      </c>
      <c r="I2351" s="13" t="s">
        <v>11691</v>
      </c>
      <c r="J2351" s="13" t="s">
        <v>21</v>
      </c>
      <c r="K2351" s="13" t="s">
        <v>11692</v>
      </c>
      <c r="L2351" s="13" t="s">
        <v>18</v>
      </c>
      <c r="M2351" t="s">
        <v>3</v>
      </c>
    </row>
    <row r="2352" spans="1:13" ht="26.25" x14ac:dyDescent="0.25">
      <c r="A2352" s="13" t="s">
        <v>5565</v>
      </c>
      <c r="B2352" s="13" t="s">
        <v>9347</v>
      </c>
      <c r="C2352" s="13" t="s">
        <v>5566</v>
      </c>
      <c r="D2352" s="13">
        <v>0.1</v>
      </c>
      <c r="E2352" s="13" t="s">
        <v>5567</v>
      </c>
      <c r="F2352" s="13" t="s">
        <v>8860</v>
      </c>
      <c r="G2352" s="13" t="s">
        <v>19</v>
      </c>
      <c r="H2352" s="13" t="s">
        <v>3</v>
      </c>
      <c r="I2352" s="13" t="s">
        <v>5568</v>
      </c>
      <c r="J2352" s="13" t="s">
        <v>21</v>
      </c>
      <c r="K2352" s="13" t="s">
        <v>8724</v>
      </c>
      <c r="L2352" s="13" t="s">
        <v>18</v>
      </c>
      <c r="M2352" t="s">
        <v>3</v>
      </c>
    </row>
    <row r="2353" spans="1:13" ht="26.25" x14ac:dyDescent="0.25">
      <c r="A2353" s="13" t="s">
        <v>5569</v>
      </c>
      <c r="B2353" s="13" t="s">
        <v>5570</v>
      </c>
      <c r="C2353" s="13" t="s">
        <v>5571</v>
      </c>
      <c r="D2353" s="13">
        <v>94.1</v>
      </c>
      <c r="E2353" s="13" t="s">
        <v>5572</v>
      </c>
      <c r="F2353" s="13" t="s">
        <v>35</v>
      </c>
      <c r="G2353" s="13" t="s">
        <v>19</v>
      </c>
      <c r="H2353" s="13" t="s">
        <v>3</v>
      </c>
      <c r="I2353" s="13" t="s">
        <v>526</v>
      </c>
      <c r="J2353" s="13" t="s">
        <v>37</v>
      </c>
      <c r="K2353" s="13" t="s">
        <v>8479</v>
      </c>
      <c r="L2353" s="13" t="s">
        <v>35</v>
      </c>
      <c r="M2353" t="s">
        <v>3</v>
      </c>
    </row>
    <row r="2354" spans="1:13" ht="26.25" x14ac:dyDescent="0.25">
      <c r="A2354" s="13" t="s">
        <v>5573</v>
      </c>
      <c r="B2354" s="13" t="s">
        <v>5573</v>
      </c>
      <c r="C2354" s="13" t="s">
        <v>5574</v>
      </c>
      <c r="D2354" s="13">
        <v>4</v>
      </c>
      <c r="E2354" s="13" t="s">
        <v>5575</v>
      </c>
      <c r="F2354" s="13" t="s">
        <v>8860</v>
      </c>
      <c r="G2354" s="13" t="s">
        <v>19</v>
      </c>
      <c r="H2354" s="13" t="s">
        <v>3</v>
      </c>
      <c r="I2354" s="13" t="s">
        <v>5576</v>
      </c>
      <c r="J2354" s="13" t="s">
        <v>21</v>
      </c>
      <c r="K2354" s="13" t="s">
        <v>5574</v>
      </c>
      <c r="L2354" s="13" t="s">
        <v>18</v>
      </c>
      <c r="M2354" t="s">
        <v>3</v>
      </c>
    </row>
    <row r="2355" spans="1:13" ht="26.25" x14ac:dyDescent="0.25">
      <c r="A2355" s="13" t="s">
        <v>5577</v>
      </c>
      <c r="B2355" s="13" t="s">
        <v>5578</v>
      </c>
      <c r="C2355" s="13" t="s">
        <v>5579</v>
      </c>
      <c r="D2355" s="13">
        <v>0.6</v>
      </c>
      <c r="E2355" s="13" t="s">
        <v>5580</v>
      </c>
      <c r="F2355" s="13" t="s">
        <v>35</v>
      </c>
      <c r="G2355" s="13" t="s">
        <v>19</v>
      </c>
      <c r="H2355" s="13" t="s">
        <v>3</v>
      </c>
      <c r="I2355" s="13" t="s">
        <v>5581</v>
      </c>
      <c r="J2355" s="13" t="s">
        <v>37</v>
      </c>
      <c r="K2355" s="13" t="s">
        <v>8725</v>
      </c>
      <c r="L2355" s="13" t="s">
        <v>35</v>
      </c>
      <c r="M2355" t="s">
        <v>3</v>
      </c>
    </row>
    <row r="2356" spans="1:13" ht="26.25" x14ac:dyDescent="0.25">
      <c r="A2356" s="13" t="s">
        <v>5582</v>
      </c>
      <c r="B2356" s="13" t="s">
        <v>5583</v>
      </c>
      <c r="C2356" s="13" t="s">
        <v>5584</v>
      </c>
      <c r="D2356" s="13">
        <v>500</v>
      </c>
      <c r="E2356" s="13" t="s">
        <v>5585</v>
      </c>
      <c r="F2356" s="13" t="s">
        <v>8870</v>
      </c>
      <c r="G2356" s="13" t="s">
        <v>19</v>
      </c>
      <c r="H2356" s="13" t="s">
        <v>3</v>
      </c>
      <c r="I2356" s="13" t="s">
        <v>4359</v>
      </c>
      <c r="J2356" s="13" t="s">
        <v>410</v>
      </c>
      <c r="K2356" s="13" t="s">
        <v>4360</v>
      </c>
      <c r="L2356" s="13" t="s">
        <v>8942</v>
      </c>
      <c r="M2356" t="s">
        <v>3</v>
      </c>
    </row>
    <row r="2357" spans="1:13" x14ac:dyDescent="0.25">
      <c r="A2357" s="13" t="s">
        <v>5586</v>
      </c>
      <c r="B2357" s="13" t="s">
        <v>5587</v>
      </c>
      <c r="C2357" s="13" t="s">
        <v>5588</v>
      </c>
      <c r="D2357" s="13">
        <v>500</v>
      </c>
      <c r="E2357" s="13" t="s">
        <v>5589</v>
      </c>
      <c r="F2357" s="13" t="s">
        <v>8871</v>
      </c>
      <c r="G2357" s="13" t="s">
        <v>2</v>
      </c>
      <c r="H2357" s="13" t="s">
        <v>3</v>
      </c>
      <c r="I2357" s="13" t="s">
        <v>4359</v>
      </c>
      <c r="J2357" s="13" t="s">
        <v>410</v>
      </c>
      <c r="K2357" s="13" t="s">
        <v>4360</v>
      </c>
      <c r="L2357" s="13" t="s">
        <v>8943</v>
      </c>
      <c r="M2357" t="s">
        <v>3</v>
      </c>
    </row>
    <row r="2358" spans="1:13" ht="26.25" x14ac:dyDescent="0.25">
      <c r="A2358" s="13" t="s">
        <v>5590</v>
      </c>
      <c r="B2358" s="13" t="s">
        <v>5590</v>
      </c>
      <c r="C2358" s="13" t="s">
        <v>5590</v>
      </c>
      <c r="D2358" s="13">
        <v>120</v>
      </c>
      <c r="E2358" s="13" t="s">
        <v>5591</v>
      </c>
      <c r="F2358" s="13" t="s">
        <v>8860</v>
      </c>
      <c r="G2358" s="13" t="s">
        <v>19</v>
      </c>
      <c r="H2358" s="13" t="s">
        <v>3</v>
      </c>
      <c r="I2358" s="13" t="s">
        <v>4365</v>
      </c>
      <c r="J2358" s="13" t="s">
        <v>21</v>
      </c>
      <c r="K2358" s="13" t="s">
        <v>8647</v>
      </c>
      <c r="L2358" s="13" t="s">
        <v>18</v>
      </c>
      <c r="M2358" t="s">
        <v>3</v>
      </c>
    </row>
    <row r="2359" spans="1:13" ht="26.25" x14ac:dyDescent="0.25">
      <c r="A2359" s="13" t="s">
        <v>5592</v>
      </c>
      <c r="B2359" s="13" t="s">
        <v>5592</v>
      </c>
      <c r="C2359" s="13" t="s">
        <v>5592</v>
      </c>
      <c r="D2359" s="13">
        <v>8</v>
      </c>
      <c r="E2359" s="13" t="s">
        <v>5593</v>
      </c>
      <c r="F2359" s="13" t="s">
        <v>8860</v>
      </c>
      <c r="G2359" s="13" t="s">
        <v>19</v>
      </c>
      <c r="H2359" s="13" t="s">
        <v>3</v>
      </c>
      <c r="I2359" s="13" t="s">
        <v>4365</v>
      </c>
      <c r="J2359" s="13" t="s">
        <v>21</v>
      </c>
      <c r="K2359" s="13" t="s">
        <v>8647</v>
      </c>
      <c r="L2359" s="13" t="s">
        <v>18</v>
      </c>
      <c r="M2359" t="s">
        <v>3</v>
      </c>
    </row>
    <row r="2360" spans="1:13" x14ac:dyDescent="0.25">
      <c r="A2360" s="13" t="s">
        <v>9672</v>
      </c>
      <c r="B2360" s="13" t="s">
        <v>9673</v>
      </c>
      <c r="C2360" s="13" t="s">
        <v>9674</v>
      </c>
      <c r="D2360" s="13">
        <v>0.1</v>
      </c>
      <c r="E2360" s="13" t="s">
        <v>9675</v>
      </c>
      <c r="F2360" s="13" t="s">
        <v>8867</v>
      </c>
      <c r="G2360" s="13" t="s">
        <v>2</v>
      </c>
      <c r="H2360" s="13" t="s">
        <v>3</v>
      </c>
      <c r="I2360" s="13" t="s">
        <v>4365</v>
      </c>
      <c r="J2360" s="13" t="s">
        <v>8890</v>
      </c>
      <c r="K2360" s="13" t="s">
        <v>8647</v>
      </c>
      <c r="L2360" s="13" t="s">
        <v>158</v>
      </c>
      <c r="M2360" t="s">
        <v>3</v>
      </c>
    </row>
    <row r="2361" spans="1:13" ht="26.25" x14ac:dyDescent="0.25">
      <c r="A2361" s="13" t="s">
        <v>5594</v>
      </c>
      <c r="B2361" s="13" t="s">
        <v>5595</v>
      </c>
      <c r="C2361" s="13" t="s">
        <v>5596</v>
      </c>
      <c r="D2361" s="13">
        <v>3</v>
      </c>
      <c r="E2361" s="13" t="s">
        <v>5597</v>
      </c>
      <c r="F2361" s="13" t="s">
        <v>35</v>
      </c>
      <c r="G2361" s="13" t="s">
        <v>19</v>
      </c>
      <c r="H2361" s="13" t="s">
        <v>3</v>
      </c>
      <c r="I2361" s="13" t="s">
        <v>5598</v>
      </c>
      <c r="J2361" s="13" t="s">
        <v>37</v>
      </c>
      <c r="K2361" s="13" t="s">
        <v>8726</v>
      </c>
      <c r="L2361" s="13" t="s">
        <v>35</v>
      </c>
      <c r="M2361" t="s">
        <v>3</v>
      </c>
    </row>
    <row r="2362" spans="1:13" x14ac:dyDescent="0.25">
      <c r="A2362" s="13" t="s">
        <v>11087</v>
      </c>
      <c r="B2362" s="13" t="s">
        <v>11088</v>
      </c>
      <c r="C2362" s="13" t="s">
        <v>11089</v>
      </c>
      <c r="D2362" s="14">
        <v>1.4</v>
      </c>
      <c r="E2362" s="13" t="s">
        <v>11090</v>
      </c>
      <c r="F2362" s="13" t="s">
        <v>8867</v>
      </c>
      <c r="G2362" s="13" t="s">
        <v>2</v>
      </c>
      <c r="H2362" s="13" t="s">
        <v>3</v>
      </c>
      <c r="I2362" s="13" t="s">
        <v>10079</v>
      </c>
      <c r="J2362" s="13" t="s">
        <v>8890</v>
      </c>
      <c r="K2362" s="13" t="s">
        <v>10082</v>
      </c>
      <c r="L2362" s="13" t="s">
        <v>158</v>
      </c>
      <c r="M2362" t="s">
        <v>3</v>
      </c>
    </row>
    <row r="2363" spans="1:13" ht="26.25" x14ac:dyDescent="0.25">
      <c r="A2363" s="13" t="s">
        <v>5599</v>
      </c>
      <c r="B2363" s="13" t="s">
        <v>5599</v>
      </c>
      <c r="C2363" s="13" t="s">
        <v>5600</v>
      </c>
      <c r="D2363" s="14">
        <v>9999</v>
      </c>
      <c r="E2363" s="13" t="s">
        <v>5601</v>
      </c>
      <c r="F2363" s="13" t="s">
        <v>5602</v>
      </c>
      <c r="G2363" s="13" t="s">
        <v>19</v>
      </c>
      <c r="H2363" s="13" t="s">
        <v>3</v>
      </c>
      <c r="I2363" s="13" t="s">
        <v>42</v>
      </c>
      <c r="J2363" s="13" t="s">
        <v>5602</v>
      </c>
      <c r="K2363" s="13" t="s">
        <v>42</v>
      </c>
      <c r="L2363" s="13" t="s">
        <v>5602</v>
      </c>
      <c r="M2363" t="s">
        <v>3</v>
      </c>
    </row>
    <row r="2364" spans="1:13" ht="26.25" x14ac:dyDescent="0.25">
      <c r="A2364" s="13" t="s">
        <v>5603</v>
      </c>
      <c r="B2364" s="13" t="s">
        <v>5603</v>
      </c>
      <c r="C2364" s="13" t="s">
        <v>5604</v>
      </c>
      <c r="D2364" s="13">
        <v>9999</v>
      </c>
      <c r="E2364" s="13" t="s">
        <v>5605</v>
      </c>
      <c r="F2364" s="13" t="s">
        <v>5602</v>
      </c>
      <c r="G2364" s="13" t="s">
        <v>19</v>
      </c>
      <c r="H2364" s="13" t="s">
        <v>3</v>
      </c>
      <c r="I2364" s="13" t="s">
        <v>42</v>
      </c>
      <c r="J2364" s="13" t="s">
        <v>5602</v>
      </c>
      <c r="K2364" s="13" t="s">
        <v>42</v>
      </c>
      <c r="L2364" s="13" t="s">
        <v>5602</v>
      </c>
      <c r="M2364" t="s">
        <v>3</v>
      </c>
    </row>
    <row r="2365" spans="1:13" ht="26.25" x14ac:dyDescent="0.25">
      <c r="A2365" s="13" t="s">
        <v>5606</v>
      </c>
      <c r="B2365" s="13" t="s">
        <v>5606</v>
      </c>
      <c r="C2365" s="13" t="s">
        <v>5607</v>
      </c>
      <c r="D2365" s="13">
        <v>9999</v>
      </c>
      <c r="E2365" s="13" t="s">
        <v>5608</v>
      </c>
      <c r="F2365" s="13" t="s">
        <v>5602</v>
      </c>
      <c r="G2365" s="13" t="s">
        <v>2</v>
      </c>
      <c r="H2365" s="13" t="s">
        <v>3</v>
      </c>
      <c r="I2365" s="13" t="s">
        <v>42</v>
      </c>
      <c r="J2365" s="13" t="s">
        <v>5602</v>
      </c>
      <c r="K2365" s="13" t="s">
        <v>42</v>
      </c>
      <c r="L2365" s="13" t="s">
        <v>5602</v>
      </c>
      <c r="M2365" t="s">
        <v>3</v>
      </c>
    </row>
    <row r="2366" spans="1:13" ht="26.25" x14ac:dyDescent="0.25">
      <c r="A2366" s="13" t="s">
        <v>5609</v>
      </c>
      <c r="B2366" s="13" t="s">
        <v>5609</v>
      </c>
      <c r="C2366" s="13" t="s">
        <v>5610</v>
      </c>
      <c r="D2366" s="13">
        <v>9999</v>
      </c>
      <c r="E2366" s="13" t="s">
        <v>5611</v>
      </c>
      <c r="F2366" s="13" t="s">
        <v>5602</v>
      </c>
      <c r="G2366" s="13" t="s">
        <v>2</v>
      </c>
      <c r="H2366" s="13" t="s">
        <v>3</v>
      </c>
      <c r="I2366" s="13" t="s">
        <v>42</v>
      </c>
      <c r="J2366" s="13" t="s">
        <v>5602</v>
      </c>
      <c r="K2366" s="13" t="s">
        <v>42</v>
      </c>
      <c r="L2366" s="13" t="s">
        <v>5602</v>
      </c>
      <c r="M2366" t="s">
        <v>3</v>
      </c>
    </row>
    <row r="2367" spans="1:13" x14ac:dyDescent="0.25">
      <c r="A2367" s="13" t="s">
        <v>5612</v>
      </c>
      <c r="B2367" s="13" t="s">
        <v>5613</v>
      </c>
      <c r="C2367" s="13" t="s">
        <v>5613</v>
      </c>
      <c r="D2367" s="13">
        <v>0.9</v>
      </c>
      <c r="E2367" s="13" t="s">
        <v>5614</v>
      </c>
      <c r="F2367" s="13" t="s">
        <v>8865</v>
      </c>
      <c r="G2367" s="13" t="s">
        <v>2</v>
      </c>
      <c r="H2367" s="13" t="s">
        <v>3</v>
      </c>
      <c r="I2367" s="13" t="s">
        <v>497</v>
      </c>
      <c r="J2367" s="13" t="s">
        <v>8890</v>
      </c>
      <c r="K2367" s="13" t="s">
        <v>8475</v>
      </c>
      <c r="L2367" s="13" t="s">
        <v>8901</v>
      </c>
      <c r="M2367" t="s">
        <v>3</v>
      </c>
    </row>
    <row r="2368" spans="1:13" ht="26.25" x14ac:dyDescent="0.25">
      <c r="A2368" s="13" t="s">
        <v>5615</v>
      </c>
      <c r="B2368" s="13" t="s">
        <v>5616</v>
      </c>
      <c r="C2368" s="13" t="s">
        <v>5617</v>
      </c>
      <c r="D2368" s="13">
        <v>0.5</v>
      </c>
      <c r="E2368" s="13" t="s">
        <v>5618</v>
      </c>
      <c r="F2368" s="13" t="s">
        <v>35</v>
      </c>
      <c r="G2368" s="13" t="s">
        <v>19</v>
      </c>
      <c r="H2368" s="13" t="s">
        <v>3</v>
      </c>
      <c r="I2368" s="13" t="s">
        <v>5619</v>
      </c>
      <c r="J2368" s="13" t="s">
        <v>37</v>
      </c>
      <c r="K2368" s="13" t="s">
        <v>8727</v>
      </c>
      <c r="L2368" s="13" t="s">
        <v>35</v>
      </c>
      <c r="M2368" t="s">
        <v>3</v>
      </c>
    </row>
    <row r="2369" spans="1:13" ht="26.25" x14ac:dyDescent="0.25">
      <c r="A2369" s="13" t="s">
        <v>5620</v>
      </c>
      <c r="B2369" s="13" t="s">
        <v>5621</v>
      </c>
      <c r="C2369" s="13" t="s">
        <v>5622</v>
      </c>
      <c r="D2369" s="13">
        <v>1</v>
      </c>
      <c r="E2369" s="13" t="s">
        <v>5623</v>
      </c>
      <c r="F2369" s="13" t="s">
        <v>8860</v>
      </c>
      <c r="G2369" s="13" t="s">
        <v>19</v>
      </c>
      <c r="H2369" s="13" t="s">
        <v>3</v>
      </c>
      <c r="I2369" s="13" t="s">
        <v>5621</v>
      </c>
      <c r="J2369" s="13" t="s">
        <v>21</v>
      </c>
      <c r="K2369" s="13" t="s">
        <v>5622</v>
      </c>
      <c r="L2369" s="13" t="s">
        <v>18</v>
      </c>
      <c r="M2369" t="s">
        <v>3</v>
      </c>
    </row>
    <row r="2370" spans="1:13" x14ac:dyDescent="0.25">
      <c r="A2370" s="13" t="s">
        <v>9348</v>
      </c>
      <c r="B2370" s="13" t="s">
        <v>9349</v>
      </c>
      <c r="C2370" s="13" t="s">
        <v>9349</v>
      </c>
      <c r="D2370" s="13">
        <v>6.2</v>
      </c>
      <c r="E2370" s="13" t="s">
        <v>9350</v>
      </c>
      <c r="F2370" s="13" t="s">
        <v>8867</v>
      </c>
      <c r="G2370" s="13" t="s">
        <v>2</v>
      </c>
      <c r="H2370" s="13" t="s">
        <v>3</v>
      </c>
      <c r="I2370" s="13" t="s">
        <v>435</v>
      </c>
      <c r="J2370" s="13" t="s">
        <v>8890</v>
      </c>
      <c r="K2370" s="13" t="s">
        <v>8469</v>
      </c>
      <c r="L2370" s="13" t="s">
        <v>158</v>
      </c>
      <c r="M2370" t="s">
        <v>3</v>
      </c>
    </row>
    <row r="2371" spans="1:13" ht="26.25" x14ac:dyDescent="0.25">
      <c r="A2371" s="13" t="s">
        <v>5624</v>
      </c>
      <c r="B2371" s="13" t="s">
        <v>5625</v>
      </c>
      <c r="C2371" s="13" t="s">
        <v>5626</v>
      </c>
      <c r="D2371" s="13">
        <v>219</v>
      </c>
      <c r="E2371" s="13" t="s">
        <v>5627</v>
      </c>
      <c r="F2371" s="13" t="s">
        <v>8907</v>
      </c>
      <c r="G2371" s="13" t="s">
        <v>19</v>
      </c>
      <c r="H2371" s="13" t="s">
        <v>3</v>
      </c>
      <c r="I2371" s="13" t="s">
        <v>390</v>
      </c>
      <c r="J2371" s="13" t="s">
        <v>144</v>
      </c>
      <c r="K2371" s="13" t="s">
        <v>8423</v>
      </c>
      <c r="L2371" s="13" t="s">
        <v>144</v>
      </c>
      <c r="M2371" t="s">
        <v>3</v>
      </c>
    </row>
    <row r="2372" spans="1:13" x14ac:dyDescent="0.25">
      <c r="A2372" s="13" t="s">
        <v>5628</v>
      </c>
      <c r="B2372" s="13" t="s">
        <v>5629</v>
      </c>
      <c r="C2372" s="13" t="s">
        <v>5630</v>
      </c>
      <c r="D2372" s="13">
        <v>219.1</v>
      </c>
      <c r="E2372" s="13" t="s">
        <v>5631</v>
      </c>
      <c r="F2372" s="13" t="s">
        <v>8868</v>
      </c>
      <c r="G2372" s="13" t="s">
        <v>2</v>
      </c>
      <c r="H2372" s="13" t="s">
        <v>3</v>
      </c>
      <c r="I2372" s="13" t="s">
        <v>390</v>
      </c>
      <c r="J2372" s="13" t="s">
        <v>8890</v>
      </c>
      <c r="K2372" s="13" t="s">
        <v>8423</v>
      </c>
      <c r="L2372" s="13" t="s">
        <v>8908</v>
      </c>
      <c r="M2372" t="s">
        <v>3</v>
      </c>
    </row>
    <row r="2373" spans="1:13" ht="26.25" x14ac:dyDescent="0.25">
      <c r="A2373" s="13" t="s">
        <v>5632</v>
      </c>
      <c r="B2373" s="13" t="s">
        <v>5633</v>
      </c>
      <c r="C2373" s="13" t="s">
        <v>5634</v>
      </c>
      <c r="D2373" s="13">
        <v>1.2</v>
      </c>
      <c r="E2373" s="13" t="s">
        <v>5635</v>
      </c>
      <c r="F2373" s="13" t="s">
        <v>35</v>
      </c>
      <c r="G2373" s="13" t="s">
        <v>19</v>
      </c>
      <c r="H2373" s="13" t="s">
        <v>3</v>
      </c>
      <c r="I2373" s="13" t="s">
        <v>5636</v>
      </c>
      <c r="J2373" s="13" t="s">
        <v>37</v>
      </c>
      <c r="K2373" s="13" t="s">
        <v>5633</v>
      </c>
      <c r="L2373" s="13" t="s">
        <v>35</v>
      </c>
      <c r="M2373" t="s">
        <v>3</v>
      </c>
    </row>
    <row r="2374" spans="1:13" x14ac:dyDescent="0.25">
      <c r="A2374" s="13" t="s">
        <v>9812</v>
      </c>
      <c r="B2374" s="13" t="s">
        <v>9812</v>
      </c>
      <c r="C2374" s="13" t="s">
        <v>9812</v>
      </c>
      <c r="D2374" s="13">
        <v>40.1</v>
      </c>
      <c r="E2374" s="13" t="s">
        <v>9813</v>
      </c>
      <c r="F2374" s="13" t="s">
        <v>8867</v>
      </c>
      <c r="G2374" s="13" t="s">
        <v>2</v>
      </c>
      <c r="H2374" s="13" t="s">
        <v>9224</v>
      </c>
      <c r="I2374" s="13" t="s">
        <v>228</v>
      </c>
      <c r="J2374" s="13" t="s">
        <v>8890</v>
      </c>
      <c r="K2374" s="13" t="s">
        <v>8418</v>
      </c>
      <c r="L2374" s="13" t="s">
        <v>158</v>
      </c>
      <c r="M2374" t="s">
        <v>10685</v>
      </c>
    </row>
    <row r="2375" spans="1:13" ht="26.25" x14ac:dyDescent="0.25">
      <c r="A2375" s="13" t="s">
        <v>5637</v>
      </c>
      <c r="B2375" s="13" t="s">
        <v>5638</v>
      </c>
      <c r="C2375" s="13" t="s">
        <v>5639</v>
      </c>
      <c r="D2375" s="13">
        <v>0.9</v>
      </c>
      <c r="E2375" s="13" t="s">
        <v>5640</v>
      </c>
      <c r="F2375" s="13" t="s">
        <v>35</v>
      </c>
      <c r="G2375" s="13" t="s">
        <v>19</v>
      </c>
      <c r="H2375" s="13" t="s">
        <v>3</v>
      </c>
      <c r="I2375" s="13" t="s">
        <v>5641</v>
      </c>
      <c r="J2375" s="13" t="s">
        <v>37</v>
      </c>
      <c r="K2375" s="13" t="s">
        <v>5639</v>
      </c>
      <c r="L2375" s="13" t="s">
        <v>35</v>
      </c>
      <c r="M2375" t="s">
        <v>3</v>
      </c>
    </row>
    <row r="2376" spans="1:13" ht="26.25" x14ac:dyDescent="0.25">
      <c r="A2376" s="13" t="s">
        <v>9351</v>
      </c>
      <c r="B2376" s="13" t="s">
        <v>9351</v>
      </c>
      <c r="C2376" s="13" t="s">
        <v>9351</v>
      </c>
      <c r="D2376" s="13">
        <v>0.1</v>
      </c>
      <c r="E2376" s="13" t="s">
        <v>9352</v>
      </c>
      <c r="F2376" s="13" t="s">
        <v>8860</v>
      </c>
      <c r="G2376" s="13" t="s">
        <v>19</v>
      </c>
      <c r="H2376" s="13" t="s">
        <v>3</v>
      </c>
      <c r="I2376" s="13" t="s">
        <v>9353</v>
      </c>
      <c r="J2376" s="13" t="s">
        <v>21</v>
      </c>
      <c r="K2376" s="13" t="s">
        <v>9354</v>
      </c>
      <c r="L2376" s="13" t="s">
        <v>18</v>
      </c>
      <c r="M2376" t="s">
        <v>3</v>
      </c>
    </row>
    <row r="2377" spans="1:13" ht="26.25" x14ac:dyDescent="0.25">
      <c r="A2377" s="13" t="s">
        <v>5642</v>
      </c>
      <c r="B2377" s="13" t="s">
        <v>5643</v>
      </c>
      <c r="C2377" s="13" t="s">
        <v>5643</v>
      </c>
      <c r="D2377" s="13">
        <v>1.7</v>
      </c>
      <c r="E2377" s="13" t="s">
        <v>5644</v>
      </c>
      <c r="F2377" s="13" t="s">
        <v>35</v>
      </c>
      <c r="G2377" s="13" t="s">
        <v>19</v>
      </c>
      <c r="H2377" s="13" t="s">
        <v>3</v>
      </c>
      <c r="I2377" s="13" t="s">
        <v>5645</v>
      </c>
      <c r="J2377" s="13" t="s">
        <v>37</v>
      </c>
      <c r="K2377" s="13" t="s">
        <v>5643</v>
      </c>
      <c r="L2377" s="13" t="s">
        <v>35</v>
      </c>
      <c r="M2377" t="s">
        <v>3</v>
      </c>
    </row>
    <row r="2378" spans="1:13" x14ac:dyDescent="0.25">
      <c r="A2378" s="13" t="s">
        <v>5646</v>
      </c>
      <c r="B2378" s="13" t="s">
        <v>5646</v>
      </c>
      <c r="C2378" s="13" t="s">
        <v>5647</v>
      </c>
      <c r="D2378" s="14">
        <v>0.1</v>
      </c>
      <c r="E2378" s="13" t="s">
        <v>5648</v>
      </c>
      <c r="F2378" s="13" t="s">
        <v>8863</v>
      </c>
      <c r="G2378" s="13" t="s">
        <v>2</v>
      </c>
      <c r="H2378" s="13" t="s">
        <v>3</v>
      </c>
      <c r="I2378" s="13" t="s">
        <v>1307</v>
      </c>
      <c r="J2378" s="13" t="s">
        <v>8890</v>
      </c>
      <c r="K2378" s="13" t="s">
        <v>1305</v>
      </c>
      <c r="L2378" s="13" t="s">
        <v>8893</v>
      </c>
      <c r="M2378" t="s">
        <v>3</v>
      </c>
    </row>
    <row r="2379" spans="1:13" ht="26.25" x14ac:dyDescent="0.25">
      <c r="A2379" s="13" t="s">
        <v>5649</v>
      </c>
      <c r="B2379" s="13" t="s">
        <v>5649</v>
      </c>
      <c r="C2379" s="13" t="s">
        <v>5650</v>
      </c>
      <c r="D2379" s="13">
        <v>0.8</v>
      </c>
      <c r="E2379" s="13" t="s">
        <v>5651</v>
      </c>
      <c r="F2379" s="13" t="s">
        <v>8860</v>
      </c>
      <c r="G2379" s="13" t="s">
        <v>19</v>
      </c>
      <c r="H2379" s="13" t="s">
        <v>3</v>
      </c>
      <c r="I2379" s="13" t="s">
        <v>5652</v>
      </c>
      <c r="J2379" s="13" t="s">
        <v>21</v>
      </c>
      <c r="K2379" s="13" t="s">
        <v>5650</v>
      </c>
      <c r="L2379" s="13" t="s">
        <v>18</v>
      </c>
      <c r="M2379" t="s">
        <v>3</v>
      </c>
    </row>
    <row r="2380" spans="1:13" ht="26.25" x14ac:dyDescent="0.25">
      <c r="A2380" s="13" t="s">
        <v>10945</v>
      </c>
      <c r="B2380" s="13" t="s">
        <v>10946</v>
      </c>
      <c r="C2380" s="13" t="s">
        <v>10947</v>
      </c>
      <c r="D2380" s="13">
        <v>5</v>
      </c>
      <c r="E2380" s="13" t="s">
        <v>10948</v>
      </c>
      <c r="F2380" s="13" t="s">
        <v>8860</v>
      </c>
      <c r="G2380" s="13" t="s">
        <v>19</v>
      </c>
      <c r="H2380" s="13" t="s">
        <v>3</v>
      </c>
      <c r="I2380" s="13" t="s">
        <v>10949</v>
      </c>
      <c r="J2380" s="13" t="s">
        <v>21</v>
      </c>
      <c r="K2380" s="13" t="s">
        <v>10950</v>
      </c>
      <c r="L2380" s="13" t="s">
        <v>18</v>
      </c>
      <c r="M2380" t="s">
        <v>3</v>
      </c>
    </row>
    <row r="2381" spans="1:13" ht="26.25" x14ac:dyDescent="0.25">
      <c r="A2381" s="13" t="s">
        <v>5653</v>
      </c>
      <c r="B2381" s="13" t="s">
        <v>5654</v>
      </c>
      <c r="C2381" s="13" t="s">
        <v>5655</v>
      </c>
      <c r="D2381" s="13">
        <v>0.1</v>
      </c>
      <c r="E2381" s="13" t="s">
        <v>5656</v>
      </c>
      <c r="F2381" s="13" t="s">
        <v>8860</v>
      </c>
      <c r="G2381" s="13" t="s">
        <v>19</v>
      </c>
      <c r="H2381" s="13" t="s">
        <v>3</v>
      </c>
      <c r="I2381" s="13" t="s">
        <v>5657</v>
      </c>
      <c r="J2381" s="13" t="s">
        <v>21</v>
      </c>
      <c r="K2381" s="13" t="s">
        <v>8728</v>
      </c>
      <c r="L2381" s="13" t="s">
        <v>18</v>
      </c>
      <c r="M2381" t="s">
        <v>3</v>
      </c>
    </row>
    <row r="2382" spans="1:13" ht="26.25" x14ac:dyDescent="0.25">
      <c r="A2382" s="13" t="s">
        <v>5658</v>
      </c>
      <c r="B2382" s="13" t="s">
        <v>5658</v>
      </c>
      <c r="C2382" s="13" t="s">
        <v>5659</v>
      </c>
      <c r="D2382" s="13">
        <v>300</v>
      </c>
      <c r="E2382" s="13" t="s">
        <v>5660</v>
      </c>
      <c r="F2382" s="13" t="s">
        <v>8860</v>
      </c>
      <c r="G2382" s="13" t="s">
        <v>19</v>
      </c>
      <c r="H2382" s="13" t="s">
        <v>3</v>
      </c>
      <c r="I2382" s="13" t="s">
        <v>5661</v>
      </c>
      <c r="J2382" s="13" t="s">
        <v>21</v>
      </c>
      <c r="K2382" s="13" t="s">
        <v>8729</v>
      </c>
      <c r="L2382" s="13" t="s">
        <v>18</v>
      </c>
      <c r="M2382" t="s">
        <v>3</v>
      </c>
    </row>
    <row r="2383" spans="1:13" ht="26.25" x14ac:dyDescent="0.25">
      <c r="A2383" s="13" t="s">
        <v>5662</v>
      </c>
      <c r="B2383" s="13" t="s">
        <v>5662</v>
      </c>
      <c r="C2383" s="13" t="s">
        <v>205</v>
      </c>
      <c r="D2383" s="13">
        <v>1</v>
      </c>
      <c r="E2383" s="13" t="s">
        <v>5663</v>
      </c>
      <c r="F2383" s="13" t="s">
        <v>8860</v>
      </c>
      <c r="G2383" s="13" t="s">
        <v>19</v>
      </c>
      <c r="H2383" s="13" t="s">
        <v>3</v>
      </c>
      <c r="I2383" s="13" t="s">
        <v>5664</v>
      </c>
      <c r="J2383" s="13" t="s">
        <v>21</v>
      </c>
      <c r="K2383" s="13" t="s">
        <v>5664</v>
      </c>
      <c r="L2383" s="13" t="s">
        <v>18</v>
      </c>
      <c r="M2383" t="s">
        <v>3</v>
      </c>
    </row>
    <row r="2384" spans="1:13" ht="26.25" x14ac:dyDescent="0.25">
      <c r="A2384" s="13" t="s">
        <v>5665</v>
      </c>
      <c r="B2384" s="13" t="s">
        <v>5665</v>
      </c>
      <c r="C2384" s="13" t="s">
        <v>5666</v>
      </c>
      <c r="D2384" s="14">
        <v>2.1</v>
      </c>
      <c r="E2384" s="13" t="s">
        <v>5667</v>
      </c>
      <c r="F2384" s="13" t="s">
        <v>8860</v>
      </c>
      <c r="G2384" s="13" t="s">
        <v>19</v>
      </c>
      <c r="H2384" s="13" t="s">
        <v>3</v>
      </c>
      <c r="I2384" s="13" t="s">
        <v>5668</v>
      </c>
      <c r="J2384" s="13" t="s">
        <v>21</v>
      </c>
      <c r="K2384" s="13" t="s">
        <v>8730</v>
      </c>
      <c r="L2384" s="13" t="s">
        <v>18</v>
      </c>
      <c r="M2384" t="s">
        <v>3</v>
      </c>
    </row>
    <row r="2385" spans="1:13" x14ac:dyDescent="0.25">
      <c r="A2385" s="13" t="s">
        <v>11379</v>
      </c>
      <c r="B2385" s="13" t="s">
        <v>11380</v>
      </c>
      <c r="C2385" s="13" t="s">
        <v>11381</v>
      </c>
      <c r="D2385" s="14">
        <v>40</v>
      </c>
      <c r="E2385" s="13" t="s">
        <v>11382</v>
      </c>
      <c r="F2385" s="13" t="s">
        <v>8867</v>
      </c>
      <c r="G2385" s="13" t="s">
        <v>2</v>
      </c>
      <c r="H2385" s="13" t="s">
        <v>3</v>
      </c>
      <c r="I2385" s="13" t="s">
        <v>809</v>
      </c>
      <c r="J2385" s="13" t="s">
        <v>8890</v>
      </c>
      <c r="K2385" s="13" t="s">
        <v>8512</v>
      </c>
      <c r="L2385" s="13" t="s">
        <v>158</v>
      </c>
      <c r="M2385" t="s">
        <v>3</v>
      </c>
    </row>
    <row r="2386" spans="1:13" ht="26.25" x14ac:dyDescent="0.25">
      <c r="A2386" s="13" t="s">
        <v>5669</v>
      </c>
      <c r="B2386" s="13" t="s">
        <v>5670</v>
      </c>
      <c r="C2386" s="13" t="s">
        <v>5671</v>
      </c>
      <c r="D2386" s="13">
        <v>1390</v>
      </c>
      <c r="E2386" s="13" t="s">
        <v>5672</v>
      </c>
      <c r="F2386" s="13" t="s">
        <v>8907</v>
      </c>
      <c r="G2386" s="13" t="s">
        <v>19</v>
      </c>
      <c r="H2386" s="13" t="s">
        <v>3</v>
      </c>
      <c r="I2386" s="13" t="s">
        <v>1224</v>
      </c>
      <c r="J2386" s="13" t="s">
        <v>144</v>
      </c>
      <c r="K2386" s="13" t="s">
        <v>8429</v>
      </c>
      <c r="L2386" s="13" t="s">
        <v>144</v>
      </c>
      <c r="M2386" t="s">
        <v>3</v>
      </c>
    </row>
    <row r="2387" spans="1:13" x14ac:dyDescent="0.25">
      <c r="A2387" s="13" t="s">
        <v>5673</v>
      </c>
      <c r="B2387" s="13" t="s">
        <v>5674</v>
      </c>
      <c r="C2387" s="13" t="s">
        <v>5675</v>
      </c>
      <c r="D2387" s="13">
        <v>1511.7</v>
      </c>
      <c r="E2387" s="13" t="s">
        <v>5676</v>
      </c>
      <c r="F2387" s="13" t="s">
        <v>8868</v>
      </c>
      <c r="G2387" s="13" t="s">
        <v>2</v>
      </c>
      <c r="H2387" s="13" t="s">
        <v>1224</v>
      </c>
      <c r="I2387" s="13" t="s">
        <v>1224</v>
      </c>
      <c r="J2387" s="13" t="s">
        <v>8890</v>
      </c>
      <c r="K2387" s="13" t="s">
        <v>8429</v>
      </c>
      <c r="L2387" s="13" t="s">
        <v>8908</v>
      </c>
      <c r="M2387" t="s">
        <v>10682</v>
      </c>
    </row>
    <row r="2388" spans="1:13" ht="26.25" x14ac:dyDescent="0.25">
      <c r="A2388" s="13" t="s">
        <v>5677</v>
      </c>
      <c r="B2388" s="13" t="s">
        <v>5678</v>
      </c>
      <c r="C2388" s="13" t="s">
        <v>5679</v>
      </c>
      <c r="D2388" s="13">
        <v>0.3</v>
      </c>
      <c r="E2388" s="13" t="s">
        <v>5680</v>
      </c>
      <c r="F2388" s="13" t="s">
        <v>35</v>
      </c>
      <c r="G2388" s="13" t="s">
        <v>19</v>
      </c>
      <c r="H2388" s="13" t="s">
        <v>3</v>
      </c>
      <c r="I2388" s="13" t="s">
        <v>5681</v>
      </c>
      <c r="J2388" s="13" t="s">
        <v>37</v>
      </c>
      <c r="K2388" s="13" t="s">
        <v>8731</v>
      </c>
      <c r="L2388" s="13" t="s">
        <v>35</v>
      </c>
      <c r="M2388" t="s">
        <v>3</v>
      </c>
    </row>
    <row r="2389" spans="1:13" ht="26.25" x14ac:dyDescent="0.25">
      <c r="A2389" s="13" t="s">
        <v>5682</v>
      </c>
      <c r="B2389" s="13" t="s">
        <v>5683</v>
      </c>
      <c r="C2389" s="13" t="s">
        <v>5684</v>
      </c>
      <c r="D2389" s="13">
        <v>0.1</v>
      </c>
      <c r="E2389" s="13" t="s">
        <v>5685</v>
      </c>
      <c r="F2389" s="13" t="s">
        <v>8860</v>
      </c>
      <c r="G2389" s="13" t="s">
        <v>19</v>
      </c>
      <c r="H2389" s="13" t="s">
        <v>3</v>
      </c>
      <c r="I2389" s="13" t="s">
        <v>5686</v>
      </c>
      <c r="J2389" s="13" t="s">
        <v>21</v>
      </c>
      <c r="K2389" s="13" t="s">
        <v>5684</v>
      </c>
      <c r="L2389" s="13" t="s">
        <v>18</v>
      </c>
      <c r="M2389" t="s">
        <v>3</v>
      </c>
    </row>
    <row r="2390" spans="1:13" ht="26.25" x14ac:dyDescent="0.25">
      <c r="A2390" s="13" t="s">
        <v>5687</v>
      </c>
      <c r="B2390" s="13" t="s">
        <v>5688</v>
      </c>
      <c r="C2390" s="13" t="s">
        <v>5689</v>
      </c>
      <c r="D2390" s="13">
        <v>1</v>
      </c>
      <c r="E2390" s="13" t="s">
        <v>5690</v>
      </c>
      <c r="F2390" s="13" t="s">
        <v>8860</v>
      </c>
      <c r="G2390" s="13" t="s">
        <v>19</v>
      </c>
      <c r="H2390" s="13" t="s">
        <v>3</v>
      </c>
      <c r="I2390" s="13" t="s">
        <v>5691</v>
      </c>
      <c r="J2390" s="13" t="s">
        <v>21</v>
      </c>
      <c r="K2390" s="13" t="s">
        <v>8732</v>
      </c>
      <c r="L2390" s="13" t="s">
        <v>18</v>
      </c>
      <c r="M2390" t="s">
        <v>3</v>
      </c>
    </row>
    <row r="2391" spans="1:13" ht="26.25" x14ac:dyDescent="0.25">
      <c r="A2391" s="13" t="s">
        <v>5692</v>
      </c>
      <c r="B2391" s="13" t="s">
        <v>5693</v>
      </c>
      <c r="C2391" s="13" t="s">
        <v>5693</v>
      </c>
      <c r="D2391" s="13">
        <v>1</v>
      </c>
      <c r="E2391" s="13" t="s">
        <v>5694</v>
      </c>
      <c r="F2391" s="13" t="s">
        <v>8860</v>
      </c>
      <c r="G2391" s="13" t="s">
        <v>19</v>
      </c>
      <c r="H2391" s="13" t="s">
        <v>3</v>
      </c>
      <c r="I2391" s="13" t="s">
        <v>5695</v>
      </c>
      <c r="J2391" s="13" t="s">
        <v>21</v>
      </c>
      <c r="K2391" s="13" t="s">
        <v>5693</v>
      </c>
      <c r="L2391" s="13" t="s">
        <v>18</v>
      </c>
      <c r="M2391" t="s">
        <v>3</v>
      </c>
    </row>
    <row r="2392" spans="1:13" ht="26.25" x14ac:dyDescent="0.25">
      <c r="A2392" s="13" t="s">
        <v>5696</v>
      </c>
      <c r="B2392" s="13" t="s">
        <v>5696</v>
      </c>
      <c r="C2392" s="13" t="s">
        <v>5697</v>
      </c>
      <c r="D2392" s="13">
        <v>0.5</v>
      </c>
      <c r="E2392" s="13" t="s">
        <v>5698</v>
      </c>
      <c r="F2392" s="13" t="s">
        <v>8860</v>
      </c>
      <c r="G2392" s="13" t="s">
        <v>19</v>
      </c>
      <c r="H2392" s="13" t="s">
        <v>3</v>
      </c>
      <c r="I2392" s="13" t="s">
        <v>5699</v>
      </c>
      <c r="J2392" s="13" t="s">
        <v>21</v>
      </c>
      <c r="K2392" s="13" t="s">
        <v>8733</v>
      </c>
      <c r="L2392" s="13" t="s">
        <v>18</v>
      </c>
      <c r="M2392" t="s">
        <v>3</v>
      </c>
    </row>
    <row r="2393" spans="1:13" x14ac:dyDescent="0.25">
      <c r="A2393" s="13" t="s">
        <v>5700</v>
      </c>
      <c r="B2393" s="13" t="s">
        <v>5700</v>
      </c>
      <c r="C2393" s="13" t="s">
        <v>5701</v>
      </c>
      <c r="D2393" s="13">
        <v>6.7</v>
      </c>
      <c r="E2393" s="13" t="s">
        <v>5702</v>
      </c>
      <c r="F2393" s="13" t="s">
        <v>8867</v>
      </c>
      <c r="G2393" s="13" t="s">
        <v>2</v>
      </c>
      <c r="H2393" s="13" t="s">
        <v>3</v>
      </c>
      <c r="I2393" s="13" t="s">
        <v>5699</v>
      </c>
      <c r="J2393" s="13" t="s">
        <v>8890</v>
      </c>
      <c r="K2393" s="13" t="s">
        <v>8733</v>
      </c>
      <c r="L2393" s="13" t="s">
        <v>158</v>
      </c>
      <c r="M2393" t="s">
        <v>3</v>
      </c>
    </row>
    <row r="2394" spans="1:13" x14ac:dyDescent="0.25">
      <c r="A2394" s="13" t="s">
        <v>5703</v>
      </c>
      <c r="B2394" s="13" t="s">
        <v>5703</v>
      </c>
      <c r="C2394" s="13" t="s">
        <v>5704</v>
      </c>
      <c r="D2394" s="13">
        <v>18.3</v>
      </c>
      <c r="E2394" s="13" t="s">
        <v>5705</v>
      </c>
      <c r="F2394" s="13" t="s">
        <v>8867</v>
      </c>
      <c r="G2394" s="13" t="s">
        <v>2</v>
      </c>
      <c r="H2394" s="13" t="s">
        <v>3</v>
      </c>
      <c r="I2394" s="13" t="s">
        <v>5699</v>
      </c>
      <c r="J2394" s="13" t="s">
        <v>8890</v>
      </c>
      <c r="K2394" s="13" t="s">
        <v>8733</v>
      </c>
      <c r="L2394" s="13" t="s">
        <v>158</v>
      </c>
      <c r="M2394" t="s">
        <v>3</v>
      </c>
    </row>
    <row r="2395" spans="1:13" ht="26.25" x14ac:dyDescent="0.25">
      <c r="A2395" s="13" t="s">
        <v>5706</v>
      </c>
      <c r="B2395" s="13" t="s">
        <v>5707</v>
      </c>
      <c r="C2395" s="13" t="s">
        <v>5708</v>
      </c>
      <c r="D2395" s="13">
        <v>0.1</v>
      </c>
      <c r="E2395" s="13" t="s">
        <v>5709</v>
      </c>
      <c r="F2395" s="13" t="s">
        <v>8860</v>
      </c>
      <c r="G2395" s="13" t="s">
        <v>19</v>
      </c>
      <c r="H2395" s="13" t="s">
        <v>3</v>
      </c>
      <c r="I2395" s="13" t="s">
        <v>5710</v>
      </c>
      <c r="J2395" s="13" t="s">
        <v>21</v>
      </c>
      <c r="K2395" s="13" t="s">
        <v>8734</v>
      </c>
      <c r="L2395" s="13" t="s">
        <v>18</v>
      </c>
      <c r="M2395" t="s">
        <v>3</v>
      </c>
    </row>
    <row r="2396" spans="1:13" ht="26.25" x14ac:dyDescent="0.25">
      <c r="A2396" s="13" t="s">
        <v>5711</v>
      </c>
      <c r="B2396" s="13" t="s">
        <v>5711</v>
      </c>
      <c r="C2396" s="13" t="s">
        <v>5712</v>
      </c>
      <c r="D2396" s="13">
        <v>0.2</v>
      </c>
      <c r="E2396" s="13" t="s">
        <v>5713</v>
      </c>
      <c r="F2396" s="13" t="s">
        <v>8860</v>
      </c>
      <c r="G2396" s="13" t="s">
        <v>19</v>
      </c>
      <c r="H2396" s="13" t="s">
        <v>3</v>
      </c>
      <c r="I2396" s="13" t="s">
        <v>5714</v>
      </c>
      <c r="J2396" s="13" t="s">
        <v>21</v>
      </c>
      <c r="K2396" s="13" t="s">
        <v>5712</v>
      </c>
      <c r="L2396" s="13" t="s">
        <v>18</v>
      </c>
      <c r="M2396" t="s">
        <v>3</v>
      </c>
    </row>
    <row r="2397" spans="1:13" ht="26.25" x14ac:dyDescent="0.25">
      <c r="A2397" s="13" t="s">
        <v>5715</v>
      </c>
      <c r="B2397" s="13" t="s">
        <v>5716</v>
      </c>
      <c r="C2397" s="13" t="s">
        <v>5717</v>
      </c>
      <c r="D2397" s="13">
        <v>500</v>
      </c>
      <c r="E2397" s="13" t="s">
        <v>5718</v>
      </c>
      <c r="F2397" s="13" t="s">
        <v>8860</v>
      </c>
      <c r="G2397" s="13" t="s">
        <v>19</v>
      </c>
      <c r="H2397" s="13" t="s">
        <v>3</v>
      </c>
      <c r="I2397" s="13" t="s">
        <v>822</v>
      </c>
      <c r="J2397" s="13" t="s">
        <v>21</v>
      </c>
      <c r="K2397" s="13" t="s">
        <v>8514</v>
      </c>
      <c r="L2397" s="13" t="s">
        <v>18</v>
      </c>
      <c r="M2397" t="s">
        <v>3</v>
      </c>
    </row>
    <row r="2398" spans="1:13" ht="26.25" x14ac:dyDescent="0.25">
      <c r="A2398" s="13" t="s">
        <v>5719</v>
      </c>
      <c r="B2398" s="13" t="s">
        <v>5719</v>
      </c>
      <c r="C2398" s="13" t="s">
        <v>5719</v>
      </c>
      <c r="D2398" s="13">
        <v>1</v>
      </c>
      <c r="E2398" s="13" t="s">
        <v>5720</v>
      </c>
      <c r="F2398" s="13" t="s">
        <v>8860</v>
      </c>
      <c r="G2398" s="13" t="s">
        <v>19</v>
      </c>
      <c r="H2398" s="13" t="s">
        <v>3</v>
      </c>
      <c r="I2398" s="13" t="s">
        <v>5721</v>
      </c>
      <c r="J2398" s="13" t="s">
        <v>21</v>
      </c>
      <c r="K2398" s="13" t="s">
        <v>8735</v>
      </c>
      <c r="L2398" s="13" t="s">
        <v>18</v>
      </c>
      <c r="M2398" t="s">
        <v>3</v>
      </c>
    </row>
    <row r="2399" spans="1:13" ht="26.25" x14ac:dyDescent="0.25">
      <c r="A2399" s="13" t="s">
        <v>5722</v>
      </c>
      <c r="B2399" s="13" t="s">
        <v>5722</v>
      </c>
      <c r="C2399" s="13" t="s">
        <v>5723</v>
      </c>
      <c r="D2399" s="13">
        <v>0.1</v>
      </c>
      <c r="E2399" s="13" t="s">
        <v>5724</v>
      </c>
      <c r="F2399" s="13" t="s">
        <v>8860</v>
      </c>
      <c r="G2399" s="13" t="s">
        <v>19</v>
      </c>
      <c r="H2399" s="13" t="s">
        <v>3</v>
      </c>
      <c r="I2399" s="13" t="s">
        <v>5725</v>
      </c>
      <c r="J2399" s="13" t="s">
        <v>21</v>
      </c>
      <c r="K2399" s="13" t="s">
        <v>8736</v>
      </c>
      <c r="L2399" s="13" t="s">
        <v>18</v>
      </c>
      <c r="M2399" t="s">
        <v>3</v>
      </c>
    </row>
    <row r="2400" spans="1:13" ht="26.25" x14ac:dyDescent="0.25">
      <c r="A2400" s="13" t="s">
        <v>5726</v>
      </c>
      <c r="B2400" s="13" t="s">
        <v>5726</v>
      </c>
      <c r="C2400" s="13" t="s">
        <v>5727</v>
      </c>
      <c r="D2400" s="13">
        <v>0.1</v>
      </c>
      <c r="E2400" s="13" t="s">
        <v>5728</v>
      </c>
      <c r="F2400" s="13" t="s">
        <v>8860</v>
      </c>
      <c r="G2400" s="13" t="s">
        <v>19</v>
      </c>
      <c r="H2400" s="13" t="s">
        <v>3</v>
      </c>
      <c r="I2400" s="13" t="s">
        <v>5729</v>
      </c>
      <c r="J2400" s="13" t="s">
        <v>21</v>
      </c>
      <c r="K2400" s="13" t="s">
        <v>8737</v>
      </c>
      <c r="L2400" s="13" t="s">
        <v>18</v>
      </c>
      <c r="M2400" t="s">
        <v>3</v>
      </c>
    </row>
    <row r="2401" spans="1:13" ht="26.25" x14ac:dyDescent="0.25">
      <c r="A2401" s="13" t="s">
        <v>5730</v>
      </c>
      <c r="B2401" s="13" t="s">
        <v>5731</v>
      </c>
      <c r="C2401" s="13" t="s">
        <v>5731</v>
      </c>
      <c r="D2401" s="13">
        <v>0</v>
      </c>
      <c r="E2401" s="13" t="s">
        <v>5732</v>
      </c>
      <c r="F2401" s="13" t="s">
        <v>8867</v>
      </c>
      <c r="G2401" s="13" t="s">
        <v>2</v>
      </c>
      <c r="H2401" s="13" t="s">
        <v>3</v>
      </c>
      <c r="I2401" s="13" t="s">
        <v>5729</v>
      </c>
      <c r="J2401" s="13" t="s">
        <v>8890</v>
      </c>
      <c r="K2401" s="13" t="s">
        <v>8737</v>
      </c>
      <c r="L2401" s="13" t="s">
        <v>158</v>
      </c>
      <c r="M2401" t="s">
        <v>3</v>
      </c>
    </row>
    <row r="2402" spans="1:13" ht="26.25" x14ac:dyDescent="0.25">
      <c r="A2402" s="13" t="s">
        <v>5733</v>
      </c>
      <c r="B2402" s="13" t="s">
        <v>5734</v>
      </c>
      <c r="C2402" s="13" t="s">
        <v>5735</v>
      </c>
      <c r="D2402" s="13">
        <v>1000</v>
      </c>
      <c r="E2402" s="13" t="s">
        <v>5736</v>
      </c>
      <c r="F2402" s="13" t="s">
        <v>8860</v>
      </c>
      <c r="G2402" s="13" t="s">
        <v>19</v>
      </c>
      <c r="H2402" s="13" t="s">
        <v>3</v>
      </c>
      <c r="I2402" s="13" t="s">
        <v>4392</v>
      </c>
      <c r="J2402" s="13" t="s">
        <v>21</v>
      </c>
      <c r="K2402" s="13" t="s">
        <v>8648</v>
      </c>
      <c r="L2402" s="13" t="s">
        <v>18</v>
      </c>
      <c r="M2402" t="s">
        <v>3</v>
      </c>
    </row>
    <row r="2403" spans="1:13" ht="26.25" x14ac:dyDescent="0.25">
      <c r="A2403" s="13" t="s">
        <v>5737</v>
      </c>
      <c r="B2403" s="13" t="s">
        <v>5737</v>
      </c>
      <c r="C2403" s="13" t="s">
        <v>4390</v>
      </c>
      <c r="D2403" s="13">
        <v>350</v>
      </c>
      <c r="E2403" s="13" t="s">
        <v>5738</v>
      </c>
      <c r="F2403" s="13" t="s">
        <v>8870</v>
      </c>
      <c r="G2403" s="13" t="s">
        <v>19</v>
      </c>
      <c r="H2403" s="13" t="s">
        <v>3</v>
      </c>
      <c r="I2403" s="13" t="s">
        <v>4392</v>
      </c>
      <c r="J2403" s="13" t="s">
        <v>410</v>
      </c>
      <c r="K2403" s="13" t="s">
        <v>8648</v>
      </c>
      <c r="L2403" s="13" t="s">
        <v>8942</v>
      </c>
      <c r="M2403" t="s">
        <v>3</v>
      </c>
    </row>
    <row r="2404" spans="1:13" x14ac:dyDescent="0.25">
      <c r="A2404" s="13" t="s">
        <v>5739</v>
      </c>
      <c r="B2404" s="13" t="s">
        <v>4392</v>
      </c>
      <c r="C2404" s="13" t="s">
        <v>4390</v>
      </c>
      <c r="D2404" s="13">
        <v>350</v>
      </c>
      <c r="E2404" s="13" t="s">
        <v>5740</v>
      </c>
      <c r="F2404" s="13" t="s">
        <v>8871</v>
      </c>
      <c r="G2404" s="13" t="s">
        <v>2</v>
      </c>
      <c r="H2404" s="13" t="s">
        <v>3</v>
      </c>
      <c r="I2404" s="13" t="s">
        <v>4392</v>
      </c>
      <c r="J2404" s="13" t="s">
        <v>410</v>
      </c>
      <c r="K2404" s="13" t="s">
        <v>8648</v>
      </c>
      <c r="L2404" s="13" t="s">
        <v>8943</v>
      </c>
      <c r="M2404" t="s">
        <v>3</v>
      </c>
    </row>
    <row r="2405" spans="1:13" ht="26.25" x14ac:dyDescent="0.25">
      <c r="A2405" s="13" t="s">
        <v>5741</v>
      </c>
      <c r="B2405" s="13" t="s">
        <v>5741</v>
      </c>
      <c r="C2405" s="13" t="s">
        <v>5742</v>
      </c>
      <c r="D2405" s="13">
        <v>0.1</v>
      </c>
      <c r="E2405" s="13" t="s">
        <v>5743</v>
      </c>
      <c r="F2405" s="13" t="s">
        <v>8860</v>
      </c>
      <c r="G2405" s="13" t="s">
        <v>19</v>
      </c>
      <c r="H2405" s="13" t="s">
        <v>3</v>
      </c>
      <c r="I2405" s="13" t="s">
        <v>5744</v>
      </c>
      <c r="J2405" s="13" t="s">
        <v>21</v>
      </c>
      <c r="K2405" s="13" t="s">
        <v>5744</v>
      </c>
      <c r="L2405" s="13" t="s">
        <v>18</v>
      </c>
      <c r="M2405" t="s">
        <v>3</v>
      </c>
    </row>
    <row r="2406" spans="1:13" ht="26.25" x14ac:dyDescent="0.25">
      <c r="A2406" s="13" t="s">
        <v>5745</v>
      </c>
      <c r="B2406" s="13" t="s">
        <v>5746</v>
      </c>
      <c r="C2406" s="13" t="s">
        <v>5747</v>
      </c>
      <c r="D2406" s="14">
        <v>0.1</v>
      </c>
      <c r="E2406" s="13" t="s">
        <v>5748</v>
      </c>
      <c r="F2406" s="13" t="s">
        <v>8860</v>
      </c>
      <c r="G2406" s="13" t="s">
        <v>19</v>
      </c>
      <c r="H2406" s="13" t="s">
        <v>3</v>
      </c>
      <c r="I2406" s="13" t="s">
        <v>5749</v>
      </c>
      <c r="J2406" s="13" t="s">
        <v>21</v>
      </c>
      <c r="K2406" s="13" t="s">
        <v>8738</v>
      </c>
      <c r="L2406" s="13" t="s">
        <v>18</v>
      </c>
      <c r="M2406" t="s">
        <v>3</v>
      </c>
    </row>
    <row r="2407" spans="1:13" ht="26.25" x14ac:dyDescent="0.25">
      <c r="A2407" s="13" t="s">
        <v>5750</v>
      </c>
      <c r="B2407" s="13" t="s">
        <v>5751</v>
      </c>
      <c r="C2407" s="13" t="s">
        <v>5752</v>
      </c>
      <c r="D2407" s="13">
        <v>1</v>
      </c>
      <c r="E2407" s="13" t="s">
        <v>5753</v>
      </c>
      <c r="F2407" s="13" t="s">
        <v>8860</v>
      </c>
      <c r="G2407" s="13" t="s">
        <v>19</v>
      </c>
      <c r="H2407" s="13" t="s">
        <v>3</v>
      </c>
      <c r="I2407" s="13" t="s">
        <v>5751</v>
      </c>
      <c r="J2407" s="13" t="s">
        <v>21</v>
      </c>
      <c r="K2407" s="13" t="s">
        <v>8739</v>
      </c>
      <c r="L2407" s="13" t="s">
        <v>18</v>
      </c>
      <c r="M2407" t="s">
        <v>3</v>
      </c>
    </row>
    <row r="2408" spans="1:13" ht="26.25" x14ac:dyDescent="0.25">
      <c r="A2408" s="13" t="s">
        <v>10572</v>
      </c>
      <c r="B2408" s="13" t="s">
        <v>10572</v>
      </c>
      <c r="C2408" s="13" t="s">
        <v>10572</v>
      </c>
      <c r="D2408" s="13">
        <v>9999</v>
      </c>
      <c r="E2408" s="13" t="s">
        <v>10573</v>
      </c>
      <c r="F2408" s="13" t="s">
        <v>855</v>
      </c>
      <c r="G2408" s="13" t="s">
        <v>19</v>
      </c>
      <c r="H2408" s="13" t="s">
        <v>3</v>
      </c>
      <c r="I2408" s="13" t="s">
        <v>5756</v>
      </c>
      <c r="J2408" s="13" t="s">
        <v>856</v>
      </c>
      <c r="K2408" s="13" t="s">
        <v>8740</v>
      </c>
      <c r="L2408" s="13" t="s">
        <v>855</v>
      </c>
      <c r="M2408" t="s">
        <v>3</v>
      </c>
    </row>
    <row r="2409" spans="1:13" x14ac:dyDescent="0.25">
      <c r="A2409" s="13" t="s">
        <v>10574</v>
      </c>
      <c r="B2409" s="13" t="s">
        <v>10574</v>
      </c>
      <c r="C2409" s="13" t="s">
        <v>10574</v>
      </c>
      <c r="D2409" s="13">
        <v>9999</v>
      </c>
      <c r="E2409" s="13" t="s">
        <v>10575</v>
      </c>
      <c r="F2409" s="13" t="s">
        <v>855</v>
      </c>
      <c r="G2409" s="13" t="s">
        <v>2</v>
      </c>
      <c r="H2409" s="13" t="s">
        <v>3</v>
      </c>
      <c r="I2409" s="13" t="s">
        <v>5756</v>
      </c>
      <c r="J2409" s="13" t="s">
        <v>856</v>
      </c>
      <c r="K2409" s="13" t="s">
        <v>8740</v>
      </c>
      <c r="L2409" s="13" t="s">
        <v>855</v>
      </c>
      <c r="M2409" t="s">
        <v>3</v>
      </c>
    </row>
    <row r="2410" spans="1:13" ht="26.25" x14ac:dyDescent="0.25">
      <c r="A2410" s="13" t="s">
        <v>5754</v>
      </c>
      <c r="B2410" s="13" t="s">
        <v>5754</v>
      </c>
      <c r="C2410" s="13" t="s">
        <v>5754</v>
      </c>
      <c r="D2410" s="13">
        <v>0.6</v>
      </c>
      <c r="E2410" s="13" t="s">
        <v>5755</v>
      </c>
      <c r="F2410" s="13" t="s">
        <v>35</v>
      </c>
      <c r="G2410" s="13" t="s">
        <v>19</v>
      </c>
      <c r="H2410" s="13" t="s">
        <v>3</v>
      </c>
      <c r="I2410" s="13" t="s">
        <v>5756</v>
      </c>
      <c r="J2410" s="13" t="s">
        <v>37</v>
      </c>
      <c r="K2410" s="13" t="s">
        <v>8740</v>
      </c>
      <c r="L2410" s="13" t="s">
        <v>35</v>
      </c>
      <c r="M2410" t="s">
        <v>3</v>
      </c>
    </row>
    <row r="2411" spans="1:13" ht="26.25" x14ac:dyDescent="0.25">
      <c r="A2411" s="13" t="s">
        <v>5757</v>
      </c>
      <c r="B2411" s="13" t="s">
        <v>5758</v>
      </c>
      <c r="C2411" s="13" t="s">
        <v>5759</v>
      </c>
      <c r="D2411" s="13">
        <v>0.1</v>
      </c>
      <c r="E2411" s="13" t="s">
        <v>5760</v>
      </c>
      <c r="F2411" s="13" t="s">
        <v>8860</v>
      </c>
      <c r="G2411" s="13" t="s">
        <v>19</v>
      </c>
      <c r="H2411" s="13" t="s">
        <v>3</v>
      </c>
      <c r="I2411" s="13" t="s">
        <v>5761</v>
      </c>
      <c r="J2411" s="13" t="s">
        <v>21</v>
      </c>
      <c r="K2411" s="13" t="s">
        <v>8741</v>
      </c>
      <c r="L2411" s="13" t="s">
        <v>18</v>
      </c>
      <c r="M2411" t="s">
        <v>3</v>
      </c>
    </row>
    <row r="2412" spans="1:13" ht="26.25" x14ac:dyDescent="0.25">
      <c r="A2412" s="13" t="s">
        <v>5762</v>
      </c>
      <c r="B2412" s="13" t="s">
        <v>5763</v>
      </c>
      <c r="C2412" s="13" t="s">
        <v>5764</v>
      </c>
      <c r="D2412" s="13">
        <v>25</v>
      </c>
      <c r="E2412" s="13" t="s">
        <v>5765</v>
      </c>
      <c r="F2412" s="13" t="s">
        <v>8860</v>
      </c>
      <c r="G2412" s="13" t="s">
        <v>19</v>
      </c>
      <c r="H2412" s="13" t="s">
        <v>3</v>
      </c>
      <c r="I2412" s="13" t="s">
        <v>5766</v>
      </c>
      <c r="J2412" s="13" t="s">
        <v>21</v>
      </c>
      <c r="K2412" s="13" t="s">
        <v>8742</v>
      </c>
      <c r="L2412" s="13" t="s">
        <v>18</v>
      </c>
      <c r="M2412" t="s">
        <v>3</v>
      </c>
    </row>
    <row r="2413" spans="1:13" ht="26.25" x14ac:dyDescent="0.25">
      <c r="A2413" s="13" t="s">
        <v>10951</v>
      </c>
      <c r="B2413" s="13" t="s">
        <v>10952</v>
      </c>
      <c r="C2413" s="13" t="s">
        <v>10953</v>
      </c>
      <c r="D2413" s="13">
        <v>1</v>
      </c>
      <c r="E2413" s="13" t="s">
        <v>10954</v>
      </c>
      <c r="F2413" s="13" t="s">
        <v>8860</v>
      </c>
      <c r="G2413" s="13" t="s">
        <v>19</v>
      </c>
      <c r="H2413" s="13" t="s">
        <v>3</v>
      </c>
      <c r="I2413" s="13" t="s">
        <v>10955</v>
      </c>
      <c r="J2413" s="13" t="s">
        <v>21</v>
      </c>
      <c r="K2413" s="13" t="s">
        <v>10956</v>
      </c>
      <c r="L2413" s="13" t="s">
        <v>18</v>
      </c>
      <c r="M2413" t="s">
        <v>3</v>
      </c>
    </row>
    <row r="2414" spans="1:13" ht="26.25" x14ac:dyDescent="0.25">
      <c r="A2414" s="13" t="s">
        <v>5767</v>
      </c>
      <c r="B2414" s="13" t="s">
        <v>5768</v>
      </c>
      <c r="C2414" s="13" t="s">
        <v>9355</v>
      </c>
      <c r="D2414" s="13">
        <v>0</v>
      </c>
      <c r="E2414" s="13" t="s">
        <v>5769</v>
      </c>
      <c r="F2414" s="13" t="s">
        <v>8860</v>
      </c>
      <c r="G2414" s="13" t="s">
        <v>19</v>
      </c>
      <c r="H2414" s="13" t="s">
        <v>3</v>
      </c>
      <c r="I2414" s="13" t="s">
        <v>1263</v>
      </c>
      <c r="J2414" s="13" t="s">
        <v>21</v>
      </c>
      <c r="K2414" s="13" t="s">
        <v>8422</v>
      </c>
      <c r="L2414" s="13" t="s">
        <v>18</v>
      </c>
      <c r="M2414" t="s">
        <v>3</v>
      </c>
    </row>
    <row r="2415" spans="1:13" x14ac:dyDescent="0.25">
      <c r="A2415" s="13" t="s">
        <v>5770</v>
      </c>
      <c r="B2415" s="13" t="s">
        <v>5770</v>
      </c>
      <c r="C2415" s="13" t="s">
        <v>5771</v>
      </c>
      <c r="D2415" s="13">
        <v>49.9</v>
      </c>
      <c r="E2415" s="13" t="s">
        <v>5772</v>
      </c>
      <c r="F2415" s="13" t="s">
        <v>8876</v>
      </c>
      <c r="G2415" s="13" t="s">
        <v>2</v>
      </c>
      <c r="H2415" s="13" t="s">
        <v>3</v>
      </c>
      <c r="I2415" s="13" t="s">
        <v>228</v>
      </c>
      <c r="J2415" s="13" t="s">
        <v>8890</v>
      </c>
      <c r="K2415" s="13" t="s">
        <v>8418</v>
      </c>
      <c r="L2415" s="13" t="s">
        <v>9244</v>
      </c>
      <c r="M2415" t="s">
        <v>3</v>
      </c>
    </row>
    <row r="2416" spans="1:13" ht="26.25" x14ac:dyDescent="0.25">
      <c r="A2416" s="13" t="s">
        <v>9356</v>
      </c>
      <c r="B2416" s="13" t="s">
        <v>9356</v>
      </c>
      <c r="C2416" s="13" t="s">
        <v>9357</v>
      </c>
      <c r="D2416" s="13">
        <v>100</v>
      </c>
      <c r="E2416" s="13" t="s">
        <v>9358</v>
      </c>
      <c r="F2416" s="13" t="s">
        <v>8870</v>
      </c>
      <c r="G2416" s="13" t="s">
        <v>19</v>
      </c>
      <c r="H2416" s="13" t="s">
        <v>3</v>
      </c>
      <c r="I2416" s="13" t="s">
        <v>9254</v>
      </c>
      <c r="J2416" s="13" t="s">
        <v>410</v>
      </c>
      <c r="K2416" s="13" t="s">
        <v>9255</v>
      </c>
      <c r="L2416" s="13" t="s">
        <v>8942</v>
      </c>
      <c r="M2416" t="s">
        <v>3</v>
      </c>
    </row>
    <row r="2417" spans="1:13" x14ac:dyDescent="0.25">
      <c r="A2417" s="13" t="s">
        <v>9359</v>
      </c>
      <c r="B2417" s="13" t="s">
        <v>9359</v>
      </c>
      <c r="C2417" s="13" t="s">
        <v>9360</v>
      </c>
      <c r="D2417" s="13">
        <v>100</v>
      </c>
      <c r="E2417" s="13" t="s">
        <v>9361</v>
      </c>
      <c r="F2417" s="13" t="s">
        <v>8871</v>
      </c>
      <c r="G2417" s="13" t="s">
        <v>2</v>
      </c>
      <c r="H2417" s="13" t="s">
        <v>3</v>
      </c>
      <c r="I2417" s="13" t="s">
        <v>9254</v>
      </c>
      <c r="J2417" s="13" t="s">
        <v>410</v>
      </c>
      <c r="K2417" s="13" t="s">
        <v>9255</v>
      </c>
      <c r="L2417" s="13" t="s">
        <v>8943</v>
      </c>
      <c r="M2417" t="s">
        <v>3</v>
      </c>
    </row>
    <row r="2418" spans="1:13" ht="26.25" x14ac:dyDescent="0.25">
      <c r="A2418" s="13" t="s">
        <v>5773</v>
      </c>
      <c r="B2418" s="13" t="s">
        <v>5774</v>
      </c>
      <c r="C2418" s="13" t="s">
        <v>5774</v>
      </c>
      <c r="D2418" s="13">
        <v>0.4</v>
      </c>
      <c r="E2418" s="13" t="s">
        <v>5775</v>
      </c>
      <c r="F2418" s="13" t="s">
        <v>35</v>
      </c>
      <c r="G2418" s="13" t="s">
        <v>19</v>
      </c>
      <c r="H2418" s="13" t="s">
        <v>3</v>
      </c>
      <c r="I2418" s="13" t="s">
        <v>5776</v>
      </c>
      <c r="J2418" s="13" t="s">
        <v>37</v>
      </c>
      <c r="K2418" s="13" t="s">
        <v>8743</v>
      </c>
      <c r="L2418" s="13" t="s">
        <v>35</v>
      </c>
      <c r="M2418" t="s">
        <v>3</v>
      </c>
    </row>
    <row r="2419" spans="1:13" ht="26.25" x14ac:dyDescent="0.25">
      <c r="A2419" s="13" t="s">
        <v>5777</v>
      </c>
      <c r="B2419" s="13" t="s">
        <v>5777</v>
      </c>
      <c r="C2419" s="13" t="s">
        <v>9362</v>
      </c>
      <c r="D2419" s="13">
        <v>7</v>
      </c>
      <c r="E2419" s="13" t="s">
        <v>5778</v>
      </c>
      <c r="F2419" s="13" t="s">
        <v>8860</v>
      </c>
      <c r="G2419" s="13" t="s">
        <v>19</v>
      </c>
      <c r="H2419" s="13" t="s">
        <v>3</v>
      </c>
      <c r="I2419" s="13" t="s">
        <v>5779</v>
      </c>
      <c r="J2419" s="13" t="s">
        <v>21</v>
      </c>
      <c r="K2419" s="13" t="s">
        <v>8744</v>
      </c>
      <c r="L2419" s="13" t="s">
        <v>18</v>
      </c>
      <c r="M2419" t="s">
        <v>3</v>
      </c>
    </row>
    <row r="2420" spans="1:13" ht="26.25" x14ac:dyDescent="0.25">
      <c r="A2420" s="13" t="s">
        <v>5780</v>
      </c>
      <c r="B2420" s="13" t="s">
        <v>5781</v>
      </c>
      <c r="C2420" s="13" t="s">
        <v>5782</v>
      </c>
      <c r="D2420" s="13">
        <v>100</v>
      </c>
      <c r="E2420" s="13" t="s">
        <v>5783</v>
      </c>
      <c r="F2420" s="13" t="s">
        <v>8870</v>
      </c>
      <c r="G2420" s="13" t="s">
        <v>19</v>
      </c>
      <c r="H2420" s="13" t="s">
        <v>3</v>
      </c>
      <c r="I2420" s="13" t="s">
        <v>4404</v>
      </c>
      <c r="J2420" s="13" t="s">
        <v>410</v>
      </c>
      <c r="K2420" s="13" t="s">
        <v>8649</v>
      </c>
      <c r="L2420" s="13" t="s">
        <v>8942</v>
      </c>
      <c r="M2420" t="s">
        <v>3</v>
      </c>
    </row>
    <row r="2421" spans="1:13" x14ac:dyDescent="0.25">
      <c r="A2421" s="13" t="s">
        <v>5784</v>
      </c>
      <c r="B2421" s="13" t="s">
        <v>5785</v>
      </c>
      <c r="C2421" s="13" t="s">
        <v>5786</v>
      </c>
      <c r="D2421" s="13">
        <v>100</v>
      </c>
      <c r="E2421" s="13" t="s">
        <v>5787</v>
      </c>
      <c r="F2421" s="13" t="s">
        <v>8871</v>
      </c>
      <c r="G2421" s="13" t="s">
        <v>2</v>
      </c>
      <c r="H2421" s="13" t="s">
        <v>3</v>
      </c>
      <c r="I2421" s="13" t="s">
        <v>4404</v>
      </c>
      <c r="J2421" s="13" t="s">
        <v>410</v>
      </c>
      <c r="K2421" s="13" t="s">
        <v>8649</v>
      </c>
      <c r="L2421" s="13" t="s">
        <v>8943</v>
      </c>
      <c r="M2421" t="s">
        <v>3</v>
      </c>
    </row>
    <row r="2422" spans="1:13" ht="26.25" x14ac:dyDescent="0.25">
      <c r="A2422" s="13" t="s">
        <v>11383</v>
      </c>
      <c r="B2422" s="13" t="s">
        <v>11384</v>
      </c>
      <c r="C2422" s="13" t="s">
        <v>11385</v>
      </c>
      <c r="D2422" s="13">
        <v>1</v>
      </c>
      <c r="E2422" s="13" t="s">
        <v>11386</v>
      </c>
      <c r="F2422" s="13" t="s">
        <v>8860</v>
      </c>
      <c r="G2422" s="13" t="s">
        <v>19</v>
      </c>
      <c r="H2422" s="13" t="s">
        <v>3</v>
      </c>
      <c r="I2422" s="13" t="s">
        <v>11387</v>
      </c>
      <c r="J2422" s="13" t="s">
        <v>21</v>
      </c>
      <c r="K2422" s="13" t="s">
        <v>11388</v>
      </c>
      <c r="L2422" s="13" t="s">
        <v>18</v>
      </c>
      <c r="M2422" t="s">
        <v>3</v>
      </c>
    </row>
    <row r="2423" spans="1:13" ht="26.25" x14ac:dyDescent="0.25">
      <c r="A2423" s="13" t="s">
        <v>5788</v>
      </c>
      <c r="B2423" s="13" t="s">
        <v>5788</v>
      </c>
      <c r="C2423" s="13" t="s">
        <v>5789</v>
      </c>
      <c r="D2423" s="13">
        <v>1</v>
      </c>
      <c r="E2423" s="13" t="s">
        <v>5790</v>
      </c>
      <c r="F2423" s="13" t="s">
        <v>8860</v>
      </c>
      <c r="G2423" s="13" t="s">
        <v>19</v>
      </c>
      <c r="H2423" s="13" t="s">
        <v>3</v>
      </c>
      <c r="I2423" s="13" t="s">
        <v>5791</v>
      </c>
      <c r="J2423" s="13" t="s">
        <v>21</v>
      </c>
      <c r="K2423" s="13" t="s">
        <v>8745</v>
      </c>
      <c r="L2423" s="13" t="s">
        <v>18</v>
      </c>
      <c r="M2423" t="s">
        <v>3</v>
      </c>
    </row>
    <row r="2424" spans="1:13" ht="26.25" x14ac:dyDescent="0.25">
      <c r="A2424" s="13" t="s">
        <v>5792</v>
      </c>
      <c r="B2424" s="13" t="s">
        <v>5793</v>
      </c>
      <c r="C2424" s="13" t="s">
        <v>5794</v>
      </c>
      <c r="D2424" s="13">
        <v>0</v>
      </c>
      <c r="E2424" s="13" t="s">
        <v>5795</v>
      </c>
      <c r="F2424" s="13" t="s">
        <v>8860</v>
      </c>
      <c r="G2424" s="13" t="s">
        <v>19</v>
      </c>
      <c r="H2424" s="13" t="s">
        <v>3</v>
      </c>
      <c r="I2424" s="13" t="s">
        <v>5796</v>
      </c>
      <c r="J2424" s="13" t="s">
        <v>21</v>
      </c>
      <c r="K2424" s="13" t="s">
        <v>8746</v>
      </c>
      <c r="L2424" s="13" t="s">
        <v>18</v>
      </c>
      <c r="M2424" t="s">
        <v>3</v>
      </c>
    </row>
    <row r="2425" spans="1:13" ht="26.25" x14ac:dyDescent="0.25">
      <c r="A2425" s="13" t="s">
        <v>5797</v>
      </c>
      <c r="B2425" s="13" t="s">
        <v>5797</v>
      </c>
      <c r="C2425" s="13" t="s">
        <v>5798</v>
      </c>
      <c r="D2425" s="13">
        <v>0.1</v>
      </c>
      <c r="E2425" s="13" t="s">
        <v>5799</v>
      </c>
      <c r="F2425" s="13" t="s">
        <v>8860</v>
      </c>
      <c r="G2425" s="13" t="s">
        <v>19</v>
      </c>
      <c r="H2425" s="13" t="s">
        <v>3</v>
      </c>
      <c r="I2425" s="13" t="s">
        <v>5800</v>
      </c>
      <c r="J2425" s="13" t="s">
        <v>21</v>
      </c>
      <c r="K2425" s="13" t="s">
        <v>8747</v>
      </c>
      <c r="L2425" s="13" t="s">
        <v>18</v>
      </c>
      <c r="M2425" t="s">
        <v>3</v>
      </c>
    </row>
    <row r="2426" spans="1:13" ht="26.25" x14ac:dyDescent="0.25">
      <c r="A2426" s="13" t="s">
        <v>10318</v>
      </c>
      <c r="B2426" s="13" t="s">
        <v>10319</v>
      </c>
      <c r="C2426" s="13" t="s">
        <v>10319</v>
      </c>
      <c r="D2426" s="13">
        <v>0</v>
      </c>
      <c r="E2426" s="13" t="s">
        <v>10320</v>
      </c>
      <c r="F2426" s="13" t="s">
        <v>35</v>
      </c>
      <c r="G2426" s="13" t="s">
        <v>19</v>
      </c>
      <c r="H2426" s="13" t="s">
        <v>3</v>
      </c>
      <c r="I2426" s="13" t="s">
        <v>2181</v>
      </c>
      <c r="J2426" s="13" t="s">
        <v>37</v>
      </c>
      <c r="K2426" s="13" t="s">
        <v>8587</v>
      </c>
      <c r="L2426" s="13" t="s">
        <v>35</v>
      </c>
      <c r="M2426" t="s">
        <v>3</v>
      </c>
    </row>
    <row r="2427" spans="1:13" ht="26.25" x14ac:dyDescent="0.25">
      <c r="A2427" s="13" t="s">
        <v>11890</v>
      </c>
      <c r="B2427" s="13" t="s">
        <v>11891</v>
      </c>
      <c r="C2427" s="13" t="s">
        <v>11891</v>
      </c>
      <c r="D2427" s="13">
        <v>0.1</v>
      </c>
      <c r="E2427" s="13" t="s">
        <v>11892</v>
      </c>
      <c r="F2427" s="13" t="s">
        <v>8860</v>
      </c>
      <c r="G2427" s="13" t="s">
        <v>19</v>
      </c>
      <c r="H2427" s="13" t="s">
        <v>3</v>
      </c>
      <c r="I2427" s="13" t="s">
        <v>11893</v>
      </c>
      <c r="J2427" s="13" t="s">
        <v>21</v>
      </c>
      <c r="K2427" s="13" t="s">
        <v>11894</v>
      </c>
      <c r="L2427" s="13" t="s">
        <v>18</v>
      </c>
      <c r="M2427" t="s">
        <v>3</v>
      </c>
    </row>
    <row r="2428" spans="1:13" ht="26.25" x14ac:dyDescent="0.25">
      <c r="A2428" s="13" t="s">
        <v>5801</v>
      </c>
      <c r="B2428" s="13" t="s">
        <v>5801</v>
      </c>
      <c r="C2428" s="13" t="s">
        <v>5802</v>
      </c>
      <c r="D2428" s="13">
        <v>0</v>
      </c>
      <c r="E2428" s="13" t="s">
        <v>5803</v>
      </c>
      <c r="F2428" s="13" t="s">
        <v>8860</v>
      </c>
      <c r="G2428" s="13" t="s">
        <v>19</v>
      </c>
      <c r="H2428" s="13" t="s">
        <v>3</v>
      </c>
      <c r="I2428" s="13" t="s">
        <v>5804</v>
      </c>
      <c r="J2428" s="13" t="s">
        <v>21</v>
      </c>
      <c r="K2428" s="13" t="s">
        <v>8748</v>
      </c>
      <c r="L2428" s="13" t="s">
        <v>18</v>
      </c>
      <c r="M2428" t="s">
        <v>3</v>
      </c>
    </row>
    <row r="2429" spans="1:13" ht="26.25" x14ac:dyDescent="0.25">
      <c r="A2429" s="13" t="s">
        <v>10576</v>
      </c>
      <c r="B2429" s="13" t="s">
        <v>10576</v>
      </c>
      <c r="C2429" s="13" t="s">
        <v>10576</v>
      </c>
      <c r="D2429" s="13">
        <v>1</v>
      </c>
      <c r="E2429" s="13" t="s">
        <v>10577</v>
      </c>
      <c r="F2429" s="13" t="s">
        <v>8860</v>
      </c>
      <c r="G2429" s="13" t="s">
        <v>19</v>
      </c>
      <c r="H2429" s="13" t="s">
        <v>3</v>
      </c>
      <c r="I2429" s="13" t="s">
        <v>10578</v>
      </c>
      <c r="J2429" s="13" t="s">
        <v>21</v>
      </c>
      <c r="K2429" s="13" t="s">
        <v>10579</v>
      </c>
      <c r="L2429" s="13" t="s">
        <v>18</v>
      </c>
      <c r="M2429" t="s">
        <v>3</v>
      </c>
    </row>
    <row r="2430" spans="1:13" ht="26.25" x14ac:dyDescent="0.25">
      <c r="A2430" s="13" t="s">
        <v>5805</v>
      </c>
      <c r="B2430" s="13" t="s">
        <v>5805</v>
      </c>
      <c r="C2430" s="13" t="s">
        <v>5806</v>
      </c>
      <c r="D2430" s="13">
        <v>2000</v>
      </c>
      <c r="E2430" s="13" t="s">
        <v>5807</v>
      </c>
      <c r="F2430" s="13" t="s">
        <v>8860</v>
      </c>
      <c r="G2430" s="13" t="s">
        <v>19</v>
      </c>
      <c r="H2430" s="13" t="s">
        <v>3</v>
      </c>
      <c r="I2430" s="13" t="s">
        <v>5808</v>
      </c>
      <c r="J2430" s="13" t="s">
        <v>21</v>
      </c>
      <c r="K2430" s="13" t="s">
        <v>8430</v>
      </c>
      <c r="L2430" s="13" t="s">
        <v>18</v>
      </c>
      <c r="M2430" t="s">
        <v>3</v>
      </c>
    </row>
    <row r="2431" spans="1:13" ht="26.25" x14ac:dyDescent="0.25">
      <c r="A2431" s="13" t="s">
        <v>5809</v>
      </c>
      <c r="B2431" s="13" t="s">
        <v>5809</v>
      </c>
      <c r="C2431" s="13" t="s">
        <v>5809</v>
      </c>
      <c r="D2431" s="13">
        <v>20</v>
      </c>
      <c r="E2431" s="13" t="s">
        <v>5810</v>
      </c>
      <c r="F2431" s="13" t="s">
        <v>8860</v>
      </c>
      <c r="G2431" s="13" t="s">
        <v>19</v>
      </c>
      <c r="H2431" s="13" t="s">
        <v>3</v>
      </c>
      <c r="I2431" s="13" t="s">
        <v>5811</v>
      </c>
      <c r="J2431" s="13" t="s">
        <v>21</v>
      </c>
      <c r="K2431" s="13" t="s">
        <v>8749</v>
      </c>
      <c r="L2431" s="13" t="s">
        <v>18</v>
      </c>
      <c r="M2431" t="s">
        <v>3</v>
      </c>
    </row>
    <row r="2432" spans="1:13" ht="26.25" x14ac:dyDescent="0.25">
      <c r="A2432" s="13" t="s">
        <v>5812</v>
      </c>
      <c r="B2432" s="13" t="s">
        <v>5813</v>
      </c>
      <c r="C2432" s="13" t="s">
        <v>9363</v>
      </c>
      <c r="D2432" s="13">
        <v>1.2</v>
      </c>
      <c r="E2432" s="13" t="s">
        <v>5814</v>
      </c>
      <c r="F2432" s="13" t="s">
        <v>8860</v>
      </c>
      <c r="G2432" s="13" t="s">
        <v>19</v>
      </c>
      <c r="H2432" s="13" t="s">
        <v>3</v>
      </c>
      <c r="I2432" s="13" t="s">
        <v>5815</v>
      </c>
      <c r="J2432" s="13" t="s">
        <v>21</v>
      </c>
      <c r="K2432" s="13" t="s">
        <v>8750</v>
      </c>
      <c r="L2432" s="13" t="s">
        <v>18</v>
      </c>
      <c r="M2432" t="s">
        <v>3</v>
      </c>
    </row>
    <row r="2433" spans="1:13" ht="26.25" x14ac:dyDescent="0.25">
      <c r="A2433" s="13" t="s">
        <v>5816</v>
      </c>
      <c r="B2433" s="13" t="s">
        <v>5817</v>
      </c>
      <c r="C2433" s="13" t="s">
        <v>5818</v>
      </c>
      <c r="D2433" s="13">
        <v>1</v>
      </c>
      <c r="E2433" s="13" t="s">
        <v>5819</v>
      </c>
      <c r="F2433" s="13" t="s">
        <v>8860</v>
      </c>
      <c r="G2433" s="13" t="s">
        <v>19</v>
      </c>
      <c r="H2433" s="13" t="s">
        <v>3</v>
      </c>
      <c r="I2433" s="13" t="s">
        <v>5820</v>
      </c>
      <c r="J2433" s="13" t="s">
        <v>21</v>
      </c>
      <c r="K2433" s="13" t="s">
        <v>8751</v>
      </c>
      <c r="L2433" s="13" t="s">
        <v>18</v>
      </c>
      <c r="M2433" t="s">
        <v>3</v>
      </c>
    </row>
    <row r="2434" spans="1:13" ht="26.25" x14ac:dyDescent="0.25">
      <c r="A2434" s="13" t="s">
        <v>5821</v>
      </c>
      <c r="B2434" s="13" t="s">
        <v>5822</v>
      </c>
      <c r="C2434" s="13" t="s">
        <v>5823</v>
      </c>
      <c r="D2434" s="13">
        <v>1</v>
      </c>
      <c r="E2434" s="13" t="s">
        <v>5824</v>
      </c>
      <c r="F2434" s="13" t="s">
        <v>8860</v>
      </c>
      <c r="G2434" s="13" t="s">
        <v>19</v>
      </c>
      <c r="H2434" s="13" t="s">
        <v>3</v>
      </c>
      <c r="I2434" s="13" t="s">
        <v>5822</v>
      </c>
      <c r="J2434" s="13" t="s">
        <v>21</v>
      </c>
      <c r="K2434" s="13" t="s">
        <v>8752</v>
      </c>
      <c r="L2434" s="13" t="s">
        <v>18</v>
      </c>
      <c r="M2434" t="s">
        <v>3</v>
      </c>
    </row>
    <row r="2435" spans="1:13" ht="26.25" x14ac:dyDescent="0.25">
      <c r="A2435" s="13" t="s">
        <v>5825</v>
      </c>
      <c r="B2435" s="13" t="s">
        <v>5826</v>
      </c>
      <c r="C2435" s="13" t="s">
        <v>5827</v>
      </c>
      <c r="D2435" s="13">
        <v>0.2</v>
      </c>
      <c r="E2435" s="13" t="s">
        <v>5828</v>
      </c>
      <c r="F2435" s="13" t="s">
        <v>8860</v>
      </c>
      <c r="G2435" s="13" t="s">
        <v>19</v>
      </c>
      <c r="H2435" s="13" t="s">
        <v>3</v>
      </c>
      <c r="I2435" s="13" t="s">
        <v>5826</v>
      </c>
      <c r="J2435" s="13" t="s">
        <v>21</v>
      </c>
      <c r="K2435" s="13" t="s">
        <v>8753</v>
      </c>
      <c r="L2435" s="13" t="s">
        <v>18</v>
      </c>
      <c r="M2435" t="s">
        <v>3</v>
      </c>
    </row>
    <row r="2436" spans="1:13" ht="26.25" x14ac:dyDescent="0.25">
      <c r="A2436" s="13" t="s">
        <v>5829</v>
      </c>
      <c r="B2436" s="13" t="s">
        <v>5830</v>
      </c>
      <c r="C2436" s="13" t="s">
        <v>5831</v>
      </c>
      <c r="D2436" s="13">
        <v>0.1</v>
      </c>
      <c r="E2436" s="13" t="s">
        <v>5832</v>
      </c>
      <c r="F2436" s="13" t="s">
        <v>8860</v>
      </c>
      <c r="G2436" s="13" t="s">
        <v>19</v>
      </c>
      <c r="H2436" s="13" t="s">
        <v>3</v>
      </c>
      <c r="I2436" s="13" t="s">
        <v>5833</v>
      </c>
      <c r="J2436" s="13" t="s">
        <v>21</v>
      </c>
      <c r="K2436" s="13" t="s">
        <v>8754</v>
      </c>
      <c r="L2436" s="13" t="s">
        <v>18</v>
      </c>
      <c r="M2436" t="s">
        <v>3</v>
      </c>
    </row>
    <row r="2437" spans="1:13" x14ac:dyDescent="0.25">
      <c r="A2437" s="13" t="s">
        <v>9364</v>
      </c>
      <c r="B2437" s="13" t="s">
        <v>9365</v>
      </c>
      <c r="C2437" s="13" t="s">
        <v>9366</v>
      </c>
      <c r="D2437" s="13">
        <v>5</v>
      </c>
      <c r="E2437" s="13" t="s">
        <v>9367</v>
      </c>
      <c r="F2437" s="13" t="s">
        <v>8867</v>
      </c>
      <c r="G2437" s="13" t="s">
        <v>2</v>
      </c>
      <c r="H2437" s="13" t="s">
        <v>3</v>
      </c>
      <c r="I2437" s="13" t="s">
        <v>435</v>
      </c>
      <c r="J2437" s="13" t="s">
        <v>8890</v>
      </c>
      <c r="K2437" s="13" t="s">
        <v>8469</v>
      </c>
      <c r="L2437" s="13" t="s">
        <v>158</v>
      </c>
      <c r="M2437" t="s">
        <v>3</v>
      </c>
    </row>
    <row r="2438" spans="1:13" x14ac:dyDescent="0.25">
      <c r="A2438" s="13" t="s">
        <v>9368</v>
      </c>
      <c r="B2438" s="13" t="s">
        <v>9369</v>
      </c>
      <c r="C2438" s="13" t="s">
        <v>9370</v>
      </c>
      <c r="D2438" s="13">
        <v>5</v>
      </c>
      <c r="E2438" s="13" t="s">
        <v>9371</v>
      </c>
      <c r="F2438" s="13" t="s">
        <v>8867</v>
      </c>
      <c r="G2438" s="13" t="s">
        <v>2</v>
      </c>
      <c r="H2438" s="13" t="s">
        <v>3</v>
      </c>
      <c r="I2438" s="13" t="s">
        <v>435</v>
      </c>
      <c r="J2438" s="13" t="s">
        <v>8890</v>
      </c>
      <c r="K2438" s="13" t="s">
        <v>8469</v>
      </c>
      <c r="L2438" s="13" t="s">
        <v>158</v>
      </c>
      <c r="M2438" t="s">
        <v>3</v>
      </c>
    </row>
    <row r="2439" spans="1:13" ht="26.25" x14ac:dyDescent="0.25">
      <c r="A2439" s="13" t="s">
        <v>5834</v>
      </c>
      <c r="B2439" s="13" t="s">
        <v>5835</v>
      </c>
      <c r="C2439" s="13" t="s">
        <v>5836</v>
      </c>
      <c r="D2439" s="13">
        <v>1.5</v>
      </c>
      <c r="E2439" s="13" t="s">
        <v>5837</v>
      </c>
      <c r="F2439" s="13" t="s">
        <v>35</v>
      </c>
      <c r="G2439" s="13" t="s">
        <v>19</v>
      </c>
      <c r="H2439" s="13" t="s">
        <v>3</v>
      </c>
      <c r="I2439" s="13" t="s">
        <v>5835</v>
      </c>
      <c r="J2439" s="13" t="s">
        <v>37</v>
      </c>
      <c r="K2439" s="13" t="s">
        <v>5836</v>
      </c>
      <c r="L2439" s="13" t="s">
        <v>35</v>
      </c>
      <c r="M2439" t="s">
        <v>3</v>
      </c>
    </row>
    <row r="2440" spans="1:13" x14ac:dyDescent="0.25">
      <c r="A2440" s="13" t="s">
        <v>9372</v>
      </c>
      <c r="B2440" s="13" t="s">
        <v>9373</v>
      </c>
      <c r="C2440" s="13" t="s">
        <v>9374</v>
      </c>
      <c r="D2440" s="13">
        <v>5</v>
      </c>
      <c r="E2440" s="13" t="s">
        <v>9375</v>
      </c>
      <c r="F2440" s="13" t="s">
        <v>8867</v>
      </c>
      <c r="G2440" s="13" t="s">
        <v>2</v>
      </c>
      <c r="H2440" s="13" t="s">
        <v>3</v>
      </c>
      <c r="I2440" s="13" t="s">
        <v>435</v>
      </c>
      <c r="J2440" s="13" t="s">
        <v>8890</v>
      </c>
      <c r="K2440" s="13" t="s">
        <v>8469</v>
      </c>
      <c r="L2440" s="13" t="s">
        <v>158</v>
      </c>
      <c r="M2440" t="s">
        <v>3</v>
      </c>
    </row>
    <row r="2441" spans="1:13" ht="26.25" x14ac:dyDescent="0.25">
      <c r="A2441" s="13" t="s">
        <v>5838</v>
      </c>
      <c r="B2441" s="13" t="s">
        <v>5839</v>
      </c>
      <c r="C2441" s="13" t="s">
        <v>5839</v>
      </c>
      <c r="D2441" s="13">
        <v>1</v>
      </c>
      <c r="E2441" s="13" t="s">
        <v>5840</v>
      </c>
      <c r="F2441" s="13" t="s">
        <v>8860</v>
      </c>
      <c r="G2441" s="13" t="s">
        <v>19</v>
      </c>
      <c r="H2441" s="13" t="s">
        <v>3</v>
      </c>
      <c r="I2441" s="13" t="s">
        <v>5841</v>
      </c>
      <c r="J2441" s="13" t="s">
        <v>21</v>
      </c>
      <c r="K2441" s="13" t="s">
        <v>8755</v>
      </c>
      <c r="L2441" s="13" t="s">
        <v>18</v>
      </c>
      <c r="M2441" t="s">
        <v>3</v>
      </c>
    </row>
    <row r="2442" spans="1:13" ht="26.25" x14ac:dyDescent="0.25">
      <c r="A2442" s="13" t="s">
        <v>11091</v>
      </c>
      <c r="B2442" s="13" t="s">
        <v>11092</v>
      </c>
      <c r="C2442" s="13" t="s">
        <v>11093</v>
      </c>
      <c r="D2442" s="13">
        <v>0.8</v>
      </c>
      <c r="E2442" s="13" t="s">
        <v>11094</v>
      </c>
      <c r="F2442" s="13" t="s">
        <v>35</v>
      </c>
      <c r="G2442" s="13" t="s">
        <v>19</v>
      </c>
      <c r="H2442" s="13" t="s">
        <v>3</v>
      </c>
      <c r="I2442" s="13" t="s">
        <v>11095</v>
      </c>
      <c r="J2442" s="13" t="s">
        <v>37</v>
      </c>
      <c r="K2442" s="13" t="s">
        <v>11096</v>
      </c>
      <c r="L2442" s="13" t="s">
        <v>35</v>
      </c>
      <c r="M2442" t="s">
        <v>3</v>
      </c>
    </row>
    <row r="2443" spans="1:13" ht="26.25" x14ac:dyDescent="0.25">
      <c r="A2443" s="13" t="s">
        <v>5842</v>
      </c>
      <c r="B2443" s="13" t="s">
        <v>5843</v>
      </c>
      <c r="C2443" s="13" t="s">
        <v>5844</v>
      </c>
      <c r="D2443" s="13">
        <v>40</v>
      </c>
      <c r="E2443" s="13" t="s">
        <v>5845</v>
      </c>
      <c r="F2443" s="13" t="s">
        <v>8860</v>
      </c>
      <c r="G2443" s="13" t="s">
        <v>19</v>
      </c>
      <c r="H2443" s="13" t="s">
        <v>3</v>
      </c>
      <c r="I2443" s="13" t="s">
        <v>5843</v>
      </c>
      <c r="J2443" s="13" t="s">
        <v>21</v>
      </c>
      <c r="K2443" s="13" t="s">
        <v>5844</v>
      </c>
      <c r="L2443" s="13" t="s">
        <v>18</v>
      </c>
      <c r="M2443" t="s">
        <v>3</v>
      </c>
    </row>
    <row r="2444" spans="1:13" ht="26.25" x14ac:dyDescent="0.25">
      <c r="A2444" s="13" t="s">
        <v>5846</v>
      </c>
      <c r="B2444" s="13" t="s">
        <v>9376</v>
      </c>
      <c r="C2444" s="13" t="s">
        <v>5847</v>
      </c>
      <c r="D2444" s="13">
        <v>0</v>
      </c>
      <c r="E2444" s="13" t="s">
        <v>5848</v>
      </c>
      <c r="F2444" s="13" t="s">
        <v>8877</v>
      </c>
      <c r="G2444" s="13" t="s">
        <v>19</v>
      </c>
      <c r="H2444" s="13" t="s">
        <v>3</v>
      </c>
      <c r="I2444" s="13" t="s">
        <v>4450</v>
      </c>
      <c r="J2444" s="13" t="s">
        <v>410</v>
      </c>
      <c r="K2444" s="13" t="s">
        <v>8652</v>
      </c>
      <c r="L2444" s="13" t="s">
        <v>9327</v>
      </c>
      <c r="M2444" t="s">
        <v>3</v>
      </c>
    </row>
    <row r="2445" spans="1:13" ht="26.25" x14ac:dyDescent="0.25">
      <c r="A2445" s="13" t="s">
        <v>5849</v>
      </c>
      <c r="B2445" s="13" t="s">
        <v>9377</v>
      </c>
      <c r="C2445" s="13" t="s">
        <v>5850</v>
      </c>
      <c r="D2445" s="13">
        <v>0</v>
      </c>
      <c r="E2445" s="13" t="s">
        <v>5851</v>
      </c>
      <c r="F2445" s="13" t="s">
        <v>8878</v>
      </c>
      <c r="G2445" s="13" t="s">
        <v>2</v>
      </c>
      <c r="H2445" s="13" t="s">
        <v>3</v>
      </c>
      <c r="I2445" s="13" t="s">
        <v>4450</v>
      </c>
      <c r="J2445" s="13" t="s">
        <v>410</v>
      </c>
      <c r="K2445" s="13" t="s">
        <v>8652</v>
      </c>
      <c r="L2445" s="13" t="s">
        <v>9378</v>
      </c>
      <c r="M2445" t="s">
        <v>3</v>
      </c>
    </row>
    <row r="2446" spans="1:13" ht="26.25" x14ac:dyDescent="0.25">
      <c r="A2446" s="13" t="s">
        <v>5852</v>
      </c>
      <c r="B2446" s="13" t="s">
        <v>5853</v>
      </c>
      <c r="C2446" s="13" t="s">
        <v>5854</v>
      </c>
      <c r="D2446" s="13">
        <v>1.6</v>
      </c>
      <c r="E2446" s="13" t="s">
        <v>5855</v>
      </c>
      <c r="F2446" s="13" t="s">
        <v>35</v>
      </c>
      <c r="G2446" s="13" t="s">
        <v>19</v>
      </c>
      <c r="H2446" s="13" t="s">
        <v>3</v>
      </c>
      <c r="I2446" s="13" t="s">
        <v>5853</v>
      </c>
      <c r="J2446" s="13" t="s">
        <v>37</v>
      </c>
      <c r="K2446" s="13" t="s">
        <v>5854</v>
      </c>
      <c r="L2446" s="13" t="s">
        <v>35</v>
      </c>
      <c r="M2446" t="s">
        <v>3</v>
      </c>
    </row>
    <row r="2447" spans="1:13" ht="26.25" x14ac:dyDescent="0.25">
      <c r="A2447" s="13" t="s">
        <v>5856</v>
      </c>
      <c r="B2447" s="13" t="s">
        <v>5857</v>
      </c>
      <c r="C2447" s="13" t="s">
        <v>5858</v>
      </c>
      <c r="D2447" s="13">
        <v>0.3</v>
      </c>
      <c r="E2447" s="13" t="s">
        <v>5859</v>
      </c>
      <c r="F2447" s="13" t="s">
        <v>35</v>
      </c>
      <c r="G2447" s="13" t="s">
        <v>19</v>
      </c>
      <c r="H2447" s="13" t="s">
        <v>3</v>
      </c>
      <c r="I2447" s="13" t="s">
        <v>5857</v>
      </c>
      <c r="J2447" s="13" t="s">
        <v>37</v>
      </c>
      <c r="K2447" s="13" t="s">
        <v>8756</v>
      </c>
      <c r="L2447" s="13" t="s">
        <v>35</v>
      </c>
      <c r="M2447" t="s">
        <v>3</v>
      </c>
    </row>
    <row r="2448" spans="1:13" ht="26.25" x14ac:dyDescent="0.25">
      <c r="A2448" s="13" t="s">
        <v>5860</v>
      </c>
      <c r="B2448" s="13" t="s">
        <v>5861</v>
      </c>
      <c r="C2448" s="13" t="s">
        <v>5862</v>
      </c>
      <c r="D2448" s="13">
        <v>2.5</v>
      </c>
      <c r="E2448" s="13" t="s">
        <v>5863</v>
      </c>
      <c r="F2448" s="13" t="s">
        <v>8860</v>
      </c>
      <c r="G2448" s="13" t="s">
        <v>19</v>
      </c>
      <c r="H2448" s="13" t="s">
        <v>3</v>
      </c>
      <c r="I2448" s="13" t="s">
        <v>3488</v>
      </c>
      <c r="J2448" s="13" t="s">
        <v>21</v>
      </c>
      <c r="K2448" s="13" t="s">
        <v>5861</v>
      </c>
      <c r="L2448" s="13" t="s">
        <v>18</v>
      </c>
      <c r="M2448" t="s">
        <v>3</v>
      </c>
    </row>
    <row r="2449" spans="1:13" ht="26.25" x14ac:dyDescent="0.25">
      <c r="A2449" s="13" t="s">
        <v>5864</v>
      </c>
      <c r="B2449" s="13" t="s">
        <v>673</v>
      </c>
      <c r="C2449" s="13" t="s">
        <v>5865</v>
      </c>
      <c r="D2449" s="13">
        <v>0.1</v>
      </c>
      <c r="E2449" s="13" t="s">
        <v>5866</v>
      </c>
      <c r="F2449" s="13" t="s">
        <v>8860</v>
      </c>
      <c r="G2449" s="13" t="s">
        <v>19</v>
      </c>
      <c r="H2449" s="13" t="s">
        <v>3</v>
      </c>
      <c r="I2449" s="13" t="s">
        <v>5867</v>
      </c>
      <c r="J2449" s="13" t="s">
        <v>21</v>
      </c>
      <c r="K2449" s="13" t="s">
        <v>8757</v>
      </c>
      <c r="L2449" s="13" t="s">
        <v>18</v>
      </c>
      <c r="M2449" t="s">
        <v>3</v>
      </c>
    </row>
    <row r="2450" spans="1:13" ht="26.25" x14ac:dyDescent="0.25">
      <c r="A2450" s="13" t="s">
        <v>5868</v>
      </c>
      <c r="B2450" s="13" t="s">
        <v>5869</v>
      </c>
      <c r="C2450" s="13" t="s">
        <v>5870</v>
      </c>
      <c r="D2450" s="13">
        <v>0.4</v>
      </c>
      <c r="E2450" s="13" t="s">
        <v>5871</v>
      </c>
      <c r="F2450" s="13" t="s">
        <v>35</v>
      </c>
      <c r="G2450" s="13" t="s">
        <v>19</v>
      </c>
      <c r="H2450" s="13" t="s">
        <v>3</v>
      </c>
      <c r="I2450" s="13" t="s">
        <v>5869</v>
      </c>
      <c r="J2450" s="13" t="s">
        <v>37</v>
      </c>
      <c r="K2450" s="13" t="s">
        <v>8758</v>
      </c>
      <c r="L2450" s="13" t="s">
        <v>35</v>
      </c>
      <c r="M2450" t="s">
        <v>3</v>
      </c>
    </row>
    <row r="2451" spans="1:13" ht="26.25" x14ac:dyDescent="0.25">
      <c r="A2451" s="13" t="s">
        <v>5872</v>
      </c>
      <c r="B2451" s="13" t="s">
        <v>9379</v>
      </c>
      <c r="C2451" s="13" t="s">
        <v>5873</v>
      </c>
      <c r="D2451" s="13">
        <v>5</v>
      </c>
      <c r="E2451" s="13" t="s">
        <v>5874</v>
      </c>
      <c r="F2451" s="13" t="s">
        <v>8860</v>
      </c>
      <c r="G2451" s="13" t="s">
        <v>19</v>
      </c>
      <c r="H2451" s="13" t="s">
        <v>3</v>
      </c>
      <c r="I2451" s="13" t="s">
        <v>5875</v>
      </c>
      <c r="J2451" s="13" t="s">
        <v>21</v>
      </c>
      <c r="K2451" s="13" t="s">
        <v>8759</v>
      </c>
      <c r="L2451" s="13" t="s">
        <v>18</v>
      </c>
      <c r="M2451" t="s">
        <v>3</v>
      </c>
    </row>
    <row r="2452" spans="1:13" x14ac:dyDescent="0.25">
      <c r="A2452" s="13" t="s">
        <v>5876</v>
      </c>
      <c r="B2452" s="13" t="s">
        <v>5877</v>
      </c>
      <c r="C2452" s="13" t="s">
        <v>5878</v>
      </c>
      <c r="D2452" s="13">
        <v>1.7</v>
      </c>
      <c r="E2452" s="13" t="s">
        <v>5879</v>
      </c>
      <c r="F2452" s="13" t="s">
        <v>8867</v>
      </c>
      <c r="G2452" s="13" t="s">
        <v>2</v>
      </c>
      <c r="H2452" s="13" t="s">
        <v>3</v>
      </c>
      <c r="I2452" s="13" t="s">
        <v>159</v>
      </c>
      <c r="J2452" s="13" t="s">
        <v>8890</v>
      </c>
      <c r="K2452" s="13" t="s">
        <v>8442</v>
      </c>
      <c r="L2452" s="13" t="s">
        <v>158</v>
      </c>
      <c r="M2452" t="s">
        <v>3</v>
      </c>
    </row>
    <row r="2453" spans="1:13" x14ac:dyDescent="0.25">
      <c r="A2453" s="13" t="s">
        <v>5880</v>
      </c>
      <c r="B2453" s="13" t="s">
        <v>5881</v>
      </c>
      <c r="C2453" s="13" t="s">
        <v>5882</v>
      </c>
      <c r="D2453" s="13">
        <v>13.2</v>
      </c>
      <c r="E2453" s="13" t="s">
        <v>5883</v>
      </c>
      <c r="F2453" s="13" t="s">
        <v>8867</v>
      </c>
      <c r="G2453" s="13" t="s">
        <v>2</v>
      </c>
      <c r="H2453" s="13" t="s">
        <v>3</v>
      </c>
      <c r="I2453" s="13" t="s">
        <v>159</v>
      </c>
      <c r="J2453" s="13" t="s">
        <v>8890</v>
      </c>
      <c r="K2453" s="13" t="s">
        <v>8442</v>
      </c>
      <c r="L2453" s="13" t="s">
        <v>158</v>
      </c>
      <c r="M2453" t="s">
        <v>3</v>
      </c>
    </row>
    <row r="2454" spans="1:13" ht="26.25" x14ac:dyDescent="0.25">
      <c r="A2454" s="13" t="s">
        <v>5884</v>
      </c>
      <c r="B2454" s="13" t="s">
        <v>5884</v>
      </c>
      <c r="C2454" s="13" t="s">
        <v>5885</v>
      </c>
      <c r="D2454" s="13">
        <v>386.7</v>
      </c>
      <c r="E2454" s="13" t="s">
        <v>5886</v>
      </c>
      <c r="F2454" s="13" t="s">
        <v>8864</v>
      </c>
      <c r="G2454" s="13" t="s">
        <v>2</v>
      </c>
      <c r="H2454" s="13" t="s">
        <v>8900</v>
      </c>
      <c r="I2454" s="13" t="s">
        <v>62</v>
      </c>
      <c r="J2454" s="13" t="s">
        <v>8890</v>
      </c>
      <c r="K2454" s="13" t="s">
        <v>8430</v>
      </c>
      <c r="L2454" s="13" t="s">
        <v>56</v>
      </c>
      <c r="M2454" t="s">
        <v>10683</v>
      </c>
    </row>
    <row r="2455" spans="1:13" ht="26.25" x14ac:dyDescent="0.25">
      <c r="A2455" s="13" t="s">
        <v>5887</v>
      </c>
      <c r="B2455" s="13" t="s">
        <v>5887</v>
      </c>
      <c r="C2455" s="13" t="s">
        <v>5888</v>
      </c>
      <c r="D2455" s="13">
        <v>389.1</v>
      </c>
      <c r="E2455" s="13" t="s">
        <v>5889</v>
      </c>
      <c r="F2455" s="13" t="s">
        <v>8864</v>
      </c>
      <c r="G2455" s="13" t="s">
        <v>2</v>
      </c>
      <c r="H2455" s="13" t="s">
        <v>8900</v>
      </c>
      <c r="I2455" s="13" t="s">
        <v>62</v>
      </c>
      <c r="J2455" s="13" t="s">
        <v>8890</v>
      </c>
      <c r="K2455" s="13" t="s">
        <v>8430</v>
      </c>
      <c r="L2455" s="13" t="s">
        <v>56</v>
      </c>
      <c r="M2455" t="s">
        <v>10683</v>
      </c>
    </row>
    <row r="2456" spans="1:13" ht="26.25" x14ac:dyDescent="0.25">
      <c r="A2456" s="13" t="s">
        <v>5890</v>
      </c>
      <c r="B2456" s="13" t="s">
        <v>5890</v>
      </c>
      <c r="C2456" s="13" t="s">
        <v>5891</v>
      </c>
      <c r="D2456" s="13">
        <v>391</v>
      </c>
      <c r="E2456" s="13" t="s">
        <v>5892</v>
      </c>
      <c r="F2456" s="13" t="s">
        <v>8864</v>
      </c>
      <c r="G2456" s="13" t="s">
        <v>2</v>
      </c>
      <c r="H2456" s="13" t="s">
        <v>8900</v>
      </c>
      <c r="I2456" s="13" t="s">
        <v>62</v>
      </c>
      <c r="J2456" s="13" t="s">
        <v>8890</v>
      </c>
      <c r="K2456" s="13" t="s">
        <v>8430</v>
      </c>
      <c r="L2456" s="13" t="s">
        <v>56</v>
      </c>
      <c r="M2456" t="s">
        <v>10683</v>
      </c>
    </row>
    <row r="2457" spans="1:13" ht="26.25" x14ac:dyDescent="0.25">
      <c r="A2457" s="13" t="s">
        <v>5893</v>
      </c>
      <c r="B2457" s="13" t="s">
        <v>5893</v>
      </c>
      <c r="C2457" s="13" t="s">
        <v>5893</v>
      </c>
      <c r="D2457" s="13">
        <v>2</v>
      </c>
      <c r="E2457" s="13" t="s">
        <v>5894</v>
      </c>
      <c r="F2457" s="13" t="s">
        <v>8867</v>
      </c>
      <c r="G2457" s="13" t="s">
        <v>2</v>
      </c>
      <c r="H2457" s="13" t="s">
        <v>3</v>
      </c>
      <c r="I2457" s="13" t="s">
        <v>228</v>
      </c>
      <c r="J2457" s="13" t="s">
        <v>8890</v>
      </c>
      <c r="K2457" s="13" t="s">
        <v>8418</v>
      </c>
      <c r="L2457" s="13" t="s">
        <v>158</v>
      </c>
      <c r="M2457" t="s">
        <v>3</v>
      </c>
    </row>
    <row r="2458" spans="1:13" x14ac:dyDescent="0.25">
      <c r="A2458" s="13" t="s">
        <v>5895</v>
      </c>
      <c r="B2458" s="13" t="s">
        <v>5895</v>
      </c>
      <c r="C2458" s="13" t="s">
        <v>5895</v>
      </c>
      <c r="D2458" s="13">
        <v>2.1</v>
      </c>
      <c r="E2458" s="13" t="s">
        <v>5896</v>
      </c>
      <c r="F2458" s="13" t="s">
        <v>8867</v>
      </c>
      <c r="G2458" s="13" t="s">
        <v>2</v>
      </c>
      <c r="H2458" s="13" t="s">
        <v>3</v>
      </c>
      <c r="I2458" s="13" t="s">
        <v>429</v>
      </c>
      <c r="J2458" s="13" t="s">
        <v>8890</v>
      </c>
      <c r="K2458" s="13" t="s">
        <v>6051</v>
      </c>
      <c r="L2458" s="13" t="s">
        <v>158</v>
      </c>
      <c r="M2458" t="s">
        <v>3</v>
      </c>
    </row>
    <row r="2459" spans="1:13" x14ac:dyDescent="0.25">
      <c r="A2459" s="13" t="s">
        <v>5897</v>
      </c>
      <c r="B2459" s="13" t="s">
        <v>5897</v>
      </c>
      <c r="C2459" s="13" t="s">
        <v>5898</v>
      </c>
      <c r="D2459" s="13">
        <v>434.8</v>
      </c>
      <c r="E2459" s="13" t="s">
        <v>5899</v>
      </c>
      <c r="F2459" s="13" t="s">
        <v>8864</v>
      </c>
      <c r="G2459" s="13" t="s">
        <v>2</v>
      </c>
      <c r="H2459" s="13" t="s">
        <v>8900</v>
      </c>
      <c r="I2459" s="13" t="s">
        <v>62</v>
      </c>
      <c r="J2459" s="13" t="s">
        <v>8890</v>
      </c>
      <c r="K2459" s="13" t="s">
        <v>8430</v>
      </c>
      <c r="L2459" s="13" t="s">
        <v>56</v>
      </c>
      <c r="M2459" t="s">
        <v>10683</v>
      </c>
    </row>
    <row r="2460" spans="1:13" x14ac:dyDescent="0.25">
      <c r="A2460" s="13" t="s">
        <v>5900</v>
      </c>
      <c r="B2460" s="13" t="s">
        <v>5900</v>
      </c>
      <c r="C2460" s="13" t="s">
        <v>5901</v>
      </c>
      <c r="D2460" s="13">
        <v>431.4</v>
      </c>
      <c r="E2460" s="13" t="s">
        <v>5902</v>
      </c>
      <c r="F2460" s="13" t="s">
        <v>8864</v>
      </c>
      <c r="G2460" s="13" t="s">
        <v>2</v>
      </c>
      <c r="H2460" s="13" t="s">
        <v>8900</v>
      </c>
      <c r="I2460" s="13" t="s">
        <v>62</v>
      </c>
      <c r="J2460" s="13" t="s">
        <v>8890</v>
      </c>
      <c r="K2460" s="13" t="s">
        <v>8430</v>
      </c>
      <c r="L2460" s="13" t="s">
        <v>56</v>
      </c>
      <c r="M2460" t="s">
        <v>10683</v>
      </c>
    </row>
    <row r="2461" spans="1:13" x14ac:dyDescent="0.25">
      <c r="A2461" s="13" t="s">
        <v>11389</v>
      </c>
      <c r="B2461" s="13" t="s">
        <v>11390</v>
      </c>
      <c r="C2461" s="13" t="s">
        <v>11391</v>
      </c>
      <c r="D2461" s="13">
        <v>40</v>
      </c>
      <c r="E2461" s="13" t="s">
        <v>11392</v>
      </c>
      <c r="F2461" s="13" t="s">
        <v>8869</v>
      </c>
      <c r="G2461" s="13" t="s">
        <v>2</v>
      </c>
      <c r="H2461" s="13" t="s">
        <v>3</v>
      </c>
      <c r="I2461" s="13" t="s">
        <v>809</v>
      </c>
      <c r="J2461" s="13" t="s">
        <v>8890</v>
      </c>
      <c r="K2461" s="13" t="s">
        <v>8512</v>
      </c>
      <c r="L2461" s="13" t="s">
        <v>8918</v>
      </c>
      <c r="M2461" t="s">
        <v>3</v>
      </c>
    </row>
    <row r="2462" spans="1:13" x14ac:dyDescent="0.25">
      <c r="A2462" s="13" t="s">
        <v>5903</v>
      </c>
      <c r="B2462" s="13" t="s">
        <v>5903</v>
      </c>
      <c r="C2462" s="13" t="s">
        <v>5903</v>
      </c>
      <c r="D2462" s="13">
        <v>26.7</v>
      </c>
      <c r="E2462" s="13" t="s">
        <v>5904</v>
      </c>
      <c r="F2462" s="13" t="s">
        <v>8869</v>
      </c>
      <c r="G2462" s="13" t="s">
        <v>2</v>
      </c>
      <c r="H2462" s="13" t="s">
        <v>3</v>
      </c>
      <c r="I2462" s="13" t="s">
        <v>228</v>
      </c>
      <c r="J2462" s="13" t="s">
        <v>8890</v>
      </c>
      <c r="K2462" s="13" t="s">
        <v>8418</v>
      </c>
      <c r="L2462" s="13" t="s">
        <v>8918</v>
      </c>
      <c r="M2462" t="s">
        <v>3</v>
      </c>
    </row>
    <row r="2463" spans="1:13" x14ac:dyDescent="0.25">
      <c r="A2463" s="13" t="s">
        <v>12069</v>
      </c>
      <c r="B2463" s="13" t="s">
        <v>12070</v>
      </c>
      <c r="C2463" s="13" t="s">
        <v>12070</v>
      </c>
      <c r="D2463" s="13">
        <v>45</v>
      </c>
      <c r="E2463" s="13" t="s">
        <v>12071</v>
      </c>
      <c r="F2463" s="13" t="s">
        <v>8869</v>
      </c>
      <c r="G2463" s="13" t="s">
        <v>2</v>
      </c>
      <c r="H2463" s="13" t="s">
        <v>3</v>
      </c>
      <c r="I2463" s="13" t="s">
        <v>809</v>
      </c>
      <c r="J2463" s="13" t="s">
        <v>8890</v>
      </c>
      <c r="K2463" s="13" t="s">
        <v>8512</v>
      </c>
      <c r="L2463" s="13" t="s">
        <v>8918</v>
      </c>
      <c r="M2463" t="s">
        <v>3</v>
      </c>
    </row>
    <row r="2464" spans="1:13" ht="26.25" x14ac:dyDescent="0.25">
      <c r="A2464" s="13" t="s">
        <v>11097</v>
      </c>
      <c r="B2464" s="13" t="s">
        <v>11098</v>
      </c>
      <c r="C2464" s="13" t="s">
        <v>11098</v>
      </c>
      <c r="D2464" s="13">
        <v>0.9</v>
      </c>
      <c r="E2464" s="13" t="s">
        <v>11099</v>
      </c>
      <c r="F2464" s="13" t="s">
        <v>8867</v>
      </c>
      <c r="G2464" s="13" t="s">
        <v>2</v>
      </c>
      <c r="H2464" s="13" t="s">
        <v>3</v>
      </c>
      <c r="I2464" s="13" t="s">
        <v>2458</v>
      </c>
      <c r="J2464" s="13" t="s">
        <v>8890</v>
      </c>
      <c r="K2464" s="13" t="s">
        <v>8604</v>
      </c>
      <c r="L2464" s="13" t="s">
        <v>158</v>
      </c>
      <c r="M2464" t="s">
        <v>3</v>
      </c>
    </row>
    <row r="2465" spans="1:13" ht="26.25" x14ac:dyDescent="0.25">
      <c r="A2465" s="13" t="s">
        <v>5905</v>
      </c>
      <c r="B2465" s="13" t="s">
        <v>5905</v>
      </c>
      <c r="C2465" s="13" t="s">
        <v>5905</v>
      </c>
      <c r="D2465" s="13">
        <v>41.5</v>
      </c>
      <c r="E2465" s="13" t="s">
        <v>5906</v>
      </c>
      <c r="F2465" s="13" t="s">
        <v>8869</v>
      </c>
      <c r="G2465" s="13" t="s">
        <v>2</v>
      </c>
      <c r="H2465" s="13" t="s">
        <v>3</v>
      </c>
      <c r="I2465" s="13" t="s">
        <v>228</v>
      </c>
      <c r="J2465" s="13" t="s">
        <v>8890</v>
      </c>
      <c r="K2465" s="13" t="s">
        <v>8418</v>
      </c>
      <c r="L2465" s="13" t="s">
        <v>8918</v>
      </c>
      <c r="M2465" t="s">
        <v>3</v>
      </c>
    </row>
    <row r="2466" spans="1:13" x14ac:dyDescent="0.25">
      <c r="A2466" s="13" t="s">
        <v>11895</v>
      </c>
      <c r="B2466" s="13" t="s">
        <v>11896</v>
      </c>
      <c r="C2466" s="13" t="s">
        <v>11896</v>
      </c>
      <c r="D2466" s="13">
        <v>16</v>
      </c>
      <c r="E2466" s="13" t="s">
        <v>11897</v>
      </c>
      <c r="F2466" s="13" t="s">
        <v>8869</v>
      </c>
      <c r="G2466" s="13" t="s">
        <v>2</v>
      </c>
      <c r="H2466" s="13" t="s">
        <v>3</v>
      </c>
      <c r="I2466" s="13" t="s">
        <v>809</v>
      </c>
      <c r="J2466" s="13" t="s">
        <v>8890</v>
      </c>
      <c r="K2466" s="13" t="s">
        <v>8512</v>
      </c>
      <c r="L2466" s="13" t="s">
        <v>8918</v>
      </c>
      <c r="M2466" t="s">
        <v>3</v>
      </c>
    </row>
    <row r="2467" spans="1:13" x14ac:dyDescent="0.25">
      <c r="A2467" s="13" t="s">
        <v>5907</v>
      </c>
      <c r="B2467" s="13" t="s">
        <v>5907</v>
      </c>
      <c r="C2467" s="13" t="s">
        <v>5908</v>
      </c>
      <c r="D2467" s="13">
        <v>15</v>
      </c>
      <c r="E2467" s="13" t="s">
        <v>5909</v>
      </c>
      <c r="F2467" s="13" t="s">
        <v>8869</v>
      </c>
      <c r="G2467" s="13" t="s">
        <v>2</v>
      </c>
      <c r="H2467" s="13" t="s">
        <v>9000</v>
      </c>
      <c r="I2467" s="13" t="s">
        <v>706</v>
      </c>
      <c r="J2467" s="13" t="s">
        <v>8890</v>
      </c>
      <c r="K2467" s="13" t="s">
        <v>8419</v>
      </c>
      <c r="L2467" s="13" t="s">
        <v>8918</v>
      </c>
      <c r="M2467" t="s">
        <v>10688</v>
      </c>
    </row>
    <row r="2468" spans="1:13" ht="26.25" x14ac:dyDescent="0.25">
      <c r="A2468" s="13" t="s">
        <v>5910</v>
      </c>
      <c r="B2468" s="13" t="s">
        <v>5910</v>
      </c>
      <c r="C2468" s="13" t="s">
        <v>5911</v>
      </c>
      <c r="D2468" s="13">
        <v>11.9</v>
      </c>
      <c r="E2468" s="13" t="s">
        <v>5912</v>
      </c>
      <c r="F2468" s="13" t="s">
        <v>8869</v>
      </c>
      <c r="G2468" s="13" t="s">
        <v>2</v>
      </c>
      <c r="H2468" s="13" t="s">
        <v>9000</v>
      </c>
      <c r="I2468" s="13" t="s">
        <v>706</v>
      </c>
      <c r="J2468" s="13" t="s">
        <v>8890</v>
      </c>
      <c r="K2468" s="13" t="s">
        <v>8419</v>
      </c>
      <c r="L2468" s="13" t="s">
        <v>8918</v>
      </c>
      <c r="M2468" t="s">
        <v>10688</v>
      </c>
    </row>
    <row r="2469" spans="1:13" ht="26.25" x14ac:dyDescent="0.25">
      <c r="A2469" s="13" t="s">
        <v>5913</v>
      </c>
      <c r="B2469" s="13" t="s">
        <v>5913</v>
      </c>
      <c r="C2469" s="13" t="s">
        <v>5914</v>
      </c>
      <c r="D2469" s="13">
        <v>2.5</v>
      </c>
      <c r="E2469" s="13" t="s">
        <v>5915</v>
      </c>
      <c r="F2469" s="13" t="s">
        <v>8860</v>
      </c>
      <c r="G2469" s="13" t="s">
        <v>19</v>
      </c>
      <c r="H2469" s="13" t="s">
        <v>3</v>
      </c>
      <c r="I2469" s="13" t="s">
        <v>5916</v>
      </c>
      <c r="J2469" s="13" t="s">
        <v>21</v>
      </c>
      <c r="K2469" s="13" t="s">
        <v>8760</v>
      </c>
      <c r="L2469" s="13" t="s">
        <v>18</v>
      </c>
      <c r="M2469" t="s">
        <v>3</v>
      </c>
    </row>
    <row r="2470" spans="1:13" ht="26.25" x14ac:dyDescent="0.25">
      <c r="A2470" s="13" t="s">
        <v>5917</v>
      </c>
      <c r="B2470" s="13" t="s">
        <v>5917</v>
      </c>
      <c r="C2470" s="13" t="s">
        <v>5917</v>
      </c>
      <c r="D2470" s="13">
        <v>30.4</v>
      </c>
      <c r="E2470" s="13" t="s">
        <v>5918</v>
      </c>
      <c r="F2470" s="13" t="s">
        <v>8869</v>
      </c>
      <c r="G2470" s="13" t="s">
        <v>2</v>
      </c>
      <c r="H2470" s="13" t="s">
        <v>3</v>
      </c>
      <c r="I2470" s="13" t="s">
        <v>228</v>
      </c>
      <c r="J2470" s="13" t="s">
        <v>8890</v>
      </c>
      <c r="K2470" s="13" t="s">
        <v>8418</v>
      </c>
      <c r="L2470" s="13" t="s">
        <v>8918</v>
      </c>
      <c r="M2470" t="s">
        <v>3</v>
      </c>
    </row>
    <row r="2471" spans="1:13" x14ac:dyDescent="0.25">
      <c r="A2471" s="13" t="s">
        <v>5919</v>
      </c>
      <c r="B2471" s="13" t="s">
        <v>5919</v>
      </c>
      <c r="C2471" s="13" t="s">
        <v>5919</v>
      </c>
      <c r="D2471" s="13">
        <v>182.3</v>
      </c>
      <c r="E2471" s="13" t="s">
        <v>5920</v>
      </c>
      <c r="F2471" s="13" t="s">
        <v>8869</v>
      </c>
      <c r="G2471" s="13" t="s">
        <v>2</v>
      </c>
      <c r="H2471" s="13" t="s">
        <v>3</v>
      </c>
      <c r="I2471" s="13" t="s">
        <v>228</v>
      </c>
      <c r="J2471" s="13" t="s">
        <v>8890</v>
      </c>
      <c r="K2471" s="13" t="s">
        <v>8418</v>
      </c>
      <c r="L2471" s="13" t="s">
        <v>8918</v>
      </c>
      <c r="M2471" t="s">
        <v>3</v>
      </c>
    </row>
    <row r="2472" spans="1:13" x14ac:dyDescent="0.25">
      <c r="A2472" s="13" t="s">
        <v>11393</v>
      </c>
      <c r="B2472" s="13" t="s">
        <v>11393</v>
      </c>
      <c r="C2472" s="13" t="s">
        <v>11393</v>
      </c>
      <c r="D2472" s="13">
        <v>29.8</v>
      </c>
      <c r="E2472" s="13" t="s">
        <v>11394</v>
      </c>
      <c r="F2472" s="13" t="s">
        <v>8869</v>
      </c>
      <c r="G2472" s="13" t="s">
        <v>2</v>
      </c>
      <c r="H2472" s="13" t="s">
        <v>3</v>
      </c>
      <c r="I2472" s="13" t="s">
        <v>228</v>
      </c>
      <c r="J2472" s="13" t="s">
        <v>8890</v>
      </c>
      <c r="K2472" s="13" t="s">
        <v>8418</v>
      </c>
      <c r="L2472" s="13" t="s">
        <v>8918</v>
      </c>
      <c r="M2472" t="s">
        <v>3</v>
      </c>
    </row>
    <row r="2473" spans="1:13" x14ac:dyDescent="0.25">
      <c r="A2473" s="13" t="s">
        <v>5921</v>
      </c>
      <c r="B2473" s="13" t="s">
        <v>5921</v>
      </c>
      <c r="C2473" s="13" t="s">
        <v>5921</v>
      </c>
      <c r="D2473" s="13">
        <v>0.3</v>
      </c>
      <c r="E2473" s="13" t="s">
        <v>5922</v>
      </c>
      <c r="F2473" s="13" t="s">
        <v>8863</v>
      </c>
      <c r="G2473" s="13" t="s">
        <v>2</v>
      </c>
      <c r="H2473" s="13" t="s">
        <v>3</v>
      </c>
      <c r="I2473" s="13" t="s">
        <v>809</v>
      </c>
      <c r="J2473" s="13" t="s">
        <v>8890</v>
      </c>
      <c r="K2473" s="13" t="s">
        <v>8512</v>
      </c>
      <c r="L2473" s="13" t="s">
        <v>8893</v>
      </c>
      <c r="M2473" t="s">
        <v>3</v>
      </c>
    </row>
    <row r="2474" spans="1:13" ht="26.25" x14ac:dyDescent="0.25">
      <c r="A2474" s="13" t="s">
        <v>5923</v>
      </c>
      <c r="B2474" s="13" t="s">
        <v>5924</v>
      </c>
      <c r="C2474" s="13" t="s">
        <v>5925</v>
      </c>
      <c r="D2474" s="13">
        <v>855.6</v>
      </c>
      <c r="E2474" s="13" t="s">
        <v>5926</v>
      </c>
      <c r="F2474" s="13" t="s">
        <v>8864</v>
      </c>
      <c r="G2474" s="13" t="s">
        <v>2</v>
      </c>
      <c r="H2474" s="13" t="s">
        <v>8923</v>
      </c>
      <c r="I2474" s="13" t="s">
        <v>390</v>
      </c>
      <c r="J2474" s="13" t="s">
        <v>8890</v>
      </c>
      <c r="K2474" s="13" t="s">
        <v>8423</v>
      </c>
      <c r="L2474" s="13" t="s">
        <v>56</v>
      </c>
      <c r="M2474" t="s">
        <v>8923</v>
      </c>
    </row>
    <row r="2475" spans="1:13" ht="26.25" x14ac:dyDescent="0.25">
      <c r="A2475" s="13" t="s">
        <v>5927</v>
      </c>
      <c r="B2475" s="13" t="s">
        <v>5928</v>
      </c>
      <c r="C2475" s="13" t="s">
        <v>5929</v>
      </c>
      <c r="D2475" s="13">
        <v>10</v>
      </c>
      <c r="E2475" s="13" t="s">
        <v>5930</v>
      </c>
      <c r="F2475" s="13" t="s">
        <v>8860</v>
      </c>
      <c r="G2475" s="13" t="s">
        <v>19</v>
      </c>
      <c r="H2475" s="13" t="s">
        <v>3</v>
      </c>
      <c r="I2475" s="13" t="s">
        <v>5931</v>
      </c>
      <c r="J2475" s="13" t="s">
        <v>21</v>
      </c>
      <c r="K2475" s="13" t="s">
        <v>9380</v>
      </c>
      <c r="L2475" s="13" t="s">
        <v>18</v>
      </c>
      <c r="M2475" t="s">
        <v>3</v>
      </c>
    </row>
    <row r="2476" spans="1:13" ht="26.25" x14ac:dyDescent="0.25">
      <c r="A2476" s="13" t="s">
        <v>11569</v>
      </c>
      <c r="B2476" s="13" t="s">
        <v>11570</v>
      </c>
      <c r="C2476" s="13" t="s">
        <v>11570</v>
      </c>
      <c r="D2476" s="13">
        <v>4.5</v>
      </c>
      <c r="E2476" s="13" t="s">
        <v>11571</v>
      </c>
      <c r="F2476" s="13" t="s">
        <v>8867</v>
      </c>
      <c r="G2476" s="13" t="s">
        <v>2</v>
      </c>
      <c r="H2476" s="13" t="s">
        <v>3</v>
      </c>
      <c r="I2476" s="13" t="s">
        <v>2458</v>
      </c>
      <c r="J2476" s="13" t="s">
        <v>8890</v>
      </c>
      <c r="K2476" s="13" t="s">
        <v>8604</v>
      </c>
      <c r="L2476" s="13" t="s">
        <v>158</v>
      </c>
      <c r="M2476" t="s">
        <v>3</v>
      </c>
    </row>
    <row r="2477" spans="1:13" ht="26.25" x14ac:dyDescent="0.25">
      <c r="A2477" s="13" t="s">
        <v>10580</v>
      </c>
      <c r="B2477" s="13" t="s">
        <v>10580</v>
      </c>
      <c r="C2477" s="13" t="s">
        <v>10581</v>
      </c>
      <c r="D2477" s="13">
        <v>1</v>
      </c>
      <c r="E2477" s="13" t="s">
        <v>10582</v>
      </c>
      <c r="F2477" s="13" t="s">
        <v>8860</v>
      </c>
      <c r="G2477" s="13" t="s">
        <v>19</v>
      </c>
      <c r="H2477" s="13" t="s">
        <v>3</v>
      </c>
      <c r="I2477" s="13" t="s">
        <v>10583</v>
      </c>
      <c r="J2477" s="13" t="s">
        <v>21</v>
      </c>
      <c r="K2477" s="13" t="s">
        <v>10584</v>
      </c>
      <c r="L2477" s="13" t="s">
        <v>18</v>
      </c>
      <c r="M2477" t="s">
        <v>3</v>
      </c>
    </row>
    <row r="2478" spans="1:13" x14ac:dyDescent="0.25">
      <c r="A2478" s="13" t="s">
        <v>5932</v>
      </c>
      <c r="B2478" s="13" t="s">
        <v>5932</v>
      </c>
      <c r="C2478" s="13" t="s">
        <v>5932</v>
      </c>
      <c r="D2478" s="13">
        <v>36</v>
      </c>
      <c r="E2478" s="13" t="s">
        <v>5933</v>
      </c>
      <c r="F2478" s="13" t="s">
        <v>8867</v>
      </c>
      <c r="G2478" s="13" t="s">
        <v>2</v>
      </c>
      <c r="H2478" s="13" t="s">
        <v>9224</v>
      </c>
      <c r="I2478" s="13" t="s">
        <v>228</v>
      </c>
      <c r="J2478" s="13" t="s">
        <v>8890</v>
      </c>
      <c r="K2478" s="13" t="s">
        <v>8418</v>
      </c>
      <c r="L2478" s="13" t="s">
        <v>158</v>
      </c>
      <c r="M2478" t="s">
        <v>10685</v>
      </c>
    </row>
    <row r="2479" spans="1:13" ht="26.25" x14ac:dyDescent="0.25">
      <c r="A2479" s="13" t="s">
        <v>5934</v>
      </c>
      <c r="B2479" s="13" t="s">
        <v>5935</v>
      </c>
      <c r="C2479" s="13" t="s">
        <v>5936</v>
      </c>
      <c r="D2479" s="13">
        <v>0.9</v>
      </c>
      <c r="E2479" s="13" t="s">
        <v>5937</v>
      </c>
      <c r="F2479" s="13" t="s">
        <v>35</v>
      </c>
      <c r="G2479" s="13" t="s">
        <v>19</v>
      </c>
      <c r="H2479" s="13" t="s">
        <v>3</v>
      </c>
      <c r="I2479" s="13" t="s">
        <v>5938</v>
      </c>
      <c r="J2479" s="13" t="s">
        <v>37</v>
      </c>
      <c r="K2479" s="13" t="s">
        <v>8761</v>
      </c>
      <c r="L2479" s="13" t="s">
        <v>35</v>
      </c>
      <c r="M2479" t="s">
        <v>3</v>
      </c>
    </row>
    <row r="2480" spans="1:13" ht="26.25" x14ac:dyDescent="0.25">
      <c r="A2480" s="13" t="s">
        <v>5939</v>
      </c>
      <c r="B2480" s="13" t="s">
        <v>5940</v>
      </c>
      <c r="C2480" s="13" t="s">
        <v>5941</v>
      </c>
      <c r="D2480" s="13">
        <v>0.6</v>
      </c>
      <c r="E2480" s="13" t="s">
        <v>5942</v>
      </c>
      <c r="F2480" s="13" t="s">
        <v>35</v>
      </c>
      <c r="G2480" s="13" t="s">
        <v>19</v>
      </c>
      <c r="H2480" s="13" t="s">
        <v>3</v>
      </c>
      <c r="I2480" s="13" t="s">
        <v>5940</v>
      </c>
      <c r="J2480" s="13" t="s">
        <v>37</v>
      </c>
      <c r="K2480" s="13" t="s">
        <v>8762</v>
      </c>
      <c r="L2480" s="13" t="s">
        <v>35</v>
      </c>
      <c r="M2480" t="s">
        <v>3</v>
      </c>
    </row>
    <row r="2481" spans="1:13" x14ac:dyDescent="0.25">
      <c r="A2481" s="13" t="s">
        <v>11898</v>
      </c>
      <c r="B2481" s="13" t="s">
        <v>11899</v>
      </c>
      <c r="C2481" s="13" t="s">
        <v>11900</v>
      </c>
      <c r="D2481" s="13">
        <v>21</v>
      </c>
      <c r="E2481" s="13" t="s">
        <v>11901</v>
      </c>
      <c r="F2481" s="13" t="s">
        <v>8867</v>
      </c>
      <c r="G2481" s="13" t="s">
        <v>2</v>
      </c>
      <c r="H2481" s="13" t="s">
        <v>3</v>
      </c>
      <c r="I2481" s="13" t="s">
        <v>517</v>
      </c>
      <c r="J2481" s="13" t="s">
        <v>8890</v>
      </c>
      <c r="K2481" s="13" t="s">
        <v>8477</v>
      </c>
      <c r="L2481" s="13" t="s">
        <v>158</v>
      </c>
      <c r="M2481" t="s">
        <v>3</v>
      </c>
    </row>
    <row r="2482" spans="1:13" x14ac:dyDescent="0.25">
      <c r="A2482" s="13" t="s">
        <v>11902</v>
      </c>
      <c r="B2482" s="13" t="s">
        <v>11903</v>
      </c>
      <c r="C2482" s="13" t="s">
        <v>11904</v>
      </c>
      <c r="D2482" s="13">
        <v>15</v>
      </c>
      <c r="E2482" s="13" t="s">
        <v>11905</v>
      </c>
      <c r="F2482" s="13" t="s">
        <v>8867</v>
      </c>
      <c r="G2482" s="13" t="s">
        <v>2</v>
      </c>
      <c r="H2482" s="13" t="s">
        <v>3</v>
      </c>
      <c r="I2482" s="13" t="s">
        <v>517</v>
      </c>
      <c r="J2482" s="13" t="s">
        <v>8890</v>
      </c>
      <c r="K2482" s="13" t="s">
        <v>8477</v>
      </c>
      <c r="L2482" s="13" t="s">
        <v>158</v>
      </c>
      <c r="M2482" t="s">
        <v>3</v>
      </c>
    </row>
    <row r="2483" spans="1:13" ht="26.25" x14ac:dyDescent="0.25">
      <c r="A2483" s="13" t="s">
        <v>5943</v>
      </c>
      <c r="B2483" s="13" t="s">
        <v>5944</v>
      </c>
      <c r="C2483" s="13" t="s">
        <v>5945</v>
      </c>
      <c r="D2483" s="13">
        <v>45.5</v>
      </c>
      <c r="E2483" s="13" t="s">
        <v>5946</v>
      </c>
      <c r="F2483" s="13" t="s">
        <v>8867</v>
      </c>
      <c r="G2483" s="13" t="s">
        <v>2</v>
      </c>
      <c r="H2483" s="13" t="s">
        <v>3</v>
      </c>
      <c r="I2483" s="13" t="s">
        <v>215</v>
      </c>
      <c r="J2483" s="13" t="s">
        <v>8890</v>
      </c>
      <c r="K2483" s="13" t="s">
        <v>8451</v>
      </c>
      <c r="L2483" s="13" t="s">
        <v>158</v>
      </c>
      <c r="M2483" t="s">
        <v>3</v>
      </c>
    </row>
    <row r="2484" spans="1:13" ht="26.25" x14ac:dyDescent="0.25">
      <c r="A2484" s="13" t="s">
        <v>10957</v>
      </c>
      <c r="B2484" s="13" t="s">
        <v>10958</v>
      </c>
      <c r="C2484" s="13" t="s">
        <v>10958</v>
      </c>
      <c r="D2484" s="13">
        <v>0.1</v>
      </c>
      <c r="E2484" s="13" t="s">
        <v>10959</v>
      </c>
      <c r="F2484" s="13" t="s">
        <v>8860</v>
      </c>
      <c r="G2484" s="13" t="s">
        <v>19</v>
      </c>
      <c r="H2484" s="13" t="s">
        <v>3</v>
      </c>
      <c r="I2484" s="13" t="s">
        <v>10960</v>
      </c>
      <c r="J2484" s="13" t="s">
        <v>21</v>
      </c>
      <c r="K2484" s="13" t="s">
        <v>10961</v>
      </c>
      <c r="L2484" s="13" t="s">
        <v>18</v>
      </c>
      <c r="M2484" t="s">
        <v>3</v>
      </c>
    </row>
    <row r="2485" spans="1:13" ht="26.25" x14ac:dyDescent="0.25">
      <c r="A2485" s="13" t="s">
        <v>9381</v>
      </c>
      <c r="B2485" s="13" t="s">
        <v>9381</v>
      </c>
      <c r="C2485" s="13" t="s">
        <v>6593</v>
      </c>
      <c r="D2485" s="13">
        <v>2.2000000000000002</v>
      </c>
      <c r="E2485" s="13" t="s">
        <v>9382</v>
      </c>
      <c r="F2485" s="13" t="s">
        <v>8867</v>
      </c>
      <c r="G2485" s="13" t="s">
        <v>2</v>
      </c>
      <c r="H2485" s="13" t="s">
        <v>3</v>
      </c>
      <c r="I2485" s="13" t="s">
        <v>435</v>
      </c>
      <c r="J2485" s="13" t="s">
        <v>8890</v>
      </c>
      <c r="K2485" s="13" t="s">
        <v>8469</v>
      </c>
      <c r="L2485" s="13" t="s">
        <v>158</v>
      </c>
      <c r="M2485" t="s">
        <v>3</v>
      </c>
    </row>
    <row r="2486" spans="1:13" ht="26.25" x14ac:dyDescent="0.25">
      <c r="A2486" s="13" t="s">
        <v>10063</v>
      </c>
      <c r="B2486" s="13" t="s">
        <v>10064</v>
      </c>
      <c r="C2486" s="13" t="s">
        <v>10065</v>
      </c>
      <c r="D2486" s="13">
        <v>0.1</v>
      </c>
      <c r="E2486" s="13" t="s">
        <v>10066</v>
      </c>
      <c r="F2486" s="13" t="s">
        <v>8860</v>
      </c>
      <c r="G2486" s="13" t="s">
        <v>19</v>
      </c>
      <c r="H2486" s="13" t="s">
        <v>3</v>
      </c>
      <c r="I2486" s="13" t="s">
        <v>10067</v>
      </c>
      <c r="J2486" s="13" t="s">
        <v>21</v>
      </c>
      <c r="K2486" s="13" t="s">
        <v>10068</v>
      </c>
      <c r="L2486" s="13" t="s">
        <v>18</v>
      </c>
      <c r="M2486" t="s">
        <v>3</v>
      </c>
    </row>
    <row r="2487" spans="1:13" ht="26.25" x14ac:dyDescent="0.25">
      <c r="A2487" s="13" t="s">
        <v>5947</v>
      </c>
      <c r="B2487" s="13" t="s">
        <v>5948</v>
      </c>
      <c r="C2487" s="13" t="s">
        <v>5949</v>
      </c>
      <c r="D2487" s="13">
        <v>0.7</v>
      </c>
      <c r="E2487" s="13" t="s">
        <v>5950</v>
      </c>
      <c r="F2487" s="13" t="s">
        <v>8860</v>
      </c>
      <c r="G2487" s="13" t="s">
        <v>19</v>
      </c>
      <c r="H2487" s="13" t="s">
        <v>3</v>
      </c>
      <c r="I2487" s="13" t="s">
        <v>5951</v>
      </c>
      <c r="J2487" s="13" t="s">
        <v>21</v>
      </c>
      <c r="K2487" s="13" t="s">
        <v>8763</v>
      </c>
      <c r="L2487" s="13" t="s">
        <v>18</v>
      </c>
      <c r="M2487" t="s">
        <v>3</v>
      </c>
    </row>
    <row r="2488" spans="1:13" ht="26.25" x14ac:dyDescent="0.25">
      <c r="A2488" s="13" t="s">
        <v>5952</v>
      </c>
      <c r="B2488" s="13" t="s">
        <v>5952</v>
      </c>
      <c r="C2488" s="13" t="s">
        <v>5953</v>
      </c>
      <c r="D2488" s="13">
        <v>30</v>
      </c>
      <c r="E2488" s="13" t="s">
        <v>5954</v>
      </c>
      <c r="F2488" s="13" t="s">
        <v>35</v>
      </c>
      <c r="G2488" s="13" t="s">
        <v>19</v>
      </c>
      <c r="H2488" s="13" t="s">
        <v>3</v>
      </c>
      <c r="I2488" s="13" t="s">
        <v>5955</v>
      </c>
      <c r="J2488" s="13" t="s">
        <v>37</v>
      </c>
      <c r="K2488" s="13" t="s">
        <v>8420</v>
      </c>
      <c r="L2488" s="13" t="s">
        <v>35</v>
      </c>
      <c r="M2488" t="s">
        <v>3</v>
      </c>
    </row>
    <row r="2489" spans="1:13" ht="26.25" x14ac:dyDescent="0.25">
      <c r="A2489" s="13" t="s">
        <v>5956</v>
      </c>
      <c r="B2489" s="13" t="s">
        <v>5956</v>
      </c>
      <c r="C2489" s="13" t="s">
        <v>5956</v>
      </c>
      <c r="D2489" s="13">
        <v>1.5</v>
      </c>
      <c r="E2489" s="13" t="s">
        <v>5957</v>
      </c>
      <c r="F2489" s="13" t="s">
        <v>35</v>
      </c>
      <c r="G2489" s="13" t="s">
        <v>19</v>
      </c>
      <c r="H2489" s="13" t="s">
        <v>3</v>
      </c>
      <c r="I2489" s="13" t="s">
        <v>5958</v>
      </c>
      <c r="J2489" s="13" t="s">
        <v>37</v>
      </c>
      <c r="K2489" s="13" t="s">
        <v>8764</v>
      </c>
      <c r="L2489" s="13" t="s">
        <v>35</v>
      </c>
      <c r="M2489" t="s">
        <v>3</v>
      </c>
    </row>
    <row r="2490" spans="1:13" ht="26.25" x14ac:dyDescent="0.25">
      <c r="A2490" s="13" t="s">
        <v>9383</v>
      </c>
      <c r="B2490" s="13" t="s">
        <v>9384</v>
      </c>
      <c r="C2490" s="13" t="s">
        <v>9385</v>
      </c>
      <c r="D2490" s="13">
        <v>0.6</v>
      </c>
      <c r="E2490" s="13" t="s">
        <v>9386</v>
      </c>
      <c r="F2490" s="13" t="s">
        <v>8860</v>
      </c>
      <c r="G2490" s="13" t="s">
        <v>19</v>
      </c>
      <c r="H2490" s="13" t="s">
        <v>3</v>
      </c>
      <c r="I2490" s="13" t="s">
        <v>9387</v>
      </c>
      <c r="J2490" s="13" t="s">
        <v>21</v>
      </c>
      <c r="K2490" s="13" t="s">
        <v>9385</v>
      </c>
      <c r="L2490" s="13" t="s">
        <v>18</v>
      </c>
      <c r="M2490" t="s">
        <v>3</v>
      </c>
    </row>
    <row r="2491" spans="1:13" ht="26.25" x14ac:dyDescent="0.25">
      <c r="A2491" s="13" t="s">
        <v>5959</v>
      </c>
      <c r="B2491" s="13" t="s">
        <v>9388</v>
      </c>
      <c r="C2491" s="13" t="s">
        <v>5960</v>
      </c>
      <c r="D2491" s="13">
        <v>0.5</v>
      </c>
      <c r="E2491" s="13" t="s">
        <v>5961</v>
      </c>
      <c r="F2491" s="13" t="s">
        <v>8860</v>
      </c>
      <c r="G2491" s="13" t="s">
        <v>19</v>
      </c>
      <c r="H2491" s="13" t="s">
        <v>3</v>
      </c>
      <c r="I2491" s="13" t="s">
        <v>5962</v>
      </c>
      <c r="J2491" s="13" t="s">
        <v>21</v>
      </c>
      <c r="K2491" s="13" t="s">
        <v>8765</v>
      </c>
      <c r="L2491" s="13" t="s">
        <v>18</v>
      </c>
      <c r="M2491" t="s">
        <v>3</v>
      </c>
    </row>
    <row r="2492" spans="1:13" ht="26.25" x14ac:dyDescent="0.25">
      <c r="A2492" s="13" t="s">
        <v>5963</v>
      </c>
      <c r="B2492" s="13" t="s">
        <v>5964</v>
      </c>
      <c r="C2492" s="13" t="s">
        <v>5965</v>
      </c>
      <c r="D2492" s="13">
        <v>300</v>
      </c>
      <c r="E2492" s="13" t="s">
        <v>5966</v>
      </c>
      <c r="F2492" s="13" t="s">
        <v>8870</v>
      </c>
      <c r="G2492" s="13" t="s">
        <v>19</v>
      </c>
      <c r="H2492" s="13" t="s">
        <v>3</v>
      </c>
      <c r="I2492" s="13" t="s">
        <v>4457</v>
      </c>
      <c r="J2492" s="13" t="s">
        <v>410</v>
      </c>
      <c r="K2492" s="13" t="s">
        <v>5976</v>
      </c>
      <c r="L2492" s="13" t="s">
        <v>8942</v>
      </c>
      <c r="M2492" t="s">
        <v>3</v>
      </c>
    </row>
    <row r="2493" spans="1:13" ht="26.25" x14ac:dyDescent="0.25">
      <c r="A2493" s="13" t="s">
        <v>5967</v>
      </c>
      <c r="B2493" s="13" t="s">
        <v>5968</v>
      </c>
      <c r="C2493" s="13" t="s">
        <v>5969</v>
      </c>
      <c r="D2493" s="13">
        <v>100</v>
      </c>
      <c r="E2493" s="13" t="s">
        <v>5970</v>
      </c>
      <c r="F2493" s="13" t="s">
        <v>8860</v>
      </c>
      <c r="G2493" s="13" t="s">
        <v>19</v>
      </c>
      <c r="H2493" s="13" t="s">
        <v>3</v>
      </c>
      <c r="I2493" s="13" t="s">
        <v>4457</v>
      </c>
      <c r="J2493" s="13" t="s">
        <v>21</v>
      </c>
      <c r="K2493" s="13" t="s">
        <v>5976</v>
      </c>
      <c r="L2493" s="13" t="s">
        <v>18</v>
      </c>
      <c r="M2493" t="s">
        <v>3</v>
      </c>
    </row>
    <row r="2494" spans="1:13" ht="26.25" x14ac:dyDescent="0.25">
      <c r="A2494" s="13" t="s">
        <v>5971</v>
      </c>
      <c r="B2494" s="13" t="s">
        <v>5971</v>
      </c>
      <c r="C2494" s="13" t="s">
        <v>5971</v>
      </c>
      <c r="D2494" s="13">
        <v>0</v>
      </c>
      <c r="E2494" s="13" t="s">
        <v>5972</v>
      </c>
      <c r="F2494" s="13" t="s">
        <v>8860</v>
      </c>
      <c r="G2494" s="13" t="s">
        <v>19</v>
      </c>
      <c r="H2494" s="13" t="s">
        <v>3</v>
      </c>
      <c r="I2494" s="13" t="s">
        <v>5973</v>
      </c>
      <c r="J2494" s="13" t="s">
        <v>21</v>
      </c>
      <c r="K2494" s="13" t="s">
        <v>9389</v>
      </c>
      <c r="L2494" s="13" t="s">
        <v>18</v>
      </c>
      <c r="M2494" t="s">
        <v>3</v>
      </c>
    </row>
    <row r="2495" spans="1:13" ht="26.25" x14ac:dyDescent="0.25">
      <c r="A2495" s="13" t="s">
        <v>11395</v>
      </c>
      <c r="B2495" s="13" t="s">
        <v>5967</v>
      </c>
      <c r="C2495" s="13" t="s">
        <v>5967</v>
      </c>
      <c r="D2495" s="13">
        <v>10</v>
      </c>
      <c r="E2495" s="13" t="s">
        <v>11396</v>
      </c>
      <c r="F2495" s="13" t="s">
        <v>8860</v>
      </c>
      <c r="G2495" s="13" t="s">
        <v>19</v>
      </c>
      <c r="H2495" s="13" t="s">
        <v>3</v>
      </c>
      <c r="I2495" s="13" t="s">
        <v>11397</v>
      </c>
      <c r="J2495" s="13" t="s">
        <v>21</v>
      </c>
      <c r="K2495" s="13" t="s">
        <v>11398</v>
      </c>
      <c r="L2495" s="13" t="s">
        <v>18</v>
      </c>
      <c r="M2495" t="s">
        <v>3</v>
      </c>
    </row>
    <row r="2496" spans="1:13" x14ac:dyDescent="0.25">
      <c r="A2496" s="13" t="s">
        <v>5974</v>
      </c>
      <c r="B2496" s="13" t="s">
        <v>5975</v>
      </c>
      <c r="C2496" s="13" t="s">
        <v>5976</v>
      </c>
      <c r="D2496" s="13">
        <v>300</v>
      </c>
      <c r="E2496" s="13" t="s">
        <v>5977</v>
      </c>
      <c r="F2496" s="13" t="s">
        <v>8871</v>
      </c>
      <c r="G2496" s="13" t="s">
        <v>2</v>
      </c>
      <c r="H2496" s="13" t="s">
        <v>3</v>
      </c>
      <c r="I2496" s="13" t="s">
        <v>4457</v>
      </c>
      <c r="J2496" s="13" t="s">
        <v>410</v>
      </c>
      <c r="K2496" s="13" t="s">
        <v>5976</v>
      </c>
      <c r="L2496" s="13" t="s">
        <v>8943</v>
      </c>
      <c r="M2496" t="s">
        <v>3</v>
      </c>
    </row>
    <row r="2497" spans="1:13" ht="26.25" x14ac:dyDescent="0.25">
      <c r="A2497" s="13" t="s">
        <v>5978</v>
      </c>
      <c r="B2497" s="13" t="s">
        <v>5979</v>
      </c>
      <c r="C2497" s="13" t="s">
        <v>5980</v>
      </c>
      <c r="D2497" s="13">
        <v>1.5</v>
      </c>
      <c r="E2497" s="13" t="s">
        <v>5981</v>
      </c>
      <c r="F2497" s="13" t="s">
        <v>8860</v>
      </c>
      <c r="G2497" s="13" t="s">
        <v>19</v>
      </c>
      <c r="H2497" s="13" t="s">
        <v>3</v>
      </c>
      <c r="I2497" s="13" t="s">
        <v>5979</v>
      </c>
      <c r="J2497" s="13" t="s">
        <v>21</v>
      </c>
      <c r="K2497" s="13" t="s">
        <v>8766</v>
      </c>
      <c r="L2497" s="13" t="s">
        <v>18</v>
      </c>
      <c r="M2497" t="s">
        <v>3</v>
      </c>
    </row>
    <row r="2498" spans="1:13" ht="26.25" x14ac:dyDescent="0.25">
      <c r="A2498" s="13" t="s">
        <v>5982</v>
      </c>
      <c r="B2498" s="13" t="s">
        <v>5983</v>
      </c>
      <c r="C2498" s="13" t="s">
        <v>5983</v>
      </c>
      <c r="D2498" s="13">
        <v>1.7</v>
      </c>
      <c r="E2498" s="13" t="s">
        <v>5984</v>
      </c>
      <c r="F2498" s="13" t="s">
        <v>35</v>
      </c>
      <c r="G2498" s="13" t="s">
        <v>19</v>
      </c>
      <c r="H2498" s="13" t="s">
        <v>3</v>
      </c>
      <c r="I2498" s="13" t="s">
        <v>5985</v>
      </c>
      <c r="J2498" s="13" t="s">
        <v>37</v>
      </c>
      <c r="K2498" s="13" t="s">
        <v>8767</v>
      </c>
      <c r="L2498" s="13" t="s">
        <v>35</v>
      </c>
      <c r="M2498" t="s">
        <v>3</v>
      </c>
    </row>
    <row r="2499" spans="1:13" ht="26.25" x14ac:dyDescent="0.25">
      <c r="A2499" s="13" t="s">
        <v>11906</v>
      </c>
      <c r="B2499" s="13" t="s">
        <v>11907</v>
      </c>
      <c r="C2499" s="13" t="s">
        <v>11908</v>
      </c>
      <c r="D2499" s="13">
        <v>0.1</v>
      </c>
      <c r="E2499" s="13" t="s">
        <v>11909</v>
      </c>
      <c r="F2499" s="13" t="s">
        <v>8860</v>
      </c>
      <c r="G2499" s="13" t="s">
        <v>19</v>
      </c>
      <c r="H2499" s="13" t="s">
        <v>3</v>
      </c>
      <c r="I2499" s="13" t="s">
        <v>11910</v>
      </c>
      <c r="J2499" s="13" t="s">
        <v>21</v>
      </c>
      <c r="K2499" s="13" t="s">
        <v>11911</v>
      </c>
      <c r="L2499" s="13" t="s">
        <v>18</v>
      </c>
      <c r="M2499" t="s">
        <v>3</v>
      </c>
    </row>
    <row r="2500" spans="1:13" x14ac:dyDescent="0.25">
      <c r="A2500" s="13" t="s">
        <v>9390</v>
      </c>
      <c r="B2500" s="13" t="s">
        <v>9391</v>
      </c>
      <c r="C2500" s="13" t="s">
        <v>9392</v>
      </c>
      <c r="D2500" s="13">
        <v>110</v>
      </c>
      <c r="E2500" s="13" t="s">
        <v>9393</v>
      </c>
      <c r="F2500" s="13" t="s">
        <v>8867</v>
      </c>
      <c r="G2500" s="13" t="s">
        <v>2</v>
      </c>
      <c r="H2500" s="13" t="s">
        <v>3</v>
      </c>
      <c r="I2500" s="13" t="s">
        <v>435</v>
      </c>
      <c r="J2500" s="13" t="s">
        <v>8890</v>
      </c>
      <c r="K2500" s="13" t="s">
        <v>8469</v>
      </c>
      <c r="L2500" s="13" t="s">
        <v>158</v>
      </c>
      <c r="M2500" t="s">
        <v>3</v>
      </c>
    </row>
    <row r="2501" spans="1:13" ht="26.25" x14ac:dyDescent="0.25">
      <c r="A2501" s="13" t="s">
        <v>5986</v>
      </c>
      <c r="B2501" s="13" t="s">
        <v>5987</v>
      </c>
      <c r="C2501" s="13" t="s">
        <v>5988</v>
      </c>
      <c r="D2501" s="13">
        <v>25</v>
      </c>
      <c r="E2501" s="13" t="s">
        <v>5989</v>
      </c>
      <c r="F2501" s="13" t="s">
        <v>8860</v>
      </c>
      <c r="G2501" s="13" t="s">
        <v>19</v>
      </c>
      <c r="H2501" s="13" t="s">
        <v>3</v>
      </c>
      <c r="I2501" s="13" t="s">
        <v>5990</v>
      </c>
      <c r="J2501" s="13" t="s">
        <v>21</v>
      </c>
      <c r="K2501" s="13" t="s">
        <v>8768</v>
      </c>
      <c r="L2501" s="13" t="s">
        <v>18</v>
      </c>
      <c r="M2501" t="s">
        <v>3</v>
      </c>
    </row>
    <row r="2502" spans="1:13" ht="26.25" x14ac:dyDescent="0.25">
      <c r="A2502" s="13" t="s">
        <v>5991</v>
      </c>
      <c r="B2502" s="13" t="s">
        <v>5992</v>
      </c>
      <c r="C2502" s="13" t="s">
        <v>5993</v>
      </c>
      <c r="D2502" s="13">
        <v>0.8</v>
      </c>
      <c r="E2502" s="13" t="s">
        <v>5994</v>
      </c>
      <c r="F2502" s="13" t="s">
        <v>8860</v>
      </c>
      <c r="G2502" s="13" t="s">
        <v>19</v>
      </c>
      <c r="H2502" s="13" t="s">
        <v>3</v>
      </c>
      <c r="I2502" s="13" t="s">
        <v>5995</v>
      </c>
      <c r="J2502" s="13" t="s">
        <v>21</v>
      </c>
      <c r="K2502" s="13" t="s">
        <v>5993</v>
      </c>
      <c r="L2502" s="13" t="s">
        <v>18</v>
      </c>
      <c r="M2502" t="s">
        <v>3</v>
      </c>
    </row>
    <row r="2503" spans="1:13" x14ac:dyDescent="0.25">
      <c r="A2503" s="13" t="s">
        <v>9394</v>
      </c>
      <c r="B2503" s="13" t="s">
        <v>9394</v>
      </c>
      <c r="C2503" s="13" t="s">
        <v>9395</v>
      </c>
      <c r="D2503" s="13">
        <v>22.8</v>
      </c>
      <c r="E2503" s="13" t="s">
        <v>9396</v>
      </c>
      <c r="F2503" s="13" t="s">
        <v>8867</v>
      </c>
      <c r="G2503" s="13" t="s">
        <v>2</v>
      </c>
      <c r="H2503" s="13" t="s">
        <v>11195</v>
      </c>
      <c r="I2503" s="13" t="s">
        <v>809</v>
      </c>
      <c r="J2503" s="13" t="s">
        <v>8890</v>
      </c>
      <c r="K2503" s="13" t="s">
        <v>8512</v>
      </c>
      <c r="L2503" s="13" t="s">
        <v>158</v>
      </c>
      <c r="M2503" t="s">
        <v>11195</v>
      </c>
    </row>
    <row r="2504" spans="1:13" ht="26.25" x14ac:dyDescent="0.25">
      <c r="A2504" s="13" t="s">
        <v>5996</v>
      </c>
      <c r="B2504" s="13" t="s">
        <v>5997</v>
      </c>
      <c r="C2504" s="13" t="s">
        <v>5998</v>
      </c>
      <c r="D2504" s="13">
        <v>0.1</v>
      </c>
      <c r="E2504" s="13" t="s">
        <v>5999</v>
      </c>
      <c r="F2504" s="13" t="s">
        <v>8860</v>
      </c>
      <c r="G2504" s="13" t="s">
        <v>19</v>
      </c>
      <c r="H2504" s="13" t="s">
        <v>3</v>
      </c>
      <c r="I2504" s="13" t="s">
        <v>6000</v>
      </c>
      <c r="J2504" s="13" t="s">
        <v>21</v>
      </c>
      <c r="K2504" s="13" t="s">
        <v>8769</v>
      </c>
      <c r="L2504" s="13" t="s">
        <v>18</v>
      </c>
      <c r="M2504" t="s">
        <v>3</v>
      </c>
    </row>
    <row r="2505" spans="1:13" ht="26.25" x14ac:dyDescent="0.25">
      <c r="A2505" s="13" t="s">
        <v>6001</v>
      </c>
      <c r="B2505" s="13" t="s">
        <v>6002</v>
      </c>
      <c r="C2505" s="13" t="s">
        <v>6003</v>
      </c>
      <c r="D2505" s="13">
        <v>0.1</v>
      </c>
      <c r="E2505" s="13" t="s">
        <v>6004</v>
      </c>
      <c r="F2505" s="13" t="s">
        <v>8860</v>
      </c>
      <c r="G2505" s="13" t="s">
        <v>19</v>
      </c>
      <c r="H2505" s="13" t="s">
        <v>3</v>
      </c>
      <c r="I2505" s="13" t="s">
        <v>6005</v>
      </c>
      <c r="J2505" s="13" t="s">
        <v>21</v>
      </c>
      <c r="K2505" s="13" t="s">
        <v>6003</v>
      </c>
      <c r="L2505" s="13" t="s">
        <v>18</v>
      </c>
      <c r="M2505" t="s">
        <v>3</v>
      </c>
    </row>
    <row r="2506" spans="1:13" x14ac:dyDescent="0.25">
      <c r="A2506" s="13" t="s">
        <v>6006</v>
      </c>
      <c r="B2506" s="13" t="s">
        <v>6007</v>
      </c>
      <c r="C2506" s="13" t="s">
        <v>6008</v>
      </c>
      <c r="D2506" s="13">
        <v>0.8</v>
      </c>
      <c r="E2506" s="13" t="s">
        <v>6009</v>
      </c>
      <c r="F2506" s="13" t="s">
        <v>8861</v>
      </c>
      <c r="G2506" s="13" t="s">
        <v>2</v>
      </c>
      <c r="H2506" s="13" t="s">
        <v>3</v>
      </c>
      <c r="I2506" s="13" t="s">
        <v>497</v>
      </c>
      <c r="J2506" s="13" t="s">
        <v>8890</v>
      </c>
      <c r="K2506" s="13" t="s">
        <v>8475</v>
      </c>
      <c r="L2506" s="13" t="s">
        <v>8891</v>
      </c>
      <c r="M2506" t="s">
        <v>3</v>
      </c>
    </row>
    <row r="2507" spans="1:13" ht="26.25" x14ac:dyDescent="0.25">
      <c r="A2507" s="13" t="s">
        <v>6010</v>
      </c>
      <c r="B2507" s="13" t="s">
        <v>6011</v>
      </c>
      <c r="C2507" s="13" t="s">
        <v>6012</v>
      </c>
      <c r="D2507" s="13">
        <v>0.7</v>
      </c>
      <c r="E2507" s="13" t="s">
        <v>6013</v>
      </c>
      <c r="F2507" s="13" t="s">
        <v>35</v>
      </c>
      <c r="G2507" s="13" t="s">
        <v>19</v>
      </c>
      <c r="H2507" s="13" t="s">
        <v>3</v>
      </c>
      <c r="I2507" s="13" t="s">
        <v>6014</v>
      </c>
      <c r="J2507" s="13" t="s">
        <v>37</v>
      </c>
      <c r="K2507" s="13" t="s">
        <v>8770</v>
      </c>
      <c r="L2507" s="13" t="s">
        <v>35</v>
      </c>
      <c r="M2507" t="s">
        <v>3</v>
      </c>
    </row>
    <row r="2508" spans="1:13" ht="26.25" x14ac:dyDescent="0.25">
      <c r="A2508" s="13" t="s">
        <v>6015</v>
      </c>
      <c r="B2508" s="13" t="s">
        <v>6016</v>
      </c>
      <c r="C2508" s="13" t="s">
        <v>6017</v>
      </c>
      <c r="D2508" s="13">
        <v>0.1</v>
      </c>
      <c r="E2508" s="13" t="s">
        <v>6018</v>
      </c>
      <c r="F2508" s="13" t="s">
        <v>8860</v>
      </c>
      <c r="G2508" s="13" t="s">
        <v>19</v>
      </c>
      <c r="H2508" s="13" t="s">
        <v>3</v>
      </c>
      <c r="I2508" s="13" t="s">
        <v>6019</v>
      </c>
      <c r="J2508" s="13" t="s">
        <v>21</v>
      </c>
      <c r="K2508" s="13" t="s">
        <v>8771</v>
      </c>
      <c r="L2508" s="13" t="s">
        <v>18</v>
      </c>
      <c r="M2508" t="s">
        <v>3</v>
      </c>
    </row>
    <row r="2509" spans="1:13" x14ac:dyDescent="0.25">
      <c r="A2509" s="13" t="s">
        <v>6020</v>
      </c>
      <c r="B2509" s="13" t="s">
        <v>6020</v>
      </c>
      <c r="C2509" s="13" t="s">
        <v>6021</v>
      </c>
      <c r="D2509" s="13">
        <v>420.1</v>
      </c>
      <c r="E2509" s="13" t="s">
        <v>6022</v>
      </c>
      <c r="F2509" s="13" t="s">
        <v>8864</v>
      </c>
      <c r="G2509" s="13" t="s">
        <v>2</v>
      </c>
      <c r="H2509" s="13" t="s">
        <v>3</v>
      </c>
      <c r="I2509" s="13" t="s">
        <v>62</v>
      </c>
      <c r="J2509" s="13" t="s">
        <v>8890</v>
      </c>
      <c r="K2509" s="13" t="s">
        <v>8430</v>
      </c>
      <c r="L2509" s="13" t="s">
        <v>56</v>
      </c>
      <c r="M2509" t="s">
        <v>3</v>
      </c>
    </row>
    <row r="2510" spans="1:13" x14ac:dyDescent="0.25">
      <c r="A2510" s="13" t="s">
        <v>6023</v>
      </c>
      <c r="B2510" s="13" t="s">
        <v>6023</v>
      </c>
      <c r="C2510" s="13" t="s">
        <v>6024</v>
      </c>
      <c r="D2510" s="13">
        <v>414</v>
      </c>
      <c r="E2510" s="13" t="s">
        <v>6025</v>
      </c>
      <c r="F2510" s="13" t="s">
        <v>8864</v>
      </c>
      <c r="G2510" s="13" t="s">
        <v>2</v>
      </c>
      <c r="H2510" s="13" t="s">
        <v>9243</v>
      </c>
      <c r="I2510" s="13" t="s">
        <v>119</v>
      </c>
      <c r="J2510" s="13" t="s">
        <v>8890</v>
      </c>
      <c r="K2510" s="13" t="s">
        <v>8883</v>
      </c>
      <c r="L2510" s="13" t="s">
        <v>56</v>
      </c>
      <c r="M2510" t="s">
        <v>9243</v>
      </c>
    </row>
    <row r="2511" spans="1:13" ht="26.25" x14ac:dyDescent="0.25">
      <c r="A2511" s="13" t="s">
        <v>6026</v>
      </c>
      <c r="B2511" s="13" t="s">
        <v>6026</v>
      </c>
      <c r="C2511" s="13" t="s">
        <v>6027</v>
      </c>
      <c r="D2511" s="13">
        <v>15</v>
      </c>
      <c r="E2511" s="13" t="s">
        <v>6028</v>
      </c>
      <c r="F2511" s="13" t="s">
        <v>275</v>
      </c>
      <c r="G2511" s="13" t="s">
        <v>19</v>
      </c>
      <c r="H2511" s="13" t="s">
        <v>3</v>
      </c>
      <c r="I2511" s="13" t="s">
        <v>119</v>
      </c>
      <c r="J2511" s="13" t="s">
        <v>276</v>
      </c>
      <c r="K2511" s="13" t="s">
        <v>8883</v>
      </c>
      <c r="L2511" s="13" t="s">
        <v>275</v>
      </c>
      <c r="M2511" t="s">
        <v>3</v>
      </c>
    </row>
    <row r="2512" spans="1:13" ht="26.25" x14ac:dyDescent="0.25">
      <c r="A2512" s="13" t="s">
        <v>9962</v>
      </c>
      <c r="B2512" s="13" t="s">
        <v>9962</v>
      </c>
      <c r="C2512" s="13" t="s">
        <v>9962</v>
      </c>
      <c r="D2512" s="13">
        <v>2.4</v>
      </c>
      <c r="E2512" s="13" t="s">
        <v>9963</v>
      </c>
      <c r="F2512" s="13" t="s">
        <v>8867</v>
      </c>
      <c r="G2512" s="13" t="s">
        <v>2</v>
      </c>
      <c r="H2512" s="13" t="s">
        <v>3</v>
      </c>
      <c r="I2512" s="13" t="s">
        <v>4526</v>
      </c>
      <c r="J2512" s="13" t="s">
        <v>8890</v>
      </c>
      <c r="K2512" s="13" t="s">
        <v>8656</v>
      </c>
      <c r="L2512" s="13" t="s">
        <v>158</v>
      </c>
      <c r="M2512" t="s">
        <v>3</v>
      </c>
    </row>
    <row r="2513" spans="1:13" x14ac:dyDescent="0.25">
      <c r="A2513" s="13" t="s">
        <v>6029</v>
      </c>
      <c r="B2513" s="13" t="s">
        <v>6029</v>
      </c>
      <c r="C2513" s="13" t="s">
        <v>6029</v>
      </c>
      <c r="D2513" s="13">
        <v>0.1</v>
      </c>
      <c r="E2513" s="13" t="s">
        <v>6030</v>
      </c>
      <c r="F2513" s="13" t="s">
        <v>8863</v>
      </c>
      <c r="G2513" s="13" t="s">
        <v>2</v>
      </c>
      <c r="H2513" s="13" t="s">
        <v>3</v>
      </c>
      <c r="I2513" s="13" t="s">
        <v>616</v>
      </c>
      <c r="J2513" s="13" t="s">
        <v>8890</v>
      </c>
      <c r="K2513" s="13" t="s">
        <v>8443</v>
      </c>
      <c r="L2513" s="13" t="s">
        <v>8893</v>
      </c>
      <c r="M2513" t="s">
        <v>3</v>
      </c>
    </row>
    <row r="2514" spans="1:13" ht="26.25" x14ac:dyDescent="0.25">
      <c r="A2514" s="13" t="s">
        <v>6031</v>
      </c>
      <c r="B2514" s="13" t="s">
        <v>6032</v>
      </c>
      <c r="C2514" s="13" t="s">
        <v>6033</v>
      </c>
      <c r="D2514" s="13">
        <v>0.1</v>
      </c>
      <c r="E2514" s="13" t="s">
        <v>6034</v>
      </c>
      <c r="F2514" s="13" t="s">
        <v>8860</v>
      </c>
      <c r="G2514" s="13" t="s">
        <v>19</v>
      </c>
      <c r="H2514" s="13" t="s">
        <v>3</v>
      </c>
      <c r="I2514" s="13" t="s">
        <v>6035</v>
      </c>
      <c r="J2514" s="13" t="s">
        <v>21</v>
      </c>
      <c r="K2514" s="13" t="s">
        <v>6033</v>
      </c>
      <c r="L2514" s="13" t="s">
        <v>18</v>
      </c>
      <c r="M2514" t="s">
        <v>3</v>
      </c>
    </row>
    <row r="2515" spans="1:13" ht="26.25" x14ac:dyDescent="0.25">
      <c r="A2515" s="13" t="s">
        <v>6036</v>
      </c>
      <c r="B2515" s="13" t="s">
        <v>6036</v>
      </c>
      <c r="C2515" s="13" t="s">
        <v>6037</v>
      </c>
      <c r="D2515" s="13">
        <v>1</v>
      </c>
      <c r="E2515" s="13" t="s">
        <v>6038</v>
      </c>
      <c r="F2515" s="13" t="s">
        <v>8860</v>
      </c>
      <c r="G2515" s="13" t="s">
        <v>19</v>
      </c>
      <c r="H2515" s="13" t="s">
        <v>3</v>
      </c>
      <c r="I2515" s="13" t="s">
        <v>6039</v>
      </c>
      <c r="J2515" s="13" t="s">
        <v>21</v>
      </c>
      <c r="K2515" s="13" t="s">
        <v>8772</v>
      </c>
      <c r="L2515" s="13" t="s">
        <v>18</v>
      </c>
      <c r="M2515" t="s">
        <v>3</v>
      </c>
    </row>
    <row r="2516" spans="1:13" ht="39" x14ac:dyDescent="0.25">
      <c r="A2516" s="13" t="s">
        <v>6040</v>
      </c>
      <c r="B2516" s="13" t="s">
        <v>6041</v>
      </c>
      <c r="C2516" s="13" t="s">
        <v>6042</v>
      </c>
      <c r="D2516" s="13">
        <v>1</v>
      </c>
      <c r="E2516" s="13" t="s">
        <v>6043</v>
      </c>
      <c r="F2516" s="13" t="s">
        <v>8860</v>
      </c>
      <c r="G2516" s="13" t="s">
        <v>19</v>
      </c>
      <c r="H2516" s="13" t="s">
        <v>3</v>
      </c>
      <c r="I2516" s="13" t="s">
        <v>6044</v>
      </c>
      <c r="J2516" s="13" t="s">
        <v>21</v>
      </c>
      <c r="K2516" s="13" t="s">
        <v>8773</v>
      </c>
      <c r="L2516" s="13" t="s">
        <v>18</v>
      </c>
      <c r="M2516" t="s">
        <v>3</v>
      </c>
    </row>
    <row r="2517" spans="1:13" x14ac:dyDescent="0.25">
      <c r="A2517" s="13" t="s">
        <v>6045</v>
      </c>
      <c r="B2517" s="13" t="s">
        <v>6045</v>
      </c>
      <c r="C2517" s="13" t="s">
        <v>6046</v>
      </c>
      <c r="D2517" s="13">
        <v>2</v>
      </c>
      <c r="E2517" s="13" t="s">
        <v>6047</v>
      </c>
      <c r="F2517" s="13" t="s">
        <v>8873</v>
      </c>
      <c r="G2517" s="13" t="s">
        <v>2</v>
      </c>
      <c r="H2517" s="13" t="s">
        <v>3</v>
      </c>
      <c r="I2517" s="13" t="s">
        <v>228</v>
      </c>
      <c r="J2517" s="13" t="s">
        <v>8890</v>
      </c>
      <c r="K2517" s="13" t="s">
        <v>8418</v>
      </c>
      <c r="L2517" s="13" t="s">
        <v>8964</v>
      </c>
      <c r="M2517" t="s">
        <v>3</v>
      </c>
    </row>
    <row r="2518" spans="1:13" ht="26.25" x14ac:dyDescent="0.25">
      <c r="A2518" s="13" t="s">
        <v>6048</v>
      </c>
      <c r="B2518" s="13" t="s">
        <v>6048</v>
      </c>
      <c r="C2518" s="13" t="s">
        <v>6049</v>
      </c>
      <c r="D2518" s="13">
        <v>49.4</v>
      </c>
      <c r="E2518" s="13" t="s">
        <v>6050</v>
      </c>
      <c r="F2518" s="13" t="s">
        <v>8865</v>
      </c>
      <c r="G2518" s="13" t="s">
        <v>2</v>
      </c>
      <c r="H2518" s="13" t="s">
        <v>3</v>
      </c>
      <c r="I2518" s="13" t="s">
        <v>6051</v>
      </c>
      <c r="J2518" s="13" t="s">
        <v>8890</v>
      </c>
      <c r="K2518" s="13" t="s">
        <v>8774</v>
      </c>
      <c r="L2518" s="13" t="s">
        <v>8901</v>
      </c>
      <c r="M2518" t="s">
        <v>3</v>
      </c>
    </row>
    <row r="2519" spans="1:13" x14ac:dyDescent="0.25">
      <c r="A2519" s="13" t="s">
        <v>6052</v>
      </c>
      <c r="B2519" s="13" t="s">
        <v>6052</v>
      </c>
      <c r="C2519" s="13" t="s">
        <v>6053</v>
      </c>
      <c r="D2519" s="13">
        <v>7.8</v>
      </c>
      <c r="E2519" s="13" t="s">
        <v>6053</v>
      </c>
      <c r="F2519" s="13" t="s">
        <v>8872</v>
      </c>
      <c r="G2519" s="13" t="s">
        <v>2</v>
      </c>
      <c r="H2519" s="13" t="s">
        <v>3</v>
      </c>
      <c r="I2519" s="13" t="s">
        <v>447</v>
      </c>
      <c r="J2519" s="13" t="s">
        <v>8890</v>
      </c>
      <c r="K2519" s="13" t="s">
        <v>8421</v>
      </c>
      <c r="L2519" s="13" t="s">
        <v>556</v>
      </c>
      <c r="M2519" t="s">
        <v>3</v>
      </c>
    </row>
    <row r="2520" spans="1:13" x14ac:dyDescent="0.25">
      <c r="A2520" s="13" t="s">
        <v>6054</v>
      </c>
      <c r="B2520" s="13" t="s">
        <v>6054</v>
      </c>
      <c r="C2520" s="13" t="s">
        <v>6055</v>
      </c>
      <c r="D2520" s="13">
        <v>6.2</v>
      </c>
      <c r="E2520" s="13" t="s">
        <v>6056</v>
      </c>
      <c r="F2520" s="13" t="s">
        <v>8873</v>
      </c>
      <c r="G2520" s="13" t="s">
        <v>2</v>
      </c>
      <c r="H2520" s="13" t="s">
        <v>3</v>
      </c>
      <c r="I2520" s="13" t="s">
        <v>706</v>
      </c>
      <c r="J2520" s="13" t="s">
        <v>8890</v>
      </c>
      <c r="K2520" s="13" t="s">
        <v>8419</v>
      </c>
      <c r="L2520" s="13" t="s">
        <v>8964</v>
      </c>
      <c r="M2520" t="s">
        <v>3</v>
      </c>
    </row>
    <row r="2521" spans="1:13" x14ac:dyDescent="0.25">
      <c r="A2521" s="13" t="s">
        <v>10585</v>
      </c>
      <c r="B2521" s="13" t="s">
        <v>10585</v>
      </c>
      <c r="C2521" s="13" t="s">
        <v>10586</v>
      </c>
      <c r="D2521" s="13">
        <v>6</v>
      </c>
      <c r="E2521" s="13" t="s">
        <v>10587</v>
      </c>
      <c r="F2521" s="13" t="s">
        <v>8872</v>
      </c>
      <c r="G2521" s="13" t="s">
        <v>2</v>
      </c>
      <c r="H2521" s="13" t="s">
        <v>3</v>
      </c>
      <c r="I2521" s="13" t="s">
        <v>6019</v>
      </c>
      <c r="J2521" s="13" t="s">
        <v>8890</v>
      </c>
      <c r="K2521" s="13" t="s">
        <v>8771</v>
      </c>
      <c r="L2521" s="13" t="s">
        <v>556</v>
      </c>
      <c r="M2521" t="s">
        <v>3</v>
      </c>
    </row>
    <row r="2522" spans="1:13" x14ac:dyDescent="0.25">
      <c r="A2522" s="13" t="s">
        <v>11399</v>
      </c>
      <c r="B2522" s="13" t="s">
        <v>11399</v>
      </c>
      <c r="C2522" s="13" t="s">
        <v>11399</v>
      </c>
      <c r="D2522" s="13">
        <v>1.4</v>
      </c>
      <c r="E2522" s="13" t="s">
        <v>11400</v>
      </c>
      <c r="F2522" s="13" t="s">
        <v>8873</v>
      </c>
      <c r="G2522" s="13" t="s">
        <v>2</v>
      </c>
      <c r="H2522" s="13" t="s">
        <v>3</v>
      </c>
      <c r="I2522" s="13" t="s">
        <v>706</v>
      </c>
      <c r="J2522" s="13" t="s">
        <v>8890</v>
      </c>
      <c r="K2522" s="13" t="s">
        <v>8419</v>
      </c>
      <c r="L2522" s="13" t="s">
        <v>8964</v>
      </c>
      <c r="M2522" t="s">
        <v>3</v>
      </c>
    </row>
    <row r="2523" spans="1:13" x14ac:dyDescent="0.25">
      <c r="A2523" s="13" t="s">
        <v>6057</v>
      </c>
      <c r="B2523" s="13" t="s">
        <v>6058</v>
      </c>
      <c r="C2523" s="13" t="s">
        <v>9397</v>
      </c>
      <c r="D2523" s="13">
        <v>2.4</v>
      </c>
      <c r="E2523" s="13" t="s">
        <v>6059</v>
      </c>
      <c r="F2523" s="13" t="s">
        <v>8873</v>
      </c>
      <c r="G2523" s="13" t="s">
        <v>2</v>
      </c>
      <c r="H2523" s="13" t="s">
        <v>3</v>
      </c>
      <c r="I2523" s="13" t="s">
        <v>435</v>
      </c>
      <c r="J2523" s="13" t="s">
        <v>8890</v>
      </c>
      <c r="K2523" s="13" t="s">
        <v>8469</v>
      </c>
      <c r="L2523" s="13" t="s">
        <v>8964</v>
      </c>
      <c r="M2523" t="s">
        <v>3</v>
      </c>
    </row>
    <row r="2524" spans="1:13" x14ac:dyDescent="0.25">
      <c r="A2524" s="13" t="s">
        <v>6060</v>
      </c>
      <c r="B2524" s="13" t="s">
        <v>6060</v>
      </c>
      <c r="C2524" s="13" t="s">
        <v>6061</v>
      </c>
      <c r="D2524" s="13">
        <v>1.5</v>
      </c>
      <c r="E2524" s="13" t="s">
        <v>6062</v>
      </c>
      <c r="F2524" s="13" t="s">
        <v>8863</v>
      </c>
      <c r="G2524" s="13" t="s">
        <v>2</v>
      </c>
      <c r="H2524" s="13" t="s">
        <v>3</v>
      </c>
      <c r="I2524" s="13" t="s">
        <v>228</v>
      </c>
      <c r="J2524" s="13" t="s">
        <v>8890</v>
      </c>
      <c r="K2524" s="13" t="s">
        <v>8418</v>
      </c>
      <c r="L2524" s="13" t="s">
        <v>8956</v>
      </c>
      <c r="M2524" t="s">
        <v>3</v>
      </c>
    </row>
    <row r="2525" spans="1:13" x14ac:dyDescent="0.25">
      <c r="A2525" s="13" t="s">
        <v>6063</v>
      </c>
      <c r="B2525" s="13" t="s">
        <v>6063</v>
      </c>
      <c r="C2525" s="13" t="s">
        <v>6064</v>
      </c>
      <c r="D2525" s="13">
        <v>3</v>
      </c>
      <c r="E2525" s="13" t="s">
        <v>6065</v>
      </c>
      <c r="F2525" s="13" t="s">
        <v>8873</v>
      </c>
      <c r="G2525" s="13" t="s">
        <v>2</v>
      </c>
      <c r="H2525" s="13" t="s">
        <v>3</v>
      </c>
      <c r="I2525" s="13" t="s">
        <v>1263</v>
      </c>
      <c r="J2525" s="13" t="s">
        <v>8890</v>
      </c>
      <c r="K2525" s="13" t="s">
        <v>8422</v>
      </c>
      <c r="L2525" s="13" t="s">
        <v>8964</v>
      </c>
      <c r="M2525" t="s">
        <v>3</v>
      </c>
    </row>
    <row r="2526" spans="1:13" x14ac:dyDescent="0.25">
      <c r="A2526" s="13" t="s">
        <v>6066</v>
      </c>
      <c r="B2526" s="13" t="s">
        <v>6066</v>
      </c>
      <c r="C2526" s="13" t="s">
        <v>6067</v>
      </c>
      <c r="D2526" s="13">
        <v>3.1</v>
      </c>
      <c r="E2526" s="13" t="s">
        <v>6068</v>
      </c>
      <c r="F2526" s="13" t="s">
        <v>8873</v>
      </c>
      <c r="G2526" s="13" t="s">
        <v>2</v>
      </c>
      <c r="H2526" s="13" t="s">
        <v>3</v>
      </c>
      <c r="I2526" s="13" t="s">
        <v>228</v>
      </c>
      <c r="J2526" s="13" t="s">
        <v>8890</v>
      </c>
      <c r="K2526" s="13" t="s">
        <v>8418</v>
      </c>
      <c r="L2526" s="13" t="s">
        <v>8964</v>
      </c>
      <c r="M2526" t="s">
        <v>3</v>
      </c>
    </row>
    <row r="2527" spans="1:13" x14ac:dyDescent="0.25">
      <c r="A2527" s="13" t="s">
        <v>6069</v>
      </c>
      <c r="B2527" s="13" t="s">
        <v>6069</v>
      </c>
      <c r="C2527" s="13" t="s">
        <v>6070</v>
      </c>
      <c r="D2527" s="13">
        <v>4.0999999999999996</v>
      </c>
      <c r="E2527" s="13" t="s">
        <v>6071</v>
      </c>
      <c r="F2527" s="13" t="s">
        <v>8873</v>
      </c>
      <c r="G2527" s="13" t="s">
        <v>2</v>
      </c>
      <c r="H2527" s="13" t="s">
        <v>3</v>
      </c>
      <c r="I2527" s="13" t="s">
        <v>447</v>
      </c>
      <c r="J2527" s="13" t="s">
        <v>8890</v>
      </c>
      <c r="K2527" s="13" t="s">
        <v>8421</v>
      </c>
      <c r="L2527" s="13" t="s">
        <v>8964</v>
      </c>
      <c r="M2527" t="s">
        <v>3</v>
      </c>
    </row>
    <row r="2528" spans="1:13" x14ac:dyDescent="0.25">
      <c r="A2528" s="13" t="s">
        <v>6072</v>
      </c>
      <c r="B2528" s="13" t="s">
        <v>6072</v>
      </c>
      <c r="C2528" s="13" t="s">
        <v>6072</v>
      </c>
      <c r="D2528" s="13">
        <v>10</v>
      </c>
      <c r="E2528" s="13" t="s">
        <v>6073</v>
      </c>
      <c r="F2528" s="13" t="s">
        <v>8872</v>
      </c>
      <c r="G2528" s="13" t="s">
        <v>2</v>
      </c>
      <c r="H2528" s="13" t="s">
        <v>9060</v>
      </c>
      <c r="I2528" s="13" t="s">
        <v>706</v>
      </c>
      <c r="J2528" s="13" t="s">
        <v>8890</v>
      </c>
      <c r="K2528" s="13" t="s">
        <v>8419</v>
      </c>
      <c r="L2528" s="13" t="s">
        <v>556</v>
      </c>
      <c r="M2528" t="s">
        <v>9060</v>
      </c>
    </row>
    <row r="2529" spans="1:13" x14ac:dyDescent="0.25">
      <c r="A2529" s="13" t="s">
        <v>6074</v>
      </c>
      <c r="B2529" s="13" t="s">
        <v>6074</v>
      </c>
      <c r="C2529" s="13" t="s">
        <v>9398</v>
      </c>
      <c r="D2529" s="13">
        <v>15</v>
      </c>
      <c r="E2529" s="13" t="s">
        <v>6075</v>
      </c>
      <c r="F2529" s="13" t="s">
        <v>8872</v>
      </c>
      <c r="G2529" s="13" t="s">
        <v>2</v>
      </c>
      <c r="H2529" s="13" t="s">
        <v>3</v>
      </c>
      <c r="I2529" s="13" t="s">
        <v>228</v>
      </c>
      <c r="J2529" s="13" t="s">
        <v>8890</v>
      </c>
      <c r="K2529" s="13" t="s">
        <v>8418</v>
      </c>
      <c r="L2529" s="13" t="s">
        <v>556</v>
      </c>
      <c r="M2529" t="s">
        <v>3</v>
      </c>
    </row>
    <row r="2530" spans="1:13" x14ac:dyDescent="0.25">
      <c r="A2530" s="13" t="s">
        <v>10321</v>
      </c>
      <c r="B2530" s="13" t="s">
        <v>10321</v>
      </c>
      <c r="C2530" s="13" t="s">
        <v>10322</v>
      </c>
      <c r="D2530" s="13">
        <v>17</v>
      </c>
      <c r="E2530" s="13" t="s">
        <v>10323</v>
      </c>
      <c r="F2530" s="13" t="s">
        <v>8872</v>
      </c>
      <c r="G2530" s="13" t="s">
        <v>2</v>
      </c>
      <c r="H2530" s="13" t="s">
        <v>11531</v>
      </c>
      <c r="I2530" s="13" t="s">
        <v>447</v>
      </c>
      <c r="J2530" s="13" t="s">
        <v>8890</v>
      </c>
      <c r="K2530" s="13" t="s">
        <v>8421</v>
      </c>
      <c r="L2530" s="13" t="s">
        <v>556</v>
      </c>
      <c r="M2530" t="s">
        <v>11531</v>
      </c>
    </row>
    <row r="2531" spans="1:13" ht="26.25" x14ac:dyDescent="0.25">
      <c r="A2531" s="13" t="s">
        <v>11100</v>
      </c>
      <c r="B2531" s="13" t="s">
        <v>11101</v>
      </c>
      <c r="C2531" s="13" t="s">
        <v>11102</v>
      </c>
      <c r="D2531" s="13">
        <v>1.2</v>
      </c>
      <c r="E2531" s="13" t="s">
        <v>11103</v>
      </c>
      <c r="F2531" s="13" t="s">
        <v>8873</v>
      </c>
      <c r="G2531" s="13" t="s">
        <v>2</v>
      </c>
      <c r="H2531" s="13" t="s">
        <v>3</v>
      </c>
      <c r="I2531" s="13" t="s">
        <v>2465</v>
      </c>
      <c r="J2531" s="13" t="s">
        <v>8890</v>
      </c>
      <c r="K2531" s="13" t="s">
        <v>8605</v>
      </c>
      <c r="L2531" s="13" t="s">
        <v>8964</v>
      </c>
      <c r="M2531" t="s">
        <v>3</v>
      </c>
    </row>
    <row r="2532" spans="1:13" x14ac:dyDescent="0.25">
      <c r="A2532" s="13" t="s">
        <v>6076</v>
      </c>
      <c r="B2532" s="13" t="s">
        <v>6076</v>
      </c>
      <c r="C2532" s="13" t="s">
        <v>6077</v>
      </c>
      <c r="D2532" s="13">
        <v>14.3</v>
      </c>
      <c r="E2532" s="13" t="s">
        <v>6077</v>
      </c>
      <c r="F2532" s="13" t="s">
        <v>8872</v>
      </c>
      <c r="G2532" s="13" t="s">
        <v>2</v>
      </c>
      <c r="H2532" s="13" t="s">
        <v>8420</v>
      </c>
      <c r="I2532" s="13" t="s">
        <v>6078</v>
      </c>
      <c r="J2532" s="13" t="s">
        <v>8890</v>
      </c>
      <c r="K2532" s="13" t="s">
        <v>8420</v>
      </c>
      <c r="L2532" s="13" t="s">
        <v>556</v>
      </c>
      <c r="M2532" t="s">
        <v>10704</v>
      </c>
    </row>
    <row r="2533" spans="1:13" x14ac:dyDescent="0.25">
      <c r="A2533" s="13" t="s">
        <v>6079</v>
      </c>
      <c r="B2533" s="13" t="s">
        <v>6079</v>
      </c>
      <c r="C2533" s="13" t="s">
        <v>6080</v>
      </c>
      <c r="D2533" s="13">
        <v>1.1000000000000001</v>
      </c>
      <c r="E2533" s="13" t="s">
        <v>6081</v>
      </c>
      <c r="F2533" s="13" t="s">
        <v>8865</v>
      </c>
      <c r="G2533" s="13" t="s">
        <v>2</v>
      </c>
      <c r="H2533" s="13" t="s">
        <v>3</v>
      </c>
      <c r="I2533" s="13" t="s">
        <v>6082</v>
      </c>
      <c r="J2533" s="13" t="s">
        <v>8890</v>
      </c>
      <c r="K2533" s="13" t="s">
        <v>8775</v>
      </c>
      <c r="L2533" s="13" t="s">
        <v>8901</v>
      </c>
      <c r="M2533" t="s">
        <v>3</v>
      </c>
    </row>
    <row r="2534" spans="1:13" x14ac:dyDescent="0.25">
      <c r="A2534" s="13" t="s">
        <v>6083</v>
      </c>
      <c r="B2534" s="13" t="s">
        <v>6084</v>
      </c>
      <c r="C2534" s="13" t="s">
        <v>6085</v>
      </c>
      <c r="D2534" s="13">
        <v>9.8000000000000007</v>
      </c>
      <c r="E2534" s="13" t="s">
        <v>6086</v>
      </c>
      <c r="F2534" s="13" t="s">
        <v>8872</v>
      </c>
      <c r="G2534" s="13" t="s">
        <v>2</v>
      </c>
      <c r="H2534" s="13" t="s">
        <v>3</v>
      </c>
      <c r="I2534" s="13" t="s">
        <v>228</v>
      </c>
      <c r="J2534" s="13" t="s">
        <v>8890</v>
      </c>
      <c r="K2534" s="13" t="s">
        <v>8418</v>
      </c>
      <c r="L2534" s="13" t="s">
        <v>556</v>
      </c>
      <c r="M2534" t="s">
        <v>3</v>
      </c>
    </row>
    <row r="2535" spans="1:13" ht="26.25" x14ac:dyDescent="0.25">
      <c r="A2535" s="13" t="s">
        <v>6087</v>
      </c>
      <c r="B2535" s="13" t="s">
        <v>6088</v>
      </c>
      <c r="C2535" s="13" t="s">
        <v>6089</v>
      </c>
      <c r="D2535" s="13">
        <v>1.2</v>
      </c>
      <c r="E2535" s="13" t="s">
        <v>6090</v>
      </c>
      <c r="F2535" s="13" t="s">
        <v>8873</v>
      </c>
      <c r="G2535" s="13" t="s">
        <v>2</v>
      </c>
      <c r="H2535" s="13" t="s">
        <v>3</v>
      </c>
      <c r="I2535" s="13" t="s">
        <v>6091</v>
      </c>
      <c r="J2535" s="13" t="s">
        <v>8890</v>
      </c>
      <c r="K2535" s="13" t="s">
        <v>8776</v>
      </c>
      <c r="L2535" s="13" t="s">
        <v>8964</v>
      </c>
      <c r="M2535" t="s">
        <v>3</v>
      </c>
    </row>
    <row r="2536" spans="1:13" x14ac:dyDescent="0.25">
      <c r="A2536" s="13" t="s">
        <v>6092</v>
      </c>
      <c r="B2536" s="13" t="s">
        <v>6092</v>
      </c>
      <c r="C2536" s="13" t="s">
        <v>6093</v>
      </c>
      <c r="D2536" s="13">
        <v>1.4</v>
      </c>
      <c r="E2536" s="13" t="s">
        <v>6094</v>
      </c>
      <c r="F2536" s="13" t="s">
        <v>8873</v>
      </c>
      <c r="G2536" s="13" t="s">
        <v>2</v>
      </c>
      <c r="H2536" s="13" t="s">
        <v>3</v>
      </c>
      <c r="I2536" s="13" t="s">
        <v>228</v>
      </c>
      <c r="J2536" s="13" t="s">
        <v>8890</v>
      </c>
      <c r="K2536" s="13" t="s">
        <v>8418</v>
      </c>
      <c r="L2536" s="13" t="s">
        <v>8964</v>
      </c>
      <c r="M2536" t="s">
        <v>3</v>
      </c>
    </row>
    <row r="2537" spans="1:13" x14ac:dyDescent="0.25">
      <c r="A2537" s="13" t="s">
        <v>6095</v>
      </c>
      <c r="B2537" s="13" t="s">
        <v>6095</v>
      </c>
      <c r="C2537" s="13" t="s">
        <v>6096</v>
      </c>
      <c r="D2537" s="13">
        <v>36.6</v>
      </c>
      <c r="E2537" s="13" t="s">
        <v>6097</v>
      </c>
      <c r="F2537" s="13" t="s">
        <v>8872</v>
      </c>
      <c r="G2537" s="13" t="s">
        <v>2</v>
      </c>
      <c r="H2537" s="13" t="s">
        <v>8420</v>
      </c>
      <c r="I2537" s="13" t="s">
        <v>6098</v>
      </c>
      <c r="J2537" s="13" t="s">
        <v>8890</v>
      </c>
      <c r="K2537" s="13" t="s">
        <v>8420</v>
      </c>
      <c r="L2537" s="13" t="s">
        <v>556</v>
      </c>
      <c r="M2537" t="s">
        <v>10704</v>
      </c>
    </row>
    <row r="2538" spans="1:13" x14ac:dyDescent="0.25">
      <c r="A2538" s="13" t="s">
        <v>6099</v>
      </c>
      <c r="B2538" s="13" t="s">
        <v>6099</v>
      </c>
      <c r="C2538" s="13" t="s">
        <v>6096</v>
      </c>
      <c r="D2538" s="13">
        <v>40.9</v>
      </c>
      <c r="E2538" s="13" t="s">
        <v>6100</v>
      </c>
      <c r="F2538" s="13" t="s">
        <v>8872</v>
      </c>
      <c r="G2538" s="13" t="s">
        <v>2</v>
      </c>
      <c r="H2538" s="13" t="s">
        <v>8420</v>
      </c>
      <c r="I2538" s="13" t="s">
        <v>1421</v>
      </c>
      <c r="J2538" s="13" t="s">
        <v>8890</v>
      </c>
      <c r="K2538" s="13" t="s">
        <v>8420</v>
      </c>
      <c r="L2538" s="13" t="s">
        <v>556</v>
      </c>
      <c r="M2538" t="s">
        <v>10704</v>
      </c>
    </row>
    <row r="2539" spans="1:13" x14ac:dyDescent="0.25">
      <c r="A2539" s="13" t="s">
        <v>6101</v>
      </c>
      <c r="B2539" s="13" t="s">
        <v>6101</v>
      </c>
      <c r="C2539" s="13" t="s">
        <v>6102</v>
      </c>
      <c r="D2539" s="13">
        <v>3.4</v>
      </c>
      <c r="E2539" s="13" t="s">
        <v>6102</v>
      </c>
      <c r="F2539" s="13" t="s">
        <v>8873</v>
      </c>
      <c r="G2539" s="13" t="s">
        <v>2</v>
      </c>
      <c r="H2539" s="13" t="s">
        <v>3</v>
      </c>
      <c r="I2539" s="13" t="s">
        <v>447</v>
      </c>
      <c r="J2539" s="13" t="s">
        <v>8890</v>
      </c>
      <c r="K2539" s="13" t="s">
        <v>8421</v>
      </c>
      <c r="L2539" s="13" t="s">
        <v>8964</v>
      </c>
      <c r="M2539" t="s">
        <v>3</v>
      </c>
    </row>
    <row r="2540" spans="1:13" x14ac:dyDescent="0.25">
      <c r="A2540" s="13" t="s">
        <v>6103</v>
      </c>
      <c r="B2540" s="13" t="s">
        <v>6103</v>
      </c>
      <c r="C2540" s="13" t="s">
        <v>6104</v>
      </c>
      <c r="D2540" s="13">
        <v>4.5</v>
      </c>
      <c r="E2540" s="13" t="s">
        <v>6104</v>
      </c>
      <c r="F2540" s="13" t="s">
        <v>8873</v>
      </c>
      <c r="G2540" s="13" t="s">
        <v>2</v>
      </c>
      <c r="H2540" s="13" t="s">
        <v>3</v>
      </c>
      <c r="I2540" s="13" t="s">
        <v>447</v>
      </c>
      <c r="J2540" s="13" t="s">
        <v>8890</v>
      </c>
      <c r="K2540" s="13" t="s">
        <v>8421</v>
      </c>
      <c r="L2540" s="13" t="s">
        <v>8964</v>
      </c>
      <c r="M2540" t="s">
        <v>3</v>
      </c>
    </row>
    <row r="2541" spans="1:13" x14ac:dyDescent="0.25">
      <c r="A2541" s="13" t="s">
        <v>6105</v>
      </c>
      <c r="B2541" s="13" t="s">
        <v>6105</v>
      </c>
      <c r="C2541" s="13" t="s">
        <v>6106</v>
      </c>
      <c r="D2541" s="13">
        <v>11.9</v>
      </c>
      <c r="E2541" s="13" t="s">
        <v>6107</v>
      </c>
      <c r="F2541" s="13" t="s">
        <v>8872</v>
      </c>
      <c r="G2541" s="13" t="s">
        <v>2</v>
      </c>
      <c r="H2541" s="13" t="s">
        <v>3</v>
      </c>
      <c r="I2541" s="13" t="s">
        <v>706</v>
      </c>
      <c r="J2541" s="13" t="s">
        <v>8890</v>
      </c>
      <c r="K2541" s="13" t="s">
        <v>8419</v>
      </c>
      <c r="L2541" s="13" t="s">
        <v>556</v>
      </c>
      <c r="M2541" t="s">
        <v>3</v>
      </c>
    </row>
    <row r="2542" spans="1:13" x14ac:dyDescent="0.25">
      <c r="A2542" s="13" t="s">
        <v>6108</v>
      </c>
      <c r="B2542" s="13" t="s">
        <v>6108</v>
      </c>
      <c r="C2542" s="13" t="s">
        <v>6109</v>
      </c>
      <c r="D2542" s="13">
        <v>7.5</v>
      </c>
      <c r="E2542" s="13" t="s">
        <v>6109</v>
      </c>
      <c r="F2542" s="13" t="s">
        <v>8873</v>
      </c>
      <c r="G2542" s="13" t="s">
        <v>2</v>
      </c>
      <c r="H2542" s="13" t="s">
        <v>3</v>
      </c>
      <c r="I2542" s="13" t="s">
        <v>447</v>
      </c>
      <c r="J2542" s="13" t="s">
        <v>8890</v>
      </c>
      <c r="K2542" s="13" t="s">
        <v>8421</v>
      </c>
      <c r="L2542" s="13" t="s">
        <v>8964</v>
      </c>
      <c r="M2542" t="s">
        <v>3</v>
      </c>
    </row>
    <row r="2543" spans="1:13" x14ac:dyDescent="0.25">
      <c r="A2543" s="13" t="s">
        <v>6110</v>
      </c>
      <c r="B2543" s="13" t="s">
        <v>6110</v>
      </c>
      <c r="C2543" s="13" t="s">
        <v>6111</v>
      </c>
      <c r="D2543" s="13">
        <v>40.299999999999997</v>
      </c>
      <c r="E2543" s="13" t="s">
        <v>6112</v>
      </c>
      <c r="F2543" s="13" t="s">
        <v>8873</v>
      </c>
      <c r="G2543" s="13" t="s">
        <v>2</v>
      </c>
      <c r="H2543" s="13" t="s">
        <v>3</v>
      </c>
      <c r="I2543" s="13" t="s">
        <v>6098</v>
      </c>
      <c r="J2543" s="13" t="s">
        <v>8890</v>
      </c>
      <c r="K2543" s="13" t="s">
        <v>8420</v>
      </c>
      <c r="L2543" s="13" t="s">
        <v>6113</v>
      </c>
      <c r="M2543" t="s">
        <v>3</v>
      </c>
    </row>
    <row r="2544" spans="1:13" x14ac:dyDescent="0.25">
      <c r="A2544" s="13" t="s">
        <v>12072</v>
      </c>
      <c r="B2544" s="13" t="s">
        <v>12072</v>
      </c>
      <c r="C2544" s="13" t="s">
        <v>12073</v>
      </c>
      <c r="D2544" s="13">
        <v>1.2</v>
      </c>
      <c r="E2544" s="13" t="s">
        <v>12074</v>
      </c>
      <c r="F2544" s="13" t="s">
        <v>8873</v>
      </c>
      <c r="G2544" s="13" t="s">
        <v>2</v>
      </c>
      <c r="H2544" s="13" t="s">
        <v>3</v>
      </c>
      <c r="I2544" s="13" t="s">
        <v>1263</v>
      </c>
      <c r="J2544" s="13" t="s">
        <v>8890</v>
      </c>
      <c r="K2544" s="13" t="s">
        <v>8422</v>
      </c>
      <c r="L2544" s="13" t="s">
        <v>8964</v>
      </c>
      <c r="M2544" t="s">
        <v>3</v>
      </c>
    </row>
    <row r="2545" spans="1:13" ht="26.25" x14ac:dyDescent="0.25">
      <c r="A2545" s="13" t="s">
        <v>6114</v>
      </c>
      <c r="B2545" s="13" t="s">
        <v>6115</v>
      </c>
      <c r="C2545" s="13" t="s">
        <v>6116</v>
      </c>
      <c r="D2545" s="13">
        <v>2</v>
      </c>
      <c r="E2545" s="13" t="s">
        <v>6117</v>
      </c>
      <c r="F2545" s="13" t="s">
        <v>8860</v>
      </c>
      <c r="G2545" s="13" t="s">
        <v>19</v>
      </c>
      <c r="H2545" s="13" t="s">
        <v>3</v>
      </c>
      <c r="I2545" s="13" t="s">
        <v>6118</v>
      </c>
      <c r="J2545" s="13" t="s">
        <v>21</v>
      </c>
      <c r="K2545" s="13" t="s">
        <v>8777</v>
      </c>
      <c r="L2545" s="13" t="s">
        <v>18</v>
      </c>
      <c r="M2545" t="s">
        <v>3</v>
      </c>
    </row>
    <row r="2546" spans="1:13" x14ac:dyDescent="0.25">
      <c r="A2546" s="13" t="s">
        <v>6119</v>
      </c>
      <c r="B2546" s="13" t="s">
        <v>6119</v>
      </c>
      <c r="C2546" s="13" t="s">
        <v>6120</v>
      </c>
      <c r="D2546" s="13">
        <v>4.5</v>
      </c>
      <c r="E2546" s="13" t="s">
        <v>6121</v>
      </c>
      <c r="F2546" s="13" t="s">
        <v>8873</v>
      </c>
      <c r="G2546" s="13" t="s">
        <v>2</v>
      </c>
      <c r="H2546" s="13" t="s">
        <v>3</v>
      </c>
      <c r="I2546" s="13" t="s">
        <v>706</v>
      </c>
      <c r="J2546" s="13" t="s">
        <v>8890</v>
      </c>
      <c r="K2546" s="13" t="s">
        <v>8419</v>
      </c>
      <c r="L2546" s="13" t="s">
        <v>8964</v>
      </c>
      <c r="M2546" t="s">
        <v>3</v>
      </c>
    </row>
    <row r="2547" spans="1:13" x14ac:dyDescent="0.25">
      <c r="A2547" s="13" t="s">
        <v>6122</v>
      </c>
      <c r="B2547" s="13" t="s">
        <v>6123</v>
      </c>
      <c r="C2547" s="13" t="s">
        <v>6124</v>
      </c>
      <c r="D2547" s="13">
        <v>49.5</v>
      </c>
      <c r="E2547" s="13" t="s">
        <v>6125</v>
      </c>
      <c r="F2547" s="13" t="s">
        <v>8872</v>
      </c>
      <c r="G2547" s="13" t="s">
        <v>2</v>
      </c>
      <c r="H2547" s="13" t="s">
        <v>3</v>
      </c>
      <c r="I2547" s="13" t="s">
        <v>1263</v>
      </c>
      <c r="J2547" s="13" t="s">
        <v>8890</v>
      </c>
      <c r="K2547" s="13" t="s">
        <v>8422</v>
      </c>
      <c r="L2547" s="13" t="s">
        <v>556</v>
      </c>
      <c r="M2547" t="s">
        <v>3</v>
      </c>
    </row>
    <row r="2548" spans="1:13" x14ac:dyDescent="0.25">
      <c r="A2548" s="13" t="s">
        <v>6126</v>
      </c>
      <c r="B2548" s="13" t="s">
        <v>6126</v>
      </c>
      <c r="C2548" s="13" t="s">
        <v>6127</v>
      </c>
      <c r="D2548" s="13">
        <v>1.4</v>
      </c>
      <c r="E2548" s="13" t="s">
        <v>6128</v>
      </c>
      <c r="F2548" s="13" t="s">
        <v>8873</v>
      </c>
      <c r="G2548" s="13" t="s">
        <v>2</v>
      </c>
      <c r="H2548" s="13" t="s">
        <v>3</v>
      </c>
      <c r="I2548" s="13" t="s">
        <v>228</v>
      </c>
      <c r="J2548" s="13" t="s">
        <v>8890</v>
      </c>
      <c r="K2548" s="13" t="s">
        <v>8418</v>
      </c>
      <c r="L2548" s="13" t="s">
        <v>8964</v>
      </c>
      <c r="M2548" t="s">
        <v>3</v>
      </c>
    </row>
    <row r="2549" spans="1:13" x14ac:dyDescent="0.25">
      <c r="A2549" s="13" t="s">
        <v>6129</v>
      </c>
      <c r="B2549" s="13" t="s">
        <v>6129</v>
      </c>
      <c r="C2549" s="13" t="s">
        <v>6130</v>
      </c>
      <c r="D2549" s="13">
        <v>49.9</v>
      </c>
      <c r="E2549" s="13" t="s">
        <v>6131</v>
      </c>
      <c r="F2549" s="13" t="s">
        <v>8872</v>
      </c>
      <c r="G2549" s="13" t="s">
        <v>2</v>
      </c>
      <c r="H2549" s="13" t="s">
        <v>3</v>
      </c>
      <c r="I2549" s="13" t="s">
        <v>1263</v>
      </c>
      <c r="J2549" s="13" t="s">
        <v>8890</v>
      </c>
      <c r="K2549" s="13" t="s">
        <v>8422</v>
      </c>
      <c r="L2549" s="13" t="s">
        <v>556</v>
      </c>
      <c r="M2549" t="s">
        <v>3</v>
      </c>
    </row>
    <row r="2550" spans="1:13" x14ac:dyDescent="0.25">
      <c r="A2550" s="13" t="s">
        <v>6132</v>
      </c>
      <c r="B2550" s="13" t="s">
        <v>6132</v>
      </c>
      <c r="C2550" s="13" t="s">
        <v>6133</v>
      </c>
      <c r="D2550" s="13">
        <v>25.5</v>
      </c>
      <c r="E2550" s="13" t="s">
        <v>6133</v>
      </c>
      <c r="F2550" s="13" t="s">
        <v>8873</v>
      </c>
      <c r="G2550" s="13" t="s">
        <v>2</v>
      </c>
      <c r="H2550" s="13" t="s">
        <v>3</v>
      </c>
      <c r="I2550" s="13" t="s">
        <v>447</v>
      </c>
      <c r="J2550" s="13" t="s">
        <v>8890</v>
      </c>
      <c r="K2550" s="13" t="s">
        <v>8421</v>
      </c>
      <c r="L2550" s="13" t="s">
        <v>9399</v>
      </c>
      <c r="M2550" t="s">
        <v>3</v>
      </c>
    </row>
    <row r="2551" spans="1:13" ht="26.25" x14ac:dyDescent="0.25">
      <c r="A2551" s="13" t="s">
        <v>10775</v>
      </c>
      <c r="B2551" s="13" t="s">
        <v>10775</v>
      </c>
      <c r="C2551" s="13" t="s">
        <v>4482</v>
      </c>
      <c r="D2551" s="13">
        <v>0</v>
      </c>
      <c r="E2551" s="13" t="s">
        <v>10776</v>
      </c>
      <c r="F2551" s="13" t="s">
        <v>8860</v>
      </c>
      <c r="G2551" s="13" t="s">
        <v>19</v>
      </c>
      <c r="H2551" s="13" t="s">
        <v>3</v>
      </c>
      <c r="I2551" s="13" t="s">
        <v>10777</v>
      </c>
      <c r="J2551" s="13" t="s">
        <v>21</v>
      </c>
      <c r="K2551" s="13" t="s">
        <v>10778</v>
      </c>
      <c r="L2551" s="13" t="s">
        <v>18</v>
      </c>
      <c r="M2551" t="s">
        <v>3</v>
      </c>
    </row>
    <row r="2552" spans="1:13" ht="26.25" x14ac:dyDescent="0.25">
      <c r="A2552" s="13" t="s">
        <v>6134</v>
      </c>
      <c r="B2552" s="13" t="s">
        <v>6134</v>
      </c>
      <c r="C2552" s="13" t="s">
        <v>6135</v>
      </c>
      <c r="D2552" s="13">
        <v>0.1</v>
      </c>
      <c r="E2552" s="13" t="s">
        <v>6136</v>
      </c>
      <c r="F2552" s="13" t="s">
        <v>8863</v>
      </c>
      <c r="G2552" s="13" t="s">
        <v>2</v>
      </c>
      <c r="H2552" s="13" t="s">
        <v>3</v>
      </c>
      <c r="I2552" s="13" t="s">
        <v>10</v>
      </c>
      <c r="J2552" s="13" t="s">
        <v>8890</v>
      </c>
      <c r="K2552" s="13" t="s">
        <v>8425</v>
      </c>
      <c r="L2552" s="13" t="s">
        <v>8893</v>
      </c>
      <c r="M2552" t="s">
        <v>3</v>
      </c>
    </row>
    <row r="2553" spans="1:13" ht="26.25" x14ac:dyDescent="0.25">
      <c r="A2553" s="13" t="s">
        <v>6137</v>
      </c>
      <c r="B2553" s="13" t="s">
        <v>6137</v>
      </c>
      <c r="C2553" s="13" t="s">
        <v>6138</v>
      </c>
      <c r="D2553" s="13">
        <v>0.1</v>
      </c>
      <c r="E2553" s="13" t="s">
        <v>6139</v>
      </c>
      <c r="F2553" s="13" t="s">
        <v>8863</v>
      </c>
      <c r="G2553" s="13" t="s">
        <v>2</v>
      </c>
      <c r="H2553" s="13" t="s">
        <v>3</v>
      </c>
      <c r="I2553" s="13" t="s">
        <v>10</v>
      </c>
      <c r="J2553" s="13" t="s">
        <v>8890</v>
      </c>
      <c r="K2553" s="13" t="s">
        <v>8425</v>
      </c>
      <c r="L2553" s="13" t="s">
        <v>8893</v>
      </c>
      <c r="M2553" t="s">
        <v>3</v>
      </c>
    </row>
    <row r="2554" spans="1:13" x14ac:dyDescent="0.25">
      <c r="A2554" s="13" t="s">
        <v>11104</v>
      </c>
      <c r="B2554" s="13" t="s">
        <v>11105</v>
      </c>
      <c r="C2554" s="13" t="s">
        <v>11106</v>
      </c>
      <c r="D2554" s="13">
        <v>10</v>
      </c>
      <c r="E2554" s="13" t="s">
        <v>11107</v>
      </c>
      <c r="F2554" s="13" t="s">
        <v>8869</v>
      </c>
      <c r="G2554" s="13" t="s">
        <v>2</v>
      </c>
      <c r="H2554" s="13" t="s">
        <v>3</v>
      </c>
      <c r="I2554" s="13" t="s">
        <v>6193</v>
      </c>
      <c r="J2554" s="13" t="s">
        <v>8890</v>
      </c>
      <c r="K2554" s="13" t="s">
        <v>11912</v>
      </c>
      <c r="L2554" s="13" t="s">
        <v>8918</v>
      </c>
      <c r="M2554" t="s">
        <v>3</v>
      </c>
    </row>
    <row r="2555" spans="1:13" x14ac:dyDescent="0.25">
      <c r="A2555" s="13" t="s">
        <v>6140</v>
      </c>
      <c r="B2555" s="13" t="s">
        <v>6140</v>
      </c>
      <c r="C2555" s="13" t="s">
        <v>6141</v>
      </c>
      <c r="D2555" s="13">
        <v>4.2</v>
      </c>
      <c r="E2555" s="13" t="s">
        <v>6142</v>
      </c>
      <c r="F2555" s="13" t="s">
        <v>8873</v>
      </c>
      <c r="G2555" s="13" t="s">
        <v>2</v>
      </c>
      <c r="H2555" s="13" t="s">
        <v>3</v>
      </c>
      <c r="I2555" s="13" t="s">
        <v>706</v>
      </c>
      <c r="J2555" s="13" t="s">
        <v>8890</v>
      </c>
      <c r="K2555" s="13" t="s">
        <v>8419</v>
      </c>
      <c r="L2555" s="13" t="s">
        <v>8964</v>
      </c>
      <c r="M2555" t="s">
        <v>3</v>
      </c>
    </row>
    <row r="2556" spans="1:13" x14ac:dyDescent="0.25">
      <c r="A2556" s="13" t="s">
        <v>9400</v>
      </c>
      <c r="B2556" s="13" t="s">
        <v>9400</v>
      </c>
      <c r="C2556" s="13" t="s">
        <v>9401</v>
      </c>
      <c r="D2556" s="13">
        <v>5.2</v>
      </c>
      <c r="E2556" s="13" t="s">
        <v>9402</v>
      </c>
      <c r="F2556" s="13" t="s">
        <v>8873</v>
      </c>
      <c r="G2556" s="13" t="s">
        <v>2</v>
      </c>
      <c r="H2556" s="13" t="s">
        <v>3</v>
      </c>
      <c r="I2556" s="13" t="s">
        <v>447</v>
      </c>
      <c r="J2556" s="13" t="s">
        <v>8890</v>
      </c>
      <c r="K2556" s="13" t="s">
        <v>8421</v>
      </c>
      <c r="L2556" s="13" t="s">
        <v>8964</v>
      </c>
      <c r="M2556" t="s">
        <v>3</v>
      </c>
    </row>
    <row r="2557" spans="1:13" ht="39" x14ac:dyDescent="0.25">
      <c r="A2557" s="13" t="s">
        <v>6143</v>
      </c>
      <c r="B2557" s="13" t="s">
        <v>6144</v>
      </c>
      <c r="C2557" s="13" t="s">
        <v>6145</v>
      </c>
      <c r="D2557" s="13">
        <v>2</v>
      </c>
      <c r="E2557" s="13" t="s">
        <v>6146</v>
      </c>
      <c r="F2557" s="13" t="s">
        <v>8860</v>
      </c>
      <c r="G2557" s="13" t="s">
        <v>19</v>
      </c>
      <c r="H2557" s="13" t="s">
        <v>3</v>
      </c>
      <c r="I2557" s="13" t="s">
        <v>6147</v>
      </c>
      <c r="J2557" s="13" t="s">
        <v>21</v>
      </c>
      <c r="K2557" s="13" t="s">
        <v>8778</v>
      </c>
      <c r="L2557" s="13" t="s">
        <v>18</v>
      </c>
      <c r="M2557" t="s">
        <v>3</v>
      </c>
    </row>
    <row r="2558" spans="1:13" x14ac:dyDescent="0.25">
      <c r="A2558" s="13" t="s">
        <v>6148</v>
      </c>
      <c r="B2558" s="13" t="s">
        <v>6148</v>
      </c>
      <c r="C2558" s="13" t="s">
        <v>6149</v>
      </c>
      <c r="D2558" s="13">
        <v>20</v>
      </c>
      <c r="E2558" s="13" t="s">
        <v>6150</v>
      </c>
      <c r="F2558" s="13" t="s">
        <v>8872</v>
      </c>
      <c r="G2558" s="13" t="s">
        <v>2</v>
      </c>
      <c r="H2558" s="13" t="s">
        <v>8420</v>
      </c>
      <c r="I2558" s="13" t="s">
        <v>5955</v>
      </c>
      <c r="J2558" s="13" t="s">
        <v>8890</v>
      </c>
      <c r="K2558" s="13" t="s">
        <v>8420</v>
      </c>
      <c r="L2558" s="13" t="s">
        <v>556</v>
      </c>
      <c r="M2558" t="s">
        <v>10704</v>
      </c>
    </row>
    <row r="2559" spans="1:13" x14ac:dyDescent="0.25">
      <c r="A2559" s="13" t="s">
        <v>6151</v>
      </c>
      <c r="B2559" s="13" t="s">
        <v>6151</v>
      </c>
      <c r="C2559" s="13" t="s">
        <v>6152</v>
      </c>
      <c r="D2559" s="13">
        <v>8</v>
      </c>
      <c r="E2559" s="13" t="s">
        <v>6153</v>
      </c>
      <c r="F2559" s="13" t="s">
        <v>8872</v>
      </c>
      <c r="G2559" s="13" t="s">
        <v>2</v>
      </c>
      <c r="H2559" s="13" t="s">
        <v>3</v>
      </c>
      <c r="I2559" s="13" t="s">
        <v>1263</v>
      </c>
      <c r="J2559" s="13" t="s">
        <v>8890</v>
      </c>
      <c r="K2559" s="13" t="s">
        <v>8422</v>
      </c>
      <c r="L2559" s="13" t="s">
        <v>556</v>
      </c>
      <c r="M2559" t="s">
        <v>3</v>
      </c>
    </row>
    <row r="2560" spans="1:13" x14ac:dyDescent="0.25">
      <c r="A2560" s="13" t="s">
        <v>6154</v>
      </c>
      <c r="B2560" s="13" t="s">
        <v>6154</v>
      </c>
      <c r="C2560" s="13" t="s">
        <v>6155</v>
      </c>
      <c r="D2560" s="13">
        <v>0.4</v>
      </c>
      <c r="E2560" s="13" t="s">
        <v>6156</v>
      </c>
      <c r="F2560" s="13" t="s">
        <v>8873</v>
      </c>
      <c r="G2560" s="13" t="s">
        <v>2</v>
      </c>
      <c r="H2560" s="13" t="s">
        <v>3</v>
      </c>
      <c r="I2560" s="13" t="s">
        <v>1514</v>
      </c>
      <c r="J2560" s="13" t="s">
        <v>8890</v>
      </c>
      <c r="K2560" s="13" t="s">
        <v>8423</v>
      </c>
      <c r="L2560" s="13" t="s">
        <v>8964</v>
      </c>
      <c r="M2560" t="s">
        <v>3</v>
      </c>
    </row>
    <row r="2561" spans="1:13" ht="26.25" x14ac:dyDescent="0.25">
      <c r="A2561" s="13" t="s">
        <v>6157</v>
      </c>
      <c r="B2561" s="13" t="s">
        <v>6158</v>
      </c>
      <c r="C2561" s="13" t="s">
        <v>6159</v>
      </c>
      <c r="D2561" s="13">
        <v>2</v>
      </c>
      <c r="E2561" s="13" t="s">
        <v>6160</v>
      </c>
      <c r="F2561" s="13" t="s">
        <v>8860</v>
      </c>
      <c r="G2561" s="13" t="s">
        <v>19</v>
      </c>
      <c r="H2561" s="13" t="s">
        <v>3</v>
      </c>
      <c r="I2561" s="13" t="s">
        <v>6161</v>
      </c>
      <c r="J2561" s="13" t="s">
        <v>21</v>
      </c>
      <c r="K2561" s="13" t="s">
        <v>8779</v>
      </c>
      <c r="L2561" s="13" t="s">
        <v>18</v>
      </c>
      <c r="M2561" t="s">
        <v>3</v>
      </c>
    </row>
    <row r="2562" spans="1:13" ht="26.25" x14ac:dyDescent="0.25">
      <c r="A2562" s="13" t="s">
        <v>6162</v>
      </c>
      <c r="B2562" s="13" t="s">
        <v>6162</v>
      </c>
      <c r="C2562" s="13" t="s">
        <v>6162</v>
      </c>
      <c r="D2562" s="13">
        <v>0.9</v>
      </c>
      <c r="E2562" s="13" t="s">
        <v>6163</v>
      </c>
      <c r="F2562" s="13" t="s">
        <v>8860</v>
      </c>
      <c r="G2562" s="13" t="s">
        <v>19</v>
      </c>
      <c r="H2562" s="13" t="s">
        <v>3</v>
      </c>
      <c r="I2562" s="13" t="s">
        <v>6164</v>
      </c>
      <c r="J2562" s="13" t="s">
        <v>21</v>
      </c>
      <c r="K2562" s="13" t="s">
        <v>8780</v>
      </c>
      <c r="L2562" s="13" t="s">
        <v>18</v>
      </c>
      <c r="M2562" t="s">
        <v>3</v>
      </c>
    </row>
    <row r="2563" spans="1:13" x14ac:dyDescent="0.25">
      <c r="A2563" s="13" t="s">
        <v>6165</v>
      </c>
      <c r="B2563" s="13" t="s">
        <v>6165</v>
      </c>
      <c r="C2563" s="13" t="s">
        <v>6166</v>
      </c>
      <c r="D2563" s="13">
        <v>34.5</v>
      </c>
      <c r="E2563" s="13" t="s">
        <v>6167</v>
      </c>
      <c r="F2563" s="13" t="s">
        <v>8872</v>
      </c>
      <c r="G2563" s="13" t="s">
        <v>2</v>
      </c>
      <c r="H2563" s="13" t="s">
        <v>3</v>
      </c>
      <c r="I2563" s="13" t="s">
        <v>5955</v>
      </c>
      <c r="J2563" s="13" t="s">
        <v>8890</v>
      </c>
      <c r="K2563" s="13" t="s">
        <v>8420</v>
      </c>
      <c r="L2563" s="13" t="s">
        <v>556</v>
      </c>
      <c r="M2563" t="s">
        <v>3</v>
      </c>
    </row>
    <row r="2564" spans="1:13" ht="26.25" x14ac:dyDescent="0.25">
      <c r="A2564" s="13" t="s">
        <v>6168</v>
      </c>
      <c r="B2564" s="13" t="s">
        <v>6168</v>
      </c>
      <c r="C2564" s="13" t="s">
        <v>6169</v>
      </c>
      <c r="D2564" s="13">
        <v>16</v>
      </c>
      <c r="E2564" s="13" t="s">
        <v>6169</v>
      </c>
      <c r="F2564" s="13" t="s">
        <v>8872</v>
      </c>
      <c r="G2564" s="13" t="s">
        <v>2</v>
      </c>
      <c r="H2564" s="13" t="s">
        <v>8420</v>
      </c>
      <c r="I2564" s="13" t="s">
        <v>5955</v>
      </c>
      <c r="J2564" s="13" t="s">
        <v>8890</v>
      </c>
      <c r="K2564" s="13" t="s">
        <v>8420</v>
      </c>
      <c r="L2564" s="13" t="s">
        <v>556</v>
      </c>
      <c r="M2564" t="s">
        <v>10704</v>
      </c>
    </row>
    <row r="2565" spans="1:13" ht="26.25" x14ac:dyDescent="0.25">
      <c r="A2565" s="13" t="s">
        <v>10324</v>
      </c>
      <c r="B2565" s="13" t="s">
        <v>10324</v>
      </c>
      <c r="C2565" s="13" t="s">
        <v>10325</v>
      </c>
      <c r="D2565" s="13">
        <v>0</v>
      </c>
      <c r="E2565" s="13" t="s">
        <v>10326</v>
      </c>
      <c r="F2565" s="13" t="s">
        <v>8860</v>
      </c>
      <c r="G2565" s="13" t="s">
        <v>19</v>
      </c>
      <c r="H2565" s="13" t="s">
        <v>3</v>
      </c>
      <c r="I2565" s="13" t="s">
        <v>10327</v>
      </c>
      <c r="J2565" s="13" t="s">
        <v>21</v>
      </c>
      <c r="K2565" s="13" t="s">
        <v>10328</v>
      </c>
      <c r="L2565" s="13" t="s">
        <v>18</v>
      </c>
      <c r="M2565" t="s">
        <v>3</v>
      </c>
    </row>
    <row r="2566" spans="1:13" ht="26.25" x14ac:dyDescent="0.25">
      <c r="A2566" s="13" t="s">
        <v>6170</v>
      </c>
      <c r="B2566" s="13" t="s">
        <v>6170</v>
      </c>
      <c r="C2566" s="13" t="s">
        <v>6170</v>
      </c>
      <c r="D2566" s="13">
        <v>18.5</v>
      </c>
      <c r="E2566" s="13" t="s">
        <v>6171</v>
      </c>
      <c r="F2566" s="13" t="s">
        <v>35</v>
      </c>
      <c r="G2566" s="13" t="s">
        <v>19</v>
      </c>
      <c r="H2566" s="13" t="s">
        <v>3</v>
      </c>
      <c r="I2566" s="13" t="s">
        <v>164</v>
      </c>
      <c r="J2566" s="13" t="s">
        <v>37</v>
      </c>
      <c r="K2566" s="13" t="s">
        <v>8443</v>
      </c>
      <c r="L2566" s="13" t="s">
        <v>35</v>
      </c>
      <c r="M2566" t="s">
        <v>3</v>
      </c>
    </row>
    <row r="2567" spans="1:13" ht="26.25" x14ac:dyDescent="0.25">
      <c r="A2567" s="13" t="s">
        <v>6172</v>
      </c>
      <c r="B2567" s="13" t="s">
        <v>6172</v>
      </c>
      <c r="C2567" s="13" t="s">
        <v>6173</v>
      </c>
      <c r="D2567" s="14">
        <v>295.89999999999998</v>
      </c>
      <c r="E2567" s="13" t="s">
        <v>6174</v>
      </c>
      <c r="F2567" s="13" t="s">
        <v>35</v>
      </c>
      <c r="G2567" s="13" t="s">
        <v>19</v>
      </c>
      <c r="H2567" s="13" t="s">
        <v>3</v>
      </c>
      <c r="I2567" s="13" t="s">
        <v>813</v>
      </c>
      <c r="J2567" s="13" t="s">
        <v>37</v>
      </c>
      <c r="K2567" s="13" t="s">
        <v>8443</v>
      </c>
      <c r="L2567" s="13" t="s">
        <v>35</v>
      </c>
      <c r="M2567" t="s">
        <v>3</v>
      </c>
    </row>
    <row r="2568" spans="1:13" x14ac:dyDescent="0.25">
      <c r="A2568" s="13" t="s">
        <v>6175</v>
      </c>
      <c r="B2568" s="13" t="s">
        <v>6175</v>
      </c>
      <c r="C2568" s="13" t="s">
        <v>6175</v>
      </c>
      <c r="D2568" s="13">
        <v>1</v>
      </c>
      <c r="E2568" s="13" t="s">
        <v>6176</v>
      </c>
      <c r="F2568" s="13" t="s">
        <v>8867</v>
      </c>
      <c r="G2568" s="13" t="s">
        <v>2</v>
      </c>
      <c r="H2568" s="13" t="s">
        <v>3</v>
      </c>
      <c r="I2568" s="13" t="s">
        <v>5229</v>
      </c>
      <c r="J2568" s="13" t="s">
        <v>8890</v>
      </c>
      <c r="K2568" s="13" t="s">
        <v>8682</v>
      </c>
      <c r="L2568" s="13" t="s">
        <v>158</v>
      </c>
      <c r="M2568" t="s">
        <v>3</v>
      </c>
    </row>
    <row r="2569" spans="1:13" x14ac:dyDescent="0.25">
      <c r="A2569" s="13" t="s">
        <v>6177</v>
      </c>
      <c r="B2569" s="13" t="s">
        <v>6177</v>
      </c>
      <c r="C2569" s="13" t="s">
        <v>6178</v>
      </c>
      <c r="D2569" s="13">
        <v>84</v>
      </c>
      <c r="E2569" s="13" t="s">
        <v>6179</v>
      </c>
      <c r="F2569" s="13" t="s">
        <v>8861</v>
      </c>
      <c r="G2569" s="13" t="s">
        <v>2</v>
      </c>
      <c r="H2569" s="13" t="s">
        <v>3</v>
      </c>
      <c r="I2569" s="13" t="s">
        <v>813</v>
      </c>
      <c r="J2569" s="13" t="s">
        <v>8890</v>
      </c>
      <c r="K2569" s="13" t="s">
        <v>8443</v>
      </c>
      <c r="L2569" s="13" t="s">
        <v>8891</v>
      </c>
      <c r="M2569" t="s">
        <v>3</v>
      </c>
    </row>
    <row r="2570" spans="1:13" ht="26.25" x14ac:dyDescent="0.25">
      <c r="A2570" s="13" t="s">
        <v>6180</v>
      </c>
      <c r="B2570" s="13" t="s">
        <v>6180</v>
      </c>
      <c r="C2570" s="13" t="s">
        <v>6181</v>
      </c>
      <c r="D2570" s="13">
        <v>0.3</v>
      </c>
      <c r="E2570" s="13" t="s">
        <v>6182</v>
      </c>
      <c r="F2570" s="13" t="s">
        <v>8863</v>
      </c>
      <c r="G2570" s="13" t="s">
        <v>2</v>
      </c>
      <c r="H2570" s="13" t="s">
        <v>3</v>
      </c>
      <c r="I2570" s="13" t="s">
        <v>10</v>
      </c>
      <c r="J2570" s="13" t="s">
        <v>8890</v>
      </c>
      <c r="K2570" s="13" t="s">
        <v>8425</v>
      </c>
      <c r="L2570" s="13" t="s">
        <v>8893</v>
      </c>
      <c r="M2570" t="s">
        <v>3</v>
      </c>
    </row>
    <row r="2571" spans="1:13" ht="26.25" x14ac:dyDescent="0.25">
      <c r="A2571" s="13" t="s">
        <v>6183</v>
      </c>
      <c r="B2571" s="13" t="s">
        <v>6183</v>
      </c>
      <c r="C2571" s="13" t="s">
        <v>6183</v>
      </c>
      <c r="D2571" s="13">
        <v>86</v>
      </c>
      <c r="E2571" s="13" t="s">
        <v>6184</v>
      </c>
      <c r="F2571" s="13" t="s">
        <v>35</v>
      </c>
      <c r="G2571" s="13" t="s">
        <v>19</v>
      </c>
      <c r="H2571" s="13" t="s">
        <v>3</v>
      </c>
      <c r="I2571" s="13" t="s">
        <v>813</v>
      </c>
      <c r="J2571" s="13" t="s">
        <v>37</v>
      </c>
      <c r="K2571" s="13" t="s">
        <v>8443</v>
      </c>
      <c r="L2571" s="13" t="s">
        <v>35</v>
      </c>
      <c r="M2571" t="s">
        <v>3</v>
      </c>
    </row>
    <row r="2572" spans="1:13" x14ac:dyDescent="0.25">
      <c r="A2572" s="13" t="s">
        <v>11108</v>
      </c>
      <c r="B2572" s="13" t="s">
        <v>11109</v>
      </c>
      <c r="C2572" s="13" t="s">
        <v>11110</v>
      </c>
      <c r="D2572" s="13">
        <v>23.2</v>
      </c>
      <c r="E2572" s="13" t="s">
        <v>11111</v>
      </c>
      <c r="F2572" s="13" t="s">
        <v>8869</v>
      </c>
      <c r="G2572" s="13" t="s">
        <v>2</v>
      </c>
      <c r="H2572" s="13" t="s">
        <v>3</v>
      </c>
      <c r="I2572" s="13" t="s">
        <v>6193</v>
      </c>
      <c r="J2572" s="13" t="s">
        <v>8890</v>
      </c>
      <c r="K2572" s="13" t="s">
        <v>11912</v>
      </c>
      <c r="L2572" s="13" t="s">
        <v>8918</v>
      </c>
      <c r="M2572" t="s">
        <v>3</v>
      </c>
    </row>
    <row r="2573" spans="1:13" ht="26.25" x14ac:dyDescent="0.25">
      <c r="A2573" s="13" t="s">
        <v>6185</v>
      </c>
      <c r="B2573" s="13" t="s">
        <v>6185</v>
      </c>
      <c r="C2573" s="13" t="s">
        <v>6185</v>
      </c>
      <c r="D2573" s="13">
        <v>2</v>
      </c>
      <c r="E2573" s="13" t="s">
        <v>6186</v>
      </c>
      <c r="F2573" s="13" t="s">
        <v>8873</v>
      </c>
      <c r="G2573" s="13" t="s">
        <v>2</v>
      </c>
      <c r="H2573" s="13" t="s">
        <v>3</v>
      </c>
      <c r="I2573" s="13" t="s">
        <v>4</v>
      </c>
      <c r="J2573" s="13" t="s">
        <v>8890</v>
      </c>
      <c r="K2573" s="13" t="s">
        <v>8424</v>
      </c>
      <c r="L2573" s="13" t="s">
        <v>9399</v>
      </c>
      <c r="M2573" t="s">
        <v>3</v>
      </c>
    </row>
    <row r="2574" spans="1:13" x14ac:dyDescent="0.25">
      <c r="A2574" s="13" t="s">
        <v>10329</v>
      </c>
      <c r="B2574" s="13" t="s">
        <v>10330</v>
      </c>
      <c r="C2574" s="13" t="s">
        <v>10331</v>
      </c>
      <c r="D2574" s="13">
        <v>44.5</v>
      </c>
      <c r="E2574" s="13" t="s">
        <v>10332</v>
      </c>
      <c r="F2574" s="13" t="s">
        <v>8867</v>
      </c>
      <c r="G2574" s="13" t="s">
        <v>2</v>
      </c>
      <c r="H2574" s="13" t="s">
        <v>3</v>
      </c>
      <c r="I2574" s="13" t="s">
        <v>6193</v>
      </c>
      <c r="J2574" s="13" t="s">
        <v>8890</v>
      </c>
      <c r="K2574" s="13" t="s">
        <v>11912</v>
      </c>
      <c r="L2574" s="13" t="s">
        <v>158</v>
      </c>
      <c r="M2574" t="s">
        <v>3</v>
      </c>
    </row>
    <row r="2575" spans="1:13" x14ac:dyDescent="0.25">
      <c r="A2575" s="13" t="s">
        <v>6187</v>
      </c>
      <c r="B2575" s="13" t="s">
        <v>6187</v>
      </c>
      <c r="C2575" s="13" t="s">
        <v>6188</v>
      </c>
      <c r="D2575" s="13">
        <v>0.2</v>
      </c>
      <c r="E2575" s="13" t="s">
        <v>6189</v>
      </c>
      <c r="F2575" s="13" t="s">
        <v>8863</v>
      </c>
      <c r="G2575" s="13" t="s">
        <v>2</v>
      </c>
      <c r="H2575" s="13" t="s">
        <v>3</v>
      </c>
      <c r="I2575" s="13" t="s">
        <v>1307</v>
      </c>
      <c r="J2575" s="13" t="s">
        <v>8890</v>
      </c>
      <c r="K2575" s="13" t="s">
        <v>1305</v>
      </c>
      <c r="L2575" s="13" t="s">
        <v>8893</v>
      </c>
      <c r="M2575" t="s">
        <v>3</v>
      </c>
    </row>
    <row r="2576" spans="1:13" ht="26.25" x14ac:dyDescent="0.25">
      <c r="A2576" s="13" t="s">
        <v>6190</v>
      </c>
      <c r="B2576" s="13" t="s">
        <v>6190</v>
      </c>
      <c r="C2576" s="13" t="s">
        <v>6190</v>
      </c>
      <c r="D2576" s="13">
        <v>0.4</v>
      </c>
      <c r="E2576" s="13" t="s">
        <v>6191</v>
      </c>
      <c r="F2576" s="13" t="s">
        <v>8860</v>
      </c>
      <c r="G2576" s="13" t="s">
        <v>19</v>
      </c>
      <c r="H2576" s="13" t="s">
        <v>3</v>
      </c>
      <c r="I2576" s="13" t="s">
        <v>6192</v>
      </c>
      <c r="J2576" s="13" t="s">
        <v>21</v>
      </c>
      <c r="K2576" s="13" t="s">
        <v>8781</v>
      </c>
      <c r="L2576" s="13" t="s">
        <v>18</v>
      </c>
      <c r="M2576" t="s">
        <v>3</v>
      </c>
    </row>
    <row r="2577" spans="1:13" ht="26.25" x14ac:dyDescent="0.25">
      <c r="A2577" s="13" t="s">
        <v>6194</v>
      </c>
      <c r="B2577" s="13" t="s">
        <v>6194</v>
      </c>
      <c r="C2577" s="13" t="s">
        <v>6195</v>
      </c>
      <c r="D2577" s="13">
        <v>9.1</v>
      </c>
      <c r="E2577" s="13" t="s">
        <v>6196</v>
      </c>
      <c r="F2577" s="13" t="s">
        <v>8872</v>
      </c>
      <c r="G2577" s="13" t="s">
        <v>2</v>
      </c>
      <c r="H2577" s="13" t="s">
        <v>3</v>
      </c>
      <c r="I2577" s="13" t="s">
        <v>1263</v>
      </c>
      <c r="J2577" s="13" t="s">
        <v>8890</v>
      </c>
      <c r="K2577" s="13" t="s">
        <v>8422</v>
      </c>
      <c r="L2577" s="13" t="s">
        <v>556</v>
      </c>
      <c r="M2577" t="s">
        <v>3</v>
      </c>
    </row>
    <row r="2578" spans="1:13" ht="26.25" x14ac:dyDescent="0.25">
      <c r="A2578" s="13" t="s">
        <v>6197</v>
      </c>
      <c r="B2578" s="13" t="s">
        <v>6197</v>
      </c>
      <c r="C2578" s="13" t="s">
        <v>6197</v>
      </c>
      <c r="D2578" s="13">
        <v>0.1</v>
      </c>
      <c r="E2578" s="13" t="s">
        <v>6198</v>
      </c>
      <c r="F2578" s="13" t="s">
        <v>8860</v>
      </c>
      <c r="G2578" s="13" t="s">
        <v>19</v>
      </c>
      <c r="H2578" s="13" t="s">
        <v>3</v>
      </c>
      <c r="I2578" s="13" t="s">
        <v>6199</v>
      </c>
      <c r="J2578" s="13" t="s">
        <v>21</v>
      </c>
      <c r="K2578" s="13" t="s">
        <v>8782</v>
      </c>
      <c r="L2578" s="13" t="s">
        <v>18</v>
      </c>
      <c r="M2578" t="s">
        <v>3</v>
      </c>
    </row>
    <row r="2579" spans="1:13" x14ac:dyDescent="0.25">
      <c r="A2579" s="13" t="s">
        <v>11572</v>
      </c>
      <c r="B2579" s="13" t="s">
        <v>11573</v>
      </c>
      <c r="C2579" s="13" t="s">
        <v>11574</v>
      </c>
      <c r="D2579" s="13">
        <v>49.9</v>
      </c>
      <c r="E2579" s="13" t="s">
        <v>11575</v>
      </c>
      <c r="F2579" s="13" t="s">
        <v>8872</v>
      </c>
      <c r="G2579" s="13" t="s">
        <v>2</v>
      </c>
      <c r="H2579" s="13" t="s">
        <v>3</v>
      </c>
      <c r="I2579" s="13" t="s">
        <v>1254</v>
      </c>
      <c r="J2579" s="13" t="s">
        <v>8890</v>
      </c>
      <c r="K2579" s="13" t="s">
        <v>8508</v>
      </c>
      <c r="L2579" s="13" t="s">
        <v>556</v>
      </c>
      <c r="M2579" t="s">
        <v>3</v>
      </c>
    </row>
    <row r="2580" spans="1:13" x14ac:dyDescent="0.25">
      <c r="A2580" s="13" t="s">
        <v>6200</v>
      </c>
      <c r="B2580" s="13" t="s">
        <v>6200</v>
      </c>
      <c r="C2580" s="13" t="s">
        <v>6201</v>
      </c>
      <c r="D2580" s="13">
        <v>1.2</v>
      </c>
      <c r="E2580" s="13" t="s">
        <v>6202</v>
      </c>
      <c r="F2580" s="13" t="s">
        <v>8872</v>
      </c>
      <c r="G2580" s="13" t="s">
        <v>2</v>
      </c>
      <c r="H2580" s="13" t="s">
        <v>3</v>
      </c>
      <c r="I2580" s="13" t="s">
        <v>429</v>
      </c>
      <c r="J2580" s="13" t="s">
        <v>8890</v>
      </c>
      <c r="K2580" s="13" t="s">
        <v>6051</v>
      </c>
      <c r="L2580" s="13" t="s">
        <v>556</v>
      </c>
      <c r="M2580" t="s">
        <v>3</v>
      </c>
    </row>
    <row r="2581" spans="1:13" x14ac:dyDescent="0.25">
      <c r="A2581" s="13" t="s">
        <v>6203</v>
      </c>
      <c r="B2581" s="13" t="s">
        <v>6203</v>
      </c>
      <c r="C2581" s="13" t="s">
        <v>6204</v>
      </c>
      <c r="D2581" s="13">
        <v>61.2</v>
      </c>
      <c r="E2581" s="13" t="s">
        <v>6205</v>
      </c>
      <c r="F2581" s="13" t="s">
        <v>8872</v>
      </c>
      <c r="G2581" s="13" t="s">
        <v>2</v>
      </c>
      <c r="H2581" s="13" t="s">
        <v>3</v>
      </c>
      <c r="I2581" s="13" t="s">
        <v>1254</v>
      </c>
      <c r="J2581" s="13" t="s">
        <v>8890</v>
      </c>
      <c r="K2581" s="13" t="s">
        <v>8508</v>
      </c>
      <c r="L2581" s="13" t="s">
        <v>556</v>
      </c>
      <c r="M2581" t="s">
        <v>3</v>
      </c>
    </row>
    <row r="2582" spans="1:13" x14ac:dyDescent="0.25">
      <c r="A2582" s="13" t="s">
        <v>6206</v>
      </c>
      <c r="B2582" s="13" t="s">
        <v>6206</v>
      </c>
      <c r="C2582" s="13" t="s">
        <v>6207</v>
      </c>
      <c r="D2582" s="13">
        <v>1.3</v>
      </c>
      <c r="E2582" s="13" t="s">
        <v>6208</v>
      </c>
      <c r="F2582" s="13" t="s">
        <v>8873</v>
      </c>
      <c r="G2582" s="13" t="s">
        <v>2</v>
      </c>
      <c r="H2582" s="13" t="s">
        <v>3</v>
      </c>
      <c r="I2582" s="13" t="s">
        <v>1263</v>
      </c>
      <c r="J2582" s="13" t="s">
        <v>8890</v>
      </c>
      <c r="K2582" s="13" t="s">
        <v>8422</v>
      </c>
      <c r="L2582" s="13" t="s">
        <v>8964</v>
      </c>
      <c r="M2582" t="s">
        <v>3</v>
      </c>
    </row>
    <row r="2583" spans="1:13" x14ac:dyDescent="0.25">
      <c r="A2583" s="13" t="s">
        <v>9403</v>
      </c>
      <c r="B2583" s="13" t="s">
        <v>9403</v>
      </c>
      <c r="C2583" s="13" t="s">
        <v>9404</v>
      </c>
      <c r="D2583" s="13">
        <v>8</v>
      </c>
      <c r="E2583" s="13" t="s">
        <v>9405</v>
      </c>
      <c r="F2583" s="13" t="s">
        <v>8872</v>
      </c>
      <c r="G2583" s="13" t="s">
        <v>2</v>
      </c>
      <c r="H2583" s="13" t="s">
        <v>3</v>
      </c>
      <c r="I2583" s="13" t="s">
        <v>447</v>
      </c>
      <c r="J2583" s="13" t="s">
        <v>8890</v>
      </c>
      <c r="K2583" s="13" t="s">
        <v>8421</v>
      </c>
      <c r="L2583" s="13" t="s">
        <v>556</v>
      </c>
      <c r="M2583" t="s">
        <v>3</v>
      </c>
    </row>
    <row r="2584" spans="1:13" x14ac:dyDescent="0.25">
      <c r="A2584" s="13" t="s">
        <v>6209</v>
      </c>
      <c r="B2584" s="13" t="s">
        <v>6209</v>
      </c>
      <c r="C2584" s="13" t="s">
        <v>6209</v>
      </c>
      <c r="D2584" s="13">
        <v>18.899999999999999</v>
      </c>
      <c r="E2584" s="13" t="s">
        <v>6210</v>
      </c>
      <c r="F2584" s="13" t="s">
        <v>8873</v>
      </c>
      <c r="G2584" s="13" t="s">
        <v>2</v>
      </c>
      <c r="H2584" s="13" t="s">
        <v>3</v>
      </c>
      <c r="I2584" s="13" t="s">
        <v>429</v>
      </c>
      <c r="J2584" s="13" t="s">
        <v>8890</v>
      </c>
      <c r="K2584" s="13" t="s">
        <v>6051</v>
      </c>
      <c r="L2584" s="13" t="s">
        <v>8964</v>
      </c>
      <c r="M2584" t="s">
        <v>3</v>
      </c>
    </row>
    <row r="2585" spans="1:13" ht="26.25" x14ac:dyDescent="0.25">
      <c r="A2585" s="13" t="s">
        <v>6211</v>
      </c>
      <c r="B2585" s="13" t="s">
        <v>6211</v>
      </c>
      <c r="C2585" s="13" t="s">
        <v>6211</v>
      </c>
      <c r="D2585" s="13">
        <v>2</v>
      </c>
      <c r="E2585" s="13" t="s">
        <v>6212</v>
      </c>
      <c r="F2585" s="13" t="s">
        <v>8873</v>
      </c>
      <c r="G2585" s="13" t="s">
        <v>2</v>
      </c>
      <c r="H2585" s="13" t="s">
        <v>3</v>
      </c>
      <c r="I2585" s="13" t="s">
        <v>4</v>
      </c>
      <c r="J2585" s="13" t="s">
        <v>8890</v>
      </c>
      <c r="K2585" s="13" t="s">
        <v>8424</v>
      </c>
      <c r="L2585" s="13" t="s">
        <v>8964</v>
      </c>
      <c r="M2585" t="s">
        <v>3</v>
      </c>
    </row>
    <row r="2586" spans="1:13" x14ac:dyDescent="0.25">
      <c r="A2586" s="13" t="s">
        <v>6213</v>
      </c>
      <c r="B2586" s="13" t="s">
        <v>6213</v>
      </c>
      <c r="C2586" s="13" t="s">
        <v>6213</v>
      </c>
      <c r="D2586" s="13">
        <v>1.6</v>
      </c>
      <c r="E2586" s="13" t="s">
        <v>6214</v>
      </c>
      <c r="F2586" s="13" t="s">
        <v>8872</v>
      </c>
      <c r="G2586" s="13" t="s">
        <v>2</v>
      </c>
      <c r="H2586" s="13" t="s">
        <v>3</v>
      </c>
      <c r="I2586" s="13" t="s">
        <v>706</v>
      </c>
      <c r="J2586" s="13" t="s">
        <v>8890</v>
      </c>
      <c r="K2586" s="13" t="s">
        <v>8419</v>
      </c>
      <c r="L2586" s="13" t="s">
        <v>556</v>
      </c>
      <c r="M2586" t="s">
        <v>3</v>
      </c>
    </row>
    <row r="2587" spans="1:13" x14ac:dyDescent="0.25">
      <c r="A2587" s="13" t="s">
        <v>6215</v>
      </c>
      <c r="B2587" s="13" t="s">
        <v>6215</v>
      </c>
      <c r="C2587" s="13" t="s">
        <v>6216</v>
      </c>
      <c r="D2587" s="13">
        <v>15.5</v>
      </c>
      <c r="E2587" s="13" t="s">
        <v>6216</v>
      </c>
      <c r="F2587" s="13" t="s">
        <v>8873</v>
      </c>
      <c r="G2587" s="13" t="s">
        <v>2</v>
      </c>
      <c r="H2587" s="13" t="s">
        <v>3</v>
      </c>
      <c r="I2587" s="13" t="s">
        <v>447</v>
      </c>
      <c r="J2587" s="13" t="s">
        <v>8890</v>
      </c>
      <c r="K2587" s="13" t="s">
        <v>8421</v>
      </c>
      <c r="L2587" s="13" t="s">
        <v>8964</v>
      </c>
      <c r="M2587" t="s">
        <v>3</v>
      </c>
    </row>
    <row r="2588" spans="1:13" x14ac:dyDescent="0.25">
      <c r="A2588" s="13" t="s">
        <v>6217</v>
      </c>
      <c r="B2588" s="13" t="s">
        <v>6218</v>
      </c>
      <c r="C2588" s="13" t="s">
        <v>6219</v>
      </c>
      <c r="D2588" s="13">
        <v>2.2000000000000002</v>
      </c>
      <c r="E2588" s="13" t="s">
        <v>6220</v>
      </c>
      <c r="F2588" s="13" t="s">
        <v>8872</v>
      </c>
      <c r="G2588" s="13" t="s">
        <v>2</v>
      </c>
      <c r="H2588" s="13" t="s">
        <v>3</v>
      </c>
      <c r="I2588" s="13" t="s">
        <v>1978</v>
      </c>
      <c r="J2588" s="13" t="s">
        <v>8890</v>
      </c>
      <c r="K2588" s="13" t="s">
        <v>8570</v>
      </c>
      <c r="L2588" s="13" t="s">
        <v>556</v>
      </c>
      <c r="M2588" t="s">
        <v>3</v>
      </c>
    </row>
    <row r="2589" spans="1:13" ht="26.25" x14ac:dyDescent="0.25">
      <c r="A2589" s="13" t="s">
        <v>6221</v>
      </c>
      <c r="B2589" s="13" t="s">
        <v>6221</v>
      </c>
      <c r="C2589" s="13" t="s">
        <v>6222</v>
      </c>
      <c r="D2589" s="13">
        <v>2.1</v>
      </c>
      <c r="E2589" s="13" t="s">
        <v>6223</v>
      </c>
      <c r="F2589" s="13" t="s">
        <v>8873</v>
      </c>
      <c r="G2589" s="13" t="s">
        <v>2</v>
      </c>
      <c r="H2589" s="13" t="s">
        <v>3</v>
      </c>
      <c r="I2589" s="13" t="s">
        <v>706</v>
      </c>
      <c r="J2589" s="13" t="s">
        <v>8890</v>
      </c>
      <c r="K2589" s="13" t="s">
        <v>8419</v>
      </c>
      <c r="L2589" s="13" t="s">
        <v>8964</v>
      </c>
      <c r="M2589" t="s">
        <v>3</v>
      </c>
    </row>
    <row r="2590" spans="1:13" x14ac:dyDescent="0.25">
      <c r="A2590" s="13" t="s">
        <v>9676</v>
      </c>
      <c r="B2590" s="13" t="s">
        <v>9676</v>
      </c>
      <c r="C2590" s="13" t="s">
        <v>9677</v>
      </c>
      <c r="D2590" s="13">
        <v>4</v>
      </c>
      <c r="E2590" s="13" t="s">
        <v>9678</v>
      </c>
      <c r="F2590" s="13" t="s">
        <v>8863</v>
      </c>
      <c r="G2590" s="13" t="s">
        <v>2</v>
      </c>
      <c r="H2590" s="13" t="s">
        <v>3</v>
      </c>
      <c r="I2590" s="13" t="s">
        <v>497</v>
      </c>
      <c r="J2590" s="13" t="s">
        <v>8890</v>
      </c>
      <c r="K2590" s="13" t="s">
        <v>8475</v>
      </c>
      <c r="L2590" s="13" t="s">
        <v>8956</v>
      </c>
      <c r="M2590" t="s">
        <v>3</v>
      </c>
    </row>
    <row r="2591" spans="1:13" ht="26.25" x14ac:dyDescent="0.25">
      <c r="A2591" s="13" t="s">
        <v>6224</v>
      </c>
      <c r="B2591" s="13" t="s">
        <v>6224</v>
      </c>
      <c r="C2591" s="13" t="s">
        <v>6225</v>
      </c>
      <c r="D2591" s="13">
        <v>1.9</v>
      </c>
      <c r="E2591" s="13" t="s">
        <v>6226</v>
      </c>
      <c r="F2591" s="13" t="s">
        <v>8872</v>
      </c>
      <c r="G2591" s="13" t="s">
        <v>2</v>
      </c>
      <c r="H2591" s="13" t="s">
        <v>3</v>
      </c>
      <c r="I2591" s="13" t="s">
        <v>2465</v>
      </c>
      <c r="J2591" s="13" t="s">
        <v>8890</v>
      </c>
      <c r="K2591" s="13" t="s">
        <v>8605</v>
      </c>
      <c r="L2591" s="13" t="s">
        <v>556</v>
      </c>
      <c r="M2591" t="s">
        <v>3</v>
      </c>
    </row>
    <row r="2592" spans="1:13" ht="26.25" x14ac:dyDescent="0.25">
      <c r="A2592" s="13" t="s">
        <v>6227</v>
      </c>
      <c r="B2592" s="13" t="s">
        <v>6228</v>
      </c>
      <c r="C2592" s="13" t="s">
        <v>6229</v>
      </c>
      <c r="D2592" s="13">
        <v>1411.4</v>
      </c>
      <c r="E2592" s="13" t="s">
        <v>6230</v>
      </c>
      <c r="F2592" s="13" t="s">
        <v>35</v>
      </c>
      <c r="G2592" s="13" t="s">
        <v>19</v>
      </c>
      <c r="H2592" s="13" t="s">
        <v>3</v>
      </c>
      <c r="I2592" s="13" t="s">
        <v>6231</v>
      </c>
      <c r="J2592" s="13" t="s">
        <v>37</v>
      </c>
      <c r="K2592" s="13" t="s">
        <v>8783</v>
      </c>
      <c r="L2592" s="13" t="s">
        <v>35</v>
      </c>
      <c r="M2592" t="s">
        <v>3</v>
      </c>
    </row>
    <row r="2593" spans="1:13" ht="26.25" x14ac:dyDescent="0.25">
      <c r="A2593" s="13" t="s">
        <v>6232</v>
      </c>
      <c r="B2593" s="13" t="s">
        <v>6233</v>
      </c>
      <c r="C2593" s="13" t="s">
        <v>6234</v>
      </c>
      <c r="D2593" s="13">
        <v>0.4</v>
      </c>
      <c r="E2593" s="13" t="s">
        <v>6235</v>
      </c>
      <c r="F2593" s="13" t="s">
        <v>8867</v>
      </c>
      <c r="G2593" s="13" t="s">
        <v>2</v>
      </c>
      <c r="H2593" s="13" t="s">
        <v>3</v>
      </c>
      <c r="I2593" s="13" t="s">
        <v>6231</v>
      </c>
      <c r="J2593" s="13" t="s">
        <v>8890</v>
      </c>
      <c r="K2593" s="13" t="s">
        <v>8783</v>
      </c>
      <c r="L2593" s="13" t="s">
        <v>158</v>
      </c>
      <c r="M2593" t="s">
        <v>3</v>
      </c>
    </row>
    <row r="2594" spans="1:13" x14ac:dyDescent="0.25">
      <c r="A2594" s="13" t="s">
        <v>6236</v>
      </c>
      <c r="B2594" s="13" t="s">
        <v>6236</v>
      </c>
      <c r="C2594" s="13" t="s">
        <v>6237</v>
      </c>
      <c r="D2594" s="13">
        <v>16</v>
      </c>
      <c r="E2594" s="13" t="s">
        <v>6237</v>
      </c>
      <c r="F2594" s="13" t="s">
        <v>8872</v>
      </c>
      <c r="G2594" s="13" t="s">
        <v>2</v>
      </c>
      <c r="H2594" s="13" t="s">
        <v>8420</v>
      </c>
      <c r="I2594" s="13" t="s">
        <v>5955</v>
      </c>
      <c r="J2594" s="13" t="s">
        <v>8890</v>
      </c>
      <c r="K2594" s="13" t="s">
        <v>8420</v>
      </c>
      <c r="L2594" s="13" t="s">
        <v>556</v>
      </c>
      <c r="M2594" t="s">
        <v>10704</v>
      </c>
    </row>
    <row r="2595" spans="1:13" x14ac:dyDescent="0.25">
      <c r="A2595" s="13" t="s">
        <v>6238</v>
      </c>
      <c r="B2595" s="13" t="s">
        <v>6238</v>
      </c>
      <c r="C2595" s="13" t="s">
        <v>6239</v>
      </c>
      <c r="D2595" s="13">
        <v>1.9</v>
      </c>
      <c r="E2595" s="13" t="s">
        <v>6240</v>
      </c>
      <c r="F2595" s="13" t="s">
        <v>8872</v>
      </c>
      <c r="G2595" s="13" t="s">
        <v>2</v>
      </c>
      <c r="H2595" s="13" t="s">
        <v>3</v>
      </c>
      <c r="I2595" s="13" t="s">
        <v>228</v>
      </c>
      <c r="J2595" s="13" t="s">
        <v>8890</v>
      </c>
      <c r="K2595" s="13" t="s">
        <v>8418</v>
      </c>
      <c r="L2595" s="13" t="s">
        <v>556</v>
      </c>
      <c r="M2595" t="s">
        <v>3</v>
      </c>
    </row>
    <row r="2596" spans="1:13" x14ac:dyDescent="0.25">
      <c r="A2596" s="13" t="s">
        <v>11401</v>
      </c>
      <c r="B2596" s="13" t="s">
        <v>11401</v>
      </c>
      <c r="C2596" s="13" t="s">
        <v>11401</v>
      </c>
      <c r="D2596" s="13">
        <v>2.8</v>
      </c>
      <c r="E2596" s="13" t="s">
        <v>11402</v>
      </c>
      <c r="F2596" s="13" t="s">
        <v>8873</v>
      </c>
      <c r="G2596" s="13" t="s">
        <v>2</v>
      </c>
      <c r="H2596" s="13" t="s">
        <v>3</v>
      </c>
      <c r="I2596" s="13" t="s">
        <v>706</v>
      </c>
      <c r="J2596" s="13" t="s">
        <v>8890</v>
      </c>
      <c r="K2596" s="13" t="s">
        <v>8419</v>
      </c>
      <c r="L2596" s="13" t="s">
        <v>8964</v>
      </c>
      <c r="M2596" t="s">
        <v>3</v>
      </c>
    </row>
    <row r="2597" spans="1:13" x14ac:dyDescent="0.25">
      <c r="A2597" s="13" t="s">
        <v>6241</v>
      </c>
      <c r="B2597" s="13" t="s">
        <v>6242</v>
      </c>
      <c r="C2597" s="13" t="s">
        <v>6243</v>
      </c>
      <c r="D2597" s="13">
        <v>0.2</v>
      </c>
      <c r="E2597" s="13" t="s">
        <v>6244</v>
      </c>
      <c r="F2597" s="13" t="s">
        <v>8872</v>
      </c>
      <c r="G2597" s="13" t="s">
        <v>2</v>
      </c>
      <c r="H2597" s="13" t="s">
        <v>3</v>
      </c>
      <c r="I2597" s="13" t="s">
        <v>1263</v>
      </c>
      <c r="J2597" s="13" t="s">
        <v>8890</v>
      </c>
      <c r="K2597" s="13" t="s">
        <v>8422</v>
      </c>
      <c r="L2597" s="13" t="s">
        <v>556</v>
      </c>
      <c r="M2597" t="s">
        <v>3</v>
      </c>
    </row>
    <row r="2598" spans="1:13" x14ac:dyDescent="0.25">
      <c r="A2598" s="13" t="s">
        <v>6245</v>
      </c>
      <c r="B2598" s="13" t="s">
        <v>6245</v>
      </c>
      <c r="C2598" s="13" t="s">
        <v>6246</v>
      </c>
      <c r="D2598" s="13">
        <v>1.4</v>
      </c>
      <c r="E2598" s="13" t="s">
        <v>6246</v>
      </c>
      <c r="F2598" s="13" t="s">
        <v>8873</v>
      </c>
      <c r="G2598" s="13" t="s">
        <v>2</v>
      </c>
      <c r="H2598" s="13" t="s">
        <v>3</v>
      </c>
      <c r="I2598" s="13" t="s">
        <v>447</v>
      </c>
      <c r="J2598" s="13" t="s">
        <v>8890</v>
      </c>
      <c r="K2598" s="13" t="s">
        <v>8421</v>
      </c>
      <c r="L2598" s="13" t="s">
        <v>8964</v>
      </c>
      <c r="M2598" t="s">
        <v>3</v>
      </c>
    </row>
    <row r="2599" spans="1:13" ht="26.25" x14ac:dyDescent="0.25">
      <c r="A2599" s="13" t="s">
        <v>6247</v>
      </c>
      <c r="B2599" s="13" t="s">
        <v>6247</v>
      </c>
      <c r="C2599" s="13" t="s">
        <v>6248</v>
      </c>
      <c r="D2599" s="13">
        <v>0.1</v>
      </c>
      <c r="E2599" s="13" t="s">
        <v>6249</v>
      </c>
      <c r="F2599" s="13" t="s">
        <v>8863</v>
      </c>
      <c r="G2599" s="13" t="s">
        <v>2</v>
      </c>
      <c r="H2599" s="13" t="s">
        <v>3</v>
      </c>
      <c r="I2599" s="13" t="s">
        <v>10</v>
      </c>
      <c r="J2599" s="13" t="s">
        <v>8890</v>
      </c>
      <c r="K2599" s="13" t="s">
        <v>8425</v>
      </c>
      <c r="L2599" s="13" t="s">
        <v>8893</v>
      </c>
      <c r="M2599" t="s">
        <v>3</v>
      </c>
    </row>
    <row r="2600" spans="1:13" x14ac:dyDescent="0.25">
      <c r="A2600" s="13" t="s">
        <v>6250</v>
      </c>
      <c r="B2600" s="13" t="s">
        <v>6250</v>
      </c>
      <c r="C2600" s="13" t="s">
        <v>6251</v>
      </c>
      <c r="D2600" s="13">
        <v>5.7</v>
      </c>
      <c r="E2600" s="13" t="s">
        <v>6252</v>
      </c>
      <c r="F2600" s="13" t="s">
        <v>8873</v>
      </c>
      <c r="G2600" s="13" t="s">
        <v>2</v>
      </c>
      <c r="H2600" s="13" t="s">
        <v>3</v>
      </c>
      <c r="I2600" s="13" t="s">
        <v>228</v>
      </c>
      <c r="J2600" s="13" t="s">
        <v>8890</v>
      </c>
      <c r="K2600" s="13" t="s">
        <v>8418</v>
      </c>
      <c r="L2600" s="13" t="s">
        <v>8964</v>
      </c>
      <c r="M2600" t="s">
        <v>3</v>
      </c>
    </row>
    <row r="2601" spans="1:13" ht="26.25" x14ac:dyDescent="0.25">
      <c r="A2601" s="13" t="s">
        <v>11403</v>
      </c>
      <c r="B2601" s="13" t="s">
        <v>11404</v>
      </c>
      <c r="C2601" s="13" t="s">
        <v>11405</v>
      </c>
      <c r="D2601" s="13">
        <v>13.1</v>
      </c>
      <c r="E2601" s="13" t="s">
        <v>11406</v>
      </c>
      <c r="F2601" s="13" t="s">
        <v>35</v>
      </c>
      <c r="G2601" s="13" t="s">
        <v>19</v>
      </c>
      <c r="H2601" s="13" t="s">
        <v>3</v>
      </c>
      <c r="I2601" s="13" t="s">
        <v>2465</v>
      </c>
      <c r="J2601" s="13" t="s">
        <v>37</v>
      </c>
      <c r="K2601" s="13" t="s">
        <v>8605</v>
      </c>
      <c r="L2601" s="13" t="s">
        <v>35</v>
      </c>
      <c r="M2601" t="s">
        <v>3</v>
      </c>
    </row>
    <row r="2602" spans="1:13" ht="26.25" x14ac:dyDescent="0.25">
      <c r="A2602" s="13" t="s">
        <v>6253</v>
      </c>
      <c r="B2602" s="13" t="s">
        <v>6253</v>
      </c>
      <c r="C2602" s="13" t="s">
        <v>6254</v>
      </c>
      <c r="D2602" s="13">
        <v>1.5</v>
      </c>
      <c r="E2602" s="13" t="s">
        <v>6255</v>
      </c>
      <c r="F2602" s="13" t="s">
        <v>8860</v>
      </c>
      <c r="G2602" s="13" t="s">
        <v>19</v>
      </c>
      <c r="H2602" s="13" t="s">
        <v>3</v>
      </c>
      <c r="I2602" s="13" t="s">
        <v>6256</v>
      </c>
      <c r="J2602" s="13" t="s">
        <v>21</v>
      </c>
      <c r="K2602" s="13" t="s">
        <v>8784</v>
      </c>
      <c r="L2602" s="13" t="s">
        <v>18</v>
      </c>
      <c r="M2602" t="s">
        <v>3</v>
      </c>
    </row>
    <row r="2603" spans="1:13" x14ac:dyDescent="0.25">
      <c r="A2603" s="13" t="s">
        <v>6257</v>
      </c>
      <c r="B2603" s="13" t="s">
        <v>6258</v>
      </c>
      <c r="C2603" s="13" t="s">
        <v>6259</v>
      </c>
      <c r="D2603" s="13">
        <v>9.1</v>
      </c>
      <c r="E2603" s="13" t="s">
        <v>6260</v>
      </c>
      <c r="F2603" s="13" t="s">
        <v>8861</v>
      </c>
      <c r="G2603" s="13" t="s">
        <v>2</v>
      </c>
      <c r="H2603" s="13" t="s">
        <v>3</v>
      </c>
      <c r="I2603" s="13" t="s">
        <v>6256</v>
      </c>
      <c r="J2603" s="13" t="s">
        <v>8890</v>
      </c>
      <c r="K2603" s="13" t="s">
        <v>8784</v>
      </c>
      <c r="L2603" s="13" t="s">
        <v>8891</v>
      </c>
      <c r="M2603" t="s">
        <v>3</v>
      </c>
    </row>
    <row r="2604" spans="1:13" x14ac:dyDescent="0.25">
      <c r="A2604" s="13" t="s">
        <v>6261</v>
      </c>
      <c r="B2604" s="13" t="s">
        <v>6261</v>
      </c>
      <c r="C2604" s="13" t="s">
        <v>6262</v>
      </c>
      <c r="D2604" s="13">
        <v>6</v>
      </c>
      <c r="E2604" s="13" t="s">
        <v>6263</v>
      </c>
      <c r="F2604" s="13" t="s">
        <v>8865</v>
      </c>
      <c r="G2604" s="13" t="s">
        <v>2</v>
      </c>
      <c r="H2604" s="13" t="s">
        <v>3</v>
      </c>
      <c r="I2604" s="13" t="s">
        <v>6256</v>
      </c>
      <c r="J2604" s="13" t="s">
        <v>8890</v>
      </c>
      <c r="K2604" s="13" t="s">
        <v>8784</v>
      </c>
      <c r="L2604" s="13" t="s">
        <v>8901</v>
      </c>
      <c r="M2604" t="s">
        <v>3</v>
      </c>
    </row>
    <row r="2605" spans="1:13" x14ac:dyDescent="0.25">
      <c r="A2605" s="13" t="s">
        <v>6264</v>
      </c>
      <c r="B2605" s="13" t="s">
        <v>6264</v>
      </c>
      <c r="C2605" s="13" t="s">
        <v>6265</v>
      </c>
      <c r="D2605" s="13">
        <v>42.9</v>
      </c>
      <c r="E2605" s="13" t="s">
        <v>6265</v>
      </c>
      <c r="F2605" s="13" t="s">
        <v>8872</v>
      </c>
      <c r="G2605" s="13" t="s">
        <v>2</v>
      </c>
      <c r="H2605" s="13" t="s">
        <v>3</v>
      </c>
      <c r="I2605" s="13" t="s">
        <v>447</v>
      </c>
      <c r="J2605" s="13" t="s">
        <v>8890</v>
      </c>
      <c r="K2605" s="13" t="s">
        <v>8421</v>
      </c>
      <c r="L2605" s="13" t="s">
        <v>556</v>
      </c>
      <c r="M2605" t="s">
        <v>3</v>
      </c>
    </row>
    <row r="2606" spans="1:13" ht="26.25" x14ac:dyDescent="0.25">
      <c r="A2606" s="13" t="s">
        <v>6266</v>
      </c>
      <c r="B2606" s="13" t="s">
        <v>6267</v>
      </c>
      <c r="C2606" s="13" t="s">
        <v>6268</v>
      </c>
      <c r="D2606" s="13">
        <v>4</v>
      </c>
      <c r="E2606" s="13" t="s">
        <v>6269</v>
      </c>
      <c r="F2606" s="13" t="s">
        <v>8860</v>
      </c>
      <c r="G2606" s="13" t="s">
        <v>19</v>
      </c>
      <c r="H2606" s="13" t="s">
        <v>3</v>
      </c>
      <c r="I2606" s="13" t="s">
        <v>6267</v>
      </c>
      <c r="J2606" s="13" t="s">
        <v>21</v>
      </c>
      <c r="K2606" s="13" t="s">
        <v>8785</v>
      </c>
      <c r="L2606" s="13" t="s">
        <v>18</v>
      </c>
      <c r="M2606" t="s">
        <v>3</v>
      </c>
    </row>
    <row r="2607" spans="1:13" ht="26.25" x14ac:dyDescent="0.25">
      <c r="A2607" s="13" t="s">
        <v>6270</v>
      </c>
      <c r="B2607" s="13" t="s">
        <v>6270</v>
      </c>
      <c r="C2607" s="13" t="s">
        <v>6270</v>
      </c>
      <c r="D2607" s="13">
        <v>3</v>
      </c>
      <c r="E2607" s="13" t="s">
        <v>6271</v>
      </c>
      <c r="F2607" s="13" t="s">
        <v>8873</v>
      </c>
      <c r="G2607" s="13" t="s">
        <v>2</v>
      </c>
      <c r="H2607" s="13" t="s">
        <v>3</v>
      </c>
      <c r="I2607" s="13" t="s">
        <v>4</v>
      </c>
      <c r="J2607" s="13" t="s">
        <v>8890</v>
      </c>
      <c r="K2607" s="13" t="s">
        <v>8424</v>
      </c>
      <c r="L2607" s="13" t="s">
        <v>8964</v>
      </c>
      <c r="M2607" t="s">
        <v>3</v>
      </c>
    </row>
    <row r="2608" spans="1:13" x14ac:dyDescent="0.25">
      <c r="A2608" s="13" t="s">
        <v>6272</v>
      </c>
      <c r="B2608" s="13" t="s">
        <v>6273</v>
      </c>
      <c r="C2608" s="13" t="s">
        <v>6274</v>
      </c>
      <c r="D2608" s="13">
        <v>0.3</v>
      </c>
      <c r="E2608" s="13" t="s">
        <v>6275</v>
      </c>
      <c r="F2608" s="13" t="s">
        <v>8873</v>
      </c>
      <c r="G2608" s="13" t="s">
        <v>2</v>
      </c>
      <c r="H2608" s="13" t="s">
        <v>3</v>
      </c>
      <c r="I2608" s="13" t="s">
        <v>497</v>
      </c>
      <c r="J2608" s="13" t="s">
        <v>8890</v>
      </c>
      <c r="K2608" s="13" t="s">
        <v>8475</v>
      </c>
      <c r="L2608" s="13" t="s">
        <v>8964</v>
      </c>
      <c r="M2608" t="s">
        <v>3</v>
      </c>
    </row>
    <row r="2609" spans="1:13" ht="26.25" x14ac:dyDescent="0.25">
      <c r="A2609" s="13" t="s">
        <v>6276</v>
      </c>
      <c r="B2609" s="13" t="s">
        <v>6276</v>
      </c>
      <c r="C2609" s="13" t="s">
        <v>9406</v>
      </c>
      <c r="D2609" s="13">
        <v>0.7</v>
      </c>
      <c r="E2609" s="13" t="s">
        <v>6277</v>
      </c>
      <c r="F2609" s="13" t="s">
        <v>8872</v>
      </c>
      <c r="G2609" s="13" t="s">
        <v>2</v>
      </c>
      <c r="H2609" s="13" t="s">
        <v>3</v>
      </c>
      <c r="I2609" s="13" t="s">
        <v>1562</v>
      </c>
      <c r="J2609" s="13" t="s">
        <v>8890</v>
      </c>
      <c r="K2609" s="13" t="s">
        <v>8423</v>
      </c>
      <c r="L2609" s="13" t="s">
        <v>556</v>
      </c>
      <c r="M2609" t="s">
        <v>3</v>
      </c>
    </row>
    <row r="2610" spans="1:13" ht="26.25" x14ac:dyDescent="0.25">
      <c r="A2610" s="13" t="s">
        <v>6278</v>
      </c>
      <c r="B2610" s="13" t="s">
        <v>6278</v>
      </c>
      <c r="C2610" s="13" t="s">
        <v>6279</v>
      </c>
      <c r="D2610" s="13">
        <v>0</v>
      </c>
      <c r="E2610" s="13" t="s">
        <v>6280</v>
      </c>
      <c r="F2610" s="13" t="s">
        <v>8872</v>
      </c>
      <c r="G2610" s="13" t="s">
        <v>2</v>
      </c>
      <c r="H2610" s="13" t="s">
        <v>3</v>
      </c>
      <c r="I2610" s="13" t="s">
        <v>2280</v>
      </c>
      <c r="J2610" s="13" t="s">
        <v>8890</v>
      </c>
      <c r="K2610" s="13" t="s">
        <v>8596</v>
      </c>
      <c r="L2610" s="13" t="s">
        <v>556</v>
      </c>
      <c r="M2610" t="s">
        <v>3</v>
      </c>
    </row>
    <row r="2611" spans="1:13" x14ac:dyDescent="0.25">
      <c r="A2611" s="13" t="s">
        <v>6281</v>
      </c>
      <c r="B2611" s="13" t="s">
        <v>6281</v>
      </c>
      <c r="C2611" s="13" t="s">
        <v>6282</v>
      </c>
      <c r="D2611" s="13">
        <v>20</v>
      </c>
      <c r="E2611" s="13" t="s">
        <v>6282</v>
      </c>
      <c r="F2611" s="13" t="s">
        <v>8873</v>
      </c>
      <c r="G2611" s="13" t="s">
        <v>2</v>
      </c>
      <c r="H2611" s="13" t="s">
        <v>3</v>
      </c>
      <c r="I2611" s="13" t="s">
        <v>447</v>
      </c>
      <c r="J2611" s="13" t="s">
        <v>8890</v>
      </c>
      <c r="K2611" s="13" t="s">
        <v>8421</v>
      </c>
      <c r="L2611" s="13" t="s">
        <v>6113</v>
      </c>
      <c r="M2611" t="s">
        <v>3</v>
      </c>
    </row>
    <row r="2612" spans="1:13" ht="26.25" x14ac:dyDescent="0.25">
      <c r="A2612" s="13" t="s">
        <v>6283</v>
      </c>
      <c r="B2612" s="13" t="s">
        <v>6283</v>
      </c>
      <c r="C2612" s="13" t="s">
        <v>6284</v>
      </c>
      <c r="D2612" s="13">
        <v>0</v>
      </c>
      <c r="E2612" s="13" t="s">
        <v>6285</v>
      </c>
      <c r="F2612" s="13" t="s">
        <v>8872</v>
      </c>
      <c r="G2612" s="13" t="s">
        <v>2</v>
      </c>
      <c r="H2612" s="13" t="s">
        <v>3</v>
      </c>
      <c r="I2612" s="13" t="s">
        <v>2349</v>
      </c>
      <c r="J2612" s="13" t="s">
        <v>8890</v>
      </c>
      <c r="K2612" s="13" t="s">
        <v>8599</v>
      </c>
      <c r="L2612" s="13" t="s">
        <v>556</v>
      </c>
      <c r="M2612" t="s">
        <v>3</v>
      </c>
    </row>
    <row r="2613" spans="1:13" ht="26.25" x14ac:dyDescent="0.25">
      <c r="A2613" s="13" t="s">
        <v>6286</v>
      </c>
      <c r="B2613" s="13" t="s">
        <v>6286</v>
      </c>
      <c r="C2613" s="13" t="s">
        <v>9407</v>
      </c>
      <c r="D2613" s="13">
        <v>1</v>
      </c>
      <c r="E2613" s="13" t="s">
        <v>6287</v>
      </c>
      <c r="F2613" s="13" t="s">
        <v>8873</v>
      </c>
      <c r="G2613" s="13" t="s">
        <v>2</v>
      </c>
      <c r="H2613" s="13" t="s">
        <v>3</v>
      </c>
      <c r="I2613" s="13" t="s">
        <v>2356</v>
      </c>
      <c r="J2613" s="13" t="s">
        <v>8890</v>
      </c>
      <c r="K2613" s="13" t="s">
        <v>8429</v>
      </c>
      <c r="L2613" s="13" t="s">
        <v>8964</v>
      </c>
      <c r="M2613" t="s">
        <v>3</v>
      </c>
    </row>
    <row r="2614" spans="1:13" x14ac:dyDescent="0.25">
      <c r="A2614" s="13" t="s">
        <v>11913</v>
      </c>
      <c r="B2614" s="13" t="s">
        <v>11913</v>
      </c>
      <c r="C2614" s="13" t="s">
        <v>11914</v>
      </c>
      <c r="D2614" s="13">
        <v>1</v>
      </c>
      <c r="E2614" s="13" t="s">
        <v>11915</v>
      </c>
      <c r="F2614" s="13" t="s">
        <v>8873</v>
      </c>
      <c r="G2614" s="13" t="s">
        <v>2</v>
      </c>
      <c r="H2614" s="13" t="s">
        <v>3</v>
      </c>
      <c r="I2614" s="13" t="s">
        <v>447</v>
      </c>
      <c r="J2614" s="13" t="s">
        <v>8890</v>
      </c>
      <c r="K2614" s="13" t="s">
        <v>8421</v>
      </c>
      <c r="L2614" s="13" t="s">
        <v>8964</v>
      </c>
      <c r="M2614" t="s">
        <v>3</v>
      </c>
    </row>
    <row r="2615" spans="1:13" ht="26.25" x14ac:dyDescent="0.25">
      <c r="A2615" s="13" t="s">
        <v>12075</v>
      </c>
      <c r="B2615" s="13" t="s">
        <v>12075</v>
      </c>
      <c r="C2615" s="13" t="s">
        <v>12075</v>
      </c>
      <c r="D2615" s="13">
        <v>615</v>
      </c>
      <c r="E2615" s="13" t="s">
        <v>12076</v>
      </c>
      <c r="F2615" s="13" t="s">
        <v>35</v>
      </c>
      <c r="G2615" s="13" t="s">
        <v>19</v>
      </c>
      <c r="H2615" s="13" t="s">
        <v>3</v>
      </c>
      <c r="I2615" s="13" t="s">
        <v>12077</v>
      </c>
      <c r="J2615" s="13" t="s">
        <v>37</v>
      </c>
      <c r="K2615" s="13" t="s">
        <v>8443</v>
      </c>
      <c r="L2615" s="13" t="s">
        <v>35</v>
      </c>
      <c r="M2615" t="s">
        <v>3</v>
      </c>
    </row>
    <row r="2616" spans="1:13" x14ac:dyDescent="0.25">
      <c r="A2616" s="13" t="s">
        <v>6288</v>
      </c>
      <c r="B2616" s="13" t="s">
        <v>6288</v>
      </c>
      <c r="C2616" s="13" t="s">
        <v>6289</v>
      </c>
      <c r="D2616" s="13">
        <v>85.1</v>
      </c>
      <c r="E2616" s="13" t="s">
        <v>6290</v>
      </c>
      <c r="F2616" s="13" t="s">
        <v>8865</v>
      </c>
      <c r="G2616" s="13" t="s">
        <v>2</v>
      </c>
      <c r="H2616" s="13" t="s">
        <v>3</v>
      </c>
      <c r="I2616" s="13" t="s">
        <v>813</v>
      </c>
      <c r="J2616" s="13" t="s">
        <v>8890</v>
      </c>
      <c r="K2616" s="13" t="s">
        <v>8443</v>
      </c>
      <c r="L2616" s="13" t="s">
        <v>8901</v>
      </c>
      <c r="M2616" t="s">
        <v>3</v>
      </c>
    </row>
    <row r="2617" spans="1:13" x14ac:dyDescent="0.25">
      <c r="A2617" s="13" t="s">
        <v>6291</v>
      </c>
      <c r="B2617" s="13" t="s">
        <v>6291</v>
      </c>
      <c r="C2617" s="13" t="s">
        <v>6292</v>
      </c>
      <c r="D2617" s="13">
        <v>2</v>
      </c>
      <c r="E2617" s="13" t="s">
        <v>6293</v>
      </c>
      <c r="F2617" s="13" t="s">
        <v>8872</v>
      </c>
      <c r="G2617" s="13" t="s">
        <v>2</v>
      </c>
      <c r="H2617" s="13" t="s">
        <v>3</v>
      </c>
      <c r="I2617" s="13" t="s">
        <v>706</v>
      </c>
      <c r="J2617" s="13" t="s">
        <v>8890</v>
      </c>
      <c r="K2617" s="13" t="s">
        <v>8419</v>
      </c>
      <c r="L2617" s="13" t="s">
        <v>556</v>
      </c>
      <c r="M2617" t="s">
        <v>3</v>
      </c>
    </row>
    <row r="2618" spans="1:13" x14ac:dyDescent="0.25">
      <c r="A2618" s="13" t="s">
        <v>6294</v>
      </c>
      <c r="B2618" s="13" t="s">
        <v>6294</v>
      </c>
      <c r="C2618" s="13" t="s">
        <v>6295</v>
      </c>
      <c r="D2618" s="13">
        <v>3.9</v>
      </c>
      <c r="E2618" s="13" t="s">
        <v>6295</v>
      </c>
      <c r="F2618" s="13" t="s">
        <v>8873</v>
      </c>
      <c r="G2618" s="13" t="s">
        <v>2</v>
      </c>
      <c r="H2618" s="13" t="s">
        <v>3</v>
      </c>
      <c r="I2618" s="13" t="s">
        <v>447</v>
      </c>
      <c r="J2618" s="13" t="s">
        <v>8890</v>
      </c>
      <c r="K2618" s="13" t="s">
        <v>8421</v>
      </c>
      <c r="L2618" s="13" t="s">
        <v>6113</v>
      </c>
      <c r="M2618" t="s">
        <v>3</v>
      </c>
    </row>
    <row r="2619" spans="1:13" x14ac:dyDescent="0.25">
      <c r="A2619" s="13" t="s">
        <v>6296</v>
      </c>
      <c r="B2619" s="13" t="s">
        <v>6297</v>
      </c>
      <c r="C2619" s="13" t="s">
        <v>9408</v>
      </c>
      <c r="D2619" s="13">
        <v>1.3</v>
      </c>
      <c r="E2619" s="13" t="s">
        <v>6298</v>
      </c>
      <c r="F2619" s="13" t="s">
        <v>8873</v>
      </c>
      <c r="G2619" s="13" t="s">
        <v>2</v>
      </c>
      <c r="H2619" s="13" t="s">
        <v>3</v>
      </c>
      <c r="I2619" s="13" t="s">
        <v>497</v>
      </c>
      <c r="J2619" s="13" t="s">
        <v>8890</v>
      </c>
      <c r="K2619" s="13" t="s">
        <v>8475</v>
      </c>
      <c r="L2619" s="13" t="s">
        <v>8964</v>
      </c>
      <c r="M2619" t="s">
        <v>3</v>
      </c>
    </row>
    <row r="2620" spans="1:13" x14ac:dyDescent="0.25">
      <c r="A2620" s="13" t="s">
        <v>6299</v>
      </c>
      <c r="B2620" s="13" t="s">
        <v>6299</v>
      </c>
      <c r="C2620" s="13" t="s">
        <v>6299</v>
      </c>
      <c r="D2620" s="13">
        <v>9</v>
      </c>
      <c r="E2620" s="13" t="s">
        <v>6300</v>
      </c>
      <c r="F2620" s="13" t="s">
        <v>8873</v>
      </c>
      <c r="G2620" s="13" t="s">
        <v>2</v>
      </c>
      <c r="H2620" s="13" t="s">
        <v>3</v>
      </c>
      <c r="I2620" s="13" t="s">
        <v>809</v>
      </c>
      <c r="J2620" s="13" t="s">
        <v>8890</v>
      </c>
      <c r="K2620" s="13" t="s">
        <v>8512</v>
      </c>
      <c r="L2620" s="13" t="s">
        <v>8964</v>
      </c>
      <c r="M2620" t="s">
        <v>3</v>
      </c>
    </row>
    <row r="2621" spans="1:13" x14ac:dyDescent="0.25">
      <c r="A2621" s="13" t="s">
        <v>12078</v>
      </c>
      <c r="B2621" s="13" t="s">
        <v>12078</v>
      </c>
      <c r="C2621" s="13" t="s">
        <v>12079</v>
      </c>
      <c r="D2621" s="13">
        <v>1.5</v>
      </c>
      <c r="E2621" s="13" t="s">
        <v>12080</v>
      </c>
      <c r="F2621" s="13" t="s">
        <v>8873</v>
      </c>
      <c r="G2621" s="13" t="s">
        <v>2</v>
      </c>
      <c r="H2621" s="13" t="s">
        <v>3</v>
      </c>
      <c r="I2621" s="13" t="s">
        <v>1263</v>
      </c>
      <c r="J2621" s="13" t="s">
        <v>8890</v>
      </c>
      <c r="K2621" s="13" t="s">
        <v>8422</v>
      </c>
      <c r="L2621" s="13" t="s">
        <v>8964</v>
      </c>
      <c r="M2621" t="s">
        <v>3</v>
      </c>
    </row>
    <row r="2622" spans="1:13" x14ac:dyDescent="0.25">
      <c r="A2622" s="13" t="s">
        <v>6301</v>
      </c>
      <c r="B2622" s="13" t="s">
        <v>6301</v>
      </c>
      <c r="C2622" s="13" t="s">
        <v>6302</v>
      </c>
      <c r="D2622" s="13">
        <v>3.1</v>
      </c>
      <c r="E2622" s="13" t="s">
        <v>6303</v>
      </c>
      <c r="F2622" s="13" t="s">
        <v>8873</v>
      </c>
      <c r="G2622" s="13" t="s">
        <v>2</v>
      </c>
      <c r="H2622" s="13" t="s">
        <v>3</v>
      </c>
      <c r="I2622" s="13" t="s">
        <v>1263</v>
      </c>
      <c r="J2622" s="13" t="s">
        <v>8890</v>
      </c>
      <c r="K2622" s="13" t="s">
        <v>8422</v>
      </c>
      <c r="L2622" s="13" t="s">
        <v>8964</v>
      </c>
      <c r="M2622" t="s">
        <v>3</v>
      </c>
    </row>
    <row r="2623" spans="1:13" x14ac:dyDescent="0.25">
      <c r="A2623" s="13" t="s">
        <v>6304</v>
      </c>
      <c r="B2623" s="13" t="s">
        <v>6304</v>
      </c>
      <c r="C2623" s="13" t="s">
        <v>6305</v>
      </c>
      <c r="D2623" s="13">
        <v>49.9</v>
      </c>
      <c r="E2623" s="13" t="s">
        <v>6305</v>
      </c>
      <c r="F2623" s="13" t="s">
        <v>8873</v>
      </c>
      <c r="G2623" s="13" t="s">
        <v>2</v>
      </c>
      <c r="H2623" s="13" t="s">
        <v>3</v>
      </c>
      <c r="I2623" s="13" t="s">
        <v>447</v>
      </c>
      <c r="J2623" s="13" t="s">
        <v>8890</v>
      </c>
      <c r="K2623" s="13" t="s">
        <v>8421</v>
      </c>
      <c r="L2623" s="13" t="s">
        <v>6113</v>
      </c>
      <c r="M2623" t="s">
        <v>3</v>
      </c>
    </row>
    <row r="2624" spans="1:13" x14ac:dyDescent="0.25">
      <c r="A2624" s="13" t="s">
        <v>6306</v>
      </c>
      <c r="B2624" s="13" t="s">
        <v>6307</v>
      </c>
      <c r="C2624" s="13" t="s">
        <v>6308</v>
      </c>
      <c r="D2624" s="13">
        <v>8.1999999999999993</v>
      </c>
      <c r="E2624" s="13" t="s">
        <v>6309</v>
      </c>
      <c r="F2624" s="13" t="s">
        <v>8872</v>
      </c>
      <c r="G2624" s="13" t="s">
        <v>2</v>
      </c>
      <c r="H2624" s="13" t="s">
        <v>3</v>
      </c>
      <c r="I2624" s="13" t="s">
        <v>809</v>
      </c>
      <c r="J2624" s="13" t="s">
        <v>8890</v>
      </c>
      <c r="K2624" s="13" t="s">
        <v>8512</v>
      </c>
      <c r="L2624" s="13" t="s">
        <v>556</v>
      </c>
      <c r="M2624" t="s">
        <v>3</v>
      </c>
    </row>
    <row r="2625" spans="1:13" x14ac:dyDescent="0.25">
      <c r="A2625" s="13" t="s">
        <v>6310</v>
      </c>
      <c r="B2625" s="13" t="s">
        <v>6311</v>
      </c>
      <c r="C2625" s="13" t="s">
        <v>6312</v>
      </c>
      <c r="D2625" s="13">
        <v>21.4</v>
      </c>
      <c r="E2625" s="13" t="s">
        <v>6313</v>
      </c>
      <c r="F2625" s="13" t="s">
        <v>8873</v>
      </c>
      <c r="G2625" s="13" t="s">
        <v>2</v>
      </c>
      <c r="H2625" s="13" t="s">
        <v>3</v>
      </c>
      <c r="I2625" s="13" t="s">
        <v>6314</v>
      </c>
      <c r="J2625" s="13" t="s">
        <v>8890</v>
      </c>
      <c r="K2625" s="13" t="s">
        <v>8786</v>
      </c>
      <c r="L2625" s="13" t="s">
        <v>6113</v>
      </c>
      <c r="M2625" t="s">
        <v>3</v>
      </c>
    </row>
    <row r="2626" spans="1:13" x14ac:dyDescent="0.25">
      <c r="A2626" s="13" t="s">
        <v>6315</v>
      </c>
      <c r="B2626" s="13" t="s">
        <v>6315</v>
      </c>
      <c r="C2626" s="13" t="s">
        <v>6316</v>
      </c>
      <c r="D2626" s="13">
        <v>50</v>
      </c>
      <c r="E2626" s="13" t="s">
        <v>6317</v>
      </c>
      <c r="F2626" s="13" t="s">
        <v>8873</v>
      </c>
      <c r="G2626" s="13" t="s">
        <v>2</v>
      </c>
      <c r="H2626" s="13" t="s">
        <v>3</v>
      </c>
      <c r="I2626" s="13" t="s">
        <v>809</v>
      </c>
      <c r="J2626" s="13" t="s">
        <v>8890</v>
      </c>
      <c r="K2626" s="13" t="s">
        <v>8512</v>
      </c>
      <c r="L2626" s="13" t="s">
        <v>9399</v>
      </c>
      <c r="M2626" t="s">
        <v>3</v>
      </c>
    </row>
    <row r="2627" spans="1:13" x14ac:dyDescent="0.25">
      <c r="A2627" s="13" t="s">
        <v>6318</v>
      </c>
      <c r="B2627" s="13" t="s">
        <v>6318</v>
      </c>
      <c r="C2627" s="13" t="s">
        <v>6319</v>
      </c>
      <c r="D2627" s="13">
        <v>3.6</v>
      </c>
      <c r="E2627" s="13" t="s">
        <v>6320</v>
      </c>
      <c r="F2627" s="13" t="s">
        <v>8873</v>
      </c>
      <c r="G2627" s="13" t="s">
        <v>2</v>
      </c>
      <c r="H2627" s="13" t="s">
        <v>3</v>
      </c>
      <c r="I2627" s="13" t="s">
        <v>809</v>
      </c>
      <c r="J2627" s="13" t="s">
        <v>8890</v>
      </c>
      <c r="K2627" s="13" t="s">
        <v>8512</v>
      </c>
      <c r="L2627" s="13" t="s">
        <v>8964</v>
      </c>
      <c r="M2627" t="s">
        <v>3</v>
      </c>
    </row>
    <row r="2628" spans="1:13" ht="26.25" x14ac:dyDescent="0.25">
      <c r="A2628" s="13" t="s">
        <v>10588</v>
      </c>
      <c r="B2628" s="13" t="s">
        <v>10588</v>
      </c>
      <c r="C2628" s="13" t="s">
        <v>10588</v>
      </c>
      <c r="D2628" s="13">
        <v>0</v>
      </c>
      <c r="E2628" s="13" t="s">
        <v>10589</v>
      </c>
      <c r="F2628" s="13" t="s">
        <v>8860</v>
      </c>
      <c r="G2628" s="13" t="s">
        <v>19</v>
      </c>
      <c r="H2628" s="13" t="s">
        <v>3</v>
      </c>
      <c r="I2628" s="13" t="s">
        <v>10590</v>
      </c>
      <c r="J2628" s="13" t="s">
        <v>21</v>
      </c>
      <c r="K2628" s="13" t="s">
        <v>10591</v>
      </c>
      <c r="L2628" s="13" t="s">
        <v>18</v>
      </c>
      <c r="M2628" t="s">
        <v>3</v>
      </c>
    </row>
    <row r="2629" spans="1:13" ht="26.25" x14ac:dyDescent="0.25">
      <c r="A2629" s="13" t="s">
        <v>6321</v>
      </c>
      <c r="B2629" s="13" t="s">
        <v>6321</v>
      </c>
      <c r="C2629" s="13" t="s">
        <v>6321</v>
      </c>
      <c r="D2629" s="13">
        <v>1</v>
      </c>
      <c r="E2629" s="13" t="s">
        <v>6322</v>
      </c>
      <c r="F2629" s="13" t="s">
        <v>8860</v>
      </c>
      <c r="G2629" s="13" t="s">
        <v>19</v>
      </c>
      <c r="H2629" s="13" t="s">
        <v>3</v>
      </c>
      <c r="I2629" s="13" t="s">
        <v>3218</v>
      </c>
      <c r="J2629" s="13" t="s">
        <v>21</v>
      </c>
      <c r="K2629" s="13" t="s">
        <v>8620</v>
      </c>
      <c r="L2629" s="13" t="s">
        <v>18</v>
      </c>
      <c r="M2629" t="s">
        <v>3</v>
      </c>
    </row>
    <row r="2630" spans="1:13" ht="26.25" x14ac:dyDescent="0.25">
      <c r="A2630" s="13" t="s">
        <v>6323</v>
      </c>
      <c r="B2630" s="13" t="s">
        <v>6323</v>
      </c>
      <c r="C2630" s="13" t="s">
        <v>6323</v>
      </c>
      <c r="D2630" s="13">
        <v>0.2</v>
      </c>
      <c r="E2630" s="13" t="s">
        <v>6324</v>
      </c>
      <c r="F2630" s="13" t="s">
        <v>8860</v>
      </c>
      <c r="G2630" s="13" t="s">
        <v>19</v>
      </c>
      <c r="H2630" s="13" t="s">
        <v>3</v>
      </c>
      <c r="I2630" s="13" t="s">
        <v>564</v>
      </c>
      <c r="J2630" s="13" t="s">
        <v>21</v>
      </c>
      <c r="K2630" s="13" t="s">
        <v>8483</v>
      </c>
      <c r="L2630" s="13" t="s">
        <v>18</v>
      </c>
      <c r="M2630" t="s">
        <v>3</v>
      </c>
    </row>
    <row r="2631" spans="1:13" x14ac:dyDescent="0.25">
      <c r="A2631" s="13" t="s">
        <v>6325</v>
      </c>
      <c r="B2631" s="13" t="s">
        <v>6326</v>
      </c>
      <c r="C2631" s="13" t="s">
        <v>6327</v>
      </c>
      <c r="D2631" s="13">
        <v>20.7</v>
      </c>
      <c r="E2631" s="13" t="s">
        <v>6328</v>
      </c>
      <c r="F2631" s="13" t="s">
        <v>8873</v>
      </c>
      <c r="G2631" s="13" t="s">
        <v>2</v>
      </c>
      <c r="H2631" s="13" t="s">
        <v>3</v>
      </c>
      <c r="I2631" s="13" t="s">
        <v>1263</v>
      </c>
      <c r="J2631" s="13" t="s">
        <v>8890</v>
      </c>
      <c r="K2631" s="13" t="s">
        <v>8422</v>
      </c>
      <c r="L2631" s="13" t="s">
        <v>6113</v>
      </c>
      <c r="M2631" t="s">
        <v>3</v>
      </c>
    </row>
    <row r="2632" spans="1:13" ht="26.25" x14ac:dyDescent="0.25">
      <c r="A2632" s="13" t="s">
        <v>6329</v>
      </c>
      <c r="B2632" s="13" t="s">
        <v>6329</v>
      </c>
      <c r="C2632" s="13" t="s">
        <v>6330</v>
      </c>
      <c r="D2632" s="13">
        <v>9.9</v>
      </c>
      <c r="E2632" s="13" t="s">
        <v>6330</v>
      </c>
      <c r="F2632" s="13" t="s">
        <v>8873</v>
      </c>
      <c r="G2632" s="13" t="s">
        <v>2</v>
      </c>
      <c r="H2632" s="13" t="s">
        <v>3</v>
      </c>
      <c r="I2632" s="13" t="s">
        <v>6331</v>
      </c>
      <c r="J2632" s="13" t="s">
        <v>8890</v>
      </c>
      <c r="K2632" s="13" t="s">
        <v>8787</v>
      </c>
      <c r="L2632" s="13" t="s">
        <v>9399</v>
      </c>
      <c r="M2632" t="s">
        <v>3</v>
      </c>
    </row>
    <row r="2633" spans="1:13" x14ac:dyDescent="0.25">
      <c r="A2633" s="13" t="s">
        <v>6332</v>
      </c>
      <c r="B2633" s="13" t="s">
        <v>6332</v>
      </c>
      <c r="C2633" s="13" t="s">
        <v>6333</v>
      </c>
      <c r="D2633" s="13">
        <v>29.8</v>
      </c>
      <c r="E2633" s="13" t="s">
        <v>6333</v>
      </c>
      <c r="F2633" s="13" t="s">
        <v>8873</v>
      </c>
      <c r="G2633" s="13" t="s">
        <v>2</v>
      </c>
      <c r="H2633" s="13" t="s">
        <v>3</v>
      </c>
      <c r="I2633" s="13" t="s">
        <v>447</v>
      </c>
      <c r="J2633" s="13" t="s">
        <v>8890</v>
      </c>
      <c r="K2633" s="13" t="s">
        <v>8421</v>
      </c>
      <c r="L2633" s="13" t="s">
        <v>9399</v>
      </c>
      <c r="M2633" t="s">
        <v>3</v>
      </c>
    </row>
    <row r="2634" spans="1:13" x14ac:dyDescent="0.25">
      <c r="A2634" s="13" t="s">
        <v>6334</v>
      </c>
      <c r="B2634" s="13" t="s">
        <v>6334</v>
      </c>
      <c r="C2634" s="13" t="s">
        <v>6335</v>
      </c>
      <c r="D2634" s="13">
        <v>27.5</v>
      </c>
      <c r="E2634" s="13" t="s">
        <v>6336</v>
      </c>
      <c r="F2634" s="13" t="s">
        <v>8872</v>
      </c>
      <c r="G2634" s="13" t="s">
        <v>2</v>
      </c>
      <c r="H2634" s="13" t="s">
        <v>3</v>
      </c>
      <c r="I2634" s="13" t="s">
        <v>5955</v>
      </c>
      <c r="J2634" s="13" t="s">
        <v>8890</v>
      </c>
      <c r="K2634" s="13" t="s">
        <v>8420</v>
      </c>
      <c r="L2634" s="13" t="s">
        <v>556</v>
      </c>
      <c r="M2634" t="s">
        <v>3</v>
      </c>
    </row>
    <row r="2635" spans="1:13" x14ac:dyDescent="0.25">
      <c r="A2635" s="13" t="s">
        <v>6337</v>
      </c>
      <c r="B2635" s="13" t="s">
        <v>6337</v>
      </c>
      <c r="C2635" s="13" t="s">
        <v>6338</v>
      </c>
      <c r="D2635" s="13">
        <v>50</v>
      </c>
      <c r="E2635" s="13" t="s">
        <v>6339</v>
      </c>
      <c r="F2635" s="13" t="s">
        <v>8872</v>
      </c>
      <c r="G2635" s="13" t="s">
        <v>2</v>
      </c>
      <c r="H2635" s="13" t="s">
        <v>8420</v>
      </c>
      <c r="I2635" s="13" t="s">
        <v>5955</v>
      </c>
      <c r="J2635" s="13" t="s">
        <v>8890</v>
      </c>
      <c r="K2635" s="13" t="s">
        <v>8420</v>
      </c>
      <c r="L2635" s="13" t="s">
        <v>556</v>
      </c>
      <c r="M2635" t="s">
        <v>10704</v>
      </c>
    </row>
    <row r="2636" spans="1:13" x14ac:dyDescent="0.25">
      <c r="A2636" s="13" t="s">
        <v>11916</v>
      </c>
      <c r="B2636" s="13" t="s">
        <v>11916</v>
      </c>
      <c r="C2636" s="13" t="s">
        <v>11917</v>
      </c>
      <c r="D2636" s="13">
        <v>1</v>
      </c>
      <c r="E2636" s="13" t="s">
        <v>11918</v>
      </c>
      <c r="F2636" s="13" t="s">
        <v>8873</v>
      </c>
      <c r="G2636" s="13" t="s">
        <v>2</v>
      </c>
      <c r="H2636" s="13" t="s">
        <v>3</v>
      </c>
      <c r="I2636" s="13" t="s">
        <v>447</v>
      </c>
      <c r="J2636" s="13" t="s">
        <v>8890</v>
      </c>
      <c r="K2636" s="13" t="s">
        <v>8421</v>
      </c>
      <c r="L2636" s="13" t="s">
        <v>8964</v>
      </c>
      <c r="M2636" t="s">
        <v>3</v>
      </c>
    </row>
    <row r="2637" spans="1:13" x14ac:dyDescent="0.25">
      <c r="A2637" s="13" t="s">
        <v>6340</v>
      </c>
      <c r="B2637" s="13" t="s">
        <v>6340</v>
      </c>
      <c r="C2637" s="13" t="s">
        <v>6341</v>
      </c>
      <c r="D2637" s="13">
        <v>4.2</v>
      </c>
      <c r="E2637" s="13" t="s">
        <v>6341</v>
      </c>
      <c r="F2637" s="13" t="s">
        <v>8873</v>
      </c>
      <c r="G2637" s="13" t="s">
        <v>2</v>
      </c>
      <c r="H2637" s="13" t="s">
        <v>3</v>
      </c>
      <c r="I2637" s="13" t="s">
        <v>447</v>
      </c>
      <c r="J2637" s="13" t="s">
        <v>8890</v>
      </c>
      <c r="K2637" s="13" t="s">
        <v>8421</v>
      </c>
      <c r="L2637" s="13" t="s">
        <v>8964</v>
      </c>
      <c r="M2637" t="s">
        <v>3</v>
      </c>
    </row>
    <row r="2638" spans="1:13" x14ac:dyDescent="0.25">
      <c r="A2638" s="13" t="s">
        <v>6342</v>
      </c>
      <c r="B2638" s="13" t="s">
        <v>6342</v>
      </c>
      <c r="C2638" s="13" t="s">
        <v>6343</v>
      </c>
      <c r="D2638" s="13">
        <v>2.5</v>
      </c>
      <c r="E2638" s="13" t="s">
        <v>6344</v>
      </c>
      <c r="F2638" s="13" t="s">
        <v>8873</v>
      </c>
      <c r="G2638" s="13" t="s">
        <v>2</v>
      </c>
      <c r="H2638" s="13" t="s">
        <v>3</v>
      </c>
      <c r="I2638" s="13" t="s">
        <v>706</v>
      </c>
      <c r="J2638" s="13" t="s">
        <v>8890</v>
      </c>
      <c r="K2638" s="13" t="s">
        <v>8419</v>
      </c>
      <c r="L2638" s="13" t="s">
        <v>8964</v>
      </c>
      <c r="M2638" t="s">
        <v>3</v>
      </c>
    </row>
    <row r="2639" spans="1:13" ht="26.25" x14ac:dyDescent="0.25">
      <c r="A2639" s="13" t="s">
        <v>6345</v>
      </c>
      <c r="B2639" s="13" t="s">
        <v>6345</v>
      </c>
      <c r="C2639" s="13" t="s">
        <v>6346</v>
      </c>
      <c r="D2639" s="13">
        <v>5.4</v>
      </c>
      <c r="E2639" s="13" t="s">
        <v>6347</v>
      </c>
      <c r="F2639" s="13" t="s">
        <v>8873</v>
      </c>
      <c r="G2639" s="13" t="s">
        <v>2</v>
      </c>
      <c r="H2639" s="13" t="s">
        <v>3</v>
      </c>
      <c r="I2639" s="13" t="s">
        <v>447</v>
      </c>
      <c r="J2639" s="13" t="s">
        <v>8890</v>
      </c>
      <c r="K2639" s="13" t="s">
        <v>8421</v>
      </c>
      <c r="L2639" s="13" t="s">
        <v>8964</v>
      </c>
      <c r="M2639" t="s">
        <v>3</v>
      </c>
    </row>
    <row r="2640" spans="1:13" x14ac:dyDescent="0.25">
      <c r="A2640" s="13" t="s">
        <v>12081</v>
      </c>
      <c r="B2640" s="13" t="s">
        <v>12081</v>
      </c>
      <c r="C2640" s="13" t="s">
        <v>12082</v>
      </c>
      <c r="D2640" s="13">
        <v>1.9</v>
      </c>
      <c r="E2640" s="13" t="s">
        <v>12083</v>
      </c>
      <c r="F2640" s="13" t="s">
        <v>8873</v>
      </c>
      <c r="G2640" s="13" t="s">
        <v>2</v>
      </c>
      <c r="H2640" s="13" t="s">
        <v>3</v>
      </c>
      <c r="I2640" s="13" t="s">
        <v>1263</v>
      </c>
      <c r="J2640" s="13" t="s">
        <v>8890</v>
      </c>
      <c r="K2640" s="13" t="s">
        <v>8422</v>
      </c>
      <c r="L2640" s="13" t="s">
        <v>8964</v>
      </c>
      <c r="M2640" t="s">
        <v>3</v>
      </c>
    </row>
    <row r="2641" spans="1:13" x14ac:dyDescent="0.25">
      <c r="A2641" s="13" t="s">
        <v>12084</v>
      </c>
      <c r="B2641" s="13" t="s">
        <v>12084</v>
      </c>
      <c r="C2641" s="13" t="s">
        <v>12085</v>
      </c>
      <c r="D2641" s="13">
        <v>2.2999999999999998</v>
      </c>
      <c r="E2641" s="13" t="s">
        <v>12086</v>
      </c>
      <c r="F2641" s="13" t="s">
        <v>8873</v>
      </c>
      <c r="G2641" s="13" t="s">
        <v>2</v>
      </c>
      <c r="H2641" s="13" t="s">
        <v>3</v>
      </c>
      <c r="I2641" s="13" t="s">
        <v>1263</v>
      </c>
      <c r="J2641" s="13" t="s">
        <v>8890</v>
      </c>
      <c r="K2641" s="13" t="s">
        <v>8422</v>
      </c>
      <c r="L2641" s="13" t="s">
        <v>8964</v>
      </c>
      <c r="M2641" t="s">
        <v>3</v>
      </c>
    </row>
    <row r="2642" spans="1:13" x14ac:dyDescent="0.25">
      <c r="A2642" s="13" t="s">
        <v>9409</v>
      </c>
      <c r="B2642" s="13" t="s">
        <v>9409</v>
      </c>
      <c r="C2642" s="13" t="s">
        <v>9410</v>
      </c>
      <c r="D2642" s="13">
        <v>1.3</v>
      </c>
      <c r="E2642" s="13" t="s">
        <v>9411</v>
      </c>
      <c r="F2642" s="13" t="s">
        <v>8873</v>
      </c>
      <c r="G2642" s="13" t="s">
        <v>2</v>
      </c>
      <c r="H2642" s="13" t="s">
        <v>3</v>
      </c>
      <c r="I2642" s="13" t="s">
        <v>447</v>
      </c>
      <c r="J2642" s="13" t="s">
        <v>8890</v>
      </c>
      <c r="K2642" s="13" t="s">
        <v>8421</v>
      </c>
      <c r="L2642" s="13" t="s">
        <v>8964</v>
      </c>
      <c r="M2642" t="s">
        <v>3</v>
      </c>
    </row>
    <row r="2643" spans="1:13" x14ac:dyDescent="0.25">
      <c r="A2643" s="13" t="s">
        <v>6348</v>
      </c>
      <c r="B2643" s="13" t="s">
        <v>6348</v>
      </c>
      <c r="C2643" s="13" t="s">
        <v>6348</v>
      </c>
      <c r="D2643" s="13">
        <v>5.2</v>
      </c>
      <c r="E2643" s="13" t="s">
        <v>6349</v>
      </c>
      <c r="F2643" s="13" t="s">
        <v>8873</v>
      </c>
      <c r="G2643" s="13" t="s">
        <v>2</v>
      </c>
      <c r="H2643" s="13" t="s">
        <v>3</v>
      </c>
      <c r="I2643" s="13" t="s">
        <v>429</v>
      </c>
      <c r="J2643" s="13" t="s">
        <v>8890</v>
      </c>
      <c r="K2643" s="13" t="s">
        <v>6051</v>
      </c>
      <c r="L2643" s="13" t="s">
        <v>6113</v>
      </c>
      <c r="M2643" t="s">
        <v>3</v>
      </c>
    </row>
    <row r="2644" spans="1:13" x14ac:dyDescent="0.25">
      <c r="A2644" s="13" t="s">
        <v>10962</v>
      </c>
      <c r="B2644" s="13" t="s">
        <v>10962</v>
      </c>
      <c r="C2644" s="13" t="s">
        <v>10963</v>
      </c>
      <c r="D2644" s="13">
        <v>2.5</v>
      </c>
      <c r="E2644" s="13" t="s">
        <v>10964</v>
      </c>
      <c r="F2644" s="13" t="s">
        <v>8873</v>
      </c>
      <c r="G2644" s="13" t="s">
        <v>2</v>
      </c>
      <c r="H2644" s="13" t="s">
        <v>3</v>
      </c>
      <c r="I2644" s="13" t="s">
        <v>1263</v>
      </c>
      <c r="J2644" s="13" t="s">
        <v>8890</v>
      </c>
      <c r="K2644" s="13" t="s">
        <v>8422</v>
      </c>
      <c r="L2644" s="13" t="s">
        <v>8964</v>
      </c>
      <c r="M2644" t="s">
        <v>3</v>
      </c>
    </row>
    <row r="2645" spans="1:13" x14ac:dyDescent="0.25">
      <c r="A2645" s="13" t="s">
        <v>6350</v>
      </c>
      <c r="B2645" s="13" t="s">
        <v>6350</v>
      </c>
      <c r="C2645" s="13" t="s">
        <v>6350</v>
      </c>
      <c r="D2645" s="13">
        <v>37</v>
      </c>
      <c r="E2645" s="13" t="s">
        <v>6351</v>
      </c>
      <c r="F2645" s="13" t="s">
        <v>8873</v>
      </c>
      <c r="G2645" s="13" t="s">
        <v>2</v>
      </c>
      <c r="H2645" s="13" t="s">
        <v>3</v>
      </c>
      <c r="I2645" s="13" t="s">
        <v>649</v>
      </c>
      <c r="J2645" s="13" t="s">
        <v>8890</v>
      </c>
      <c r="K2645" s="13" t="s">
        <v>6051</v>
      </c>
      <c r="L2645" s="13" t="s">
        <v>6113</v>
      </c>
      <c r="M2645" t="s">
        <v>3</v>
      </c>
    </row>
    <row r="2646" spans="1:13" x14ac:dyDescent="0.25">
      <c r="A2646" s="13" t="s">
        <v>6352</v>
      </c>
      <c r="B2646" s="13" t="s">
        <v>6352</v>
      </c>
      <c r="C2646" s="13" t="s">
        <v>6352</v>
      </c>
      <c r="D2646" s="13">
        <v>279.3</v>
      </c>
      <c r="E2646" s="13" t="s">
        <v>6353</v>
      </c>
      <c r="F2646" s="13" t="s">
        <v>8869</v>
      </c>
      <c r="G2646" s="13" t="s">
        <v>2</v>
      </c>
      <c r="H2646" s="13" t="s">
        <v>3</v>
      </c>
      <c r="I2646" s="13" t="s">
        <v>119</v>
      </c>
      <c r="J2646" s="13" t="s">
        <v>8890</v>
      </c>
      <c r="K2646" s="13" t="s">
        <v>8883</v>
      </c>
      <c r="L2646" s="13" t="s">
        <v>8918</v>
      </c>
      <c r="M2646" t="s">
        <v>3</v>
      </c>
    </row>
    <row r="2647" spans="1:13" x14ac:dyDescent="0.25">
      <c r="A2647" s="13" t="s">
        <v>6354</v>
      </c>
      <c r="B2647" s="13" t="s">
        <v>6354</v>
      </c>
      <c r="C2647" s="13" t="s">
        <v>6355</v>
      </c>
      <c r="D2647" s="13">
        <v>2.4</v>
      </c>
      <c r="E2647" s="13" t="s">
        <v>6356</v>
      </c>
      <c r="F2647" s="13" t="s">
        <v>8873</v>
      </c>
      <c r="G2647" s="13" t="s">
        <v>2</v>
      </c>
      <c r="H2647" s="13" t="s">
        <v>3</v>
      </c>
      <c r="I2647" s="13" t="s">
        <v>706</v>
      </c>
      <c r="J2647" s="13" t="s">
        <v>8890</v>
      </c>
      <c r="K2647" s="13" t="s">
        <v>8419</v>
      </c>
      <c r="L2647" s="13" t="s">
        <v>8964</v>
      </c>
      <c r="M2647" t="s">
        <v>3</v>
      </c>
    </row>
    <row r="2648" spans="1:13" ht="26.25" x14ac:dyDescent="0.25">
      <c r="A2648" s="13" t="s">
        <v>6357</v>
      </c>
      <c r="B2648" s="13" t="s">
        <v>6357</v>
      </c>
      <c r="C2648" s="13" t="s">
        <v>9412</v>
      </c>
      <c r="D2648" s="13">
        <v>6.9</v>
      </c>
      <c r="E2648" s="13" t="s">
        <v>6358</v>
      </c>
      <c r="F2648" s="13" t="s">
        <v>8872</v>
      </c>
      <c r="G2648" s="13" t="s">
        <v>2</v>
      </c>
      <c r="H2648" s="13" t="s">
        <v>3</v>
      </c>
      <c r="I2648" s="13" t="s">
        <v>1562</v>
      </c>
      <c r="J2648" s="13" t="s">
        <v>8890</v>
      </c>
      <c r="K2648" s="13" t="s">
        <v>8423</v>
      </c>
      <c r="L2648" s="13" t="s">
        <v>556</v>
      </c>
      <c r="M2648" t="s">
        <v>3</v>
      </c>
    </row>
    <row r="2649" spans="1:13" x14ac:dyDescent="0.25">
      <c r="A2649" s="13" t="s">
        <v>6359</v>
      </c>
      <c r="B2649" s="13" t="s">
        <v>6359</v>
      </c>
      <c r="C2649" s="13" t="s">
        <v>6360</v>
      </c>
      <c r="D2649" s="13">
        <v>0.4</v>
      </c>
      <c r="E2649" s="13" t="s">
        <v>6361</v>
      </c>
      <c r="F2649" s="13" t="s">
        <v>8873</v>
      </c>
      <c r="G2649" s="13" t="s">
        <v>2</v>
      </c>
      <c r="H2649" s="13" t="s">
        <v>3</v>
      </c>
      <c r="I2649" s="13" t="s">
        <v>447</v>
      </c>
      <c r="J2649" s="13" t="s">
        <v>8890</v>
      </c>
      <c r="K2649" s="13" t="s">
        <v>8421</v>
      </c>
      <c r="L2649" s="13" t="s">
        <v>8964</v>
      </c>
      <c r="M2649" t="s">
        <v>3</v>
      </c>
    </row>
    <row r="2650" spans="1:13" ht="26.25" x14ac:dyDescent="0.25">
      <c r="A2650" s="13" t="s">
        <v>6362</v>
      </c>
      <c r="B2650" s="13" t="s">
        <v>6362</v>
      </c>
      <c r="C2650" s="13" t="s">
        <v>6363</v>
      </c>
      <c r="D2650" s="13">
        <v>0</v>
      </c>
      <c r="E2650" s="13" t="s">
        <v>6364</v>
      </c>
      <c r="F2650" s="13" t="s">
        <v>8872</v>
      </c>
      <c r="G2650" s="13" t="s">
        <v>2</v>
      </c>
      <c r="H2650" s="13" t="s">
        <v>3</v>
      </c>
      <c r="I2650" s="13" t="s">
        <v>2280</v>
      </c>
      <c r="J2650" s="13" t="s">
        <v>8890</v>
      </c>
      <c r="K2650" s="13" t="s">
        <v>8596</v>
      </c>
      <c r="L2650" s="13" t="s">
        <v>556</v>
      </c>
      <c r="M2650" t="s">
        <v>3</v>
      </c>
    </row>
    <row r="2651" spans="1:13" ht="26.25" x14ac:dyDescent="0.25">
      <c r="A2651" s="13" t="s">
        <v>6365</v>
      </c>
      <c r="B2651" s="13" t="s">
        <v>6365</v>
      </c>
      <c r="C2651" s="13" t="s">
        <v>6366</v>
      </c>
      <c r="D2651" s="13">
        <v>2.1</v>
      </c>
      <c r="E2651" s="13" t="s">
        <v>6367</v>
      </c>
      <c r="F2651" s="13" t="s">
        <v>8873</v>
      </c>
      <c r="G2651" s="13" t="s">
        <v>2</v>
      </c>
      <c r="H2651" s="13" t="s">
        <v>3</v>
      </c>
      <c r="I2651" s="13" t="s">
        <v>2465</v>
      </c>
      <c r="J2651" s="13" t="s">
        <v>8890</v>
      </c>
      <c r="K2651" s="13" t="s">
        <v>8605</v>
      </c>
      <c r="L2651" s="13" t="s">
        <v>8964</v>
      </c>
      <c r="M2651" t="s">
        <v>3</v>
      </c>
    </row>
    <row r="2652" spans="1:13" ht="26.25" x14ac:dyDescent="0.25">
      <c r="A2652" s="13" t="s">
        <v>6368</v>
      </c>
      <c r="B2652" s="13" t="s">
        <v>9413</v>
      </c>
      <c r="C2652" s="13" t="s">
        <v>9414</v>
      </c>
      <c r="D2652" s="13">
        <v>0.7</v>
      </c>
      <c r="E2652" s="13" t="s">
        <v>6369</v>
      </c>
      <c r="F2652" s="13" t="s">
        <v>8873</v>
      </c>
      <c r="G2652" s="13" t="s">
        <v>2</v>
      </c>
      <c r="H2652" s="13" t="s">
        <v>3</v>
      </c>
      <c r="I2652" s="13" t="s">
        <v>435</v>
      </c>
      <c r="J2652" s="13" t="s">
        <v>8890</v>
      </c>
      <c r="K2652" s="13" t="s">
        <v>8469</v>
      </c>
      <c r="L2652" s="13" t="s">
        <v>8964</v>
      </c>
      <c r="M2652" t="s">
        <v>3</v>
      </c>
    </row>
    <row r="2653" spans="1:13" x14ac:dyDescent="0.25">
      <c r="A2653" s="13" t="s">
        <v>6370</v>
      </c>
      <c r="B2653" s="13" t="s">
        <v>6370</v>
      </c>
      <c r="C2653" s="13" t="s">
        <v>6370</v>
      </c>
      <c r="D2653" s="13">
        <v>1.8</v>
      </c>
      <c r="E2653" s="13" t="s">
        <v>6371</v>
      </c>
      <c r="F2653" s="13" t="s">
        <v>8873</v>
      </c>
      <c r="G2653" s="13" t="s">
        <v>2</v>
      </c>
      <c r="H2653" s="13" t="s">
        <v>3</v>
      </c>
      <c r="I2653" s="13" t="s">
        <v>1978</v>
      </c>
      <c r="J2653" s="13" t="s">
        <v>8890</v>
      </c>
      <c r="K2653" s="13" t="s">
        <v>8570</v>
      </c>
      <c r="L2653" s="13" t="s">
        <v>8964</v>
      </c>
      <c r="M2653" t="s">
        <v>3</v>
      </c>
    </row>
    <row r="2654" spans="1:13" x14ac:dyDescent="0.25">
      <c r="A2654" s="13" t="s">
        <v>6372</v>
      </c>
      <c r="B2654" s="13" t="s">
        <v>6372</v>
      </c>
      <c r="C2654" s="13" t="s">
        <v>6373</v>
      </c>
      <c r="D2654" s="13">
        <v>12.1</v>
      </c>
      <c r="E2654" s="13" t="s">
        <v>6374</v>
      </c>
      <c r="F2654" s="13" t="s">
        <v>8873</v>
      </c>
      <c r="G2654" s="13" t="s">
        <v>2</v>
      </c>
      <c r="H2654" s="13" t="s">
        <v>3</v>
      </c>
      <c r="I2654" s="13" t="s">
        <v>228</v>
      </c>
      <c r="J2654" s="13" t="s">
        <v>8890</v>
      </c>
      <c r="K2654" s="13" t="s">
        <v>8418</v>
      </c>
      <c r="L2654" s="13" t="s">
        <v>8964</v>
      </c>
      <c r="M2654" t="s">
        <v>3</v>
      </c>
    </row>
    <row r="2655" spans="1:13" ht="26.25" x14ac:dyDescent="0.25">
      <c r="A2655" s="13" t="s">
        <v>6375</v>
      </c>
      <c r="B2655" s="13" t="s">
        <v>6375</v>
      </c>
      <c r="C2655" s="13" t="s">
        <v>6376</v>
      </c>
      <c r="D2655" s="13">
        <v>0</v>
      </c>
      <c r="E2655" s="13" t="s">
        <v>6377</v>
      </c>
      <c r="F2655" s="13" t="s">
        <v>8872</v>
      </c>
      <c r="G2655" s="13" t="s">
        <v>2</v>
      </c>
      <c r="H2655" s="13" t="s">
        <v>3</v>
      </c>
      <c r="I2655" s="13" t="s">
        <v>2688</v>
      </c>
      <c r="J2655" s="13" t="s">
        <v>8890</v>
      </c>
      <c r="K2655" s="13" t="s">
        <v>8430</v>
      </c>
      <c r="L2655" s="13" t="s">
        <v>556</v>
      </c>
      <c r="M2655" t="s">
        <v>3</v>
      </c>
    </row>
    <row r="2656" spans="1:13" ht="26.25" x14ac:dyDescent="0.25">
      <c r="A2656" s="13" t="s">
        <v>6378</v>
      </c>
      <c r="B2656" s="13" t="s">
        <v>6378</v>
      </c>
      <c r="C2656" s="13" t="s">
        <v>6379</v>
      </c>
      <c r="D2656" s="13">
        <v>0</v>
      </c>
      <c r="E2656" s="13" t="s">
        <v>6380</v>
      </c>
      <c r="F2656" s="13" t="s">
        <v>8872</v>
      </c>
      <c r="G2656" s="13" t="s">
        <v>2</v>
      </c>
      <c r="H2656" s="13" t="s">
        <v>3</v>
      </c>
      <c r="I2656" s="13" t="s">
        <v>2349</v>
      </c>
      <c r="J2656" s="13" t="s">
        <v>8890</v>
      </c>
      <c r="K2656" s="13" t="s">
        <v>8599</v>
      </c>
      <c r="L2656" s="13" t="s">
        <v>556</v>
      </c>
      <c r="M2656" t="s">
        <v>3</v>
      </c>
    </row>
    <row r="2657" spans="1:13" ht="26.25" x14ac:dyDescent="0.25">
      <c r="A2657" s="13" t="s">
        <v>6381</v>
      </c>
      <c r="B2657" s="13" t="s">
        <v>6381</v>
      </c>
      <c r="C2657" s="13" t="s">
        <v>9415</v>
      </c>
      <c r="D2657" s="13">
        <v>19.3</v>
      </c>
      <c r="E2657" s="13" t="s">
        <v>6382</v>
      </c>
      <c r="F2657" s="13" t="s">
        <v>8873</v>
      </c>
      <c r="G2657" s="13" t="s">
        <v>2</v>
      </c>
      <c r="H2657" s="13" t="s">
        <v>3</v>
      </c>
      <c r="I2657" s="13" t="s">
        <v>2356</v>
      </c>
      <c r="J2657" s="13" t="s">
        <v>8890</v>
      </c>
      <c r="K2657" s="13" t="s">
        <v>8429</v>
      </c>
      <c r="L2657" s="13" t="s">
        <v>8964</v>
      </c>
      <c r="M2657" t="s">
        <v>3</v>
      </c>
    </row>
    <row r="2658" spans="1:13" x14ac:dyDescent="0.25">
      <c r="A2658" s="13" t="s">
        <v>6383</v>
      </c>
      <c r="B2658" s="13" t="s">
        <v>6383</v>
      </c>
      <c r="C2658" s="13" t="s">
        <v>6384</v>
      </c>
      <c r="D2658" s="13">
        <v>4.2</v>
      </c>
      <c r="E2658" s="13" t="s">
        <v>6385</v>
      </c>
      <c r="F2658" s="13" t="s">
        <v>8873</v>
      </c>
      <c r="G2658" s="13" t="s">
        <v>2</v>
      </c>
      <c r="H2658" s="13" t="s">
        <v>3</v>
      </c>
      <c r="I2658" s="13" t="s">
        <v>1263</v>
      </c>
      <c r="J2658" s="13" t="s">
        <v>8890</v>
      </c>
      <c r="K2658" s="13" t="s">
        <v>8422</v>
      </c>
      <c r="L2658" s="13" t="s">
        <v>8964</v>
      </c>
      <c r="M2658" t="s">
        <v>3</v>
      </c>
    </row>
    <row r="2659" spans="1:13" ht="26.25" x14ac:dyDescent="0.25">
      <c r="A2659" s="13" t="s">
        <v>6386</v>
      </c>
      <c r="B2659" s="13" t="s">
        <v>6387</v>
      </c>
      <c r="C2659" s="13" t="s">
        <v>6388</v>
      </c>
      <c r="D2659" s="13">
        <v>8.3000000000000007</v>
      </c>
      <c r="E2659" s="13" t="s">
        <v>6389</v>
      </c>
      <c r="F2659" s="13" t="s">
        <v>8873</v>
      </c>
      <c r="G2659" s="13" t="s">
        <v>2</v>
      </c>
      <c r="H2659" s="13" t="s">
        <v>3</v>
      </c>
      <c r="I2659" s="13" t="s">
        <v>4021</v>
      </c>
      <c r="J2659" s="13" t="s">
        <v>8890</v>
      </c>
      <c r="K2659" s="13" t="s">
        <v>8632</v>
      </c>
      <c r="L2659" s="13" t="s">
        <v>8964</v>
      </c>
      <c r="M2659" t="s">
        <v>3</v>
      </c>
    </row>
    <row r="2660" spans="1:13" x14ac:dyDescent="0.25">
      <c r="A2660" s="13" t="s">
        <v>6390</v>
      </c>
      <c r="B2660" s="13" t="s">
        <v>6390</v>
      </c>
      <c r="C2660" s="13" t="s">
        <v>6390</v>
      </c>
      <c r="D2660" s="13">
        <v>0</v>
      </c>
      <c r="E2660" s="13" t="s">
        <v>6391</v>
      </c>
      <c r="F2660" s="13" t="s">
        <v>8873</v>
      </c>
      <c r="G2660" s="13" t="s">
        <v>2</v>
      </c>
      <c r="H2660" s="13" t="s">
        <v>3</v>
      </c>
      <c r="I2660" s="13" t="s">
        <v>809</v>
      </c>
      <c r="J2660" s="13" t="s">
        <v>8890</v>
      </c>
      <c r="K2660" s="13" t="s">
        <v>8512</v>
      </c>
      <c r="L2660" s="13" t="s">
        <v>8964</v>
      </c>
      <c r="M2660" t="s">
        <v>3</v>
      </c>
    </row>
    <row r="2661" spans="1:13" x14ac:dyDescent="0.25">
      <c r="A2661" s="13" t="s">
        <v>6392</v>
      </c>
      <c r="B2661" s="13" t="s">
        <v>6392</v>
      </c>
      <c r="C2661" s="13" t="s">
        <v>6393</v>
      </c>
      <c r="D2661" s="13">
        <v>93.5</v>
      </c>
      <c r="E2661" s="13" t="s">
        <v>6394</v>
      </c>
      <c r="F2661" s="13" t="s">
        <v>8873</v>
      </c>
      <c r="G2661" s="13" t="s">
        <v>2</v>
      </c>
      <c r="H2661" s="13" t="s">
        <v>3</v>
      </c>
      <c r="I2661" s="13" t="s">
        <v>809</v>
      </c>
      <c r="J2661" s="13" t="s">
        <v>8890</v>
      </c>
      <c r="K2661" s="13" t="s">
        <v>8512</v>
      </c>
      <c r="L2661" s="13" t="s">
        <v>9399</v>
      </c>
      <c r="M2661" t="s">
        <v>3</v>
      </c>
    </row>
    <row r="2662" spans="1:13" x14ac:dyDescent="0.25">
      <c r="A2662" s="13" t="s">
        <v>6395</v>
      </c>
      <c r="B2662" s="13" t="s">
        <v>6395</v>
      </c>
      <c r="C2662" s="13" t="s">
        <v>6396</v>
      </c>
      <c r="D2662" s="13">
        <v>409.7</v>
      </c>
      <c r="E2662" s="13" t="s">
        <v>6397</v>
      </c>
      <c r="F2662" s="13" t="s">
        <v>8864</v>
      </c>
      <c r="G2662" s="13" t="s">
        <v>2</v>
      </c>
      <c r="H2662" s="13" t="s">
        <v>8900</v>
      </c>
      <c r="I2662" s="13" t="s">
        <v>62</v>
      </c>
      <c r="J2662" s="13" t="s">
        <v>8890</v>
      </c>
      <c r="K2662" s="13" t="s">
        <v>8430</v>
      </c>
      <c r="L2662" s="13" t="s">
        <v>56</v>
      </c>
      <c r="M2662" t="s">
        <v>10683</v>
      </c>
    </row>
    <row r="2663" spans="1:13" x14ac:dyDescent="0.25">
      <c r="A2663" s="13" t="s">
        <v>6398</v>
      </c>
      <c r="B2663" s="13" t="s">
        <v>6398</v>
      </c>
      <c r="C2663" s="13" t="s">
        <v>6399</v>
      </c>
      <c r="D2663" s="13">
        <v>411.8</v>
      </c>
      <c r="E2663" s="13" t="s">
        <v>6400</v>
      </c>
      <c r="F2663" s="13" t="s">
        <v>8864</v>
      </c>
      <c r="G2663" s="13" t="s">
        <v>2</v>
      </c>
      <c r="H2663" s="13" t="s">
        <v>8900</v>
      </c>
      <c r="I2663" s="13" t="s">
        <v>62</v>
      </c>
      <c r="J2663" s="13" t="s">
        <v>8890</v>
      </c>
      <c r="K2663" s="13" t="s">
        <v>8430</v>
      </c>
      <c r="L2663" s="13" t="s">
        <v>56</v>
      </c>
      <c r="M2663" t="s">
        <v>10683</v>
      </c>
    </row>
    <row r="2664" spans="1:13" x14ac:dyDescent="0.25">
      <c r="A2664" s="13" t="s">
        <v>6401</v>
      </c>
      <c r="B2664" s="13" t="s">
        <v>6401</v>
      </c>
      <c r="C2664" s="13" t="s">
        <v>6402</v>
      </c>
      <c r="D2664" s="13">
        <v>410.6</v>
      </c>
      <c r="E2664" s="13" t="s">
        <v>6403</v>
      </c>
      <c r="F2664" s="13" t="s">
        <v>8864</v>
      </c>
      <c r="G2664" s="13" t="s">
        <v>2</v>
      </c>
      <c r="H2664" s="13" t="s">
        <v>8900</v>
      </c>
      <c r="I2664" s="13" t="s">
        <v>62</v>
      </c>
      <c r="J2664" s="13" t="s">
        <v>8890</v>
      </c>
      <c r="K2664" s="13" t="s">
        <v>8430</v>
      </c>
      <c r="L2664" s="13" t="s">
        <v>56</v>
      </c>
      <c r="M2664" t="s">
        <v>10683</v>
      </c>
    </row>
    <row r="2665" spans="1:13" ht="26.25" x14ac:dyDescent="0.25">
      <c r="A2665" s="13" t="s">
        <v>10592</v>
      </c>
      <c r="B2665" s="13" t="s">
        <v>10593</v>
      </c>
      <c r="C2665" s="13" t="s">
        <v>10593</v>
      </c>
      <c r="D2665" s="13">
        <v>0.1</v>
      </c>
      <c r="E2665" s="13" t="s">
        <v>10594</v>
      </c>
      <c r="F2665" s="13" t="s">
        <v>8860</v>
      </c>
      <c r="G2665" s="13" t="s">
        <v>19</v>
      </c>
      <c r="H2665" s="13" t="s">
        <v>3</v>
      </c>
      <c r="I2665" s="13" t="s">
        <v>10595</v>
      </c>
      <c r="J2665" s="13" t="s">
        <v>21</v>
      </c>
      <c r="K2665" s="13" t="s">
        <v>10596</v>
      </c>
      <c r="L2665" s="13" t="s">
        <v>18</v>
      </c>
      <c r="M2665" t="s">
        <v>3</v>
      </c>
    </row>
    <row r="2666" spans="1:13" x14ac:dyDescent="0.25">
      <c r="A2666" s="13" t="s">
        <v>6404</v>
      </c>
      <c r="B2666" s="13" t="s">
        <v>6404</v>
      </c>
      <c r="C2666" s="13" t="s">
        <v>6405</v>
      </c>
      <c r="D2666" s="13">
        <v>49.3</v>
      </c>
      <c r="E2666" s="13" t="s">
        <v>6405</v>
      </c>
      <c r="F2666" s="13" t="s">
        <v>8865</v>
      </c>
      <c r="G2666" s="13" t="s">
        <v>2</v>
      </c>
      <c r="H2666" s="13" t="s">
        <v>3</v>
      </c>
      <c r="I2666" s="13" t="s">
        <v>447</v>
      </c>
      <c r="J2666" s="13" t="s">
        <v>8890</v>
      </c>
      <c r="K2666" s="13" t="s">
        <v>8421</v>
      </c>
      <c r="L2666" s="13" t="s">
        <v>8901</v>
      </c>
      <c r="M2666" t="s">
        <v>3</v>
      </c>
    </row>
    <row r="2667" spans="1:13" x14ac:dyDescent="0.25">
      <c r="A2667" s="13" t="s">
        <v>6406</v>
      </c>
      <c r="B2667" s="13" t="s">
        <v>6406</v>
      </c>
      <c r="C2667" s="13" t="s">
        <v>6407</v>
      </c>
      <c r="D2667" s="13">
        <v>46.9</v>
      </c>
      <c r="E2667" s="13" t="s">
        <v>6407</v>
      </c>
      <c r="F2667" s="13" t="s">
        <v>8865</v>
      </c>
      <c r="G2667" s="13" t="s">
        <v>2</v>
      </c>
      <c r="H2667" s="13" t="s">
        <v>3</v>
      </c>
      <c r="I2667" s="13" t="s">
        <v>447</v>
      </c>
      <c r="J2667" s="13" t="s">
        <v>8890</v>
      </c>
      <c r="K2667" s="13" t="s">
        <v>8421</v>
      </c>
      <c r="L2667" s="13" t="s">
        <v>8901</v>
      </c>
      <c r="M2667" t="s">
        <v>3</v>
      </c>
    </row>
    <row r="2668" spans="1:13" x14ac:dyDescent="0.25">
      <c r="A2668" s="13" t="s">
        <v>6408</v>
      </c>
      <c r="B2668" s="13" t="s">
        <v>6408</v>
      </c>
      <c r="C2668" s="13" t="s">
        <v>6409</v>
      </c>
      <c r="D2668" s="14">
        <v>46.5</v>
      </c>
      <c r="E2668" s="13" t="s">
        <v>6409</v>
      </c>
      <c r="F2668" s="13" t="s">
        <v>8865</v>
      </c>
      <c r="G2668" s="13" t="s">
        <v>2</v>
      </c>
      <c r="H2668" s="13" t="s">
        <v>3</v>
      </c>
      <c r="I2668" s="13" t="s">
        <v>447</v>
      </c>
      <c r="J2668" s="13" t="s">
        <v>8890</v>
      </c>
      <c r="K2668" s="13" t="s">
        <v>8421</v>
      </c>
      <c r="L2668" s="13" t="s">
        <v>8901</v>
      </c>
      <c r="M2668" t="s">
        <v>3</v>
      </c>
    </row>
    <row r="2669" spans="1:13" x14ac:dyDescent="0.25">
      <c r="A2669" s="13" t="s">
        <v>6410</v>
      </c>
      <c r="B2669" s="13" t="s">
        <v>6410</v>
      </c>
      <c r="C2669" s="13" t="s">
        <v>6411</v>
      </c>
      <c r="D2669" s="14">
        <v>46.5</v>
      </c>
      <c r="E2669" s="13" t="s">
        <v>6411</v>
      </c>
      <c r="F2669" s="13" t="s">
        <v>8865</v>
      </c>
      <c r="G2669" s="13" t="s">
        <v>2</v>
      </c>
      <c r="H2669" s="13" t="s">
        <v>3</v>
      </c>
      <c r="I2669" s="13" t="s">
        <v>447</v>
      </c>
      <c r="J2669" s="13" t="s">
        <v>8890</v>
      </c>
      <c r="K2669" s="13" t="s">
        <v>8421</v>
      </c>
      <c r="L2669" s="13" t="s">
        <v>8901</v>
      </c>
      <c r="M2669" t="s">
        <v>3</v>
      </c>
    </row>
    <row r="2670" spans="1:13" ht="26.25" x14ac:dyDescent="0.25">
      <c r="A2670" s="13" t="s">
        <v>9416</v>
      </c>
      <c r="B2670" s="13" t="s">
        <v>9417</v>
      </c>
      <c r="C2670" s="13" t="s">
        <v>9417</v>
      </c>
      <c r="D2670" s="13">
        <v>2</v>
      </c>
      <c r="E2670" s="13" t="s">
        <v>9418</v>
      </c>
      <c r="F2670" s="13" t="s">
        <v>35</v>
      </c>
      <c r="G2670" s="13" t="s">
        <v>19</v>
      </c>
      <c r="H2670" s="13" t="s">
        <v>3</v>
      </c>
      <c r="I2670" s="13" t="s">
        <v>9419</v>
      </c>
      <c r="J2670" s="13" t="s">
        <v>37</v>
      </c>
      <c r="K2670" s="13" t="s">
        <v>9420</v>
      </c>
      <c r="L2670" s="13" t="s">
        <v>35</v>
      </c>
      <c r="M2670" t="s">
        <v>3</v>
      </c>
    </row>
    <row r="2671" spans="1:13" ht="26.25" x14ac:dyDescent="0.25">
      <c r="A2671" s="13" t="s">
        <v>6412</v>
      </c>
      <c r="B2671" s="13" t="s">
        <v>6413</v>
      </c>
      <c r="C2671" s="13" t="s">
        <v>6414</v>
      </c>
      <c r="D2671" s="13">
        <v>0.7</v>
      </c>
      <c r="E2671" s="13" t="s">
        <v>6415</v>
      </c>
      <c r="F2671" s="13" t="s">
        <v>8860</v>
      </c>
      <c r="G2671" s="13" t="s">
        <v>19</v>
      </c>
      <c r="H2671" s="13" t="s">
        <v>3</v>
      </c>
      <c r="I2671" s="13" t="s">
        <v>6416</v>
      </c>
      <c r="J2671" s="13" t="s">
        <v>21</v>
      </c>
      <c r="K2671" s="13" t="s">
        <v>8788</v>
      </c>
      <c r="L2671" s="13" t="s">
        <v>18</v>
      </c>
      <c r="M2671" t="s">
        <v>3</v>
      </c>
    </row>
    <row r="2672" spans="1:13" ht="26.25" x14ac:dyDescent="0.25">
      <c r="A2672" s="13" t="s">
        <v>6417</v>
      </c>
      <c r="B2672" s="13" t="s">
        <v>6417</v>
      </c>
      <c r="C2672" s="13" t="s">
        <v>9421</v>
      </c>
      <c r="D2672" s="13">
        <v>50</v>
      </c>
      <c r="E2672" s="13" t="s">
        <v>6418</v>
      </c>
      <c r="F2672" s="13" t="s">
        <v>8876</v>
      </c>
      <c r="G2672" s="13" t="s">
        <v>2</v>
      </c>
      <c r="H2672" s="13" t="s">
        <v>3</v>
      </c>
      <c r="I2672" s="13" t="s">
        <v>228</v>
      </c>
      <c r="J2672" s="13" t="s">
        <v>8890</v>
      </c>
      <c r="K2672" s="13" t="s">
        <v>8418</v>
      </c>
      <c r="L2672" s="13" t="s">
        <v>9244</v>
      </c>
      <c r="M2672" t="s">
        <v>3</v>
      </c>
    </row>
    <row r="2673" spans="1:13" ht="26.25" x14ac:dyDescent="0.25">
      <c r="A2673" s="13" t="s">
        <v>9964</v>
      </c>
      <c r="B2673" s="13" t="s">
        <v>9964</v>
      </c>
      <c r="C2673" s="13" t="s">
        <v>9964</v>
      </c>
      <c r="D2673" s="13">
        <v>0</v>
      </c>
      <c r="E2673" s="13" t="s">
        <v>9965</v>
      </c>
      <c r="F2673" s="13" t="s">
        <v>8860</v>
      </c>
      <c r="G2673" s="13" t="s">
        <v>19</v>
      </c>
      <c r="H2673" s="13" t="s">
        <v>3</v>
      </c>
      <c r="I2673" s="13" t="s">
        <v>9966</v>
      </c>
      <c r="J2673" s="13" t="s">
        <v>21</v>
      </c>
      <c r="K2673" s="13" t="s">
        <v>9967</v>
      </c>
      <c r="L2673" s="13" t="s">
        <v>18</v>
      </c>
      <c r="M2673" t="s">
        <v>3</v>
      </c>
    </row>
    <row r="2674" spans="1:13" ht="26.25" x14ac:dyDescent="0.25">
      <c r="A2674" s="13" t="s">
        <v>10333</v>
      </c>
      <c r="B2674" s="13" t="s">
        <v>10333</v>
      </c>
      <c r="C2674" s="13" t="s">
        <v>10333</v>
      </c>
      <c r="D2674" s="13">
        <v>0.1</v>
      </c>
      <c r="E2674" s="13" t="s">
        <v>10334</v>
      </c>
      <c r="F2674" s="13" t="s">
        <v>8860</v>
      </c>
      <c r="G2674" s="13" t="s">
        <v>19</v>
      </c>
      <c r="H2674" s="13" t="s">
        <v>3</v>
      </c>
      <c r="I2674" s="13" t="s">
        <v>10335</v>
      </c>
      <c r="J2674" s="13" t="s">
        <v>21</v>
      </c>
      <c r="K2674" s="13" t="s">
        <v>10336</v>
      </c>
      <c r="L2674" s="13" t="s">
        <v>18</v>
      </c>
      <c r="M2674" t="s">
        <v>3</v>
      </c>
    </row>
    <row r="2675" spans="1:13" ht="26.25" x14ac:dyDescent="0.25">
      <c r="A2675" s="13" t="s">
        <v>6419</v>
      </c>
      <c r="B2675" s="13" t="s">
        <v>6419</v>
      </c>
      <c r="C2675" s="13" t="s">
        <v>6420</v>
      </c>
      <c r="D2675" s="13">
        <v>2</v>
      </c>
      <c r="E2675" s="13" t="s">
        <v>6421</v>
      </c>
      <c r="F2675" s="13" t="s">
        <v>8860</v>
      </c>
      <c r="G2675" s="13" t="s">
        <v>19</v>
      </c>
      <c r="H2675" s="13" t="s">
        <v>3</v>
      </c>
      <c r="I2675" s="13" t="s">
        <v>4477</v>
      </c>
      <c r="J2675" s="13" t="s">
        <v>21</v>
      </c>
      <c r="K2675" s="13" t="s">
        <v>8654</v>
      </c>
      <c r="L2675" s="13" t="s">
        <v>18</v>
      </c>
      <c r="M2675" t="s">
        <v>3</v>
      </c>
    </row>
    <row r="2676" spans="1:13" ht="26.25" x14ac:dyDescent="0.25">
      <c r="A2676" s="13" t="s">
        <v>6422</v>
      </c>
      <c r="B2676" s="13" t="s">
        <v>6422</v>
      </c>
      <c r="C2676" s="13" t="s">
        <v>6423</v>
      </c>
      <c r="D2676" s="13">
        <v>0.6</v>
      </c>
      <c r="E2676" s="13" t="s">
        <v>6424</v>
      </c>
      <c r="F2676" s="13" t="s">
        <v>8863</v>
      </c>
      <c r="G2676" s="13" t="s">
        <v>2</v>
      </c>
      <c r="H2676" s="13" t="s">
        <v>3</v>
      </c>
      <c r="I2676" s="13" t="s">
        <v>10</v>
      </c>
      <c r="J2676" s="13" t="s">
        <v>8890</v>
      </c>
      <c r="K2676" s="13" t="s">
        <v>8425</v>
      </c>
      <c r="L2676" s="13" t="s">
        <v>8893</v>
      </c>
      <c r="M2676" t="s">
        <v>3</v>
      </c>
    </row>
    <row r="2677" spans="1:13" x14ac:dyDescent="0.25">
      <c r="A2677" s="13" t="s">
        <v>6425</v>
      </c>
      <c r="B2677" s="13" t="s">
        <v>6425</v>
      </c>
      <c r="C2677" s="13" t="s">
        <v>6426</v>
      </c>
      <c r="D2677" s="13">
        <v>49.9</v>
      </c>
      <c r="E2677" s="13" t="s">
        <v>6426</v>
      </c>
      <c r="F2677" s="13" t="s">
        <v>8876</v>
      </c>
      <c r="G2677" s="13" t="s">
        <v>2</v>
      </c>
      <c r="H2677" s="13" t="s">
        <v>3</v>
      </c>
      <c r="I2677" s="13" t="s">
        <v>447</v>
      </c>
      <c r="J2677" s="13" t="s">
        <v>8890</v>
      </c>
      <c r="K2677" s="13" t="s">
        <v>8421</v>
      </c>
      <c r="L2677" s="13" t="s">
        <v>9244</v>
      </c>
      <c r="M2677" t="s">
        <v>3</v>
      </c>
    </row>
    <row r="2678" spans="1:13" x14ac:dyDescent="0.25">
      <c r="A2678" s="13" t="s">
        <v>6427</v>
      </c>
      <c r="B2678" s="13" t="s">
        <v>6427</v>
      </c>
      <c r="C2678" s="13" t="s">
        <v>6428</v>
      </c>
      <c r="D2678" s="13">
        <v>49.9</v>
      </c>
      <c r="E2678" s="13" t="s">
        <v>6428</v>
      </c>
      <c r="F2678" s="13" t="s">
        <v>8876</v>
      </c>
      <c r="G2678" s="13" t="s">
        <v>2</v>
      </c>
      <c r="H2678" s="13" t="s">
        <v>3</v>
      </c>
      <c r="I2678" s="13" t="s">
        <v>447</v>
      </c>
      <c r="J2678" s="13" t="s">
        <v>8890</v>
      </c>
      <c r="K2678" s="13" t="s">
        <v>8421</v>
      </c>
      <c r="L2678" s="13" t="s">
        <v>9244</v>
      </c>
      <c r="M2678" t="s">
        <v>3</v>
      </c>
    </row>
    <row r="2679" spans="1:13" x14ac:dyDescent="0.25">
      <c r="A2679" s="13" t="s">
        <v>6429</v>
      </c>
      <c r="B2679" s="13" t="s">
        <v>6429</v>
      </c>
      <c r="C2679" s="13" t="s">
        <v>6430</v>
      </c>
      <c r="D2679" s="13">
        <v>49.9</v>
      </c>
      <c r="E2679" s="13" t="s">
        <v>6430</v>
      </c>
      <c r="F2679" s="13" t="s">
        <v>8876</v>
      </c>
      <c r="G2679" s="13" t="s">
        <v>2</v>
      </c>
      <c r="H2679" s="13" t="s">
        <v>3</v>
      </c>
      <c r="I2679" s="13" t="s">
        <v>447</v>
      </c>
      <c r="J2679" s="13" t="s">
        <v>8890</v>
      </c>
      <c r="K2679" s="13" t="s">
        <v>8421</v>
      </c>
      <c r="L2679" s="13" t="s">
        <v>9244</v>
      </c>
      <c r="M2679" t="s">
        <v>3</v>
      </c>
    </row>
    <row r="2680" spans="1:13" ht="26.25" x14ac:dyDescent="0.25">
      <c r="A2680" s="13" t="s">
        <v>6431</v>
      </c>
      <c r="B2680" s="13" t="s">
        <v>6432</v>
      </c>
      <c r="C2680" s="13" t="s">
        <v>6433</v>
      </c>
      <c r="D2680" s="13">
        <v>0.1</v>
      </c>
      <c r="E2680" s="13" t="s">
        <v>6434</v>
      </c>
      <c r="F2680" s="13" t="s">
        <v>8860</v>
      </c>
      <c r="G2680" s="13" t="s">
        <v>19</v>
      </c>
      <c r="H2680" s="13" t="s">
        <v>3</v>
      </c>
      <c r="I2680" s="13" t="s">
        <v>6435</v>
      </c>
      <c r="J2680" s="13" t="s">
        <v>21</v>
      </c>
      <c r="K2680" s="13" t="s">
        <v>8789</v>
      </c>
      <c r="L2680" s="13" t="s">
        <v>18</v>
      </c>
      <c r="M2680" t="s">
        <v>3</v>
      </c>
    </row>
    <row r="2681" spans="1:13" x14ac:dyDescent="0.25">
      <c r="A2681" s="13" t="s">
        <v>6436</v>
      </c>
      <c r="B2681" s="13" t="s">
        <v>6436</v>
      </c>
      <c r="C2681" s="13" t="s">
        <v>6437</v>
      </c>
      <c r="D2681" s="13">
        <v>49.9</v>
      </c>
      <c r="E2681" s="13" t="s">
        <v>6437</v>
      </c>
      <c r="F2681" s="13" t="s">
        <v>8876</v>
      </c>
      <c r="G2681" s="13" t="s">
        <v>2</v>
      </c>
      <c r="H2681" s="13" t="s">
        <v>3</v>
      </c>
      <c r="I2681" s="13" t="s">
        <v>447</v>
      </c>
      <c r="J2681" s="13" t="s">
        <v>8890</v>
      </c>
      <c r="K2681" s="13" t="s">
        <v>8421</v>
      </c>
      <c r="L2681" s="13" t="s">
        <v>9244</v>
      </c>
      <c r="M2681" t="s">
        <v>3</v>
      </c>
    </row>
    <row r="2682" spans="1:13" x14ac:dyDescent="0.25">
      <c r="A2682" s="13" t="s">
        <v>10337</v>
      </c>
      <c r="B2682" s="13" t="s">
        <v>10337</v>
      </c>
      <c r="C2682" s="13" t="s">
        <v>10338</v>
      </c>
      <c r="D2682" s="13">
        <v>49.9</v>
      </c>
      <c r="E2682" s="13" t="s">
        <v>10339</v>
      </c>
      <c r="F2682" s="13" t="s">
        <v>8876</v>
      </c>
      <c r="G2682" s="13" t="s">
        <v>2</v>
      </c>
      <c r="H2682" s="13" t="s">
        <v>3</v>
      </c>
      <c r="I2682" s="13" t="s">
        <v>1263</v>
      </c>
      <c r="J2682" s="13" t="s">
        <v>8890</v>
      </c>
      <c r="K2682" s="13" t="s">
        <v>8422</v>
      </c>
      <c r="L2682" s="13" t="s">
        <v>9244</v>
      </c>
      <c r="M2682" t="s">
        <v>3</v>
      </c>
    </row>
    <row r="2683" spans="1:13" x14ac:dyDescent="0.25">
      <c r="A2683" s="13" t="s">
        <v>10340</v>
      </c>
      <c r="B2683" s="13" t="s">
        <v>10340</v>
      </c>
      <c r="C2683" s="13" t="s">
        <v>10341</v>
      </c>
      <c r="D2683" s="13">
        <v>49.9</v>
      </c>
      <c r="E2683" s="13" t="s">
        <v>10342</v>
      </c>
      <c r="F2683" s="13" t="s">
        <v>8876</v>
      </c>
      <c r="G2683" s="13" t="s">
        <v>2</v>
      </c>
      <c r="H2683" s="13" t="s">
        <v>3</v>
      </c>
      <c r="I2683" s="13" t="s">
        <v>1263</v>
      </c>
      <c r="J2683" s="13" t="s">
        <v>8890</v>
      </c>
      <c r="K2683" s="13" t="s">
        <v>8422</v>
      </c>
      <c r="L2683" s="13" t="s">
        <v>9244</v>
      </c>
      <c r="M2683" t="s">
        <v>3</v>
      </c>
    </row>
    <row r="2684" spans="1:13" x14ac:dyDescent="0.25">
      <c r="A2684" s="13" t="s">
        <v>10343</v>
      </c>
      <c r="B2684" s="13" t="s">
        <v>10343</v>
      </c>
      <c r="C2684" s="13" t="s">
        <v>10344</v>
      </c>
      <c r="D2684" s="13">
        <v>49.9</v>
      </c>
      <c r="E2684" s="13" t="s">
        <v>10345</v>
      </c>
      <c r="F2684" s="13" t="s">
        <v>8876</v>
      </c>
      <c r="G2684" s="13" t="s">
        <v>2</v>
      </c>
      <c r="H2684" s="13" t="s">
        <v>3</v>
      </c>
      <c r="I2684" s="13" t="s">
        <v>1263</v>
      </c>
      <c r="J2684" s="13" t="s">
        <v>8890</v>
      </c>
      <c r="K2684" s="13" t="s">
        <v>8422</v>
      </c>
      <c r="L2684" s="13" t="s">
        <v>9244</v>
      </c>
      <c r="M2684" t="s">
        <v>3</v>
      </c>
    </row>
    <row r="2685" spans="1:13" ht="26.25" x14ac:dyDescent="0.25">
      <c r="A2685" s="13" t="s">
        <v>6438</v>
      </c>
      <c r="B2685" s="13" t="s">
        <v>6439</v>
      </c>
      <c r="C2685" s="13" t="s">
        <v>6439</v>
      </c>
      <c r="D2685" s="13">
        <v>1.5</v>
      </c>
      <c r="E2685" s="13" t="s">
        <v>6440</v>
      </c>
      <c r="F2685" s="13" t="s">
        <v>35</v>
      </c>
      <c r="G2685" s="13" t="s">
        <v>19</v>
      </c>
      <c r="H2685" s="13" t="s">
        <v>3</v>
      </c>
      <c r="I2685" s="13" t="s">
        <v>6439</v>
      </c>
      <c r="J2685" s="13" t="s">
        <v>37</v>
      </c>
      <c r="K2685" s="13" t="s">
        <v>6439</v>
      </c>
      <c r="L2685" s="13" t="s">
        <v>35</v>
      </c>
      <c r="M2685" t="s">
        <v>3</v>
      </c>
    </row>
    <row r="2686" spans="1:13" ht="26.25" x14ac:dyDescent="0.25">
      <c r="A2686" s="13" t="s">
        <v>6441</v>
      </c>
      <c r="B2686" s="13" t="s">
        <v>6442</v>
      </c>
      <c r="C2686" s="13" t="s">
        <v>6443</v>
      </c>
      <c r="D2686" s="13">
        <v>0.9</v>
      </c>
      <c r="E2686" s="13" t="s">
        <v>6444</v>
      </c>
      <c r="F2686" s="13" t="s">
        <v>35</v>
      </c>
      <c r="G2686" s="13" t="s">
        <v>19</v>
      </c>
      <c r="H2686" s="13" t="s">
        <v>3</v>
      </c>
      <c r="I2686" s="13" t="s">
        <v>6442</v>
      </c>
      <c r="J2686" s="13" t="s">
        <v>37</v>
      </c>
      <c r="K2686" s="13" t="s">
        <v>9422</v>
      </c>
      <c r="L2686" s="13" t="s">
        <v>35</v>
      </c>
      <c r="M2686" t="s">
        <v>3</v>
      </c>
    </row>
    <row r="2687" spans="1:13" x14ac:dyDescent="0.25">
      <c r="A2687" s="13" t="s">
        <v>6445</v>
      </c>
      <c r="B2687" s="13" t="s">
        <v>6446</v>
      </c>
      <c r="C2687" s="13" t="s">
        <v>6447</v>
      </c>
      <c r="D2687" s="13">
        <v>625.9</v>
      </c>
      <c r="E2687" s="13" t="s">
        <v>6448</v>
      </c>
      <c r="F2687" s="13" t="s">
        <v>8863</v>
      </c>
      <c r="G2687" s="13" t="s">
        <v>2</v>
      </c>
      <c r="H2687" s="13" t="s">
        <v>8923</v>
      </c>
      <c r="I2687" s="13" t="s">
        <v>390</v>
      </c>
      <c r="J2687" s="13" t="s">
        <v>8890</v>
      </c>
      <c r="K2687" s="13" t="s">
        <v>8423</v>
      </c>
      <c r="L2687" s="13" t="s">
        <v>8893</v>
      </c>
      <c r="M2687" t="s">
        <v>8923</v>
      </c>
    </row>
    <row r="2688" spans="1:13" x14ac:dyDescent="0.25">
      <c r="A2688" s="13" t="s">
        <v>6449</v>
      </c>
      <c r="B2688" s="13" t="s">
        <v>6450</v>
      </c>
      <c r="C2688" s="13" t="s">
        <v>6451</v>
      </c>
      <c r="D2688" s="13">
        <v>391.3</v>
      </c>
      <c r="E2688" s="13" t="s">
        <v>6452</v>
      </c>
      <c r="F2688" s="13" t="s">
        <v>8864</v>
      </c>
      <c r="G2688" s="13" t="s">
        <v>2</v>
      </c>
      <c r="H2688" s="13" t="s">
        <v>8900</v>
      </c>
      <c r="I2688" s="13" t="s">
        <v>62</v>
      </c>
      <c r="J2688" s="13" t="s">
        <v>8890</v>
      </c>
      <c r="K2688" s="13" t="s">
        <v>8430</v>
      </c>
      <c r="L2688" s="13" t="s">
        <v>56</v>
      </c>
      <c r="M2688" t="s">
        <v>10683</v>
      </c>
    </row>
    <row r="2689" spans="1:13" x14ac:dyDescent="0.25">
      <c r="A2689" s="13" t="s">
        <v>6453</v>
      </c>
      <c r="B2689" s="13" t="s">
        <v>6454</v>
      </c>
      <c r="C2689" s="13" t="s">
        <v>6455</v>
      </c>
      <c r="D2689" s="13">
        <v>41.8</v>
      </c>
      <c r="E2689" s="13" t="s">
        <v>6456</v>
      </c>
      <c r="F2689" s="13" t="s">
        <v>8867</v>
      </c>
      <c r="G2689" s="13" t="s">
        <v>2</v>
      </c>
      <c r="H2689" s="13" t="s">
        <v>8958</v>
      </c>
      <c r="I2689" s="13" t="s">
        <v>516</v>
      </c>
      <c r="J2689" s="13" t="s">
        <v>8890</v>
      </c>
      <c r="K2689" s="13" t="s">
        <v>516</v>
      </c>
      <c r="L2689" s="13" t="s">
        <v>158</v>
      </c>
      <c r="M2689" t="s">
        <v>8958</v>
      </c>
    </row>
    <row r="2690" spans="1:13" ht="26.25" x14ac:dyDescent="0.25">
      <c r="A2690" s="13" t="s">
        <v>6457</v>
      </c>
      <c r="B2690" s="13" t="s">
        <v>6458</v>
      </c>
      <c r="C2690" s="13" t="s">
        <v>6459</v>
      </c>
      <c r="D2690" s="13">
        <v>41.8</v>
      </c>
      <c r="E2690" s="13" t="s">
        <v>6460</v>
      </c>
      <c r="F2690" s="13" t="s">
        <v>8867</v>
      </c>
      <c r="G2690" s="13" t="s">
        <v>2</v>
      </c>
      <c r="H2690" s="13" t="s">
        <v>8958</v>
      </c>
      <c r="I2690" s="13" t="s">
        <v>516</v>
      </c>
      <c r="J2690" s="13" t="s">
        <v>8890</v>
      </c>
      <c r="K2690" s="13" t="s">
        <v>516</v>
      </c>
      <c r="L2690" s="13" t="s">
        <v>158</v>
      </c>
      <c r="M2690" t="s">
        <v>8958</v>
      </c>
    </row>
    <row r="2691" spans="1:13" x14ac:dyDescent="0.25">
      <c r="A2691" s="13" t="s">
        <v>6461</v>
      </c>
      <c r="B2691" s="13" t="s">
        <v>6462</v>
      </c>
      <c r="C2691" s="13" t="s">
        <v>6463</v>
      </c>
      <c r="D2691" s="13">
        <v>41.8</v>
      </c>
      <c r="E2691" s="13" t="s">
        <v>6464</v>
      </c>
      <c r="F2691" s="13" t="s">
        <v>8867</v>
      </c>
      <c r="G2691" s="13" t="s">
        <v>2</v>
      </c>
      <c r="H2691" s="13" t="s">
        <v>8958</v>
      </c>
      <c r="I2691" s="13" t="s">
        <v>516</v>
      </c>
      <c r="J2691" s="13" t="s">
        <v>8890</v>
      </c>
      <c r="K2691" s="13" t="s">
        <v>516</v>
      </c>
      <c r="L2691" s="13" t="s">
        <v>158</v>
      </c>
      <c r="M2691" t="s">
        <v>8958</v>
      </c>
    </row>
    <row r="2692" spans="1:13" x14ac:dyDescent="0.25">
      <c r="A2692" s="13" t="s">
        <v>6465</v>
      </c>
      <c r="B2692" s="13" t="s">
        <v>6465</v>
      </c>
      <c r="C2692" s="13" t="s">
        <v>6466</v>
      </c>
      <c r="D2692" s="13">
        <v>41.8</v>
      </c>
      <c r="E2692" s="13" t="s">
        <v>6467</v>
      </c>
      <c r="F2692" s="13" t="s">
        <v>8867</v>
      </c>
      <c r="G2692" s="13" t="s">
        <v>2</v>
      </c>
      <c r="H2692" s="13" t="s">
        <v>8958</v>
      </c>
      <c r="I2692" s="13" t="s">
        <v>516</v>
      </c>
      <c r="J2692" s="13" t="s">
        <v>8890</v>
      </c>
      <c r="K2692" s="13" t="s">
        <v>516</v>
      </c>
      <c r="L2692" s="13" t="s">
        <v>158</v>
      </c>
      <c r="M2692" t="s">
        <v>8958</v>
      </c>
    </row>
    <row r="2693" spans="1:13" ht="26.25" x14ac:dyDescent="0.25">
      <c r="A2693" s="13" t="s">
        <v>6468</v>
      </c>
      <c r="B2693" s="13" t="s">
        <v>6469</v>
      </c>
      <c r="C2693" s="13" t="s">
        <v>6470</v>
      </c>
      <c r="D2693" s="13">
        <v>41.8</v>
      </c>
      <c r="E2693" s="13" t="s">
        <v>6471</v>
      </c>
      <c r="F2693" s="13" t="s">
        <v>8867</v>
      </c>
      <c r="G2693" s="13" t="s">
        <v>2</v>
      </c>
      <c r="H2693" s="13" t="s">
        <v>8958</v>
      </c>
      <c r="I2693" s="13" t="s">
        <v>516</v>
      </c>
      <c r="J2693" s="13" t="s">
        <v>8890</v>
      </c>
      <c r="K2693" s="13" t="s">
        <v>516</v>
      </c>
      <c r="L2693" s="13" t="s">
        <v>158</v>
      </c>
      <c r="M2693" t="s">
        <v>8958</v>
      </c>
    </row>
    <row r="2694" spans="1:13" ht="26.25" x14ac:dyDescent="0.25">
      <c r="A2694" s="13" t="s">
        <v>11112</v>
      </c>
      <c r="B2694" s="13" t="s">
        <v>11113</v>
      </c>
      <c r="C2694" s="13" t="s">
        <v>11114</v>
      </c>
      <c r="D2694" s="13">
        <v>43</v>
      </c>
      <c r="E2694" s="13" t="s">
        <v>11115</v>
      </c>
      <c r="F2694" s="13" t="s">
        <v>35</v>
      </c>
      <c r="G2694" s="13" t="s">
        <v>19</v>
      </c>
      <c r="H2694" s="13" t="s">
        <v>3</v>
      </c>
      <c r="I2694" s="13" t="s">
        <v>435</v>
      </c>
      <c r="J2694" s="13" t="s">
        <v>37</v>
      </c>
      <c r="K2694" s="13" t="s">
        <v>8469</v>
      </c>
      <c r="L2694" s="13" t="s">
        <v>35</v>
      </c>
      <c r="M2694" t="s">
        <v>3</v>
      </c>
    </row>
    <row r="2695" spans="1:13" ht="26.25" x14ac:dyDescent="0.25">
      <c r="A2695" s="13" t="s">
        <v>6472</v>
      </c>
      <c r="B2695" s="13" t="s">
        <v>6473</v>
      </c>
      <c r="C2695" s="13" t="s">
        <v>6474</v>
      </c>
      <c r="D2695" s="13">
        <v>100</v>
      </c>
      <c r="E2695" s="13" t="s">
        <v>6475</v>
      </c>
      <c r="F2695" s="13" t="s">
        <v>8870</v>
      </c>
      <c r="G2695" s="13" t="s">
        <v>19</v>
      </c>
      <c r="H2695" s="13" t="s">
        <v>3</v>
      </c>
      <c r="I2695" s="13" t="s">
        <v>1128</v>
      </c>
      <c r="J2695" s="13" t="s">
        <v>410</v>
      </c>
      <c r="K2695" s="13" t="s">
        <v>8527</v>
      </c>
      <c r="L2695" s="13" t="s">
        <v>8942</v>
      </c>
      <c r="M2695" t="s">
        <v>3</v>
      </c>
    </row>
    <row r="2696" spans="1:13" ht="26.25" x14ac:dyDescent="0.25">
      <c r="A2696" s="13" t="s">
        <v>6476</v>
      </c>
      <c r="B2696" s="13" t="s">
        <v>6477</v>
      </c>
      <c r="C2696" s="13" t="s">
        <v>6478</v>
      </c>
      <c r="D2696" s="13">
        <v>100</v>
      </c>
      <c r="E2696" s="13" t="s">
        <v>6479</v>
      </c>
      <c r="F2696" s="13" t="s">
        <v>8871</v>
      </c>
      <c r="G2696" s="13" t="s">
        <v>2</v>
      </c>
      <c r="H2696" s="13" t="s">
        <v>3</v>
      </c>
      <c r="I2696" s="13" t="s">
        <v>1128</v>
      </c>
      <c r="J2696" s="13" t="s">
        <v>410</v>
      </c>
      <c r="K2696" s="13" t="s">
        <v>8527</v>
      </c>
      <c r="L2696" s="13" t="s">
        <v>8943</v>
      </c>
      <c r="M2696" t="s">
        <v>3</v>
      </c>
    </row>
    <row r="2697" spans="1:13" ht="26.25" x14ac:dyDescent="0.25">
      <c r="A2697" s="13" t="s">
        <v>6480</v>
      </c>
      <c r="B2697" s="13" t="s">
        <v>6480</v>
      </c>
      <c r="C2697" s="13" t="s">
        <v>6480</v>
      </c>
      <c r="D2697" s="13">
        <v>9999</v>
      </c>
      <c r="E2697" s="13" t="s">
        <v>6481</v>
      </c>
      <c r="F2697" s="13" t="s">
        <v>855</v>
      </c>
      <c r="G2697" s="13" t="s">
        <v>19</v>
      </c>
      <c r="H2697" s="13" t="s">
        <v>3</v>
      </c>
      <c r="I2697" s="13" t="s">
        <v>1128</v>
      </c>
      <c r="J2697" s="13" t="s">
        <v>856</v>
      </c>
      <c r="K2697" s="13" t="s">
        <v>8527</v>
      </c>
      <c r="L2697" s="13" t="s">
        <v>855</v>
      </c>
      <c r="M2697" t="s">
        <v>3</v>
      </c>
    </row>
    <row r="2698" spans="1:13" ht="26.25" x14ac:dyDescent="0.25">
      <c r="A2698" s="13" t="s">
        <v>6482</v>
      </c>
      <c r="B2698" s="13" t="s">
        <v>6482</v>
      </c>
      <c r="C2698" s="13" t="s">
        <v>6482</v>
      </c>
      <c r="D2698" s="13">
        <v>9999</v>
      </c>
      <c r="E2698" s="13" t="s">
        <v>6483</v>
      </c>
      <c r="F2698" s="13" t="s">
        <v>855</v>
      </c>
      <c r="G2698" s="13" t="s">
        <v>2</v>
      </c>
      <c r="H2698" s="13" t="s">
        <v>3</v>
      </c>
      <c r="I2698" s="13" t="s">
        <v>1128</v>
      </c>
      <c r="J2698" s="13" t="s">
        <v>856</v>
      </c>
      <c r="K2698" s="13" t="s">
        <v>8527</v>
      </c>
      <c r="L2698" s="13" t="s">
        <v>855</v>
      </c>
      <c r="M2698" t="s">
        <v>3</v>
      </c>
    </row>
    <row r="2699" spans="1:13" ht="26.25" x14ac:dyDescent="0.25">
      <c r="A2699" s="13" t="s">
        <v>6484</v>
      </c>
      <c r="B2699" s="13" t="s">
        <v>6485</v>
      </c>
      <c r="C2699" s="13" t="s">
        <v>6486</v>
      </c>
      <c r="D2699" s="13">
        <v>10.1</v>
      </c>
      <c r="E2699" s="13" t="s">
        <v>6487</v>
      </c>
      <c r="F2699" s="13" t="s">
        <v>35</v>
      </c>
      <c r="G2699" s="13" t="s">
        <v>19</v>
      </c>
      <c r="H2699" s="13" t="s">
        <v>3</v>
      </c>
      <c r="I2699" s="13" t="s">
        <v>6488</v>
      </c>
      <c r="J2699" s="13" t="s">
        <v>37</v>
      </c>
      <c r="K2699" s="13" t="s">
        <v>8790</v>
      </c>
      <c r="L2699" s="13" t="s">
        <v>35</v>
      </c>
      <c r="M2699" t="s">
        <v>3</v>
      </c>
    </row>
    <row r="2700" spans="1:13" ht="26.25" x14ac:dyDescent="0.25">
      <c r="A2700" s="13" t="s">
        <v>9423</v>
      </c>
      <c r="B2700" s="13" t="s">
        <v>9423</v>
      </c>
      <c r="C2700" s="13" t="s">
        <v>9424</v>
      </c>
      <c r="D2700" s="13">
        <v>0</v>
      </c>
      <c r="E2700" s="13" t="s">
        <v>9425</v>
      </c>
      <c r="F2700" s="13" t="s">
        <v>8860</v>
      </c>
      <c r="G2700" s="13" t="s">
        <v>19</v>
      </c>
      <c r="H2700" s="13" t="s">
        <v>3</v>
      </c>
      <c r="I2700" s="13" t="s">
        <v>4487</v>
      </c>
      <c r="J2700" s="13" t="s">
        <v>21</v>
      </c>
      <c r="K2700" s="13" t="s">
        <v>4016</v>
      </c>
      <c r="L2700" s="13" t="s">
        <v>18</v>
      </c>
      <c r="M2700" t="s">
        <v>3</v>
      </c>
    </row>
    <row r="2701" spans="1:13" ht="26.25" x14ac:dyDescent="0.25">
      <c r="A2701" s="13" t="s">
        <v>6489</v>
      </c>
      <c r="B2701" s="13" t="s">
        <v>6489</v>
      </c>
      <c r="C2701" s="13" t="s">
        <v>6489</v>
      </c>
      <c r="D2701" s="13">
        <v>1</v>
      </c>
      <c r="E2701" s="13" t="s">
        <v>6490</v>
      </c>
      <c r="F2701" s="13" t="s">
        <v>8860</v>
      </c>
      <c r="G2701" s="13" t="s">
        <v>19</v>
      </c>
      <c r="H2701" s="13" t="s">
        <v>3</v>
      </c>
      <c r="I2701" s="13" t="s">
        <v>6491</v>
      </c>
      <c r="J2701" s="13" t="s">
        <v>21</v>
      </c>
      <c r="K2701" s="13" t="s">
        <v>8791</v>
      </c>
      <c r="L2701" s="13" t="s">
        <v>18</v>
      </c>
      <c r="M2701" t="s">
        <v>3</v>
      </c>
    </row>
    <row r="2702" spans="1:13" x14ac:dyDescent="0.25">
      <c r="A2702" s="13" t="s">
        <v>10597</v>
      </c>
      <c r="B2702" s="13" t="s">
        <v>10598</v>
      </c>
      <c r="C2702" s="13" t="s">
        <v>10599</v>
      </c>
      <c r="D2702" s="13">
        <v>9.9</v>
      </c>
      <c r="E2702" s="13" t="s">
        <v>10600</v>
      </c>
      <c r="F2702" s="13" t="s">
        <v>8867</v>
      </c>
      <c r="G2702" s="13" t="s">
        <v>2</v>
      </c>
      <c r="H2702" s="13" t="s">
        <v>3</v>
      </c>
      <c r="I2702" s="13" t="s">
        <v>6766</v>
      </c>
      <c r="J2702" s="13" t="s">
        <v>8890</v>
      </c>
      <c r="K2702" s="13" t="s">
        <v>8799</v>
      </c>
      <c r="L2702" s="13" t="s">
        <v>158</v>
      </c>
      <c r="M2702" t="s">
        <v>3</v>
      </c>
    </row>
    <row r="2703" spans="1:13" ht="26.25" x14ac:dyDescent="0.25">
      <c r="A2703" s="13" t="s">
        <v>6492</v>
      </c>
      <c r="B2703" s="13" t="s">
        <v>6493</v>
      </c>
      <c r="C2703" s="13" t="s">
        <v>6493</v>
      </c>
      <c r="D2703" s="13">
        <v>1</v>
      </c>
      <c r="E2703" s="13" t="s">
        <v>6494</v>
      </c>
      <c r="F2703" s="13" t="s">
        <v>8860</v>
      </c>
      <c r="G2703" s="13" t="s">
        <v>19</v>
      </c>
      <c r="H2703" s="13" t="s">
        <v>3</v>
      </c>
      <c r="I2703" s="13" t="s">
        <v>6495</v>
      </c>
      <c r="J2703" s="13" t="s">
        <v>21</v>
      </c>
      <c r="K2703" s="13" t="s">
        <v>9426</v>
      </c>
      <c r="L2703" s="13" t="s">
        <v>18</v>
      </c>
      <c r="M2703" t="s">
        <v>3</v>
      </c>
    </row>
    <row r="2704" spans="1:13" ht="26.25" x14ac:dyDescent="0.25">
      <c r="A2704" s="13" t="s">
        <v>6496</v>
      </c>
      <c r="B2704" s="13" t="s">
        <v>4016</v>
      </c>
      <c r="C2704" s="13" t="s">
        <v>9427</v>
      </c>
      <c r="D2704" s="13">
        <v>0</v>
      </c>
      <c r="E2704" s="13" t="s">
        <v>6497</v>
      </c>
      <c r="F2704" s="13" t="s">
        <v>8860</v>
      </c>
      <c r="G2704" s="13" t="s">
        <v>19</v>
      </c>
      <c r="H2704" s="13" t="s">
        <v>3</v>
      </c>
      <c r="I2704" s="13" t="s">
        <v>4016</v>
      </c>
      <c r="J2704" s="13" t="s">
        <v>21</v>
      </c>
      <c r="K2704" s="13" t="s">
        <v>4016</v>
      </c>
      <c r="L2704" s="13" t="s">
        <v>18</v>
      </c>
      <c r="M2704" t="s">
        <v>3</v>
      </c>
    </row>
    <row r="2705" spans="1:13" x14ac:dyDescent="0.25">
      <c r="A2705" s="13" t="s">
        <v>6498</v>
      </c>
      <c r="B2705" s="13" t="s">
        <v>6498</v>
      </c>
      <c r="C2705" s="13" t="s">
        <v>6499</v>
      </c>
      <c r="D2705" s="13">
        <v>13.9</v>
      </c>
      <c r="E2705" s="13" t="s">
        <v>6500</v>
      </c>
      <c r="F2705" s="13" t="s">
        <v>8863</v>
      </c>
      <c r="G2705" s="13" t="s">
        <v>2</v>
      </c>
      <c r="H2705" s="13" t="s">
        <v>3</v>
      </c>
      <c r="I2705" s="13" t="s">
        <v>4016</v>
      </c>
      <c r="J2705" s="13" t="s">
        <v>8890</v>
      </c>
      <c r="K2705" s="13" t="s">
        <v>4016</v>
      </c>
      <c r="L2705" s="13" t="s">
        <v>8956</v>
      </c>
      <c r="M2705" t="s">
        <v>3</v>
      </c>
    </row>
    <row r="2706" spans="1:13" ht="26.25" x14ac:dyDescent="0.25">
      <c r="A2706" s="13" t="s">
        <v>10346</v>
      </c>
      <c r="B2706" s="13" t="s">
        <v>10347</v>
      </c>
      <c r="C2706" s="13" t="s">
        <v>10347</v>
      </c>
      <c r="D2706" s="13">
        <v>8</v>
      </c>
      <c r="E2706" s="13" t="s">
        <v>10348</v>
      </c>
      <c r="F2706" s="13" t="s">
        <v>8860</v>
      </c>
      <c r="G2706" s="13" t="s">
        <v>19</v>
      </c>
      <c r="H2706" s="13" t="s">
        <v>3</v>
      </c>
      <c r="I2706" s="13" t="s">
        <v>4016</v>
      </c>
      <c r="J2706" s="13" t="s">
        <v>21</v>
      </c>
      <c r="K2706" s="13" t="s">
        <v>4016</v>
      </c>
      <c r="L2706" s="13" t="s">
        <v>18</v>
      </c>
      <c r="M2706" t="s">
        <v>3</v>
      </c>
    </row>
    <row r="2707" spans="1:13" ht="26.25" x14ac:dyDescent="0.25">
      <c r="A2707" s="13" t="s">
        <v>6501</v>
      </c>
      <c r="B2707" s="13" t="s">
        <v>6502</v>
      </c>
      <c r="C2707" s="13" t="s">
        <v>6503</v>
      </c>
      <c r="D2707" s="13">
        <v>10</v>
      </c>
      <c r="E2707" s="13" t="s">
        <v>6504</v>
      </c>
      <c r="F2707" s="13" t="s">
        <v>275</v>
      </c>
      <c r="G2707" s="13" t="s">
        <v>19</v>
      </c>
      <c r="H2707" s="13" t="s">
        <v>3</v>
      </c>
      <c r="I2707" s="13" t="s">
        <v>4016</v>
      </c>
      <c r="J2707" s="13" t="s">
        <v>276</v>
      </c>
      <c r="K2707" s="13" t="s">
        <v>4016</v>
      </c>
      <c r="L2707" s="13" t="s">
        <v>275</v>
      </c>
      <c r="M2707" t="s">
        <v>3</v>
      </c>
    </row>
    <row r="2708" spans="1:13" x14ac:dyDescent="0.25">
      <c r="A2708" s="13" t="s">
        <v>6505</v>
      </c>
      <c r="B2708" s="13" t="s">
        <v>6506</v>
      </c>
      <c r="C2708" s="13" t="s">
        <v>6506</v>
      </c>
      <c r="D2708" s="13">
        <v>10.8</v>
      </c>
      <c r="E2708" s="13" t="s">
        <v>6507</v>
      </c>
      <c r="F2708" s="13" t="s">
        <v>8869</v>
      </c>
      <c r="G2708" s="13" t="s">
        <v>2</v>
      </c>
      <c r="H2708" s="13" t="s">
        <v>3</v>
      </c>
      <c r="I2708" s="13" t="s">
        <v>4016</v>
      </c>
      <c r="J2708" s="13" t="s">
        <v>8890</v>
      </c>
      <c r="K2708" s="13" t="s">
        <v>4016</v>
      </c>
      <c r="L2708" s="13" t="s">
        <v>8918</v>
      </c>
      <c r="M2708" t="s">
        <v>3</v>
      </c>
    </row>
    <row r="2709" spans="1:13" x14ac:dyDescent="0.25">
      <c r="A2709" s="13" t="s">
        <v>6508</v>
      </c>
      <c r="B2709" s="13" t="s">
        <v>6509</v>
      </c>
      <c r="C2709" s="13" t="s">
        <v>6510</v>
      </c>
      <c r="D2709" s="13">
        <v>10.4</v>
      </c>
      <c r="E2709" s="13" t="s">
        <v>6511</v>
      </c>
      <c r="F2709" s="13" t="s">
        <v>8873</v>
      </c>
      <c r="G2709" s="13" t="s">
        <v>2</v>
      </c>
      <c r="H2709" s="13" t="s">
        <v>3</v>
      </c>
      <c r="I2709" s="13" t="s">
        <v>4016</v>
      </c>
      <c r="J2709" s="13" t="s">
        <v>8890</v>
      </c>
      <c r="K2709" s="13" t="s">
        <v>4016</v>
      </c>
      <c r="L2709" s="13" t="s">
        <v>8964</v>
      </c>
      <c r="M2709" t="s">
        <v>3</v>
      </c>
    </row>
    <row r="2710" spans="1:13" x14ac:dyDescent="0.25">
      <c r="A2710" s="13" t="s">
        <v>6512</v>
      </c>
      <c r="B2710" s="13" t="s">
        <v>6513</v>
      </c>
      <c r="C2710" s="13" t="s">
        <v>6514</v>
      </c>
      <c r="D2710" s="13">
        <v>3.1</v>
      </c>
      <c r="E2710" s="13" t="s">
        <v>6515</v>
      </c>
      <c r="F2710" s="13" t="s">
        <v>8873</v>
      </c>
      <c r="G2710" s="13" t="s">
        <v>2</v>
      </c>
      <c r="H2710" s="13" t="s">
        <v>3</v>
      </c>
      <c r="I2710" s="13" t="s">
        <v>4016</v>
      </c>
      <c r="J2710" s="13" t="s">
        <v>8890</v>
      </c>
      <c r="K2710" s="13" t="s">
        <v>4016</v>
      </c>
      <c r="L2710" s="13" t="s">
        <v>8964</v>
      </c>
      <c r="M2710" t="s">
        <v>3</v>
      </c>
    </row>
    <row r="2711" spans="1:13" x14ac:dyDescent="0.25">
      <c r="A2711" s="13" t="s">
        <v>6516</v>
      </c>
      <c r="B2711" s="13" t="s">
        <v>6517</v>
      </c>
      <c r="C2711" s="13" t="s">
        <v>6518</v>
      </c>
      <c r="D2711" s="13">
        <v>3.1</v>
      </c>
      <c r="E2711" s="13" t="s">
        <v>6519</v>
      </c>
      <c r="F2711" s="13" t="s">
        <v>8873</v>
      </c>
      <c r="G2711" s="13" t="s">
        <v>2</v>
      </c>
      <c r="H2711" s="13" t="s">
        <v>3</v>
      </c>
      <c r="I2711" s="13" t="s">
        <v>4016</v>
      </c>
      <c r="J2711" s="13" t="s">
        <v>8890</v>
      </c>
      <c r="K2711" s="13" t="s">
        <v>4016</v>
      </c>
      <c r="L2711" s="13" t="s">
        <v>8964</v>
      </c>
      <c r="M2711" t="s">
        <v>3</v>
      </c>
    </row>
    <row r="2712" spans="1:13" ht="26.25" x14ac:dyDescent="0.25">
      <c r="A2712" s="13" t="s">
        <v>11693</v>
      </c>
      <c r="B2712" s="13" t="s">
        <v>11694</v>
      </c>
      <c r="C2712" s="13" t="s">
        <v>11694</v>
      </c>
      <c r="D2712" s="13">
        <v>2</v>
      </c>
      <c r="E2712" s="13" t="s">
        <v>11695</v>
      </c>
      <c r="F2712" s="13" t="s">
        <v>8873</v>
      </c>
      <c r="G2712" s="13" t="s">
        <v>2</v>
      </c>
      <c r="H2712" s="13" t="s">
        <v>3</v>
      </c>
      <c r="I2712" s="13" t="s">
        <v>4016</v>
      </c>
      <c r="J2712" s="13" t="s">
        <v>8890</v>
      </c>
      <c r="K2712" s="13" t="s">
        <v>4016</v>
      </c>
      <c r="L2712" s="13" t="s">
        <v>8964</v>
      </c>
      <c r="M2712" t="s">
        <v>3</v>
      </c>
    </row>
    <row r="2713" spans="1:13" x14ac:dyDescent="0.25">
      <c r="A2713" s="13" t="s">
        <v>6520</v>
      </c>
      <c r="B2713" s="13" t="s">
        <v>6520</v>
      </c>
      <c r="C2713" s="13" t="s">
        <v>6520</v>
      </c>
      <c r="D2713" s="13">
        <v>1.6</v>
      </c>
      <c r="E2713" s="13" t="s">
        <v>6521</v>
      </c>
      <c r="F2713" s="13" t="s">
        <v>8867</v>
      </c>
      <c r="G2713" s="13" t="s">
        <v>2</v>
      </c>
      <c r="H2713" s="13" t="s">
        <v>3</v>
      </c>
      <c r="I2713" s="13" t="s">
        <v>228</v>
      </c>
      <c r="J2713" s="13" t="s">
        <v>8890</v>
      </c>
      <c r="K2713" s="13" t="s">
        <v>8418</v>
      </c>
      <c r="L2713" s="13" t="s">
        <v>158</v>
      </c>
      <c r="M2713" t="s">
        <v>3</v>
      </c>
    </row>
    <row r="2714" spans="1:13" x14ac:dyDescent="0.25">
      <c r="A2714" s="13" t="s">
        <v>6522</v>
      </c>
      <c r="B2714" s="13" t="s">
        <v>6522</v>
      </c>
      <c r="C2714" s="13" t="s">
        <v>6523</v>
      </c>
      <c r="D2714" s="13">
        <v>9.9</v>
      </c>
      <c r="E2714" s="13" t="s">
        <v>6524</v>
      </c>
      <c r="F2714" s="13" t="s">
        <v>8867</v>
      </c>
      <c r="G2714" s="13" t="s">
        <v>2</v>
      </c>
      <c r="H2714" s="13" t="s">
        <v>3</v>
      </c>
      <c r="I2714" s="13" t="s">
        <v>4016</v>
      </c>
      <c r="J2714" s="13" t="s">
        <v>8890</v>
      </c>
      <c r="K2714" s="13" t="s">
        <v>4016</v>
      </c>
      <c r="L2714" s="13" t="s">
        <v>158</v>
      </c>
      <c r="M2714" t="s">
        <v>3</v>
      </c>
    </row>
    <row r="2715" spans="1:13" x14ac:dyDescent="0.25">
      <c r="A2715" s="13" t="s">
        <v>10069</v>
      </c>
      <c r="B2715" s="13" t="s">
        <v>10070</v>
      </c>
      <c r="C2715" s="13" t="s">
        <v>10071</v>
      </c>
      <c r="D2715" s="13">
        <v>10</v>
      </c>
      <c r="E2715" s="13" t="s">
        <v>10072</v>
      </c>
      <c r="F2715" s="13" t="s">
        <v>8867</v>
      </c>
      <c r="G2715" s="13" t="s">
        <v>2</v>
      </c>
      <c r="H2715" s="13" t="s">
        <v>3</v>
      </c>
      <c r="I2715" s="13" t="s">
        <v>4016</v>
      </c>
      <c r="J2715" s="13" t="s">
        <v>8890</v>
      </c>
      <c r="K2715" s="13" t="s">
        <v>4016</v>
      </c>
      <c r="L2715" s="13" t="s">
        <v>158</v>
      </c>
      <c r="M2715" t="s">
        <v>3</v>
      </c>
    </row>
    <row r="2716" spans="1:13" ht="26.25" x14ac:dyDescent="0.25">
      <c r="A2716" s="13" t="s">
        <v>6525</v>
      </c>
      <c r="B2716" s="13" t="s">
        <v>6526</v>
      </c>
      <c r="C2716" s="13" t="s">
        <v>9428</v>
      </c>
      <c r="D2716" s="13">
        <v>33.700000000000003</v>
      </c>
      <c r="E2716" s="13" t="s">
        <v>6528</v>
      </c>
      <c r="F2716" s="13" t="s">
        <v>35</v>
      </c>
      <c r="G2716" s="13" t="s">
        <v>19</v>
      </c>
      <c r="H2716" s="13" t="s">
        <v>3</v>
      </c>
      <c r="I2716" s="13" t="s">
        <v>6529</v>
      </c>
      <c r="J2716" s="13" t="s">
        <v>37</v>
      </c>
      <c r="K2716" s="13" t="s">
        <v>6527</v>
      </c>
      <c r="L2716" s="13" t="s">
        <v>35</v>
      </c>
      <c r="M2716" t="s">
        <v>3</v>
      </c>
    </row>
    <row r="2717" spans="1:13" x14ac:dyDescent="0.25">
      <c r="A2717" s="13" t="s">
        <v>6530</v>
      </c>
      <c r="B2717" s="13" t="s">
        <v>6530</v>
      </c>
      <c r="C2717" s="13" t="s">
        <v>3632</v>
      </c>
      <c r="D2717" s="13">
        <v>5.4</v>
      </c>
      <c r="E2717" s="13" t="s">
        <v>6531</v>
      </c>
      <c r="F2717" s="13" t="s">
        <v>8867</v>
      </c>
      <c r="G2717" s="13" t="s">
        <v>2</v>
      </c>
      <c r="H2717" s="13" t="s">
        <v>3</v>
      </c>
      <c r="I2717" s="13" t="s">
        <v>1263</v>
      </c>
      <c r="J2717" s="13" t="s">
        <v>8890</v>
      </c>
      <c r="K2717" s="13" t="s">
        <v>8422</v>
      </c>
      <c r="L2717" s="13" t="s">
        <v>158</v>
      </c>
      <c r="M2717" t="s">
        <v>3</v>
      </c>
    </row>
    <row r="2718" spans="1:13" ht="26.25" x14ac:dyDescent="0.25">
      <c r="A2718" s="13" t="s">
        <v>6532</v>
      </c>
      <c r="B2718" s="13" t="s">
        <v>6532</v>
      </c>
      <c r="C2718" s="13" t="s">
        <v>6533</v>
      </c>
      <c r="D2718" s="13">
        <v>0.7</v>
      </c>
      <c r="E2718" s="13" t="s">
        <v>6534</v>
      </c>
      <c r="F2718" s="13" t="s">
        <v>8863</v>
      </c>
      <c r="G2718" s="13" t="s">
        <v>2</v>
      </c>
      <c r="H2718" s="13" t="s">
        <v>3</v>
      </c>
      <c r="I2718" s="13" t="s">
        <v>10</v>
      </c>
      <c r="J2718" s="13" t="s">
        <v>8890</v>
      </c>
      <c r="K2718" s="13" t="s">
        <v>8425</v>
      </c>
      <c r="L2718" s="13" t="s">
        <v>8893</v>
      </c>
      <c r="M2718" t="s">
        <v>3</v>
      </c>
    </row>
    <row r="2719" spans="1:13" ht="26.25" x14ac:dyDescent="0.25">
      <c r="A2719" s="13" t="s">
        <v>6535</v>
      </c>
      <c r="B2719" s="13" t="s">
        <v>6535</v>
      </c>
      <c r="C2719" s="13" t="s">
        <v>6536</v>
      </c>
      <c r="D2719" s="13">
        <v>1.7</v>
      </c>
      <c r="E2719" s="13" t="s">
        <v>6537</v>
      </c>
      <c r="F2719" s="13" t="s">
        <v>8863</v>
      </c>
      <c r="G2719" s="13" t="s">
        <v>2</v>
      </c>
      <c r="H2719" s="13" t="s">
        <v>3</v>
      </c>
      <c r="I2719" s="13" t="s">
        <v>10</v>
      </c>
      <c r="J2719" s="13" t="s">
        <v>8890</v>
      </c>
      <c r="K2719" s="13" t="s">
        <v>8425</v>
      </c>
      <c r="L2719" s="13" t="s">
        <v>8893</v>
      </c>
      <c r="M2719" t="s">
        <v>3</v>
      </c>
    </row>
    <row r="2720" spans="1:13" ht="26.25" x14ac:dyDescent="0.25">
      <c r="A2720" s="13" t="s">
        <v>6538</v>
      </c>
      <c r="B2720" s="13" t="s">
        <v>6538</v>
      </c>
      <c r="C2720" s="13" t="s">
        <v>6539</v>
      </c>
      <c r="D2720" s="13">
        <v>1.5</v>
      </c>
      <c r="E2720" s="13" t="s">
        <v>6540</v>
      </c>
      <c r="F2720" s="13" t="s">
        <v>8860</v>
      </c>
      <c r="G2720" s="13" t="s">
        <v>19</v>
      </c>
      <c r="H2720" s="13" t="s">
        <v>3</v>
      </c>
      <c r="I2720" s="13" t="s">
        <v>6541</v>
      </c>
      <c r="J2720" s="13" t="s">
        <v>21</v>
      </c>
      <c r="K2720" s="13" t="s">
        <v>8792</v>
      </c>
      <c r="L2720" s="13" t="s">
        <v>18</v>
      </c>
      <c r="M2720" t="s">
        <v>3</v>
      </c>
    </row>
    <row r="2721" spans="1:13" x14ac:dyDescent="0.25">
      <c r="A2721" s="13" t="s">
        <v>6542</v>
      </c>
      <c r="B2721" s="13" t="s">
        <v>6543</v>
      </c>
      <c r="C2721" s="13" t="s">
        <v>6544</v>
      </c>
      <c r="D2721" s="13">
        <v>5.3</v>
      </c>
      <c r="E2721" s="13" t="s">
        <v>6545</v>
      </c>
      <c r="F2721" s="13" t="s">
        <v>8867</v>
      </c>
      <c r="G2721" s="13" t="s">
        <v>2</v>
      </c>
      <c r="H2721" s="13" t="s">
        <v>3</v>
      </c>
      <c r="I2721" s="13" t="s">
        <v>516</v>
      </c>
      <c r="J2721" s="13" t="s">
        <v>8890</v>
      </c>
      <c r="K2721" s="13" t="s">
        <v>516</v>
      </c>
      <c r="L2721" s="13" t="s">
        <v>158</v>
      </c>
      <c r="M2721" t="s">
        <v>3</v>
      </c>
    </row>
    <row r="2722" spans="1:13" x14ac:dyDescent="0.25">
      <c r="A2722" s="13" t="s">
        <v>6546</v>
      </c>
      <c r="B2722" s="13" t="s">
        <v>6547</v>
      </c>
      <c r="C2722" s="13" t="s">
        <v>6548</v>
      </c>
      <c r="D2722" s="13">
        <v>42.3</v>
      </c>
      <c r="E2722" s="13" t="s">
        <v>6549</v>
      </c>
      <c r="F2722" s="13" t="s">
        <v>8867</v>
      </c>
      <c r="G2722" s="13" t="s">
        <v>2</v>
      </c>
      <c r="H2722" s="13" t="s">
        <v>8958</v>
      </c>
      <c r="I2722" s="13" t="s">
        <v>516</v>
      </c>
      <c r="J2722" s="13" t="s">
        <v>8890</v>
      </c>
      <c r="K2722" s="13" t="s">
        <v>516</v>
      </c>
      <c r="L2722" s="13" t="s">
        <v>158</v>
      </c>
      <c r="M2722" t="s">
        <v>8958</v>
      </c>
    </row>
    <row r="2723" spans="1:13" x14ac:dyDescent="0.25">
      <c r="A2723" s="13" t="s">
        <v>6550</v>
      </c>
      <c r="B2723" s="13" t="s">
        <v>6551</v>
      </c>
      <c r="C2723" s="13" t="s">
        <v>6552</v>
      </c>
      <c r="D2723" s="13">
        <v>48</v>
      </c>
      <c r="E2723" s="13" t="s">
        <v>6553</v>
      </c>
      <c r="F2723" s="13" t="s">
        <v>8867</v>
      </c>
      <c r="G2723" s="13" t="s">
        <v>2</v>
      </c>
      <c r="H2723" s="13" t="s">
        <v>8958</v>
      </c>
      <c r="I2723" s="13" t="s">
        <v>516</v>
      </c>
      <c r="J2723" s="13" t="s">
        <v>8890</v>
      </c>
      <c r="K2723" s="13" t="s">
        <v>516</v>
      </c>
      <c r="L2723" s="13" t="s">
        <v>158</v>
      </c>
      <c r="M2723" t="s">
        <v>8958</v>
      </c>
    </row>
    <row r="2724" spans="1:13" x14ac:dyDescent="0.25">
      <c r="A2724" s="13" t="s">
        <v>6554</v>
      </c>
      <c r="B2724" s="13" t="s">
        <v>6554</v>
      </c>
      <c r="C2724" s="13" t="s">
        <v>6555</v>
      </c>
      <c r="D2724" s="13">
        <v>49.9</v>
      </c>
      <c r="E2724" s="13" t="s">
        <v>6556</v>
      </c>
      <c r="F2724" s="13" t="s">
        <v>8876</v>
      </c>
      <c r="G2724" s="13" t="s">
        <v>2</v>
      </c>
      <c r="H2724" s="13" t="s">
        <v>3</v>
      </c>
      <c r="I2724" s="13" t="s">
        <v>447</v>
      </c>
      <c r="J2724" s="13" t="s">
        <v>8890</v>
      </c>
      <c r="K2724" s="13" t="s">
        <v>8421</v>
      </c>
      <c r="L2724" s="13" t="s">
        <v>9244</v>
      </c>
      <c r="M2724" t="s">
        <v>3</v>
      </c>
    </row>
    <row r="2725" spans="1:13" ht="26.25" x14ac:dyDescent="0.25">
      <c r="A2725" s="13" t="s">
        <v>6557</v>
      </c>
      <c r="B2725" s="13" t="s">
        <v>6557</v>
      </c>
      <c r="C2725" s="13" t="s">
        <v>9429</v>
      </c>
      <c r="D2725" s="13">
        <v>0</v>
      </c>
      <c r="E2725" s="13" t="s">
        <v>6558</v>
      </c>
      <c r="F2725" s="13" t="s">
        <v>8870</v>
      </c>
      <c r="G2725" s="13" t="s">
        <v>19</v>
      </c>
      <c r="H2725" s="13" t="s">
        <v>3</v>
      </c>
      <c r="I2725" s="13" t="s">
        <v>4487</v>
      </c>
      <c r="J2725" s="13" t="s">
        <v>410</v>
      </c>
      <c r="K2725" s="13" t="s">
        <v>4016</v>
      </c>
      <c r="L2725" s="13" t="s">
        <v>8942</v>
      </c>
      <c r="M2725" t="s">
        <v>3</v>
      </c>
    </row>
    <row r="2726" spans="1:13" ht="26.25" x14ac:dyDescent="0.25">
      <c r="A2726" s="13" t="s">
        <v>6559</v>
      </c>
      <c r="B2726" s="13" t="s">
        <v>6560</v>
      </c>
      <c r="C2726" s="13" t="s">
        <v>6561</v>
      </c>
      <c r="D2726" s="13">
        <v>10</v>
      </c>
      <c r="E2726" s="13" t="s">
        <v>6562</v>
      </c>
      <c r="F2726" s="13" t="s">
        <v>275</v>
      </c>
      <c r="G2726" s="13" t="s">
        <v>19</v>
      </c>
      <c r="H2726" s="13" t="s">
        <v>3</v>
      </c>
      <c r="I2726" s="13" t="s">
        <v>4487</v>
      </c>
      <c r="J2726" s="13" t="s">
        <v>276</v>
      </c>
      <c r="K2726" s="13" t="s">
        <v>4016</v>
      </c>
      <c r="L2726" s="13" t="s">
        <v>275</v>
      </c>
      <c r="M2726" t="s">
        <v>3</v>
      </c>
    </row>
    <row r="2727" spans="1:13" ht="26.25" x14ac:dyDescent="0.25">
      <c r="A2727" s="13" t="s">
        <v>6563</v>
      </c>
      <c r="B2727" s="13" t="s">
        <v>6563</v>
      </c>
      <c r="C2727" s="13" t="s">
        <v>9430</v>
      </c>
      <c r="D2727" s="13">
        <v>500</v>
      </c>
      <c r="E2727" s="13" t="s">
        <v>6564</v>
      </c>
      <c r="F2727" s="13" t="s">
        <v>8871</v>
      </c>
      <c r="G2727" s="13" t="s">
        <v>2</v>
      </c>
      <c r="H2727" s="13" t="s">
        <v>3</v>
      </c>
      <c r="I2727" s="13" t="s">
        <v>4487</v>
      </c>
      <c r="J2727" s="13" t="s">
        <v>410</v>
      </c>
      <c r="K2727" s="13" t="s">
        <v>4016</v>
      </c>
      <c r="L2727" s="13" t="s">
        <v>8943</v>
      </c>
      <c r="M2727" t="s">
        <v>3</v>
      </c>
    </row>
    <row r="2728" spans="1:13" x14ac:dyDescent="0.25">
      <c r="A2728" s="13" t="s">
        <v>6565</v>
      </c>
      <c r="B2728" s="13" t="s">
        <v>6566</v>
      </c>
      <c r="C2728" s="13" t="s">
        <v>6566</v>
      </c>
      <c r="D2728" s="13">
        <v>35</v>
      </c>
      <c r="E2728" s="13" t="s">
        <v>6567</v>
      </c>
      <c r="F2728" s="13" t="s">
        <v>8867</v>
      </c>
      <c r="G2728" s="13" t="s">
        <v>2</v>
      </c>
      <c r="H2728" s="13" t="s">
        <v>3</v>
      </c>
      <c r="I2728" s="13" t="s">
        <v>4487</v>
      </c>
      <c r="J2728" s="13" t="s">
        <v>8890</v>
      </c>
      <c r="K2728" s="13" t="s">
        <v>4016</v>
      </c>
      <c r="L2728" s="13" t="s">
        <v>158</v>
      </c>
      <c r="M2728" t="s">
        <v>3</v>
      </c>
    </row>
    <row r="2729" spans="1:13" x14ac:dyDescent="0.25">
      <c r="A2729" s="13" t="s">
        <v>6568</v>
      </c>
      <c r="B2729" s="13" t="s">
        <v>6569</v>
      </c>
      <c r="C2729" s="13" t="s">
        <v>6569</v>
      </c>
      <c r="D2729" s="13">
        <v>35</v>
      </c>
      <c r="E2729" s="13" t="s">
        <v>6570</v>
      </c>
      <c r="F2729" s="13" t="s">
        <v>8867</v>
      </c>
      <c r="G2729" s="13" t="s">
        <v>2</v>
      </c>
      <c r="H2729" s="13" t="s">
        <v>3</v>
      </c>
      <c r="I2729" s="13" t="s">
        <v>4487</v>
      </c>
      <c r="J2729" s="13" t="s">
        <v>8890</v>
      </c>
      <c r="K2729" s="13" t="s">
        <v>4016</v>
      </c>
      <c r="L2729" s="13" t="s">
        <v>158</v>
      </c>
      <c r="M2729" t="s">
        <v>3</v>
      </c>
    </row>
    <row r="2730" spans="1:13" x14ac:dyDescent="0.25">
      <c r="A2730" s="13" t="s">
        <v>6571</v>
      </c>
      <c r="B2730" s="13" t="s">
        <v>6572</v>
      </c>
      <c r="C2730" s="13" t="s">
        <v>6572</v>
      </c>
      <c r="D2730" s="13">
        <v>150</v>
      </c>
      <c r="E2730" s="13" t="s">
        <v>6573</v>
      </c>
      <c r="F2730" s="13" t="s">
        <v>8867</v>
      </c>
      <c r="G2730" s="13" t="s">
        <v>2</v>
      </c>
      <c r="H2730" s="13" t="s">
        <v>3</v>
      </c>
      <c r="I2730" s="13" t="s">
        <v>4487</v>
      </c>
      <c r="J2730" s="13" t="s">
        <v>8890</v>
      </c>
      <c r="K2730" s="13" t="s">
        <v>4016</v>
      </c>
      <c r="L2730" s="13" t="s">
        <v>158</v>
      </c>
      <c r="M2730" t="s">
        <v>3</v>
      </c>
    </row>
    <row r="2731" spans="1:13" x14ac:dyDescent="0.25">
      <c r="A2731" s="13" t="s">
        <v>6574</v>
      </c>
      <c r="B2731" s="13" t="s">
        <v>6575</v>
      </c>
      <c r="C2731" s="13" t="s">
        <v>6575</v>
      </c>
      <c r="D2731" s="13">
        <v>47.4</v>
      </c>
      <c r="E2731" s="13" t="s">
        <v>6576</v>
      </c>
      <c r="F2731" s="13" t="s">
        <v>8867</v>
      </c>
      <c r="G2731" s="13" t="s">
        <v>2</v>
      </c>
      <c r="H2731" s="13" t="s">
        <v>3</v>
      </c>
      <c r="I2731" s="13" t="s">
        <v>4487</v>
      </c>
      <c r="J2731" s="13" t="s">
        <v>8890</v>
      </c>
      <c r="K2731" s="13" t="s">
        <v>4016</v>
      </c>
      <c r="L2731" s="13" t="s">
        <v>158</v>
      </c>
      <c r="M2731" t="s">
        <v>3</v>
      </c>
    </row>
    <row r="2732" spans="1:13" x14ac:dyDescent="0.25">
      <c r="A2732" s="13" t="s">
        <v>6577</v>
      </c>
      <c r="B2732" s="13" t="s">
        <v>6577</v>
      </c>
      <c r="C2732" s="13" t="s">
        <v>6578</v>
      </c>
      <c r="D2732" s="13">
        <v>36</v>
      </c>
      <c r="E2732" s="13" t="s">
        <v>6579</v>
      </c>
      <c r="F2732" s="13" t="s">
        <v>8867</v>
      </c>
      <c r="G2732" s="13" t="s">
        <v>2</v>
      </c>
      <c r="H2732" s="13" t="s">
        <v>3</v>
      </c>
      <c r="I2732" s="13" t="s">
        <v>4487</v>
      </c>
      <c r="J2732" s="13" t="s">
        <v>8890</v>
      </c>
      <c r="K2732" s="13" t="s">
        <v>4016</v>
      </c>
      <c r="L2732" s="13" t="s">
        <v>158</v>
      </c>
      <c r="M2732" t="s">
        <v>3</v>
      </c>
    </row>
    <row r="2733" spans="1:13" x14ac:dyDescent="0.25">
      <c r="A2733" s="13" t="s">
        <v>6580</v>
      </c>
      <c r="B2733" s="13" t="s">
        <v>6580</v>
      </c>
      <c r="C2733" s="13" t="s">
        <v>6581</v>
      </c>
      <c r="D2733" s="13">
        <v>20</v>
      </c>
      <c r="E2733" s="13" t="s">
        <v>6582</v>
      </c>
      <c r="F2733" s="13" t="s">
        <v>8867</v>
      </c>
      <c r="G2733" s="13" t="s">
        <v>2</v>
      </c>
      <c r="H2733" s="13" t="s">
        <v>3</v>
      </c>
      <c r="I2733" s="13" t="s">
        <v>4487</v>
      </c>
      <c r="J2733" s="13" t="s">
        <v>8890</v>
      </c>
      <c r="K2733" s="13" t="s">
        <v>4016</v>
      </c>
      <c r="L2733" s="13" t="s">
        <v>158</v>
      </c>
      <c r="M2733" t="s">
        <v>3</v>
      </c>
    </row>
    <row r="2734" spans="1:13" x14ac:dyDescent="0.25">
      <c r="A2734" s="13" t="s">
        <v>6583</v>
      </c>
      <c r="B2734" s="13" t="s">
        <v>6584</v>
      </c>
      <c r="C2734" s="13" t="s">
        <v>6585</v>
      </c>
      <c r="D2734" s="13">
        <v>90.7</v>
      </c>
      <c r="E2734" s="13" t="s">
        <v>6586</v>
      </c>
      <c r="F2734" s="13" t="s">
        <v>8867</v>
      </c>
      <c r="G2734" s="13" t="s">
        <v>2</v>
      </c>
      <c r="H2734" s="13" t="s">
        <v>3</v>
      </c>
      <c r="I2734" s="13" t="s">
        <v>4487</v>
      </c>
      <c r="J2734" s="13" t="s">
        <v>8890</v>
      </c>
      <c r="K2734" s="13" t="s">
        <v>4016</v>
      </c>
      <c r="L2734" s="13" t="s">
        <v>158</v>
      </c>
      <c r="M2734" t="s">
        <v>3</v>
      </c>
    </row>
    <row r="2735" spans="1:13" ht="26.25" x14ac:dyDescent="0.25">
      <c r="A2735" s="13" t="s">
        <v>6587</v>
      </c>
      <c r="B2735" s="13" t="s">
        <v>6588</v>
      </c>
      <c r="C2735" s="13" t="s">
        <v>6589</v>
      </c>
      <c r="D2735" s="14">
        <v>40.9</v>
      </c>
      <c r="E2735" s="13" t="s">
        <v>6590</v>
      </c>
      <c r="F2735" s="13" t="s">
        <v>8867</v>
      </c>
      <c r="G2735" s="13" t="s">
        <v>2</v>
      </c>
      <c r="H2735" s="13" t="s">
        <v>3</v>
      </c>
      <c r="I2735" s="13" t="s">
        <v>4487</v>
      </c>
      <c r="J2735" s="13" t="s">
        <v>8890</v>
      </c>
      <c r="K2735" s="13" t="s">
        <v>4016</v>
      </c>
      <c r="L2735" s="13" t="s">
        <v>158</v>
      </c>
      <c r="M2735" t="s">
        <v>3</v>
      </c>
    </row>
    <row r="2736" spans="1:13" x14ac:dyDescent="0.25">
      <c r="A2736" s="13" t="s">
        <v>6591</v>
      </c>
      <c r="B2736" s="13" t="s">
        <v>6592</v>
      </c>
      <c r="C2736" s="13" t="s">
        <v>6593</v>
      </c>
      <c r="D2736" s="13">
        <v>26.5</v>
      </c>
      <c r="E2736" s="13" t="s">
        <v>6594</v>
      </c>
      <c r="F2736" s="13" t="s">
        <v>8867</v>
      </c>
      <c r="G2736" s="13" t="s">
        <v>2</v>
      </c>
      <c r="H2736" s="13" t="s">
        <v>3</v>
      </c>
      <c r="I2736" s="13" t="s">
        <v>4487</v>
      </c>
      <c r="J2736" s="13" t="s">
        <v>8890</v>
      </c>
      <c r="K2736" s="13" t="s">
        <v>4016</v>
      </c>
      <c r="L2736" s="13" t="s">
        <v>158</v>
      </c>
      <c r="M2736" t="s">
        <v>3</v>
      </c>
    </row>
    <row r="2737" spans="1:13" ht="26.25" x14ac:dyDescent="0.25">
      <c r="A2737" s="13" t="s">
        <v>6595</v>
      </c>
      <c r="B2737" s="13" t="s">
        <v>5015</v>
      </c>
      <c r="C2737" s="13" t="s">
        <v>5015</v>
      </c>
      <c r="D2737" s="13">
        <v>26.5</v>
      </c>
      <c r="E2737" s="13" t="s">
        <v>6596</v>
      </c>
      <c r="F2737" s="13" t="s">
        <v>8867</v>
      </c>
      <c r="G2737" s="13" t="s">
        <v>2</v>
      </c>
      <c r="H2737" s="13" t="s">
        <v>3</v>
      </c>
      <c r="I2737" s="13" t="s">
        <v>4487</v>
      </c>
      <c r="J2737" s="13" t="s">
        <v>8890</v>
      </c>
      <c r="K2737" s="13" t="s">
        <v>4016</v>
      </c>
      <c r="L2737" s="13" t="s">
        <v>158</v>
      </c>
      <c r="M2737" t="s">
        <v>3</v>
      </c>
    </row>
    <row r="2738" spans="1:13" x14ac:dyDescent="0.25">
      <c r="A2738" s="13" t="s">
        <v>6597</v>
      </c>
      <c r="B2738" s="13" t="s">
        <v>6598</v>
      </c>
      <c r="C2738" s="13" t="s">
        <v>6599</v>
      </c>
      <c r="D2738" s="13">
        <v>43.2</v>
      </c>
      <c r="E2738" s="13" t="s">
        <v>6600</v>
      </c>
      <c r="F2738" s="13" t="s">
        <v>8867</v>
      </c>
      <c r="G2738" s="13" t="s">
        <v>2</v>
      </c>
      <c r="H2738" s="13" t="s">
        <v>3</v>
      </c>
      <c r="I2738" s="13" t="s">
        <v>4487</v>
      </c>
      <c r="J2738" s="13" t="s">
        <v>8890</v>
      </c>
      <c r="K2738" s="13" t="s">
        <v>4016</v>
      </c>
      <c r="L2738" s="13" t="s">
        <v>158</v>
      </c>
      <c r="M2738" t="s">
        <v>3</v>
      </c>
    </row>
    <row r="2739" spans="1:13" x14ac:dyDescent="0.25">
      <c r="A2739" s="13" t="s">
        <v>6601</v>
      </c>
      <c r="B2739" s="13" t="s">
        <v>6602</v>
      </c>
      <c r="C2739" s="13" t="s">
        <v>6603</v>
      </c>
      <c r="D2739" s="13">
        <v>40.799999999999997</v>
      </c>
      <c r="E2739" s="13" t="s">
        <v>6604</v>
      </c>
      <c r="F2739" s="13" t="s">
        <v>8867</v>
      </c>
      <c r="G2739" s="13" t="s">
        <v>2</v>
      </c>
      <c r="H2739" s="13" t="s">
        <v>3</v>
      </c>
      <c r="I2739" s="13" t="s">
        <v>4487</v>
      </c>
      <c r="J2739" s="13" t="s">
        <v>8890</v>
      </c>
      <c r="K2739" s="13" t="s">
        <v>4016</v>
      </c>
      <c r="L2739" s="13" t="s">
        <v>158</v>
      </c>
      <c r="M2739" t="s">
        <v>3</v>
      </c>
    </row>
    <row r="2740" spans="1:13" x14ac:dyDescent="0.25">
      <c r="A2740" s="13" t="s">
        <v>6605</v>
      </c>
      <c r="B2740" s="13" t="s">
        <v>6606</v>
      </c>
      <c r="C2740" s="13" t="s">
        <v>6607</v>
      </c>
      <c r="D2740" s="13">
        <v>40.799999999999997</v>
      </c>
      <c r="E2740" s="13" t="s">
        <v>6608</v>
      </c>
      <c r="F2740" s="13" t="s">
        <v>8867</v>
      </c>
      <c r="G2740" s="13" t="s">
        <v>2</v>
      </c>
      <c r="H2740" s="13" t="s">
        <v>3</v>
      </c>
      <c r="I2740" s="13" t="s">
        <v>4487</v>
      </c>
      <c r="J2740" s="13" t="s">
        <v>8890</v>
      </c>
      <c r="K2740" s="13" t="s">
        <v>4016</v>
      </c>
      <c r="L2740" s="13" t="s">
        <v>158</v>
      </c>
      <c r="M2740" t="s">
        <v>3</v>
      </c>
    </row>
    <row r="2741" spans="1:13" x14ac:dyDescent="0.25">
      <c r="A2741" s="13" t="s">
        <v>6609</v>
      </c>
      <c r="B2741" s="13" t="s">
        <v>6610</v>
      </c>
      <c r="C2741" s="13" t="s">
        <v>6611</v>
      </c>
      <c r="D2741" s="13">
        <v>42.8</v>
      </c>
      <c r="E2741" s="13" t="s">
        <v>6612</v>
      </c>
      <c r="F2741" s="13" t="s">
        <v>8867</v>
      </c>
      <c r="G2741" s="13" t="s">
        <v>2</v>
      </c>
      <c r="H2741" s="13" t="s">
        <v>3</v>
      </c>
      <c r="I2741" s="13" t="s">
        <v>4487</v>
      </c>
      <c r="J2741" s="13" t="s">
        <v>8890</v>
      </c>
      <c r="K2741" s="13" t="s">
        <v>4016</v>
      </c>
      <c r="L2741" s="13" t="s">
        <v>158</v>
      </c>
      <c r="M2741" t="s">
        <v>3</v>
      </c>
    </row>
    <row r="2742" spans="1:13" x14ac:dyDescent="0.25">
      <c r="A2742" s="13" t="s">
        <v>6613</v>
      </c>
      <c r="B2742" s="13" t="s">
        <v>6614</v>
      </c>
      <c r="C2742" s="13" t="s">
        <v>6615</v>
      </c>
      <c r="D2742" s="13">
        <v>42.8</v>
      </c>
      <c r="E2742" s="13" t="s">
        <v>6616</v>
      </c>
      <c r="F2742" s="13" t="s">
        <v>8867</v>
      </c>
      <c r="G2742" s="13" t="s">
        <v>2</v>
      </c>
      <c r="H2742" s="13" t="s">
        <v>3</v>
      </c>
      <c r="I2742" s="13" t="s">
        <v>4487</v>
      </c>
      <c r="J2742" s="13" t="s">
        <v>8890</v>
      </c>
      <c r="K2742" s="13" t="s">
        <v>4016</v>
      </c>
      <c r="L2742" s="13" t="s">
        <v>158</v>
      </c>
      <c r="M2742" t="s">
        <v>3</v>
      </c>
    </row>
    <row r="2743" spans="1:13" x14ac:dyDescent="0.25">
      <c r="A2743" s="13" t="s">
        <v>6617</v>
      </c>
      <c r="B2743" s="13" t="s">
        <v>6618</v>
      </c>
      <c r="C2743" s="13" t="s">
        <v>6619</v>
      </c>
      <c r="D2743" s="13">
        <v>11</v>
      </c>
      <c r="E2743" s="13" t="s">
        <v>6620</v>
      </c>
      <c r="F2743" s="13" t="s">
        <v>8867</v>
      </c>
      <c r="G2743" s="13" t="s">
        <v>2</v>
      </c>
      <c r="H2743" s="13" t="s">
        <v>3</v>
      </c>
      <c r="I2743" s="13" t="s">
        <v>4487</v>
      </c>
      <c r="J2743" s="13" t="s">
        <v>8890</v>
      </c>
      <c r="K2743" s="13" t="s">
        <v>4016</v>
      </c>
      <c r="L2743" s="13" t="s">
        <v>158</v>
      </c>
      <c r="M2743" t="s">
        <v>3</v>
      </c>
    </row>
    <row r="2744" spans="1:13" x14ac:dyDescent="0.25">
      <c r="A2744" s="13" t="s">
        <v>6621</v>
      </c>
      <c r="B2744" s="13" t="s">
        <v>6622</v>
      </c>
      <c r="C2744" s="13" t="s">
        <v>6622</v>
      </c>
      <c r="D2744" s="13">
        <v>15</v>
      </c>
      <c r="E2744" s="13" t="s">
        <v>6623</v>
      </c>
      <c r="F2744" s="13" t="s">
        <v>8867</v>
      </c>
      <c r="G2744" s="13" t="s">
        <v>2</v>
      </c>
      <c r="H2744" s="13" t="s">
        <v>3</v>
      </c>
      <c r="I2744" s="13" t="s">
        <v>4487</v>
      </c>
      <c r="J2744" s="13" t="s">
        <v>8890</v>
      </c>
      <c r="K2744" s="13" t="s">
        <v>4016</v>
      </c>
      <c r="L2744" s="13" t="s">
        <v>158</v>
      </c>
      <c r="M2744" t="s">
        <v>3</v>
      </c>
    </row>
    <row r="2745" spans="1:13" x14ac:dyDescent="0.25">
      <c r="A2745" s="13" t="s">
        <v>6624</v>
      </c>
      <c r="B2745" s="13" t="s">
        <v>6625</v>
      </c>
      <c r="C2745" s="13" t="s">
        <v>6625</v>
      </c>
      <c r="D2745" s="13">
        <v>41.3</v>
      </c>
      <c r="E2745" s="13" t="s">
        <v>6626</v>
      </c>
      <c r="F2745" s="13" t="s">
        <v>8867</v>
      </c>
      <c r="G2745" s="13" t="s">
        <v>2</v>
      </c>
      <c r="H2745" s="13" t="s">
        <v>3</v>
      </c>
      <c r="I2745" s="13" t="s">
        <v>4487</v>
      </c>
      <c r="J2745" s="13" t="s">
        <v>8890</v>
      </c>
      <c r="K2745" s="13" t="s">
        <v>4016</v>
      </c>
      <c r="L2745" s="13" t="s">
        <v>158</v>
      </c>
      <c r="M2745" t="s">
        <v>3</v>
      </c>
    </row>
    <row r="2746" spans="1:13" x14ac:dyDescent="0.25">
      <c r="A2746" s="13" t="s">
        <v>6627</v>
      </c>
      <c r="B2746" s="13" t="s">
        <v>6628</v>
      </c>
      <c r="C2746" s="13" t="s">
        <v>6628</v>
      </c>
      <c r="D2746" s="13">
        <v>41.3</v>
      </c>
      <c r="E2746" s="13" t="s">
        <v>6629</v>
      </c>
      <c r="F2746" s="13" t="s">
        <v>8867</v>
      </c>
      <c r="G2746" s="13" t="s">
        <v>2</v>
      </c>
      <c r="H2746" s="13" t="s">
        <v>3</v>
      </c>
      <c r="I2746" s="13" t="s">
        <v>4487</v>
      </c>
      <c r="J2746" s="13" t="s">
        <v>8890</v>
      </c>
      <c r="K2746" s="13" t="s">
        <v>4016</v>
      </c>
      <c r="L2746" s="13" t="s">
        <v>158</v>
      </c>
      <c r="M2746" t="s">
        <v>3</v>
      </c>
    </row>
    <row r="2747" spans="1:13" x14ac:dyDescent="0.25">
      <c r="A2747" s="13" t="s">
        <v>6630</v>
      </c>
      <c r="B2747" s="13" t="s">
        <v>6631</v>
      </c>
      <c r="C2747" s="13" t="s">
        <v>6631</v>
      </c>
      <c r="D2747" s="13">
        <v>14.3</v>
      </c>
      <c r="E2747" s="13" t="s">
        <v>6632</v>
      </c>
      <c r="F2747" s="13" t="s">
        <v>8867</v>
      </c>
      <c r="G2747" s="13" t="s">
        <v>2</v>
      </c>
      <c r="H2747" s="13" t="s">
        <v>3</v>
      </c>
      <c r="I2747" s="13" t="s">
        <v>4487</v>
      </c>
      <c r="J2747" s="13" t="s">
        <v>8890</v>
      </c>
      <c r="K2747" s="13" t="s">
        <v>4016</v>
      </c>
      <c r="L2747" s="13" t="s">
        <v>158</v>
      </c>
      <c r="M2747" t="s">
        <v>3</v>
      </c>
    </row>
    <row r="2748" spans="1:13" x14ac:dyDescent="0.25">
      <c r="A2748" s="13" t="s">
        <v>6633</v>
      </c>
      <c r="B2748" s="13" t="s">
        <v>6634</v>
      </c>
      <c r="C2748" s="13" t="s">
        <v>6634</v>
      </c>
      <c r="D2748" s="13">
        <v>35</v>
      </c>
      <c r="E2748" s="13" t="s">
        <v>6635</v>
      </c>
      <c r="F2748" s="13" t="s">
        <v>8867</v>
      </c>
      <c r="G2748" s="13" t="s">
        <v>2</v>
      </c>
      <c r="H2748" s="13" t="s">
        <v>3</v>
      </c>
      <c r="I2748" s="13" t="s">
        <v>4487</v>
      </c>
      <c r="J2748" s="13" t="s">
        <v>8890</v>
      </c>
      <c r="K2748" s="13" t="s">
        <v>4016</v>
      </c>
      <c r="L2748" s="13" t="s">
        <v>158</v>
      </c>
      <c r="M2748" t="s">
        <v>3</v>
      </c>
    </row>
    <row r="2749" spans="1:13" x14ac:dyDescent="0.25">
      <c r="A2749" s="13" t="s">
        <v>6636</v>
      </c>
      <c r="B2749" s="13" t="s">
        <v>6637</v>
      </c>
      <c r="C2749" s="13" t="s">
        <v>6638</v>
      </c>
      <c r="D2749" s="13">
        <v>40</v>
      </c>
      <c r="E2749" s="13" t="s">
        <v>6639</v>
      </c>
      <c r="F2749" s="13" t="s">
        <v>8867</v>
      </c>
      <c r="G2749" s="13" t="s">
        <v>2</v>
      </c>
      <c r="H2749" s="13" t="s">
        <v>3</v>
      </c>
      <c r="I2749" s="13" t="s">
        <v>4487</v>
      </c>
      <c r="J2749" s="13" t="s">
        <v>8890</v>
      </c>
      <c r="K2749" s="13" t="s">
        <v>4016</v>
      </c>
      <c r="L2749" s="13" t="s">
        <v>158</v>
      </c>
      <c r="M2749" t="s">
        <v>3</v>
      </c>
    </row>
    <row r="2750" spans="1:13" x14ac:dyDescent="0.25">
      <c r="A2750" s="13" t="s">
        <v>6640</v>
      </c>
      <c r="B2750" s="13" t="s">
        <v>6641</v>
      </c>
      <c r="C2750" s="13" t="s">
        <v>6641</v>
      </c>
      <c r="D2750" s="13">
        <v>40</v>
      </c>
      <c r="E2750" s="13" t="s">
        <v>6642</v>
      </c>
      <c r="F2750" s="13" t="s">
        <v>8867</v>
      </c>
      <c r="G2750" s="13" t="s">
        <v>2</v>
      </c>
      <c r="H2750" s="13" t="s">
        <v>3</v>
      </c>
      <c r="I2750" s="13" t="s">
        <v>4487</v>
      </c>
      <c r="J2750" s="13" t="s">
        <v>8890</v>
      </c>
      <c r="K2750" s="13" t="s">
        <v>4016</v>
      </c>
      <c r="L2750" s="13" t="s">
        <v>158</v>
      </c>
      <c r="M2750" t="s">
        <v>3</v>
      </c>
    </row>
    <row r="2751" spans="1:13" x14ac:dyDescent="0.25">
      <c r="A2751" s="13" t="s">
        <v>6643</v>
      </c>
      <c r="B2751" s="13" t="s">
        <v>6644</v>
      </c>
      <c r="C2751" s="13" t="s">
        <v>6645</v>
      </c>
      <c r="D2751" s="13">
        <v>40</v>
      </c>
      <c r="E2751" s="13" t="s">
        <v>6646</v>
      </c>
      <c r="F2751" s="13" t="s">
        <v>8867</v>
      </c>
      <c r="G2751" s="13" t="s">
        <v>2</v>
      </c>
      <c r="H2751" s="13" t="s">
        <v>3</v>
      </c>
      <c r="I2751" s="13" t="s">
        <v>4487</v>
      </c>
      <c r="J2751" s="13" t="s">
        <v>8890</v>
      </c>
      <c r="K2751" s="13" t="s">
        <v>4016</v>
      </c>
      <c r="L2751" s="13" t="s">
        <v>158</v>
      </c>
      <c r="M2751" t="s">
        <v>3</v>
      </c>
    </row>
    <row r="2752" spans="1:13" ht="26.25" x14ac:dyDescent="0.25">
      <c r="A2752" s="13" t="s">
        <v>6647</v>
      </c>
      <c r="B2752" s="13" t="s">
        <v>6648</v>
      </c>
      <c r="C2752" s="13" t="s">
        <v>6649</v>
      </c>
      <c r="D2752" s="13">
        <v>40</v>
      </c>
      <c r="E2752" s="13" t="s">
        <v>6650</v>
      </c>
      <c r="F2752" s="13" t="s">
        <v>8867</v>
      </c>
      <c r="G2752" s="13" t="s">
        <v>2</v>
      </c>
      <c r="H2752" s="13" t="s">
        <v>3</v>
      </c>
      <c r="I2752" s="13" t="s">
        <v>4487</v>
      </c>
      <c r="J2752" s="13" t="s">
        <v>8890</v>
      </c>
      <c r="K2752" s="13" t="s">
        <v>4016</v>
      </c>
      <c r="L2752" s="13" t="s">
        <v>158</v>
      </c>
      <c r="M2752" t="s">
        <v>3</v>
      </c>
    </row>
    <row r="2753" spans="1:13" x14ac:dyDescent="0.25">
      <c r="A2753" s="13" t="s">
        <v>6651</v>
      </c>
      <c r="B2753" s="13" t="s">
        <v>6652</v>
      </c>
      <c r="C2753" s="13" t="s">
        <v>6652</v>
      </c>
      <c r="D2753" s="13">
        <v>40</v>
      </c>
      <c r="E2753" s="13" t="s">
        <v>6653</v>
      </c>
      <c r="F2753" s="13" t="s">
        <v>8867</v>
      </c>
      <c r="G2753" s="13" t="s">
        <v>2</v>
      </c>
      <c r="H2753" s="13" t="s">
        <v>3</v>
      </c>
      <c r="I2753" s="13" t="s">
        <v>4487</v>
      </c>
      <c r="J2753" s="13" t="s">
        <v>8890</v>
      </c>
      <c r="K2753" s="13" t="s">
        <v>4016</v>
      </c>
      <c r="L2753" s="13" t="s">
        <v>158</v>
      </c>
      <c r="M2753" t="s">
        <v>3</v>
      </c>
    </row>
    <row r="2754" spans="1:13" x14ac:dyDescent="0.25">
      <c r="A2754" s="13" t="s">
        <v>6654</v>
      </c>
      <c r="B2754" s="13" t="s">
        <v>6655</v>
      </c>
      <c r="C2754" s="13" t="s">
        <v>6655</v>
      </c>
      <c r="D2754" s="13">
        <v>29.7</v>
      </c>
      <c r="E2754" s="13" t="s">
        <v>6656</v>
      </c>
      <c r="F2754" s="13" t="s">
        <v>8867</v>
      </c>
      <c r="G2754" s="13" t="s">
        <v>2</v>
      </c>
      <c r="H2754" s="13" t="s">
        <v>3</v>
      </c>
      <c r="I2754" s="13" t="s">
        <v>4487</v>
      </c>
      <c r="J2754" s="13" t="s">
        <v>8890</v>
      </c>
      <c r="K2754" s="13" t="s">
        <v>4016</v>
      </c>
      <c r="L2754" s="13" t="s">
        <v>158</v>
      </c>
      <c r="M2754" t="s">
        <v>3</v>
      </c>
    </row>
    <row r="2755" spans="1:13" x14ac:dyDescent="0.25">
      <c r="A2755" s="13" t="s">
        <v>6657</v>
      </c>
      <c r="B2755" s="13" t="s">
        <v>6658</v>
      </c>
      <c r="C2755" s="13" t="s">
        <v>6659</v>
      </c>
      <c r="D2755" s="13">
        <v>43.4</v>
      </c>
      <c r="E2755" s="13" t="s">
        <v>6660</v>
      </c>
      <c r="F2755" s="13" t="s">
        <v>8867</v>
      </c>
      <c r="G2755" s="13" t="s">
        <v>2</v>
      </c>
      <c r="H2755" s="13" t="s">
        <v>3</v>
      </c>
      <c r="I2755" s="13" t="s">
        <v>4487</v>
      </c>
      <c r="J2755" s="13" t="s">
        <v>8890</v>
      </c>
      <c r="K2755" s="13" t="s">
        <v>4016</v>
      </c>
      <c r="L2755" s="13" t="s">
        <v>158</v>
      </c>
      <c r="M2755" t="s">
        <v>3</v>
      </c>
    </row>
    <row r="2756" spans="1:13" x14ac:dyDescent="0.25">
      <c r="A2756" s="13" t="s">
        <v>11919</v>
      </c>
      <c r="B2756" s="13" t="s">
        <v>11920</v>
      </c>
      <c r="C2756" s="13" t="s">
        <v>11920</v>
      </c>
      <c r="D2756" s="13">
        <v>20</v>
      </c>
      <c r="E2756" s="13" t="s">
        <v>11921</v>
      </c>
      <c r="F2756" s="13" t="s">
        <v>8867</v>
      </c>
      <c r="G2756" s="13" t="s">
        <v>2</v>
      </c>
      <c r="H2756" s="13" t="s">
        <v>3</v>
      </c>
      <c r="I2756" s="13" t="s">
        <v>4487</v>
      </c>
      <c r="J2756" s="13" t="s">
        <v>8890</v>
      </c>
      <c r="K2756" s="13" t="s">
        <v>4016</v>
      </c>
      <c r="L2756" s="13" t="s">
        <v>158</v>
      </c>
      <c r="M2756" t="s">
        <v>3</v>
      </c>
    </row>
    <row r="2757" spans="1:13" x14ac:dyDescent="0.25">
      <c r="A2757" s="13" t="s">
        <v>11696</v>
      </c>
      <c r="B2757" s="13" t="s">
        <v>11697</v>
      </c>
      <c r="C2757" s="13" t="s">
        <v>11697</v>
      </c>
      <c r="D2757" s="13">
        <v>20</v>
      </c>
      <c r="E2757" s="13" t="s">
        <v>11698</v>
      </c>
      <c r="F2757" s="13" t="s">
        <v>8867</v>
      </c>
      <c r="G2757" s="13" t="s">
        <v>2</v>
      </c>
      <c r="H2757" s="13" t="s">
        <v>3</v>
      </c>
      <c r="I2757" s="13" t="s">
        <v>4487</v>
      </c>
      <c r="J2757" s="13" t="s">
        <v>8890</v>
      </c>
      <c r="K2757" s="13" t="s">
        <v>4016</v>
      </c>
      <c r="L2757" s="13" t="s">
        <v>158</v>
      </c>
      <c r="M2757" t="s">
        <v>3</v>
      </c>
    </row>
    <row r="2758" spans="1:13" x14ac:dyDescent="0.25">
      <c r="A2758" s="13" t="s">
        <v>11116</v>
      </c>
      <c r="B2758" s="13" t="s">
        <v>11117</v>
      </c>
      <c r="C2758" s="13" t="s">
        <v>11117</v>
      </c>
      <c r="D2758" s="13">
        <v>47.3</v>
      </c>
      <c r="E2758" s="13" t="s">
        <v>11118</v>
      </c>
      <c r="F2758" s="13" t="s">
        <v>8869</v>
      </c>
      <c r="G2758" s="13" t="s">
        <v>2</v>
      </c>
      <c r="H2758" s="13" t="s">
        <v>3</v>
      </c>
      <c r="I2758" s="13" t="s">
        <v>4487</v>
      </c>
      <c r="J2758" s="13" t="s">
        <v>8890</v>
      </c>
      <c r="K2758" s="13" t="s">
        <v>4016</v>
      </c>
      <c r="L2758" s="13" t="s">
        <v>8918</v>
      </c>
      <c r="M2758" t="s">
        <v>3</v>
      </c>
    </row>
    <row r="2759" spans="1:13" x14ac:dyDescent="0.25">
      <c r="A2759" s="13" t="s">
        <v>11407</v>
      </c>
      <c r="B2759" s="13" t="s">
        <v>11408</v>
      </c>
      <c r="C2759" s="13" t="s">
        <v>11409</v>
      </c>
      <c r="D2759" s="13">
        <v>44</v>
      </c>
      <c r="E2759" s="13" t="s">
        <v>11410</v>
      </c>
      <c r="F2759" s="13" t="s">
        <v>8869</v>
      </c>
      <c r="G2759" s="13" t="s">
        <v>2</v>
      </c>
      <c r="H2759" s="13" t="s">
        <v>3</v>
      </c>
      <c r="I2759" s="13" t="s">
        <v>4487</v>
      </c>
      <c r="J2759" s="13" t="s">
        <v>8890</v>
      </c>
      <c r="K2759" s="13" t="s">
        <v>4016</v>
      </c>
      <c r="L2759" s="13" t="s">
        <v>8918</v>
      </c>
      <c r="M2759" t="s">
        <v>3</v>
      </c>
    </row>
    <row r="2760" spans="1:13" x14ac:dyDescent="0.25">
      <c r="A2760" s="13" t="s">
        <v>10965</v>
      </c>
      <c r="B2760" s="13" t="s">
        <v>10966</v>
      </c>
      <c r="C2760" s="13" t="s">
        <v>10966</v>
      </c>
      <c r="D2760" s="13">
        <v>23.3</v>
      </c>
      <c r="E2760" s="13" t="s">
        <v>10967</v>
      </c>
      <c r="F2760" s="13" t="s">
        <v>8869</v>
      </c>
      <c r="G2760" s="13" t="s">
        <v>2</v>
      </c>
      <c r="H2760" s="13" t="s">
        <v>3</v>
      </c>
      <c r="I2760" s="13" t="s">
        <v>4487</v>
      </c>
      <c r="J2760" s="13" t="s">
        <v>8890</v>
      </c>
      <c r="K2760" s="13" t="s">
        <v>4016</v>
      </c>
      <c r="L2760" s="13" t="s">
        <v>8918</v>
      </c>
      <c r="M2760" t="s">
        <v>3</v>
      </c>
    </row>
    <row r="2761" spans="1:13" ht="26.25" x14ac:dyDescent="0.25">
      <c r="A2761" s="13" t="s">
        <v>6661</v>
      </c>
      <c r="B2761" s="13" t="s">
        <v>6662</v>
      </c>
      <c r="C2761" s="13" t="s">
        <v>6663</v>
      </c>
      <c r="D2761" s="13">
        <v>2</v>
      </c>
      <c r="E2761" s="13" t="s">
        <v>6664</v>
      </c>
      <c r="F2761" s="13" t="s">
        <v>8867</v>
      </c>
      <c r="G2761" s="13" t="s">
        <v>2</v>
      </c>
      <c r="H2761" s="13" t="s">
        <v>3</v>
      </c>
      <c r="I2761" s="13" t="s">
        <v>1128</v>
      </c>
      <c r="J2761" s="13" t="s">
        <v>8890</v>
      </c>
      <c r="K2761" s="13" t="s">
        <v>8527</v>
      </c>
      <c r="L2761" s="13" t="s">
        <v>158</v>
      </c>
      <c r="M2761" t="s">
        <v>3</v>
      </c>
    </row>
    <row r="2762" spans="1:13" x14ac:dyDescent="0.25">
      <c r="A2762" s="13" t="s">
        <v>6665</v>
      </c>
      <c r="B2762" s="13" t="s">
        <v>6666</v>
      </c>
      <c r="C2762" s="13" t="s">
        <v>6667</v>
      </c>
      <c r="D2762" s="13">
        <v>392.8</v>
      </c>
      <c r="E2762" s="13" t="s">
        <v>6668</v>
      </c>
      <c r="F2762" s="13" t="s">
        <v>8867</v>
      </c>
      <c r="G2762" s="13" t="s">
        <v>2</v>
      </c>
      <c r="H2762" s="13" t="s">
        <v>8421</v>
      </c>
      <c r="I2762" s="13" t="s">
        <v>447</v>
      </c>
      <c r="J2762" s="13" t="s">
        <v>8890</v>
      </c>
      <c r="K2762" s="13" t="s">
        <v>8421</v>
      </c>
      <c r="L2762" s="13" t="s">
        <v>158</v>
      </c>
      <c r="M2762" t="s">
        <v>10690</v>
      </c>
    </row>
    <row r="2763" spans="1:13" ht="26.25" x14ac:dyDescent="0.25">
      <c r="A2763" s="13" t="s">
        <v>6669</v>
      </c>
      <c r="B2763" s="13" t="s">
        <v>6670</v>
      </c>
      <c r="C2763" s="13" t="s">
        <v>6670</v>
      </c>
      <c r="D2763" s="13">
        <v>0.1</v>
      </c>
      <c r="E2763" s="13" t="s">
        <v>6671</v>
      </c>
      <c r="F2763" s="13" t="s">
        <v>8860</v>
      </c>
      <c r="G2763" s="13" t="s">
        <v>19</v>
      </c>
      <c r="H2763" s="13" t="s">
        <v>3</v>
      </c>
      <c r="I2763" s="13" t="s">
        <v>6670</v>
      </c>
      <c r="J2763" s="13" t="s">
        <v>21</v>
      </c>
      <c r="K2763" s="13" t="s">
        <v>8793</v>
      </c>
      <c r="L2763" s="13" t="s">
        <v>18</v>
      </c>
      <c r="M2763" t="s">
        <v>3</v>
      </c>
    </row>
    <row r="2764" spans="1:13" x14ac:dyDescent="0.25">
      <c r="A2764" s="13" t="s">
        <v>6672</v>
      </c>
      <c r="B2764" s="13" t="s">
        <v>6673</v>
      </c>
      <c r="C2764" s="13" t="s">
        <v>6674</v>
      </c>
      <c r="D2764" s="13">
        <v>1556.6</v>
      </c>
      <c r="E2764" s="13" t="s">
        <v>6675</v>
      </c>
      <c r="F2764" s="13" t="s">
        <v>8863</v>
      </c>
      <c r="G2764" s="13" t="s">
        <v>2</v>
      </c>
      <c r="H2764" s="13" t="s">
        <v>1224</v>
      </c>
      <c r="I2764" s="13" t="s">
        <v>1224</v>
      </c>
      <c r="J2764" s="13" t="s">
        <v>8890</v>
      </c>
      <c r="K2764" s="13" t="s">
        <v>8429</v>
      </c>
      <c r="L2764" s="13" t="s">
        <v>8893</v>
      </c>
      <c r="M2764" t="s">
        <v>10682</v>
      </c>
    </row>
    <row r="2765" spans="1:13" ht="26.25" x14ac:dyDescent="0.25">
      <c r="A2765" s="13" t="s">
        <v>6676</v>
      </c>
      <c r="B2765" s="13" t="s">
        <v>6677</v>
      </c>
      <c r="C2765" s="13" t="s">
        <v>6678</v>
      </c>
      <c r="D2765" s="13">
        <v>412</v>
      </c>
      <c r="E2765" s="13" t="s">
        <v>6679</v>
      </c>
      <c r="F2765" s="13" t="s">
        <v>8907</v>
      </c>
      <c r="G2765" s="13" t="s">
        <v>19</v>
      </c>
      <c r="H2765" s="13" t="s">
        <v>3</v>
      </c>
      <c r="I2765" s="13" t="s">
        <v>1224</v>
      </c>
      <c r="J2765" s="13" t="s">
        <v>144</v>
      </c>
      <c r="K2765" s="13" t="s">
        <v>8429</v>
      </c>
      <c r="L2765" s="13" t="s">
        <v>144</v>
      </c>
      <c r="M2765" t="s">
        <v>3</v>
      </c>
    </row>
    <row r="2766" spans="1:13" ht="26.25" x14ac:dyDescent="0.25">
      <c r="A2766" s="13" t="s">
        <v>6680</v>
      </c>
      <c r="B2766" s="13" t="s">
        <v>6681</v>
      </c>
      <c r="C2766" s="13" t="s">
        <v>6682</v>
      </c>
      <c r="D2766" s="13">
        <v>0.1</v>
      </c>
      <c r="E2766" s="13" t="s">
        <v>6683</v>
      </c>
      <c r="F2766" s="13" t="s">
        <v>35</v>
      </c>
      <c r="G2766" s="13" t="s">
        <v>19</v>
      </c>
      <c r="H2766" s="13" t="s">
        <v>3</v>
      </c>
      <c r="I2766" s="13" t="s">
        <v>6684</v>
      </c>
      <c r="J2766" s="13" t="s">
        <v>37</v>
      </c>
      <c r="K2766" s="13" t="s">
        <v>8794</v>
      </c>
      <c r="L2766" s="13" t="s">
        <v>35</v>
      </c>
      <c r="M2766" t="s">
        <v>3</v>
      </c>
    </row>
    <row r="2767" spans="1:13" ht="26.25" x14ac:dyDescent="0.25">
      <c r="A2767" s="13" t="s">
        <v>6685</v>
      </c>
      <c r="B2767" s="13" t="s">
        <v>6685</v>
      </c>
      <c r="C2767" s="13" t="s">
        <v>6685</v>
      </c>
      <c r="D2767" s="13">
        <v>0.7</v>
      </c>
      <c r="E2767" s="13" t="s">
        <v>6686</v>
      </c>
      <c r="F2767" s="13" t="s">
        <v>8867</v>
      </c>
      <c r="G2767" s="13" t="s">
        <v>2</v>
      </c>
      <c r="H2767" s="13" t="s">
        <v>3</v>
      </c>
      <c r="I2767" s="13" t="s">
        <v>6687</v>
      </c>
      <c r="J2767" s="13" t="s">
        <v>8890</v>
      </c>
      <c r="K2767" s="13" t="s">
        <v>8795</v>
      </c>
      <c r="L2767" s="13" t="s">
        <v>158</v>
      </c>
      <c r="M2767" t="s">
        <v>3</v>
      </c>
    </row>
    <row r="2768" spans="1:13" x14ac:dyDescent="0.25">
      <c r="A2768" s="13" t="s">
        <v>6688</v>
      </c>
      <c r="B2768" s="13" t="s">
        <v>6689</v>
      </c>
      <c r="C2768" s="13" t="s">
        <v>6690</v>
      </c>
      <c r="D2768" s="13">
        <v>4.2</v>
      </c>
      <c r="E2768" s="13" t="s">
        <v>6691</v>
      </c>
      <c r="F2768" s="13" t="s">
        <v>8867</v>
      </c>
      <c r="G2768" s="13" t="s">
        <v>2</v>
      </c>
      <c r="H2768" s="13" t="s">
        <v>3</v>
      </c>
      <c r="I2768" s="13" t="s">
        <v>4522</v>
      </c>
      <c r="J2768" s="13" t="s">
        <v>8890</v>
      </c>
      <c r="K2768" s="13" t="s">
        <v>8514</v>
      </c>
      <c r="L2768" s="13" t="s">
        <v>158</v>
      </c>
      <c r="M2768" t="s">
        <v>3</v>
      </c>
    </row>
    <row r="2769" spans="1:13" x14ac:dyDescent="0.25">
      <c r="A2769" s="13" t="s">
        <v>6692</v>
      </c>
      <c r="B2769" s="13" t="s">
        <v>6693</v>
      </c>
      <c r="C2769" s="13" t="s">
        <v>6694</v>
      </c>
      <c r="D2769" s="13">
        <v>42.3</v>
      </c>
      <c r="E2769" s="13" t="s">
        <v>6695</v>
      </c>
      <c r="F2769" s="13" t="s">
        <v>8867</v>
      </c>
      <c r="G2769" s="13" t="s">
        <v>2</v>
      </c>
      <c r="H2769" s="13" t="s">
        <v>8958</v>
      </c>
      <c r="I2769" s="13" t="s">
        <v>516</v>
      </c>
      <c r="J2769" s="13" t="s">
        <v>8890</v>
      </c>
      <c r="K2769" s="13" t="s">
        <v>516</v>
      </c>
      <c r="L2769" s="13" t="s">
        <v>158</v>
      </c>
      <c r="M2769" t="s">
        <v>8958</v>
      </c>
    </row>
    <row r="2770" spans="1:13" ht="26.25" x14ac:dyDescent="0.25">
      <c r="A2770" s="13" t="s">
        <v>6696</v>
      </c>
      <c r="B2770" s="13" t="s">
        <v>6697</v>
      </c>
      <c r="C2770" s="13" t="s">
        <v>6698</v>
      </c>
      <c r="D2770" s="13">
        <v>400</v>
      </c>
      <c r="E2770" s="13" t="s">
        <v>6699</v>
      </c>
      <c r="F2770" s="13" t="s">
        <v>8907</v>
      </c>
      <c r="G2770" s="13" t="s">
        <v>19</v>
      </c>
      <c r="H2770" s="13" t="s">
        <v>3</v>
      </c>
      <c r="I2770" s="13" t="s">
        <v>390</v>
      </c>
      <c r="J2770" s="13" t="s">
        <v>144</v>
      </c>
      <c r="K2770" s="13" t="s">
        <v>8423</v>
      </c>
      <c r="L2770" s="13" t="s">
        <v>144</v>
      </c>
      <c r="M2770" t="s">
        <v>3</v>
      </c>
    </row>
    <row r="2771" spans="1:13" x14ac:dyDescent="0.25">
      <c r="A2771" s="13" t="s">
        <v>6700</v>
      </c>
      <c r="B2771" s="13" t="s">
        <v>6701</v>
      </c>
      <c r="C2771" s="13" t="s">
        <v>6702</v>
      </c>
      <c r="D2771" s="13">
        <v>439.2</v>
      </c>
      <c r="E2771" s="13" t="s">
        <v>6703</v>
      </c>
      <c r="F2771" s="13" t="s">
        <v>8868</v>
      </c>
      <c r="G2771" s="13" t="s">
        <v>2</v>
      </c>
      <c r="H2771" s="13" t="s">
        <v>8923</v>
      </c>
      <c r="I2771" s="13" t="s">
        <v>390</v>
      </c>
      <c r="J2771" s="13" t="s">
        <v>8890</v>
      </c>
      <c r="K2771" s="13" t="s">
        <v>8423</v>
      </c>
      <c r="L2771" s="13" t="s">
        <v>8908</v>
      </c>
      <c r="M2771" t="s">
        <v>8923</v>
      </c>
    </row>
    <row r="2772" spans="1:13" x14ac:dyDescent="0.25">
      <c r="A2772" s="13" t="s">
        <v>6704</v>
      </c>
      <c r="B2772" s="13" t="s">
        <v>6705</v>
      </c>
      <c r="C2772" s="13" t="s">
        <v>6706</v>
      </c>
      <c r="D2772" s="13">
        <v>50</v>
      </c>
      <c r="E2772" s="13" t="s">
        <v>6707</v>
      </c>
      <c r="F2772" s="13" t="s">
        <v>8876</v>
      </c>
      <c r="G2772" s="13" t="s">
        <v>2</v>
      </c>
      <c r="H2772" s="13" t="s">
        <v>3</v>
      </c>
      <c r="I2772" s="13" t="s">
        <v>228</v>
      </c>
      <c r="J2772" s="13" t="s">
        <v>8890</v>
      </c>
      <c r="K2772" s="13" t="s">
        <v>8418</v>
      </c>
      <c r="L2772" s="13" t="s">
        <v>9244</v>
      </c>
      <c r="M2772" t="s">
        <v>3</v>
      </c>
    </row>
    <row r="2773" spans="1:13" ht="26.25" x14ac:dyDescent="0.25">
      <c r="A2773" s="13" t="s">
        <v>12087</v>
      </c>
      <c r="B2773" s="13" t="s">
        <v>12088</v>
      </c>
      <c r="C2773" s="13" t="s">
        <v>12089</v>
      </c>
      <c r="D2773" s="13">
        <v>10</v>
      </c>
      <c r="E2773" s="13" t="s">
        <v>12090</v>
      </c>
      <c r="F2773" s="13" t="s">
        <v>8870</v>
      </c>
      <c r="G2773" s="13" t="s">
        <v>19</v>
      </c>
      <c r="H2773" s="13" t="s">
        <v>3</v>
      </c>
      <c r="I2773" s="13" t="s">
        <v>12055</v>
      </c>
      <c r="J2773" s="13" t="s">
        <v>410</v>
      </c>
      <c r="K2773" s="13" t="s">
        <v>12056</v>
      </c>
      <c r="L2773" s="13" t="s">
        <v>8942</v>
      </c>
      <c r="M2773" t="s">
        <v>3</v>
      </c>
    </row>
    <row r="2774" spans="1:13" x14ac:dyDescent="0.25">
      <c r="A2774" s="13" t="s">
        <v>12091</v>
      </c>
      <c r="B2774" s="13" t="s">
        <v>12092</v>
      </c>
      <c r="C2774" s="13" t="s">
        <v>12093</v>
      </c>
      <c r="D2774" s="13">
        <v>10</v>
      </c>
      <c r="E2774" s="13" t="s">
        <v>12094</v>
      </c>
      <c r="F2774" s="13" t="s">
        <v>8871</v>
      </c>
      <c r="G2774" s="13" t="s">
        <v>2</v>
      </c>
      <c r="H2774" s="13" t="s">
        <v>3</v>
      </c>
      <c r="I2774" s="13" t="s">
        <v>12055</v>
      </c>
      <c r="J2774" s="13" t="s">
        <v>410</v>
      </c>
      <c r="K2774" s="13" t="s">
        <v>12056</v>
      </c>
      <c r="L2774" s="13" t="s">
        <v>8943</v>
      </c>
      <c r="M2774" t="s">
        <v>3</v>
      </c>
    </row>
    <row r="2775" spans="1:13" x14ac:dyDescent="0.25">
      <c r="A2775" s="13" t="s">
        <v>6708</v>
      </c>
      <c r="B2775" s="13" t="s">
        <v>6708</v>
      </c>
      <c r="C2775" s="13" t="s">
        <v>6709</v>
      </c>
      <c r="D2775" s="13">
        <v>49.9</v>
      </c>
      <c r="E2775" s="13" t="s">
        <v>6710</v>
      </c>
      <c r="F2775" s="13" t="s">
        <v>8876</v>
      </c>
      <c r="G2775" s="13" t="s">
        <v>2</v>
      </c>
      <c r="H2775" s="13" t="s">
        <v>3</v>
      </c>
      <c r="I2775" s="13" t="s">
        <v>517</v>
      </c>
      <c r="J2775" s="13" t="s">
        <v>8890</v>
      </c>
      <c r="K2775" s="13" t="s">
        <v>8477</v>
      </c>
      <c r="L2775" s="13" t="s">
        <v>9244</v>
      </c>
      <c r="M2775" t="s">
        <v>3</v>
      </c>
    </row>
    <row r="2776" spans="1:13" ht="26.25" x14ac:dyDescent="0.25">
      <c r="A2776" s="13" t="s">
        <v>6711</v>
      </c>
      <c r="B2776" s="13" t="s">
        <v>6711</v>
      </c>
      <c r="C2776" s="13" t="s">
        <v>9431</v>
      </c>
      <c r="D2776" s="13">
        <v>300</v>
      </c>
      <c r="E2776" s="13" t="s">
        <v>6712</v>
      </c>
      <c r="F2776" s="13" t="s">
        <v>8870</v>
      </c>
      <c r="G2776" s="13" t="s">
        <v>19</v>
      </c>
      <c r="H2776" s="13" t="s">
        <v>3</v>
      </c>
      <c r="I2776" s="13" t="s">
        <v>4513</v>
      </c>
      <c r="J2776" s="13" t="s">
        <v>410</v>
      </c>
      <c r="K2776" s="13" t="s">
        <v>8655</v>
      </c>
      <c r="L2776" s="13" t="s">
        <v>8942</v>
      </c>
      <c r="M2776" t="s">
        <v>3</v>
      </c>
    </row>
    <row r="2777" spans="1:13" ht="26.25" x14ac:dyDescent="0.25">
      <c r="A2777" s="13" t="s">
        <v>6713</v>
      </c>
      <c r="B2777" s="13" t="s">
        <v>6713</v>
      </c>
      <c r="C2777" s="13" t="s">
        <v>9432</v>
      </c>
      <c r="D2777" s="13">
        <v>300</v>
      </c>
      <c r="E2777" s="13" t="s">
        <v>6714</v>
      </c>
      <c r="F2777" s="13" t="s">
        <v>8871</v>
      </c>
      <c r="G2777" s="13" t="s">
        <v>2</v>
      </c>
      <c r="H2777" s="13" t="s">
        <v>3</v>
      </c>
      <c r="I2777" s="13" t="s">
        <v>4513</v>
      </c>
      <c r="J2777" s="13" t="s">
        <v>410</v>
      </c>
      <c r="K2777" s="13" t="s">
        <v>8655</v>
      </c>
      <c r="L2777" s="13" t="s">
        <v>8943</v>
      </c>
      <c r="M2777" t="s">
        <v>3</v>
      </c>
    </row>
    <row r="2778" spans="1:13" x14ac:dyDescent="0.25">
      <c r="A2778" s="13" t="s">
        <v>6715</v>
      </c>
      <c r="B2778" s="13" t="s">
        <v>6716</v>
      </c>
      <c r="C2778" s="13" t="s">
        <v>6717</v>
      </c>
      <c r="D2778" s="13">
        <v>43.8</v>
      </c>
      <c r="E2778" s="13" t="s">
        <v>6718</v>
      </c>
      <c r="F2778" s="13" t="s">
        <v>8867</v>
      </c>
      <c r="G2778" s="13" t="s">
        <v>2</v>
      </c>
      <c r="H2778" s="13" t="s">
        <v>8958</v>
      </c>
      <c r="I2778" s="13" t="s">
        <v>516</v>
      </c>
      <c r="J2778" s="13" t="s">
        <v>8890</v>
      </c>
      <c r="K2778" s="13" t="s">
        <v>516</v>
      </c>
      <c r="L2778" s="13" t="s">
        <v>158</v>
      </c>
      <c r="M2778" t="s">
        <v>8958</v>
      </c>
    </row>
    <row r="2779" spans="1:13" x14ac:dyDescent="0.25">
      <c r="A2779" s="13" t="s">
        <v>6719</v>
      </c>
      <c r="B2779" s="13" t="s">
        <v>6720</v>
      </c>
      <c r="C2779" s="13" t="s">
        <v>6721</v>
      </c>
      <c r="D2779" s="13">
        <v>48.7</v>
      </c>
      <c r="E2779" s="13" t="s">
        <v>6722</v>
      </c>
      <c r="F2779" s="13" t="s">
        <v>8867</v>
      </c>
      <c r="G2779" s="13" t="s">
        <v>2</v>
      </c>
      <c r="H2779" s="13" t="s">
        <v>8958</v>
      </c>
      <c r="I2779" s="13" t="s">
        <v>516</v>
      </c>
      <c r="J2779" s="13" t="s">
        <v>8890</v>
      </c>
      <c r="K2779" s="13" t="s">
        <v>516</v>
      </c>
      <c r="L2779" s="13" t="s">
        <v>158</v>
      </c>
      <c r="M2779" t="s">
        <v>8958</v>
      </c>
    </row>
    <row r="2780" spans="1:13" ht="26.25" x14ac:dyDescent="0.25">
      <c r="A2780" s="13" t="s">
        <v>6723</v>
      </c>
      <c r="B2780" s="13" t="s">
        <v>6724</v>
      </c>
      <c r="C2780" s="13" t="s">
        <v>6725</v>
      </c>
      <c r="D2780" s="13">
        <v>4.5</v>
      </c>
      <c r="E2780" s="13" t="s">
        <v>6726</v>
      </c>
      <c r="F2780" s="13" t="s">
        <v>35</v>
      </c>
      <c r="G2780" s="13" t="s">
        <v>19</v>
      </c>
      <c r="H2780" s="13" t="s">
        <v>3</v>
      </c>
      <c r="I2780" s="13" t="s">
        <v>6727</v>
      </c>
      <c r="J2780" s="13" t="s">
        <v>37</v>
      </c>
      <c r="K2780" s="13" t="s">
        <v>8796</v>
      </c>
      <c r="L2780" s="13" t="s">
        <v>35</v>
      </c>
      <c r="M2780" t="s">
        <v>3</v>
      </c>
    </row>
    <row r="2781" spans="1:13" x14ac:dyDescent="0.25">
      <c r="A2781" s="13" t="s">
        <v>6728</v>
      </c>
      <c r="B2781" s="13" t="s">
        <v>6729</v>
      </c>
      <c r="C2781" s="13" t="s">
        <v>6730</v>
      </c>
      <c r="D2781" s="13">
        <v>84.1</v>
      </c>
      <c r="E2781" s="13" t="s">
        <v>6731</v>
      </c>
      <c r="F2781" s="13" t="s">
        <v>8865</v>
      </c>
      <c r="G2781" s="13" t="s">
        <v>2</v>
      </c>
      <c r="H2781" s="13" t="s">
        <v>3</v>
      </c>
      <c r="I2781" s="13" t="s">
        <v>115</v>
      </c>
      <c r="J2781" s="13" t="s">
        <v>8890</v>
      </c>
      <c r="K2781" s="13" t="s">
        <v>928</v>
      </c>
      <c r="L2781" s="13" t="s">
        <v>8901</v>
      </c>
      <c r="M2781" t="s">
        <v>3</v>
      </c>
    </row>
    <row r="2782" spans="1:13" ht="26.25" x14ac:dyDescent="0.25">
      <c r="A2782" s="13" t="s">
        <v>6732</v>
      </c>
      <c r="B2782" s="13" t="s">
        <v>6733</v>
      </c>
      <c r="C2782" s="13" t="s">
        <v>6734</v>
      </c>
      <c r="D2782" s="13">
        <v>1</v>
      </c>
      <c r="E2782" s="13" t="s">
        <v>6735</v>
      </c>
      <c r="F2782" s="13" t="s">
        <v>8860</v>
      </c>
      <c r="G2782" s="13" t="s">
        <v>19</v>
      </c>
      <c r="H2782" s="13" t="s">
        <v>3</v>
      </c>
      <c r="I2782" s="13" t="s">
        <v>1128</v>
      </c>
      <c r="J2782" s="13" t="s">
        <v>21</v>
      </c>
      <c r="K2782" s="13" t="s">
        <v>8527</v>
      </c>
      <c r="L2782" s="13" t="s">
        <v>18</v>
      </c>
      <c r="M2782" t="s">
        <v>3</v>
      </c>
    </row>
    <row r="2783" spans="1:13" ht="26.25" x14ac:dyDescent="0.25">
      <c r="A2783" s="13" t="s">
        <v>6736</v>
      </c>
      <c r="B2783" s="13" t="s">
        <v>6736</v>
      </c>
      <c r="C2783" s="13" t="s">
        <v>6737</v>
      </c>
      <c r="D2783" s="13">
        <v>2.1</v>
      </c>
      <c r="E2783" s="13" t="s">
        <v>6738</v>
      </c>
      <c r="F2783" s="13" t="s">
        <v>8863</v>
      </c>
      <c r="G2783" s="13" t="s">
        <v>2</v>
      </c>
      <c r="H2783" s="13" t="s">
        <v>3</v>
      </c>
      <c r="I2783" s="13" t="s">
        <v>10</v>
      </c>
      <c r="J2783" s="13" t="s">
        <v>8890</v>
      </c>
      <c r="K2783" s="13" t="s">
        <v>8425</v>
      </c>
      <c r="L2783" s="13" t="s">
        <v>8893</v>
      </c>
      <c r="M2783" t="s">
        <v>3</v>
      </c>
    </row>
    <row r="2784" spans="1:13" x14ac:dyDescent="0.25">
      <c r="A2784" s="13" t="s">
        <v>10073</v>
      </c>
      <c r="B2784" s="13" t="s">
        <v>10074</v>
      </c>
      <c r="C2784" s="13" t="s">
        <v>10075</v>
      </c>
      <c r="D2784" s="13">
        <v>4.9000000000000004</v>
      </c>
      <c r="E2784" s="13" t="s">
        <v>10076</v>
      </c>
      <c r="F2784" s="13" t="s">
        <v>8867</v>
      </c>
      <c r="G2784" s="13" t="s">
        <v>2</v>
      </c>
      <c r="H2784" s="13" t="s">
        <v>3</v>
      </c>
      <c r="I2784" s="13" t="s">
        <v>517</v>
      </c>
      <c r="J2784" s="13" t="s">
        <v>8890</v>
      </c>
      <c r="K2784" s="13" t="s">
        <v>8477</v>
      </c>
      <c r="L2784" s="13" t="s">
        <v>158</v>
      </c>
      <c r="M2784" t="s">
        <v>3</v>
      </c>
    </row>
    <row r="2785" spans="1:13" ht="26.25" x14ac:dyDescent="0.25">
      <c r="A2785" s="13" t="s">
        <v>6739</v>
      </c>
      <c r="B2785" s="13" t="s">
        <v>6739</v>
      </c>
      <c r="C2785" s="13" t="s">
        <v>205</v>
      </c>
      <c r="D2785" s="13">
        <v>1</v>
      </c>
      <c r="E2785" s="13" t="s">
        <v>6740</v>
      </c>
      <c r="F2785" s="13" t="s">
        <v>8860</v>
      </c>
      <c r="G2785" s="13" t="s">
        <v>19</v>
      </c>
      <c r="H2785" s="13" t="s">
        <v>3</v>
      </c>
      <c r="I2785" s="13" t="s">
        <v>6741</v>
      </c>
      <c r="J2785" s="13" t="s">
        <v>21</v>
      </c>
      <c r="K2785" s="13" t="s">
        <v>6741</v>
      </c>
      <c r="L2785" s="13" t="s">
        <v>18</v>
      </c>
      <c r="M2785" t="s">
        <v>3</v>
      </c>
    </row>
    <row r="2786" spans="1:13" x14ac:dyDescent="0.25">
      <c r="A2786" s="13" t="s">
        <v>10968</v>
      </c>
      <c r="B2786" s="13" t="s">
        <v>10969</v>
      </c>
      <c r="C2786" s="13" t="s">
        <v>10969</v>
      </c>
      <c r="D2786" s="13">
        <v>3.5</v>
      </c>
      <c r="E2786" s="13" t="s">
        <v>10970</v>
      </c>
      <c r="F2786" s="13" t="s">
        <v>8867</v>
      </c>
      <c r="G2786" s="13" t="s">
        <v>2</v>
      </c>
      <c r="H2786" s="13" t="s">
        <v>3</v>
      </c>
      <c r="I2786" s="13" t="s">
        <v>10079</v>
      </c>
      <c r="J2786" s="13" t="s">
        <v>8890</v>
      </c>
      <c r="K2786" s="13" t="s">
        <v>10082</v>
      </c>
      <c r="L2786" s="13" t="s">
        <v>158</v>
      </c>
      <c r="M2786" t="s">
        <v>3</v>
      </c>
    </row>
    <row r="2787" spans="1:13" x14ac:dyDescent="0.25">
      <c r="A2787" s="13" t="s">
        <v>6742</v>
      </c>
      <c r="B2787" s="13" t="s">
        <v>6742</v>
      </c>
      <c r="C2787" s="13" t="s">
        <v>6743</v>
      </c>
      <c r="D2787" s="13">
        <v>50</v>
      </c>
      <c r="E2787" s="13" t="s">
        <v>6744</v>
      </c>
      <c r="F2787" s="13" t="s">
        <v>8876</v>
      </c>
      <c r="G2787" s="13" t="s">
        <v>2</v>
      </c>
      <c r="H2787" s="13" t="s">
        <v>3</v>
      </c>
      <c r="I2787" s="13" t="s">
        <v>447</v>
      </c>
      <c r="J2787" s="13" t="s">
        <v>8890</v>
      </c>
      <c r="K2787" s="13" t="s">
        <v>8421</v>
      </c>
      <c r="L2787" s="13" t="s">
        <v>9244</v>
      </c>
      <c r="M2787" t="s">
        <v>3</v>
      </c>
    </row>
    <row r="2788" spans="1:13" ht="26.25" x14ac:dyDescent="0.25">
      <c r="A2788" s="13" t="s">
        <v>6745</v>
      </c>
      <c r="B2788" s="13" t="s">
        <v>6745</v>
      </c>
      <c r="C2788" s="13" t="s">
        <v>6746</v>
      </c>
      <c r="D2788" s="13">
        <v>0.3</v>
      </c>
      <c r="E2788" s="13" t="s">
        <v>6747</v>
      </c>
      <c r="F2788" s="13" t="s">
        <v>8860</v>
      </c>
      <c r="G2788" s="13" t="s">
        <v>19</v>
      </c>
      <c r="H2788" s="13" t="s">
        <v>3</v>
      </c>
      <c r="I2788" s="13" t="s">
        <v>6748</v>
      </c>
      <c r="J2788" s="13" t="s">
        <v>21</v>
      </c>
      <c r="K2788" s="13" t="s">
        <v>8797</v>
      </c>
      <c r="L2788" s="13" t="s">
        <v>18</v>
      </c>
      <c r="M2788" t="s">
        <v>3</v>
      </c>
    </row>
    <row r="2789" spans="1:13" ht="26.25" x14ac:dyDescent="0.25">
      <c r="A2789" s="13" t="s">
        <v>6749</v>
      </c>
      <c r="B2789" s="13" t="s">
        <v>6749</v>
      </c>
      <c r="C2789" s="13" t="s">
        <v>6749</v>
      </c>
      <c r="D2789" s="13">
        <v>2.1</v>
      </c>
      <c r="E2789" s="13" t="s">
        <v>6750</v>
      </c>
      <c r="F2789" s="13" t="s">
        <v>8867</v>
      </c>
      <c r="G2789" s="13" t="s">
        <v>2</v>
      </c>
      <c r="H2789" s="13" t="s">
        <v>3</v>
      </c>
      <c r="I2789" s="13" t="s">
        <v>228</v>
      </c>
      <c r="J2789" s="13" t="s">
        <v>8890</v>
      </c>
      <c r="K2789" s="13" t="s">
        <v>8418</v>
      </c>
      <c r="L2789" s="13" t="s">
        <v>158</v>
      </c>
      <c r="M2789" t="s">
        <v>3</v>
      </c>
    </row>
    <row r="2790" spans="1:13" ht="26.25" x14ac:dyDescent="0.25">
      <c r="A2790" s="13" t="s">
        <v>6751</v>
      </c>
      <c r="B2790" s="13" t="s">
        <v>6751</v>
      </c>
      <c r="C2790" s="13" t="s">
        <v>6751</v>
      </c>
      <c r="D2790" s="13">
        <v>0.1</v>
      </c>
      <c r="E2790" s="13" t="s">
        <v>6752</v>
      </c>
      <c r="F2790" s="13" t="s">
        <v>8860</v>
      </c>
      <c r="G2790" s="13" t="s">
        <v>19</v>
      </c>
      <c r="H2790" s="13" t="s">
        <v>3</v>
      </c>
      <c r="I2790" s="13" t="s">
        <v>6753</v>
      </c>
      <c r="J2790" s="13" t="s">
        <v>21</v>
      </c>
      <c r="K2790" s="13" t="s">
        <v>6753</v>
      </c>
      <c r="L2790" s="13" t="s">
        <v>18</v>
      </c>
      <c r="M2790" t="s">
        <v>3</v>
      </c>
    </row>
    <row r="2791" spans="1:13" x14ac:dyDescent="0.25">
      <c r="A2791" s="13" t="s">
        <v>6754</v>
      </c>
      <c r="B2791" s="13" t="s">
        <v>6755</v>
      </c>
      <c r="C2791" s="13" t="s">
        <v>6756</v>
      </c>
      <c r="D2791" s="13">
        <v>21</v>
      </c>
      <c r="E2791" s="13" t="s">
        <v>6757</v>
      </c>
      <c r="F2791" s="13" t="s">
        <v>8865</v>
      </c>
      <c r="G2791" s="13" t="s">
        <v>2</v>
      </c>
      <c r="H2791" s="13" t="s">
        <v>3</v>
      </c>
      <c r="I2791" s="13" t="s">
        <v>1283</v>
      </c>
      <c r="J2791" s="13" t="s">
        <v>8890</v>
      </c>
      <c r="K2791" s="13" t="s">
        <v>8524</v>
      </c>
      <c r="L2791" s="13" t="s">
        <v>8901</v>
      </c>
      <c r="M2791" t="s">
        <v>3</v>
      </c>
    </row>
    <row r="2792" spans="1:13" ht="26.25" x14ac:dyDescent="0.25">
      <c r="A2792" s="13" t="s">
        <v>6758</v>
      </c>
      <c r="B2792" s="13" t="s">
        <v>6759</v>
      </c>
      <c r="C2792" s="13" t="s">
        <v>6760</v>
      </c>
      <c r="D2792" s="13">
        <v>0.2</v>
      </c>
      <c r="E2792" s="13" t="s">
        <v>6761</v>
      </c>
      <c r="F2792" s="13" t="s">
        <v>8860</v>
      </c>
      <c r="G2792" s="13" t="s">
        <v>19</v>
      </c>
      <c r="H2792" s="13" t="s">
        <v>3</v>
      </c>
      <c r="I2792" s="13" t="s">
        <v>6759</v>
      </c>
      <c r="J2792" s="13" t="s">
        <v>21</v>
      </c>
      <c r="K2792" s="13" t="s">
        <v>8798</v>
      </c>
      <c r="L2792" s="13" t="s">
        <v>18</v>
      </c>
      <c r="M2792" t="s">
        <v>3</v>
      </c>
    </row>
    <row r="2793" spans="1:13" x14ac:dyDescent="0.25">
      <c r="A2793" s="13" t="s">
        <v>10601</v>
      </c>
      <c r="B2793" s="13" t="s">
        <v>10602</v>
      </c>
      <c r="C2793" s="13" t="s">
        <v>10603</v>
      </c>
      <c r="D2793" s="13">
        <v>0.9</v>
      </c>
      <c r="E2793" s="13" t="s">
        <v>10604</v>
      </c>
      <c r="F2793" s="13" t="s">
        <v>8867</v>
      </c>
      <c r="G2793" s="13" t="s">
        <v>2</v>
      </c>
      <c r="H2793" s="13" t="s">
        <v>3</v>
      </c>
      <c r="I2793" s="13" t="s">
        <v>6759</v>
      </c>
      <c r="J2793" s="13" t="s">
        <v>8890</v>
      </c>
      <c r="K2793" s="13" t="s">
        <v>8798</v>
      </c>
      <c r="L2793" s="13" t="s">
        <v>158</v>
      </c>
      <c r="M2793" t="s">
        <v>3</v>
      </c>
    </row>
    <row r="2794" spans="1:13" x14ac:dyDescent="0.25">
      <c r="A2794" s="13" t="s">
        <v>10605</v>
      </c>
      <c r="B2794" s="13" t="s">
        <v>10606</v>
      </c>
      <c r="C2794" s="13" t="s">
        <v>10607</v>
      </c>
      <c r="D2794" s="13">
        <v>0.9</v>
      </c>
      <c r="E2794" s="13" t="s">
        <v>10608</v>
      </c>
      <c r="F2794" s="13" t="s">
        <v>8867</v>
      </c>
      <c r="G2794" s="13" t="s">
        <v>2</v>
      </c>
      <c r="H2794" s="13" t="s">
        <v>3</v>
      </c>
      <c r="I2794" s="13" t="s">
        <v>6759</v>
      </c>
      <c r="J2794" s="13" t="s">
        <v>8890</v>
      </c>
      <c r="K2794" s="13" t="s">
        <v>8798</v>
      </c>
      <c r="L2794" s="13" t="s">
        <v>158</v>
      </c>
      <c r="M2794" t="s">
        <v>3</v>
      </c>
    </row>
    <row r="2795" spans="1:13" ht="26.25" x14ac:dyDescent="0.25">
      <c r="A2795" s="13" t="s">
        <v>6762</v>
      </c>
      <c r="B2795" s="13" t="s">
        <v>6763</v>
      </c>
      <c r="C2795" s="13" t="s">
        <v>6764</v>
      </c>
      <c r="D2795" s="13">
        <v>200</v>
      </c>
      <c r="E2795" s="13" t="s">
        <v>6765</v>
      </c>
      <c r="F2795" s="13" t="s">
        <v>8860</v>
      </c>
      <c r="G2795" s="13" t="s">
        <v>19</v>
      </c>
      <c r="H2795" s="13" t="s">
        <v>3</v>
      </c>
      <c r="I2795" s="13" t="s">
        <v>6766</v>
      </c>
      <c r="J2795" s="13" t="s">
        <v>21</v>
      </c>
      <c r="K2795" s="13" t="s">
        <v>8799</v>
      </c>
      <c r="L2795" s="13" t="s">
        <v>18</v>
      </c>
      <c r="M2795" t="s">
        <v>3</v>
      </c>
    </row>
    <row r="2796" spans="1:13" x14ac:dyDescent="0.25">
      <c r="A2796" s="13" t="s">
        <v>9433</v>
      </c>
      <c r="B2796" s="13" t="s">
        <v>9434</v>
      </c>
      <c r="C2796" s="13" t="s">
        <v>9435</v>
      </c>
      <c r="D2796" s="13">
        <v>4.9000000000000004</v>
      </c>
      <c r="E2796" s="13" t="s">
        <v>9436</v>
      </c>
      <c r="F2796" s="13" t="s">
        <v>8867</v>
      </c>
      <c r="G2796" s="13" t="s">
        <v>2</v>
      </c>
      <c r="H2796" s="13" t="s">
        <v>3</v>
      </c>
      <c r="I2796" s="13" t="s">
        <v>6766</v>
      </c>
      <c r="J2796" s="13" t="s">
        <v>8890</v>
      </c>
      <c r="K2796" s="13" t="s">
        <v>8799</v>
      </c>
      <c r="L2796" s="13" t="s">
        <v>158</v>
      </c>
      <c r="M2796" t="s">
        <v>3</v>
      </c>
    </row>
    <row r="2797" spans="1:13" ht="26.25" x14ac:dyDescent="0.25">
      <c r="A2797" s="13" t="s">
        <v>6767</v>
      </c>
      <c r="B2797" s="13" t="s">
        <v>6768</v>
      </c>
      <c r="C2797" s="13" t="s">
        <v>6769</v>
      </c>
      <c r="D2797" s="13">
        <v>11.8</v>
      </c>
      <c r="E2797" s="13" t="s">
        <v>6770</v>
      </c>
      <c r="F2797" s="13" t="s">
        <v>8867</v>
      </c>
      <c r="G2797" s="13" t="s">
        <v>2</v>
      </c>
      <c r="H2797" s="13" t="s">
        <v>3</v>
      </c>
      <c r="I2797" s="13" t="s">
        <v>6771</v>
      </c>
      <c r="J2797" s="13" t="s">
        <v>8890</v>
      </c>
      <c r="K2797" s="13" t="s">
        <v>8800</v>
      </c>
      <c r="L2797" s="13" t="s">
        <v>158</v>
      </c>
      <c r="M2797" t="s">
        <v>3</v>
      </c>
    </row>
    <row r="2798" spans="1:13" x14ac:dyDescent="0.25">
      <c r="A2798" s="13" t="s">
        <v>6772</v>
      </c>
      <c r="B2798" s="13" t="s">
        <v>6773</v>
      </c>
      <c r="C2798" s="13" t="s">
        <v>6774</v>
      </c>
      <c r="D2798" s="13">
        <v>1.8</v>
      </c>
      <c r="E2798" s="13" t="s">
        <v>6775</v>
      </c>
      <c r="F2798" s="13" t="s">
        <v>8863</v>
      </c>
      <c r="G2798" s="13" t="s">
        <v>2</v>
      </c>
      <c r="H2798" s="13" t="s">
        <v>3</v>
      </c>
      <c r="I2798" s="13" t="s">
        <v>6771</v>
      </c>
      <c r="J2798" s="13" t="s">
        <v>8890</v>
      </c>
      <c r="K2798" s="13" t="s">
        <v>8800</v>
      </c>
      <c r="L2798" s="13" t="s">
        <v>8956</v>
      </c>
      <c r="M2798" t="s">
        <v>3</v>
      </c>
    </row>
    <row r="2799" spans="1:13" ht="26.25" x14ac:dyDescent="0.25">
      <c r="A2799" s="13" t="s">
        <v>12095</v>
      </c>
      <c r="B2799" s="13" t="s">
        <v>12096</v>
      </c>
      <c r="C2799" s="13" t="s">
        <v>12097</v>
      </c>
      <c r="D2799" s="13">
        <v>5</v>
      </c>
      <c r="E2799" s="13" t="s">
        <v>12098</v>
      </c>
      <c r="F2799" s="13" t="s">
        <v>8860</v>
      </c>
      <c r="G2799" s="13" t="s">
        <v>19</v>
      </c>
      <c r="H2799" s="13" t="s">
        <v>3</v>
      </c>
      <c r="I2799" s="13" t="s">
        <v>12099</v>
      </c>
      <c r="J2799" s="13" t="s">
        <v>21</v>
      </c>
      <c r="K2799" s="13" t="s">
        <v>12097</v>
      </c>
      <c r="L2799" s="13" t="s">
        <v>18</v>
      </c>
      <c r="M2799" t="s">
        <v>3</v>
      </c>
    </row>
    <row r="2800" spans="1:13" x14ac:dyDescent="0.25">
      <c r="A2800" s="13" t="s">
        <v>6776</v>
      </c>
      <c r="B2800" s="13" t="s">
        <v>6776</v>
      </c>
      <c r="C2800" s="13" t="s">
        <v>6776</v>
      </c>
      <c r="D2800" s="13">
        <v>5.4</v>
      </c>
      <c r="E2800" s="13" t="s">
        <v>6777</v>
      </c>
      <c r="F2800" s="13" t="s">
        <v>8867</v>
      </c>
      <c r="G2800" s="13" t="s">
        <v>2</v>
      </c>
      <c r="H2800" s="13" t="s">
        <v>3</v>
      </c>
      <c r="I2800" s="13" t="s">
        <v>228</v>
      </c>
      <c r="J2800" s="13" t="s">
        <v>8890</v>
      </c>
      <c r="K2800" s="13" t="s">
        <v>8418</v>
      </c>
      <c r="L2800" s="13" t="s">
        <v>158</v>
      </c>
      <c r="M2800" t="s">
        <v>3</v>
      </c>
    </row>
    <row r="2801" spans="1:13" x14ac:dyDescent="0.25">
      <c r="A2801" s="13" t="s">
        <v>6778</v>
      </c>
      <c r="B2801" s="13" t="s">
        <v>6778</v>
      </c>
      <c r="C2801" s="13" t="s">
        <v>6778</v>
      </c>
      <c r="D2801" s="13">
        <v>5.8</v>
      </c>
      <c r="E2801" s="13" t="s">
        <v>6779</v>
      </c>
      <c r="F2801" s="13" t="s">
        <v>8867</v>
      </c>
      <c r="G2801" s="13" t="s">
        <v>2</v>
      </c>
      <c r="H2801" s="13" t="s">
        <v>3</v>
      </c>
      <c r="I2801" s="13" t="s">
        <v>228</v>
      </c>
      <c r="J2801" s="13" t="s">
        <v>8890</v>
      </c>
      <c r="K2801" s="13" t="s">
        <v>8418</v>
      </c>
      <c r="L2801" s="13" t="s">
        <v>158</v>
      </c>
      <c r="M2801" t="s">
        <v>3</v>
      </c>
    </row>
    <row r="2802" spans="1:13" ht="26.25" x14ac:dyDescent="0.25">
      <c r="A2802" s="13" t="s">
        <v>6780</v>
      </c>
      <c r="B2802" s="13" t="s">
        <v>6781</v>
      </c>
      <c r="C2802" s="13" t="s">
        <v>6781</v>
      </c>
      <c r="D2802" s="13">
        <v>1</v>
      </c>
      <c r="E2802" s="13" t="s">
        <v>6782</v>
      </c>
      <c r="F2802" s="13" t="s">
        <v>8860</v>
      </c>
      <c r="G2802" s="13" t="s">
        <v>19</v>
      </c>
      <c r="H2802" s="13" t="s">
        <v>3</v>
      </c>
      <c r="I2802" s="13" t="s">
        <v>6783</v>
      </c>
      <c r="J2802" s="13" t="s">
        <v>21</v>
      </c>
      <c r="K2802" s="13" t="s">
        <v>8801</v>
      </c>
      <c r="L2802" s="13" t="s">
        <v>18</v>
      </c>
      <c r="M2802" t="s">
        <v>3</v>
      </c>
    </row>
    <row r="2803" spans="1:13" ht="26.25" x14ac:dyDescent="0.25">
      <c r="A2803" s="13" t="s">
        <v>6784</v>
      </c>
      <c r="B2803" s="13" t="s">
        <v>6785</v>
      </c>
      <c r="C2803" s="13" t="s">
        <v>6786</v>
      </c>
      <c r="D2803" s="13">
        <v>100</v>
      </c>
      <c r="E2803" s="13" t="s">
        <v>6787</v>
      </c>
      <c r="F2803" s="13" t="s">
        <v>8860</v>
      </c>
      <c r="G2803" s="13" t="s">
        <v>19</v>
      </c>
      <c r="H2803" s="13" t="s">
        <v>3</v>
      </c>
      <c r="I2803" s="13" t="s">
        <v>6785</v>
      </c>
      <c r="J2803" s="13" t="s">
        <v>21</v>
      </c>
      <c r="K2803" s="13" t="s">
        <v>8802</v>
      </c>
      <c r="L2803" s="13" t="s">
        <v>18</v>
      </c>
      <c r="M2803" t="s">
        <v>3</v>
      </c>
    </row>
    <row r="2804" spans="1:13" ht="26.25" x14ac:dyDescent="0.25">
      <c r="A2804" s="13" t="s">
        <v>6788</v>
      </c>
      <c r="B2804" s="13" t="s">
        <v>6789</v>
      </c>
      <c r="C2804" s="13" t="s">
        <v>6789</v>
      </c>
      <c r="D2804" s="13">
        <v>4.4000000000000004</v>
      </c>
      <c r="E2804" s="13" t="s">
        <v>6790</v>
      </c>
      <c r="F2804" s="13" t="s">
        <v>35</v>
      </c>
      <c r="G2804" s="13" t="s">
        <v>19</v>
      </c>
      <c r="H2804" s="13" t="s">
        <v>3</v>
      </c>
      <c r="I2804" s="13" t="s">
        <v>6789</v>
      </c>
      <c r="J2804" s="13" t="s">
        <v>37</v>
      </c>
      <c r="K2804" s="13" t="s">
        <v>8803</v>
      </c>
      <c r="L2804" s="13" t="s">
        <v>35</v>
      </c>
      <c r="M2804" t="s">
        <v>3</v>
      </c>
    </row>
    <row r="2805" spans="1:13" ht="26.25" x14ac:dyDescent="0.25">
      <c r="A2805" s="13" t="s">
        <v>9437</v>
      </c>
      <c r="B2805" s="13" t="s">
        <v>9438</v>
      </c>
      <c r="C2805" s="13" t="s">
        <v>9439</v>
      </c>
      <c r="D2805" s="13">
        <v>0.1</v>
      </c>
      <c r="E2805" s="13" t="s">
        <v>9440</v>
      </c>
      <c r="F2805" s="13" t="s">
        <v>8860</v>
      </c>
      <c r="G2805" s="13" t="s">
        <v>19</v>
      </c>
      <c r="H2805" s="13" t="s">
        <v>3</v>
      </c>
      <c r="I2805" s="13" t="s">
        <v>9441</v>
      </c>
      <c r="J2805" s="13" t="s">
        <v>21</v>
      </c>
      <c r="K2805" s="13" t="s">
        <v>9442</v>
      </c>
      <c r="L2805" s="13" t="s">
        <v>18</v>
      </c>
      <c r="M2805" t="s">
        <v>3</v>
      </c>
    </row>
    <row r="2806" spans="1:13" x14ac:dyDescent="0.25">
      <c r="A2806" s="13" t="s">
        <v>6791</v>
      </c>
      <c r="B2806" s="13" t="s">
        <v>6791</v>
      </c>
      <c r="C2806" s="13" t="s">
        <v>9443</v>
      </c>
      <c r="D2806" s="13">
        <v>0</v>
      </c>
      <c r="E2806" s="13" t="s">
        <v>6792</v>
      </c>
      <c r="F2806" s="13" t="s">
        <v>8876</v>
      </c>
      <c r="G2806" s="13" t="s">
        <v>2</v>
      </c>
      <c r="H2806" s="13" t="s">
        <v>3</v>
      </c>
      <c r="I2806" s="13" t="s">
        <v>1562</v>
      </c>
      <c r="J2806" s="13" t="s">
        <v>8890</v>
      </c>
      <c r="K2806" s="13" t="s">
        <v>8423</v>
      </c>
      <c r="L2806" s="13" t="s">
        <v>9244</v>
      </c>
      <c r="M2806" t="s">
        <v>3</v>
      </c>
    </row>
    <row r="2807" spans="1:13" x14ac:dyDescent="0.25">
      <c r="A2807" s="13" t="s">
        <v>6793</v>
      </c>
      <c r="B2807" s="13" t="s">
        <v>6793</v>
      </c>
      <c r="C2807" s="13" t="s">
        <v>6794</v>
      </c>
      <c r="D2807" s="13">
        <v>0</v>
      </c>
      <c r="E2807" s="13" t="s">
        <v>6795</v>
      </c>
      <c r="F2807" s="13" t="s">
        <v>8876</v>
      </c>
      <c r="G2807" s="13" t="s">
        <v>2</v>
      </c>
      <c r="H2807" s="13" t="s">
        <v>3</v>
      </c>
      <c r="I2807" s="13" t="s">
        <v>2280</v>
      </c>
      <c r="J2807" s="13" t="s">
        <v>8890</v>
      </c>
      <c r="K2807" s="13" t="s">
        <v>8596</v>
      </c>
      <c r="L2807" s="13" t="s">
        <v>9244</v>
      </c>
      <c r="M2807" t="s">
        <v>3</v>
      </c>
    </row>
    <row r="2808" spans="1:13" ht="26.25" x14ac:dyDescent="0.25">
      <c r="A2808" s="13" t="s">
        <v>6796</v>
      </c>
      <c r="B2808" s="13" t="s">
        <v>6797</v>
      </c>
      <c r="C2808" s="13" t="s">
        <v>6798</v>
      </c>
      <c r="D2808" s="13">
        <v>4.8</v>
      </c>
      <c r="E2808" s="13" t="s">
        <v>6799</v>
      </c>
      <c r="F2808" s="13" t="s">
        <v>35</v>
      </c>
      <c r="G2808" s="13" t="s">
        <v>19</v>
      </c>
      <c r="H2808" s="13" t="s">
        <v>3</v>
      </c>
      <c r="I2808" s="13" t="s">
        <v>6797</v>
      </c>
      <c r="J2808" s="13" t="s">
        <v>37</v>
      </c>
      <c r="K2808" s="13" t="s">
        <v>6798</v>
      </c>
      <c r="L2808" s="13" t="s">
        <v>35</v>
      </c>
      <c r="M2808" t="s">
        <v>3</v>
      </c>
    </row>
    <row r="2809" spans="1:13" ht="26.25" x14ac:dyDescent="0.25">
      <c r="A2809" s="13" t="s">
        <v>6800</v>
      </c>
      <c r="B2809" s="13" t="s">
        <v>6800</v>
      </c>
      <c r="C2809" s="13" t="s">
        <v>6801</v>
      </c>
      <c r="D2809" s="13">
        <v>0</v>
      </c>
      <c r="E2809" s="13" t="s">
        <v>6802</v>
      </c>
      <c r="F2809" s="13" t="s">
        <v>8876</v>
      </c>
      <c r="G2809" s="13" t="s">
        <v>2</v>
      </c>
      <c r="H2809" s="13" t="s">
        <v>3</v>
      </c>
      <c r="I2809" s="13" t="s">
        <v>2349</v>
      </c>
      <c r="J2809" s="13" t="s">
        <v>8890</v>
      </c>
      <c r="K2809" s="13" t="s">
        <v>8599</v>
      </c>
      <c r="L2809" s="13" t="s">
        <v>9244</v>
      </c>
      <c r="M2809" t="s">
        <v>3</v>
      </c>
    </row>
    <row r="2810" spans="1:13" ht="26.25" x14ac:dyDescent="0.25">
      <c r="A2810" s="13" t="s">
        <v>6803</v>
      </c>
      <c r="B2810" s="13" t="s">
        <v>6803</v>
      </c>
      <c r="C2810" s="13" t="s">
        <v>9444</v>
      </c>
      <c r="D2810" s="13">
        <v>0</v>
      </c>
      <c r="E2810" s="13" t="s">
        <v>6804</v>
      </c>
      <c r="F2810" s="13" t="s">
        <v>8876</v>
      </c>
      <c r="G2810" s="13" t="s">
        <v>2</v>
      </c>
      <c r="H2810" s="13" t="s">
        <v>3</v>
      </c>
      <c r="I2810" s="13" t="s">
        <v>2356</v>
      </c>
      <c r="J2810" s="13" t="s">
        <v>8890</v>
      </c>
      <c r="K2810" s="13" t="s">
        <v>8429</v>
      </c>
      <c r="L2810" s="13" t="s">
        <v>9244</v>
      </c>
      <c r="M2810" t="s">
        <v>3</v>
      </c>
    </row>
    <row r="2811" spans="1:13" ht="26.25" x14ac:dyDescent="0.25">
      <c r="A2811" s="13" t="s">
        <v>6805</v>
      </c>
      <c r="B2811" s="13" t="s">
        <v>6805</v>
      </c>
      <c r="C2811" s="13" t="s">
        <v>6806</v>
      </c>
      <c r="D2811" s="13">
        <v>1</v>
      </c>
      <c r="E2811" s="13" t="s">
        <v>6807</v>
      </c>
      <c r="F2811" s="13" t="s">
        <v>35</v>
      </c>
      <c r="G2811" s="13" t="s">
        <v>19</v>
      </c>
      <c r="H2811" s="13" t="s">
        <v>3</v>
      </c>
      <c r="I2811" s="13" t="s">
        <v>6808</v>
      </c>
      <c r="J2811" s="13" t="s">
        <v>37</v>
      </c>
      <c r="K2811" s="13" t="s">
        <v>6806</v>
      </c>
      <c r="L2811" s="13" t="s">
        <v>35</v>
      </c>
      <c r="M2811" t="s">
        <v>3</v>
      </c>
    </row>
    <row r="2812" spans="1:13" x14ac:dyDescent="0.25">
      <c r="A2812" s="13" t="s">
        <v>6809</v>
      </c>
      <c r="B2812" s="13" t="s">
        <v>6810</v>
      </c>
      <c r="C2812" s="13" t="s">
        <v>6811</v>
      </c>
      <c r="D2812" s="13">
        <v>42.3</v>
      </c>
      <c r="E2812" s="13" t="s">
        <v>6812</v>
      </c>
      <c r="F2812" s="13" t="s">
        <v>8867</v>
      </c>
      <c r="G2812" s="13" t="s">
        <v>2</v>
      </c>
      <c r="H2812" s="13" t="s">
        <v>8958</v>
      </c>
      <c r="I2812" s="13" t="s">
        <v>516</v>
      </c>
      <c r="J2812" s="13" t="s">
        <v>8890</v>
      </c>
      <c r="K2812" s="13" t="s">
        <v>516</v>
      </c>
      <c r="L2812" s="13" t="s">
        <v>158</v>
      </c>
      <c r="M2812" t="s">
        <v>8958</v>
      </c>
    </row>
    <row r="2813" spans="1:13" x14ac:dyDescent="0.25">
      <c r="A2813" s="13" t="s">
        <v>6813</v>
      </c>
      <c r="B2813" s="13" t="s">
        <v>6814</v>
      </c>
      <c r="C2813" s="13" t="s">
        <v>6815</v>
      </c>
      <c r="D2813" s="13">
        <v>13.3</v>
      </c>
      <c r="E2813" s="13" t="s">
        <v>6816</v>
      </c>
      <c r="F2813" s="13" t="s">
        <v>8867</v>
      </c>
      <c r="G2813" s="13" t="s">
        <v>2</v>
      </c>
      <c r="H2813" s="13" t="s">
        <v>8958</v>
      </c>
      <c r="I2813" s="13" t="s">
        <v>516</v>
      </c>
      <c r="J2813" s="13" t="s">
        <v>8890</v>
      </c>
      <c r="K2813" s="13" t="s">
        <v>516</v>
      </c>
      <c r="L2813" s="13" t="s">
        <v>158</v>
      </c>
      <c r="M2813" t="s">
        <v>8958</v>
      </c>
    </row>
    <row r="2814" spans="1:13" x14ac:dyDescent="0.25">
      <c r="A2814" s="13" t="s">
        <v>6817</v>
      </c>
      <c r="B2814" s="13" t="s">
        <v>6818</v>
      </c>
      <c r="C2814" s="13" t="s">
        <v>6819</v>
      </c>
      <c r="D2814" s="13">
        <v>17.600000000000001</v>
      </c>
      <c r="E2814" s="13" t="s">
        <v>6820</v>
      </c>
      <c r="F2814" s="13" t="s">
        <v>8867</v>
      </c>
      <c r="G2814" s="13" t="s">
        <v>2</v>
      </c>
      <c r="H2814" s="13" t="s">
        <v>8958</v>
      </c>
      <c r="I2814" s="13" t="s">
        <v>516</v>
      </c>
      <c r="J2814" s="13" t="s">
        <v>8890</v>
      </c>
      <c r="K2814" s="13" t="s">
        <v>516</v>
      </c>
      <c r="L2814" s="13" t="s">
        <v>158</v>
      </c>
      <c r="M2814" t="s">
        <v>8958</v>
      </c>
    </row>
    <row r="2815" spans="1:13" x14ac:dyDescent="0.25">
      <c r="A2815" s="13" t="s">
        <v>6821</v>
      </c>
      <c r="B2815" s="13" t="s">
        <v>6822</v>
      </c>
      <c r="C2815" s="13" t="s">
        <v>6823</v>
      </c>
      <c r="D2815" s="13">
        <v>17.600000000000001</v>
      </c>
      <c r="E2815" s="13" t="s">
        <v>6824</v>
      </c>
      <c r="F2815" s="13" t="s">
        <v>8867</v>
      </c>
      <c r="G2815" s="13" t="s">
        <v>2</v>
      </c>
      <c r="H2815" s="13" t="s">
        <v>8958</v>
      </c>
      <c r="I2815" s="13" t="s">
        <v>516</v>
      </c>
      <c r="J2815" s="13" t="s">
        <v>8890</v>
      </c>
      <c r="K2815" s="13" t="s">
        <v>516</v>
      </c>
      <c r="L2815" s="13" t="s">
        <v>158</v>
      </c>
      <c r="M2815" t="s">
        <v>8958</v>
      </c>
    </row>
    <row r="2816" spans="1:13" x14ac:dyDescent="0.25">
      <c r="A2816" s="13" t="s">
        <v>6825</v>
      </c>
      <c r="B2816" s="13" t="s">
        <v>6826</v>
      </c>
      <c r="C2816" s="13" t="s">
        <v>6827</v>
      </c>
      <c r="D2816" s="13">
        <v>13.3</v>
      </c>
      <c r="E2816" s="13" t="s">
        <v>6828</v>
      </c>
      <c r="F2816" s="13" t="s">
        <v>8867</v>
      </c>
      <c r="G2816" s="13" t="s">
        <v>2</v>
      </c>
      <c r="H2816" s="13" t="s">
        <v>8958</v>
      </c>
      <c r="I2816" s="13" t="s">
        <v>516</v>
      </c>
      <c r="J2816" s="13" t="s">
        <v>8890</v>
      </c>
      <c r="K2816" s="13" t="s">
        <v>516</v>
      </c>
      <c r="L2816" s="13" t="s">
        <v>158</v>
      </c>
      <c r="M2816" t="s">
        <v>8958</v>
      </c>
    </row>
    <row r="2817" spans="1:13" x14ac:dyDescent="0.25">
      <c r="A2817" s="13" t="s">
        <v>6829</v>
      </c>
      <c r="B2817" s="13" t="s">
        <v>6830</v>
      </c>
      <c r="C2817" s="13" t="s">
        <v>6831</v>
      </c>
      <c r="D2817" s="13">
        <v>8</v>
      </c>
      <c r="E2817" s="13" t="s">
        <v>6832</v>
      </c>
      <c r="F2817" s="13" t="s">
        <v>8867</v>
      </c>
      <c r="G2817" s="13" t="s">
        <v>2</v>
      </c>
      <c r="H2817" s="13" t="s">
        <v>8958</v>
      </c>
      <c r="I2817" s="13" t="s">
        <v>516</v>
      </c>
      <c r="J2817" s="13" t="s">
        <v>8890</v>
      </c>
      <c r="K2817" s="13" t="s">
        <v>516</v>
      </c>
      <c r="L2817" s="13" t="s">
        <v>158</v>
      </c>
      <c r="M2817" t="s">
        <v>8958</v>
      </c>
    </row>
    <row r="2818" spans="1:13" x14ac:dyDescent="0.25">
      <c r="A2818" s="13" t="s">
        <v>6833</v>
      </c>
      <c r="B2818" s="13" t="s">
        <v>6834</v>
      </c>
      <c r="C2818" s="13" t="s">
        <v>6835</v>
      </c>
      <c r="D2818" s="13">
        <v>100</v>
      </c>
      <c r="E2818" s="13" t="s">
        <v>6836</v>
      </c>
      <c r="F2818" s="13" t="s">
        <v>8876</v>
      </c>
      <c r="G2818" s="13" t="s">
        <v>2</v>
      </c>
      <c r="H2818" s="13" t="s">
        <v>3</v>
      </c>
      <c r="I2818" s="13" t="s">
        <v>228</v>
      </c>
      <c r="J2818" s="13" t="s">
        <v>8890</v>
      </c>
      <c r="K2818" s="13" t="s">
        <v>8418</v>
      </c>
      <c r="L2818" s="13" t="s">
        <v>9244</v>
      </c>
      <c r="M2818" t="s">
        <v>3</v>
      </c>
    </row>
    <row r="2819" spans="1:13" x14ac:dyDescent="0.25">
      <c r="A2819" s="13" t="s">
        <v>6837</v>
      </c>
      <c r="B2819" s="13" t="s">
        <v>6838</v>
      </c>
      <c r="C2819" s="13" t="s">
        <v>6839</v>
      </c>
      <c r="D2819" s="13">
        <v>14.5</v>
      </c>
      <c r="E2819" s="13" t="s">
        <v>6840</v>
      </c>
      <c r="F2819" s="13" t="s">
        <v>8867</v>
      </c>
      <c r="G2819" s="13" t="s">
        <v>2</v>
      </c>
      <c r="H2819" s="13" t="s">
        <v>3</v>
      </c>
      <c r="I2819" s="13" t="s">
        <v>6771</v>
      </c>
      <c r="J2819" s="13" t="s">
        <v>8890</v>
      </c>
      <c r="K2819" s="13" t="s">
        <v>8800</v>
      </c>
      <c r="L2819" s="13" t="s">
        <v>158</v>
      </c>
      <c r="M2819" t="s">
        <v>3</v>
      </c>
    </row>
    <row r="2820" spans="1:13" x14ac:dyDescent="0.25">
      <c r="A2820" s="13" t="s">
        <v>6841</v>
      </c>
      <c r="B2820" s="13" t="s">
        <v>6842</v>
      </c>
      <c r="C2820" s="13" t="s">
        <v>6843</v>
      </c>
      <c r="D2820" s="13">
        <v>346.2</v>
      </c>
      <c r="E2820" s="13" t="s">
        <v>6844</v>
      </c>
      <c r="F2820" s="13" t="s">
        <v>8861</v>
      </c>
      <c r="G2820" s="13" t="s">
        <v>2</v>
      </c>
      <c r="H2820" s="13" t="s">
        <v>9273</v>
      </c>
      <c r="I2820" s="13" t="s">
        <v>1366</v>
      </c>
      <c r="J2820" s="13" t="s">
        <v>8890</v>
      </c>
      <c r="K2820" s="13" t="s">
        <v>8417</v>
      </c>
      <c r="L2820" s="13" t="s">
        <v>24</v>
      </c>
      <c r="M2820" t="s">
        <v>9273</v>
      </c>
    </row>
    <row r="2821" spans="1:13" x14ac:dyDescent="0.25">
      <c r="A2821" s="13" t="s">
        <v>6845</v>
      </c>
      <c r="B2821" s="13" t="s">
        <v>6846</v>
      </c>
      <c r="C2821" s="13" t="s">
        <v>6847</v>
      </c>
      <c r="D2821" s="13">
        <v>426</v>
      </c>
      <c r="E2821" s="13" t="s">
        <v>6848</v>
      </c>
      <c r="F2821" s="13" t="s">
        <v>8864</v>
      </c>
      <c r="G2821" s="13" t="s">
        <v>2</v>
      </c>
      <c r="H2821" s="13" t="s">
        <v>9273</v>
      </c>
      <c r="I2821" s="13" t="s">
        <v>1366</v>
      </c>
      <c r="J2821" s="13" t="s">
        <v>8890</v>
      </c>
      <c r="K2821" s="13" t="s">
        <v>8417</v>
      </c>
      <c r="L2821" s="13" t="s">
        <v>56</v>
      </c>
      <c r="M2821" t="s">
        <v>9273</v>
      </c>
    </row>
    <row r="2822" spans="1:13" x14ac:dyDescent="0.25">
      <c r="A2822" s="13" t="s">
        <v>6849</v>
      </c>
      <c r="B2822" s="13" t="s">
        <v>6850</v>
      </c>
      <c r="C2822" s="13" t="s">
        <v>6851</v>
      </c>
      <c r="D2822" s="13">
        <v>428.1</v>
      </c>
      <c r="E2822" s="13" t="s">
        <v>6852</v>
      </c>
      <c r="F2822" s="13" t="s">
        <v>8864</v>
      </c>
      <c r="G2822" s="13" t="s">
        <v>2</v>
      </c>
      <c r="H2822" s="13" t="s">
        <v>9273</v>
      </c>
      <c r="I2822" s="13" t="s">
        <v>9814</v>
      </c>
      <c r="J2822" s="13" t="s">
        <v>8890</v>
      </c>
      <c r="K2822" s="13" t="s">
        <v>8417</v>
      </c>
      <c r="L2822" s="13" t="s">
        <v>56</v>
      </c>
      <c r="M2822" t="s">
        <v>9273</v>
      </c>
    </row>
    <row r="2823" spans="1:13" ht="26.25" x14ac:dyDescent="0.25">
      <c r="A2823" s="13" t="s">
        <v>6853</v>
      </c>
      <c r="B2823" s="13" t="s">
        <v>6854</v>
      </c>
      <c r="C2823" s="13" t="s">
        <v>6855</v>
      </c>
      <c r="D2823" s="13">
        <v>389.8</v>
      </c>
      <c r="E2823" s="13" t="s">
        <v>6856</v>
      </c>
      <c r="F2823" s="13" t="s">
        <v>8864</v>
      </c>
      <c r="G2823" s="13" t="s">
        <v>2</v>
      </c>
      <c r="H2823" s="13" t="s">
        <v>8900</v>
      </c>
      <c r="I2823" s="13" t="s">
        <v>62</v>
      </c>
      <c r="J2823" s="13" t="s">
        <v>8890</v>
      </c>
      <c r="K2823" s="13" t="s">
        <v>8430</v>
      </c>
      <c r="L2823" s="13" t="s">
        <v>56</v>
      </c>
      <c r="M2823" t="s">
        <v>10683</v>
      </c>
    </row>
    <row r="2824" spans="1:13" ht="26.25" x14ac:dyDescent="0.25">
      <c r="A2824" s="13" t="s">
        <v>6857</v>
      </c>
      <c r="B2824" s="13" t="s">
        <v>6858</v>
      </c>
      <c r="C2824" s="13" t="s">
        <v>6859</v>
      </c>
      <c r="D2824" s="13">
        <v>401.8</v>
      </c>
      <c r="E2824" s="13" t="s">
        <v>6860</v>
      </c>
      <c r="F2824" s="13" t="s">
        <v>8864</v>
      </c>
      <c r="G2824" s="13" t="s">
        <v>2</v>
      </c>
      <c r="H2824" s="13" t="s">
        <v>8923</v>
      </c>
      <c r="I2824" s="13" t="s">
        <v>390</v>
      </c>
      <c r="J2824" s="13" t="s">
        <v>8890</v>
      </c>
      <c r="K2824" s="13" t="s">
        <v>8423</v>
      </c>
      <c r="L2824" s="13" t="s">
        <v>56</v>
      </c>
      <c r="M2824" t="s">
        <v>8923</v>
      </c>
    </row>
    <row r="2825" spans="1:13" ht="26.25" x14ac:dyDescent="0.25">
      <c r="A2825" s="13" t="s">
        <v>6861</v>
      </c>
      <c r="B2825" s="13" t="s">
        <v>6862</v>
      </c>
      <c r="C2825" s="13" t="s">
        <v>6862</v>
      </c>
      <c r="D2825" s="13">
        <v>50</v>
      </c>
      <c r="E2825" s="13" t="s">
        <v>6863</v>
      </c>
      <c r="F2825" s="13" t="s">
        <v>8860</v>
      </c>
      <c r="G2825" s="13" t="s">
        <v>19</v>
      </c>
      <c r="H2825" s="13" t="s">
        <v>3</v>
      </c>
      <c r="I2825" s="13" t="s">
        <v>6864</v>
      </c>
      <c r="J2825" s="13" t="s">
        <v>21</v>
      </c>
      <c r="K2825" s="13" t="s">
        <v>8804</v>
      </c>
      <c r="L2825" s="13" t="s">
        <v>18</v>
      </c>
      <c r="M2825" t="s">
        <v>3</v>
      </c>
    </row>
    <row r="2826" spans="1:13" ht="26.25" x14ac:dyDescent="0.25">
      <c r="A2826" s="13" t="s">
        <v>10609</v>
      </c>
      <c r="B2826" s="13" t="s">
        <v>10610</v>
      </c>
      <c r="C2826" s="13" t="s">
        <v>10611</v>
      </c>
      <c r="D2826" s="13">
        <v>1</v>
      </c>
      <c r="E2826" s="13" t="s">
        <v>10612</v>
      </c>
      <c r="F2826" s="13" t="s">
        <v>8860</v>
      </c>
      <c r="G2826" s="13" t="s">
        <v>19</v>
      </c>
      <c r="H2826" s="13" t="s">
        <v>3</v>
      </c>
      <c r="I2826" s="13" t="s">
        <v>10613</v>
      </c>
      <c r="J2826" s="13" t="s">
        <v>21</v>
      </c>
      <c r="K2826" s="13" t="s">
        <v>10614</v>
      </c>
      <c r="L2826" s="13" t="s">
        <v>18</v>
      </c>
      <c r="M2826" t="s">
        <v>3</v>
      </c>
    </row>
    <row r="2827" spans="1:13" ht="26.25" x14ac:dyDescent="0.25">
      <c r="A2827" s="13" t="s">
        <v>11411</v>
      </c>
      <c r="B2827" s="13" t="s">
        <v>11412</v>
      </c>
      <c r="C2827" s="13" t="s">
        <v>11413</v>
      </c>
      <c r="D2827" s="13">
        <v>20</v>
      </c>
      <c r="E2827" s="13" t="s">
        <v>11414</v>
      </c>
      <c r="F2827" s="13" t="s">
        <v>8870</v>
      </c>
      <c r="G2827" s="13" t="s">
        <v>19</v>
      </c>
      <c r="H2827" s="13" t="s">
        <v>3</v>
      </c>
      <c r="I2827" s="13" t="s">
        <v>11330</v>
      </c>
      <c r="J2827" s="13" t="s">
        <v>410</v>
      </c>
      <c r="K2827" s="13" t="s">
        <v>11331</v>
      </c>
      <c r="L2827" s="13" t="s">
        <v>8942</v>
      </c>
      <c r="M2827" t="s">
        <v>3</v>
      </c>
    </row>
    <row r="2828" spans="1:13" x14ac:dyDescent="0.25">
      <c r="A2828" s="13" t="s">
        <v>11415</v>
      </c>
      <c r="B2828" s="13" t="s">
        <v>11416</v>
      </c>
      <c r="C2828" s="13" t="s">
        <v>11417</v>
      </c>
      <c r="D2828" s="13">
        <v>20</v>
      </c>
      <c r="E2828" s="13" t="s">
        <v>11418</v>
      </c>
      <c r="F2828" s="13" t="s">
        <v>8871</v>
      </c>
      <c r="G2828" s="13" t="s">
        <v>2</v>
      </c>
      <c r="H2828" s="13" t="s">
        <v>3</v>
      </c>
      <c r="I2828" s="13" t="s">
        <v>11330</v>
      </c>
      <c r="J2828" s="13" t="s">
        <v>410</v>
      </c>
      <c r="K2828" s="13" t="s">
        <v>11331</v>
      </c>
      <c r="L2828" s="13" t="s">
        <v>8943</v>
      </c>
      <c r="M2828" t="s">
        <v>3</v>
      </c>
    </row>
    <row r="2829" spans="1:13" x14ac:dyDescent="0.25">
      <c r="A2829" s="13" t="s">
        <v>6865</v>
      </c>
      <c r="B2829" s="13" t="s">
        <v>6866</v>
      </c>
      <c r="C2829" s="13" t="s">
        <v>6867</v>
      </c>
      <c r="D2829" s="13">
        <v>4.2</v>
      </c>
      <c r="E2829" s="13" t="s">
        <v>6868</v>
      </c>
      <c r="F2829" s="13" t="s">
        <v>8867</v>
      </c>
      <c r="G2829" s="13" t="s">
        <v>2</v>
      </c>
      <c r="H2829" s="13" t="s">
        <v>8984</v>
      </c>
      <c r="I2829" s="13" t="s">
        <v>4522</v>
      </c>
      <c r="J2829" s="13" t="s">
        <v>8890</v>
      </c>
      <c r="K2829" s="13" t="s">
        <v>8514</v>
      </c>
      <c r="L2829" s="13" t="s">
        <v>158</v>
      </c>
      <c r="M2829" t="s">
        <v>10686</v>
      </c>
    </row>
    <row r="2830" spans="1:13" x14ac:dyDescent="0.25">
      <c r="A2830" s="13" t="s">
        <v>6869</v>
      </c>
      <c r="B2830" s="13" t="s">
        <v>6869</v>
      </c>
      <c r="C2830" s="13" t="s">
        <v>6870</v>
      </c>
      <c r="D2830" s="13">
        <v>9.6999999999999993</v>
      </c>
      <c r="E2830" s="13" t="s">
        <v>6871</v>
      </c>
      <c r="F2830" s="13" t="s">
        <v>8865</v>
      </c>
      <c r="G2830" s="13" t="s">
        <v>2</v>
      </c>
      <c r="H2830" s="13" t="s">
        <v>3</v>
      </c>
      <c r="I2830" s="13" t="s">
        <v>497</v>
      </c>
      <c r="J2830" s="13" t="s">
        <v>8890</v>
      </c>
      <c r="K2830" s="13" t="s">
        <v>8475</v>
      </c>
      <c r="L2830" s="13" t="s">
        <v>8901</v>
      </c>
      <c r="M2830" t="s">
        <v>3</v>
      </c>
    </row>
    <row r="2831" spans="1:13" ht="26.25" x14ac:dyDescent="0.25">
      <c r="A2831" s="13" t="s">
        <v>6872</v>
      </c>
      <c r="B2831" s="13" t="s">
        <v>6873</v>
      </c>
      <c r="C2831" s="13" t="s">
        <v>6874</v>
      </c>
      <c r="D2831" s="13">
        <v>1.6</v>
      </c>
      <c r="E2831" s="13" t="s">
        <v>6875</v>
      </c>
      <c r="F2831" s="13" t="s">
        <v>8860</v>
      </c>
      <c r="G2831" s="13" t="s">
        <v>19</v>
      </c>
      <c r="H2831" s="13" t="s">
        <v>3</v>
      </c>
      <c r="I2831" s="13" t="s">
        <v>6876</v>
      </c>
      <c r="J2831" s="13" t="s">
        <v>21</v>
      </c>
      <c r="K2831" s="13" t="s">
        <v>6874</v>
      </c>
      <c r="L2831" s="13" t="s">
        <v>18</v>
      </c>
      <c r="M2831" t="s">
        <v>3</v>
      </c>
    </row>
    <row r="2832" spans="1:13" x14ac:dyDescent="0.25">
      <c r="A2832" s="13" t="s">
        <v>6877</v>
      </c>
      <c r="B2832" s="13" t="s">
        <v>6878</v>
      </c>
      <c r="C2832" s="13" t="s">
        <v>6879</v>
      </c>
      <c r="D2832" s="13">
        <v>396.4</v>
      </c>
      <c r="E2832" s="13" t="s">
        <v>6880</v>
      </c>
      <c r="F2832" s="13" t="s">
        <v>8864</v>
      </c>
      <c r="G2832" s="13" t="s">
        <v>2</v>
      </c>
      <c r="H2832" s="13" t="s">
        <v>1224</v>
      </c>
      <c r="I2832" s="13" t="s">
        <v>57</v>
      </c>
      <c r="J2832" s="13" t="s">
        <v>8890</v>
      </c>
      <c r="K2832" s="13" t="s">
        <v>8429</v>
      </c>
      <c r="L2832" s="13" t="s">
        <v>56</v>
      </c>
      <c r="M2832" t="s">
        <v>10682</v>
      </c>
    </row>
    <row r="2833" spans="1:13" x14ac:dyDescent="0.25">
      <c r="A2833" s="13" t="s">
        <v>6881</v>
      </c>
      <c r="B2833" s="13" t="s">
        <v>6881</v>
      </c>
      <c r="C2833" s="13" t="s">
        <v>6882</v>
      </c>
      <c r="D2833" s="13">
        <v>50</v>
      </c>
      <c r="E2833" s="13" t="s">
        <v>6883</v>
      </c>
      <c r="F2833" s="13" t="s">
        <v>8876</v>
      </c>
      <c r="G2833" s="13" t="s">
        <v>2</v>
      </c>
      <c r="H2833" s="13" t="s">
        <v>3</v>
      </c>
      <c r="I2833" s="13" t="s">
        <v>447</v>
      </c>
      <c r="J2833" s="13" t="s">
        <v>8890</v>
      </c>
      <c r="K2833" s="13" t="s">
        <v>8421</v>
      </c>
      <c r="L2833" s="13" t="s">
        <v>9244</v>
      </c>
      <c r="M2833" t="s">
        <v>3</v>
      </c>
    </row>
    <row r="2834" spans="1:13" x14ac:dyDescent="0.25">
      <c r="A2834" s="13" t="s">
        <v>6884</v>
      </c>
      <c r="B2834" s="13" t="s">
        <v>6884</v>
      </c>
      <c r="C2834" s="13" t="s">
        <v>6885</v>
      </c>
      <c r="D2834" s="13">
        <v>50</v>
      </c>
      <c r="E2834" s="13" t="s">
        <v>6886</v>
      </c>
      <c r="F2834" s="13" t="s">
        <v>8876</v>
      </c>
      <c r="G2834" s="13" t="s">
        <v>2</v>
      </c>
      <c r="H2834" s="13" t="s">
        <v>3</v>
      </c>
      <c r="I2834" s="13" t="s">
        <v>447</v>
      </c>
      <c r="J2834" s="13" t="s">
        <v>8890</v>
      </c>
      <c r="K2834" s="13" t="s">
        <v>8421</v>
      </c>
      <c r="L2834" s="13" t="s">
        <v>9244</v>
      </c>
      <c r="M2834" t="s">
        <v>3</v>
      </c>
    </row>
    <row r="2835" spans="1:13" x14ac:dyDescent="0.25">
      <c r="A2835" s="13" t="s">
        <v>6887</v>
      </c>
      <c r="B2835" s="13" t="s">
        <v>6887</v>
      </c>
      <c r="C2835" s="13" t="s">
        <v>6888</v>
      </c>
      <c r="D2835" s="13">
        <v>49.9</v>
      </c>
      <c r="E2835" s="13" t="s">
        <v>6889</v>
      </c>
      <c r="F2835" s="13" t="s">
        <v>8876</v>
      </c>
      <c r="G2835" s="13" t="s">
        <v>2</v>
      </c>
      <c r="H2835" s="13" t="s">
        <v>3</v>
      </c>
      <c r="I2835" s="13" t="s">
        <v>447</v>
      </c>
      <c r="J2835" s="13" t="s">
        <v>8890</v>
      </c>
      <c r="K2835" s="13" t="s">
        <v>8421</v>
      </c>
      <c r="L2835" s="13" t="s">
        <v>9244</v>
      </c>
      <c r="M2835" t="s">
        <v>3</v>
      </c>
    </row>
    <row r="2836" spans="1:13" x14ac:dyDescent="0.25">
      <c r="A2836" s="13" t="s">
        <v>6890</v>
      </c>
      <c r="B2836" s="13" t="s">
        <v>6890</v>
      </c>
      <c r="C2836" s="13" t="s">
        <v>6891</v>
      </c>
      <c r="D2836" s="13">
        <v>49.9</v>
      </c>
      <c r="E2836" s="13" t="s">
        <v>6892</v>
      </c>
      <c r="F2836" s="13" t="s">
        <v>8876</v>
      </c>
      <c r="G2836" s="13" t="s">
        <v>2</v>
      </c>
      <c r="H2836" s="13" t="s">
        <v>3</v>
      </c>
      <c r="I2836" s="13" t="s">
        <v>447</v>
      </c>
      <c r="J2836" s="13" t="s">
        <v>8890</v>
      </c>
      <c r="K2836" s="13" t="s">
        <v>8421</v>
      </c>
      <c r="L2836" s="13" t="s">
        <v>9244</v>
      </c>
      <c r="M2836" t="s">
        <v>3</v>
      </c>
    </row>
    <row r="2837" spans="1:13" ht="26.25" x14ac:dyDescent="0.25">
      <c r="A2837" s="13" t="s">
        <v>6893</v>
      </c>
      <c r="B2837" s="13" t="s">
        <v>6893</v>
      </c>
      <c r="C2837" s="13" t="s">
        <v>6894</v>
      </c>
      <c r="D2837" s="13">
        <v>1</v>
      </c>
      <c r="E2837" s="13" t="s">
        <v>6895</v>
      </c>
      <c r="F2837" s="13" t="s">
        <v>8860</v>
      </c>
      <c r="G2837" s="13" t="s">
        <v>19</v>
      </c>
      <c r="H2837" s="13" t="s">
        <v>3</v>
      </c>
      <c r="I2837" s="13" t="s">
        <v>806</v>
      </c>
      <c r="J2837" s="13" t="s">
        <v>21</v>
      </c>
      <c r="K2837" s="13" t="s">
        <v>8511</v>
      </c>
      <c r="L2837" s="13" t="s">
        <v>18</v>
      </c>
      <c r="M2837" t="s">
        <v>3</v>
      </c>
    </row>
    <row r="2838" spans="1:13" ht="26.25" x14ac:dyDescent="0.25">
      <c r="A2838" s="13" t="s">
        <v>6896</v>
      </c>
      <c r="B2838" s="13" t="s">
        <v>6897</v>
      </c>
      <c r="C2838" s="13" t="s">
        <v>6898</v>
      </c>
      <c r="D2838" s="13">
        <v>0.1</v>
      </c>
      <c r="E2838" s="13" t="s">
        <v>6899</v>
      </c>
      <c r="F2838" s="13" t="s">
        <v>35</v>
      </c>
      <c r="G2838" s="13" t="s">
        <v>19</v>
      </c>
      <c r="H2838" s="13" t="s">
        <v>3</v>
      </c>
      <c r="I2838" s="13" t="s">
        <v>6897</v>
      </c>
      <c r="J2838" s="13" t="s">
        <v>37</v>
      </c>
      <c r="K2838" s="13" t="s">
        <v>9445</v>
      </c>
      <c r="L2838" s="13" t="s">
        <v>35</v>
      </c>
      <c r="M2838" t="s">
        <v>3</v>
      </c>
    </row>
    <row r="2839" spans="1:13" ht="26.25" x14ac:dyDescent="0.25">
      <c r="A2839" s="13" t="s">
        <v>6900</v>
      </c>
      <c r="B2839" s="13" t="s">
        <v>6901</v>
      </c>
      <c r="C2839" s="13" t="s">
        <v>6902</v>
      </c>
      <c r="D2839" s="13">
        <v>0.1</v>
      </c>
      <c r="E2839" s="13" t="s">
        <v>6903</v>
      </c>
      <c r="F2839" s="13" t="s">
        <v>8860</v>
      </c>
      <c r="G2839" s="13" t="s">
        <v>19</v>
      </c>
      <c r="H2839" s="13" t="s">
        <v>3</v>
      </c>
      <c r="I2839" s="13" t="s">
        <v>6904</v>
      </c>
      <c r="J2839" s="13" t="s">
        <v>21</v>
      </c>
      <c r="K2839" s="13" t="s">
        <v>8805</v>
      </c>
      <c r="L2839" s="13" t="s">
        <v>18</v>
      </c>
      <c r="M2839" t="s">
        <v>3</v>
      </c>
    </row>
    <row r="2840" spans="1:13" x14ac:dyDescent="0.25">
      <c r="A2840" s="13" t="s">
        <v>6905</v>
      </c>
      <c r="B2840" s="13" t="s">
        <v>6905</v>
      </c>
      <c r="C2840" s="13" t="s">
        <v>6906</v>
      </c>
      <c r="D2840" s="13">
        <v>11</v>
      </c>
      <c r="E2840" s="13" t="s">
        <v>6907</v>
      </c>
      <c r="F2840" s="13" t="s">
        <v>8876</v>
      </c>
      <c r="G2840" s="13" t="s">
        <v>2</v>
      </c>
      <c r="H2840" s="13" t="s">
        <v>3</v>
      </c>
      <c r="I2840" s="13" t="s">
        <v>447</v>
      </c>
      <c r="J2840" s="13" t="s">
        <v>8890</v>
      </c>
      <c r="K2840" s="13" t="s">
        <v>8421</v>
      </c>
      <c r="L2840" s="13" t="s">
        <v>9244</v>
      </c>
      <c r="M2840" t="s">
        <v>3</v>
      </c>
    </row>
    <row r="2841" spans="1:13" x14ac:dyDescent="0.25">
      <c r="A2841" s="13" t="s">
        <v>6908</v>
      </c>
      <c r="B2841" s="13" t="s">
        <v>6908</v>
      </c>
      <c r="C2841" s="13" t="s">
        <v>6909</v>
      </c>
      <c r="D2841" s="13">
        <v>20</v>
      </c>
      <c r="E2841" s="13" t="s">
        <v>6910</v>
      </c>
      <c r="F2841" s="13" t="s">
        <v>8876</v>
      </c>
      <c r="G2841" s="13" t="s">
        <v>2</v>
      </c>
      <c r="H2841" s="13" t="s">
        <v>3</v>
      </c>
      <c r="I2841" s="13" t="s">
        <v>447</v>
      </c>
      <c r="J2841" s="13" t="s">
        <v>8890</v>
      </c>
      <c r="K2841" s="13" t="s">
        <v>8421</v>
      </c>
      <c r="L2841" s="13" t="s">
        <v>9244</v>
      </c>
      <c r="M2841" t="s">
        <v>3</v>
      </c>
    </row>
    <row r="2842" spans="1:13" x14ac:dyDescent="0.25">
      <c r="A2842" s="13" t="s">
        <v>6911</v>
      </c>
      <c r="B2842" s="13" t="s">
        <v>6911</v>
      </c>
      <c r="C2842" s="13" t="s">
        <v>6912</v>
      </c>
      <c r="D2842" s="13">
        <v>50</v>
      </c>
      <c r="E2842" s="13" t="s">
        <v>6913</v>
      </c>
      <c r="F2842" s="13" t="s">
        <v>8876</v>
      </c>
      <c r="G2842" s="13" t="s">
        <v>2</v>
      </c>
      <c r="H2842" s="13" t="s">
        <v>3</v>
      </c>
      <c r="I2842" s="13" t="s">
        <v>447</v>
      </c>
      <c r="J2842" s="13" t="s">
        <v>8890</v>
      </c>
      <c r="K2842" s="13" t="s">
        <v>8421</v>
      </c>
      <c r="L2842" s="13" t="s">
        <v>9244</v>
      </c>
      <c r="M2842" t="s">
        <v>3</v>
      </c>
    </row>
    <row r="2843" spans="1:13" x14ac:dyDescent="0.25">
      <c r="A2843" s="13" t="s">
        <v>6914</v>
      </c>
      <c r="B2843" s="13" t="s">
        <v>6914</v>
      </c>
      <c r="C2843" s="13" t="s">
        <v>6915</v>
      </c>
      <c r="D2843" s="13">
        <v>50</v>
      </c>
      <c r="E2843" s="13" t="s">
        <v>6916</v>
      </c>
      <c r="F2843" s="13" t="s">
        <v>8876</v>
      </c>
      <c r="G2843" s="13" t="s">
        <v>2</v>
      </c>
      <c r="H2843" s="13" t="s">
        <v>3</v>
      </c>
      <c r="I2843" s="13" t="s">
        <v>447</v>
      </c>
      <c r="J2843" s="13" t="s">
        <v>8890</v>
      </c>
      <c r="K2843" s="13" t="s">
        <v>8421</v>
      </c>
      <c r="L2843" s="13" t="s">
        <v>9244</v>
      </c>
      <c r="M2843" t="s">
        <v>3</v>
      </c>
    </row>
    <row r="2844" spans="1:13" x14ac:dyDescent="0.25">
      <c r="A2844" s="13" t="s">
        <v>6917</v>
      </c>
      <c r="B2844" s="13" t="s">
        <v>6917</v>
      </c>
      <c r="C2844" s="13" t="s">
        <v>6918</v>
      </c>
      <c r="D2844" s="13">
        <v>50</v>
      </c>
      <c r="E2844" s="13" t="s">
        <v>6919</v>
      </c>
      <c r="F2844" s="13" t="s">
        <v>8876</v>
      </c>
      <c r="G2844" s="13" t="s">
        <v>2</v>
      </c>
      <c r="H2844" s="13" t="s">
        <v>3</v>
      </c>
      <c r="I2844" s="13" t="s">
        <v>447</v>
      </c>
      <c r="J2844" s="13" t="s">
        <v>8890</v>
      </c>
      <c r="K2844" s="13" t="s">
        <v>8421</v>
      </c>
      <c r="L2844" s="13" t="s">
        <v>9244</v>
      </c>
      <c r="M2844" t="s">
        <v>3</v>
      </c>
    </row>
    <row r="2845" spans="1:13" x14ac:dyDescent="0.25">
      <c r="A2845" s="13" t="s">
        <v>6920</v>
      </c>
      <c r="B2845" s="13" t="s">
        <v>6920</v>
      </c>
      <c r="C2845" s="13" t="s">
        <v>6921</v>
      </c>
      <c r="D2845" s="13">
        <v>50</v>
      </c>
      <c r="E2845" s="13" t="s">
        <v>6922</v>
      </c>
      <c r="F2845" s="13" t="s">
        <v>8876</v>
      </c>
      <c r="G2845" s="13" t="s">
        <v>2</v>
      </c>
      <c r="H2845" s="13" t="s">
        <v>3</v>
      </c>
      <c r="I2845" s="13" t="s">
        <v>447</v>
      </c>
      <c r="J2845" s="13" t="s">
        <v>8890</v>
      </c>
      <c r="K2845" s="13" t="s">
        <v>8421</v>
      </c>
      <c r="L2845" s="13" t="s">
        <v>9244</v>
      </c>
      <c r="M2845" t="s">
        <v>3</v>
      </c>
    </row>
    <row r="2846" spans="1:13" x14ac:dyDescent="0.25">
      <c r="A2846" s="13" t="s">
        <v>6923</v>
      </c>
      <c r="B2846" s="13" t="s">
        <v>6923</v>
      </c>
      <c r="C2846" s="13" t="s">
        <v>6924</v>
      </c>
      <c r="D2846" s="13">
        <v>50</v>
      </c>
      <c r="E2846" s="13" t="s">
        <v>6925</v>
      </c>
      <c r="F2846" s="13" t="s">
        <v>8876</v>
      </c>
      <c r="G2846" s="13" t="s">
        <v>2</v>
      </c>
      <c r="H2846" s="13" t="s">
        <v>3</v>
      </c>
      <c r="I2846" s="13" t="s">
        <v>447</v>
      </c>
      <c r="J2846" s="13" t="s">
        <v>8890</v>
      </c>
      <c r="K2846" s="13" t="s">
        <v>8421</v>
      </c>
      <c r="L2846" s="13" t="s">
        <v>9244</v>
      </c>
      <c r="M2846" t="s">
        <v>3</v>
      </c>
    </row>
    <row r="2847" spans="1:13" x14ac:dyDescent="0.25">
      <c r="A2847" s="13" t="s">
        <v>6926</v>
      </c>
      <c r="B2847" s="13" t="s">
        <v>6926</v>
      </c>
      <c r="C2847" s="13" t="s">
        <v>6927</v>
      </c>
      <c r="D2847" s="13">
        <v>50</v>
      </c>
      <c r="E2847" s="13" t="s">
        <v>6928</v>
      </c>
      <c r="F2847" s="13" t="s">
        <v>8876</v>
      </c>
      <c r="G2847" s="13" t="s">
        <v>2</v>
      </c>
      <c r="H2847" s="13" t="s">
        <v>3</v>
      </c>
      <c r="I2847" s="13" t="s">
        <v>447</v>
      </c>
      <c r="J2847" s="13" t="s">
        <v>8890</v>
      </c>
      <c r="K2847" s="13" t="s">
        <v>8421</v>
      </c>
      <c r="L2847" s="13" t="s">
        <v>9244</v>
      </c>
      <c r="M2847" t="s">
        <v>3</v>
      </c>
    </row>
    <row r="2848" spans="1:13" x14ac:dyDescent="0.25">
      <c r="A2848" s="13" t="s">
        <v>6929</v>
      </c>
      <c r="B2848" s="13" t="s">
        <v>6929</v>
      </c>
      <c r="C2848" s="13" t="s">
        <v>6930</v>
      </c>
      <c r="D2848" s="13">
        <v>50</v>
      </c>
      <c r="E2848" s="13" t="s">
        <v>6931</v>
      </c>
      <c r="F2848" s="13" t="s">
        <v>8876</v>
      </c>
      <c r="G2848" s="13" t="s">
        <v>2</v>
      </c>
      <c r="H2848" s="13" t="s">
        <v>3</v>
      </c>
      <c r="I2848" s="13" t="s">
        <v>447</v>
      </c>
      <c r="J2848" s="13" t="s">
        <v>8890</v>
      </c>
      <c r="K2848" s="13" t="s">
        <v>8421</v>
      </c>
      <c r="L2848" s="13" t="s">
        <v>9244</v>
      </c>
      <c r="M2848" t="s">
        <v>3</v>
      </c>
    </row>
    <row r="2849" spans="1:13" x14ac:dyDescent="0.25">
      <c r="A2849" s="13" t="s">
        <v>6932</v>
      </c>
      <c r="B2849" s="13" t="s">
        <v>6932</v>
      </c>
      <c r="C2849" s="13" t="s">
        <v>6933</v>
      </c>
      <c r="D2849" s="13">
        <v>50</v>
      </c>
      <c r="E2849" s="13" t="s">
        <v>6934</v>
      </c>
      <c r="F2849" s="13" t="s">
        <v>8876</v>
      </c>
      <c r="G2849" s="13" t="s">
        <v>2</v>
      </c>
      <c r="H2849" s="13" t="s">
        <v>3</v>
      </c>
      <c r="I2849" s="13" t="s">
        <v>447</v>
      </c>
      <c r="J2849" s="13" t="s">
        <v>8890</v>
      </c>
      <c r="K2849" s="13" t="s">
        <v>8421</v>
      </c>
      <c r="L2849" s="13" t="s">
        <v>9244</v>
      </c>
      <c r="M2849" t="s">
        <v>3</v>
      </c>
    </row>
    <row r="2850" spans="1:13" x14ac:dyDescent="0.25">
      <c r="A2850" s="13" t="s">
        <v>6935</v>
      </c>
      <c r="B2850" s="13" t="s">
        <v>6935</v>
      </c>
      <c r="C2850" s="13" t="s">
        <v>6936</v>
      </c>
      <c r="D2850" s="14">
        <v>50</v>
      </c>
      <c r="E2850" s="13" t="s">
        <v>6937</v>
      </c>
      <c r="F2850" s="13" t="s">
        <v>8876</v>
      </c>
      <c r="G2850" s="13" t="s">
        <v>2</v>
      </c>
      <c r="H2850" s="13" t="s">
        <v>3</v>
      </c>
      <c r="I2850" s="13" t="s">
        <v>447</v>
      </c>
      <c r="J2850" s="13" t="s">
        <v>8890</v>
      </c>
      <c r="K2850" s="13" t="s">
        <v>8421</v>
      </c>
      <c r="L2850" s="13" t="s">
        <v>9244</v>
      </c>
      <c r="M2850" t="s">
        <v>3</v>
      </c>
    </row>
    <row r="2851" spans="1:13" ht="26.25" x14ac:dyDescent="0.25">
      <c r="A2851" s="13" t="s">
        <v>6938</v>
      </c>
      <c r="B2851" s="13" t="s">
        <v>6938</v>
      </c>
      <c r="C2851" s="13" t="s">
        <v>6939</v>
      </c>
      <c r="D2851" s="13">
        <v>49.9</v>
      </c>
      <c r="E2851" s="13" t="s">
        <v>6940</v>
      </c>
      <c r="F2851" s="13" t="s">
        <v>8876</v>
      </c>
      <c r="G2851" s="13" t="s">
        <v>2</v>
      </c>
      <c r="H2851" s="13" t="s">
        <v>3</v>
      </c>
      <c r="I2851" s="13" t="s">
        <v>1263</v>
      </c>
      <c r="J2851" s="13" t="s">
        <v>8890</v>
      </c>
      <c r="K2851" s="13" t="s">
        <v>8422</v>
      </c>
      <c r="L2851" s="13" t="s">
        <v>9244</v>
      </c>
      <c r="M2851" t="s">
        <v>3</v>
      </c>
    </row>
    <row r="2852" spans="1:13" x14ac:dyDescent="0.25">
      <c r="A2852" s="13" t="s">
        <v>6941</v>
      </c>
      <c r="B2852" s="13" t="s">
        <v>6941</v>
      </c>
      <c r="C2852" s="13" t="s">
        <v>6942</v>
      </c>
      <c r="D2852" s="13">
        <v>30</v>
      </c>
      <c r="E2852" s="13" t="s">
        <v>6942</v>
      </c>
      <c r="F2852" s="13" t="s">
        <v>8876</v>
      </c>
      <c r="G2852" s="13" t="s">
        <v>2</v>
      </c>
      <c r="H2852" s="13" t="s">
        <v>3</v>
      </c>
      <c r="I2852" s="13" t="s">
        <v>447</v>
      </c>
      <c r="J2852" s="13" t="s">
        <v>8890</v>
      </c>
      <c r="K2852" s="13" t="s">
        <v>8421</v>
      </c>
      <c r="L2852" s="13" t="s">
        <v>9244</v>
      </c>
      <c r="M2852" t="s">
        <v>3</v>
      </c>
    </row>
    <row r="2853" spans="1:13" x14ac:dyDescent="0.25">
      <c r="A2853" s="13" t="s">
        <v>6943</v>
      </c>
      <c r="B2853" s="13" t="s">
        <v>6943</v>
      </c>
      <c r="C2853" s="13" t="s">
        <v>6944</v>
      </c>
      <c r="D2853" s="13">
        <v>49.9</v>
      </c>
      <c r="E2853" s="13" t="s">
        <v>6945</v>
      </c>
      <c r="F2853" s="13" t="s">
        <v>8876</v>
      </c>
      <c r="G2853" s="13" t="s">
        <v>2</v>
      </c>
      <c r="H2853" s="13" t="s">
        <v>3</v>
      </c>
      <c r="I2853" s="13" t="s">
        <v>1263</v>
      </c>
      <c r="J2853" s="13" t="s">
        <v>8890</v>
      </c>
      <c r="K2853" s="13" t="s">
        <v>8422</v>
      </c>
      <c r="L2853" s="13" t="s">
        <v>9244</v>
      </c>
      <c r="M2853" t="s">
        <v>3</v>
      </c>
    </row>
    <row r="2854" spans="1:13" ht="26.25" x14ac:dyDescent="0.25">
      <c r="A2854" s="13" t="s">
        <v>6946</v>
      </c>
      <c r="B2854" s="13" t="s">
        <v>6947</v>
      </c>
      <c r="C2854" s="13" t="s">
        <v>6948</v>
      </c>
      <c r="D2854" s="13">
        <v>3</v>
      </c>
      <c r="E2854" s="13" t="s">
        <v>6949</v>
      </c>
      <c r="F2854" s="13" t="s">
        <v>8860</v>
      </c>
      <c r="G2854" s="13" t="s">
        <v>19</v>
      </c>
      <c r="H2854" s="13" t="s">
        <v>3</v>
      </c>
      <c r="I2854" s="13" t="s">
        <v>6947</v>
      </c>
      <c r="J2854" s="13" t="s">
        <v>21</v>
      </c>
      <c r="K2854" s="13" t="s">
        <v>6948</v>
      </c>
      <c r="L2854" s="13" t="s">
        <v>18</v>
      </c>
      <c r="M2854" t="s">
        <v>3</v>
      </c>
    </row>
    <row r="2855" spans="1:13" ht="26.25" x14ac:dyDescent="0.25">
      <c r="A2855" s="13" t="s">
        <v>6950</v>
      </c>
      <c r="B2855" s="13" t="s">
        <v>6951</v>
      </c>
      <c r="C2855" s="13" t="s">
        <v>6952</v>
      </c>
      <c r="D2855" s="13">
        <v>0.7</v>
      </c>
      <c r="E2855" s="13" t="s">
        <v>6953</v>
      </c>
      <c r="F2855" s="13" t="s">
        <v>35</v>
      </c>
      <c r="G2855" s="13" t="s">
        <v>19</v>
      </c>
      <c r="H2855" s="13" t="s">
        <v>3</v>
      </c>
      <c r="I2855" s="13" t="s">
        <v>6954</v>
      </c>
      <c r="J2855" s="13" t="s">
        <v>37</v>
      </c>
      <c r="K2855" s="13" t="s">
        <v>6951</v>
      </c>
      <c r="L2855" s="13" t="s">
        <v>35</v>
      </c>
      <c r="M2855" t="s">
        <v>3</v>
      </c>
    </row>
    <row r="2856" spans="1:13" ht="26.25" x14ac:dyDescent="0.25">
      <c r="A2856" s="13" t="s">
        <v>6955</v>
      </c>
      <c r="B2856" s="13" t="s">
        <v>6956</v>
      </c>
      <c r="C2856" s="13" t="s">
        <v>6957</v>
      </c>
      <c r="D2856" s="13">
        <v>0.6</v>
      </c>
      <c r="E2856" s="13" t="s">
        <v>6958</v>
      </c>
      <c r="F2856" s="13" t="s">
        <v>8860</v>
      </c>
      <c r="G2856" s="13" t="s">
        <v>19</v>
      </c>
      <c r="H2856" s="13" t="s">
        <v>3</v>
      </c>
      <c r="I2856" s="13" t="s">
        <v>6956</v>
      </c>
      <c r="J2856" s="13" t="s">
        <v>21</v>
      </c>
      <c r="K2856" s="13" t="s">
        <v>8806</v>
      </c>
      <c r="L2856" s="13" t="s">
        <v>18</v>
      </c>
      <c r="M2856" t="s">
        <v>3</v>
      </c>
    </row>
    <row r="2857" spans="1:13" ht="26.25" x14ac:dyDescent="0.25">
      <c r="A2857" s="13" t="s">
        <v>6959</v>
      </c>
      <c r="B2857" s="13" t="s">
        <v>6960</v>
      </c>
      <c r="C2857" s="13" t="s">
        <v>6961</v>
      </c>
      <c r="D2857" s="13">
        <v>0.1</v>
      </c>
      <c r="E2857" s="13" t="s">
        <v>6962</v>
      </c>
      <c r="F2857" s="13" t="s">
        <v>8860</v>
      </c>
      <c r="G2857" s="13" t="s">
        <v>19</v>
      </c>
      <c r="H2857" s="13" t="s">
        <v>3</v>
      </c>
      <c r="I2857" s="13" t="s">
        <v>6963</v>
      </c>
      <c r="J2857" s="13" t="s">
        <v>21</v>
      </c>
      <c r="K2857" s="13" t="s">
        <v>8807</v>
      </c>
      <c r="L2857" s="13" t="s">
        <v>18</v>
      </c>
      <c r="M2857" t="s">
        <v>3</v>
      </c>
    </row>
    <row r="2858" spans="1:13" ht="26.25" x14ac:dyDescent="0.25">
      <c r="A2858" s="13" t="s">
        <v>6964</v>
      </c>
      <c r="B2858" s="13" t="s">
        <v>6965</v>
      </c>
      <c r="C2858" s="13" t="s">
        <v>6966</v>
      </c>
      <c r="D2858" s="13">
        <v>0.1</v>
      </c>
      <c r="E2858" s="13" t="s">
        <v>6967</v>
      </c>
      <c r="F2858" s="13" t="s">
        <v>8860</v>
      </c>
      <c r="G2858" s="13" t="s">
        <v>19</v>
      </c>
      <c r="H2858" s="13" t="s">
        <v>3</v>
      </c>
      <c r="I2858" s="13" t="s">
        <v>6968</v>
      </c>
      <c r="J2858" s="13" t="s">
        <v>21</v>
      </c>
      <c r="K2858" s="13" t="s">
        <v>8808</v>
      </c>
      <c r="L2858" s="13" t="s">
        <v>18</v>
      </c>
      <c r="M2858" t="s">
        <v>3</v>
      </c>
    </row>
    <row r="2859" spans="1:13" ht="26.25" x14ac:dyDescent="0.25">
      <c r="A2859" s="13" t="s">
        <v>6969</v>
      </c>
      <c r="B2859" s="13" t="s">
        <v>6969</v>
      </c>
      <c r="C2859" s="13" t="s">
        <v>201</v>
      </c>
      <c r="D2859" s="13">
        <v>1</v>
      </c>
      <c r="E2859" s="13" t="s">
        <v>6970</v>
      </c>
      <c r="F2859" s="13" t="s">
        <v>8860</v>
      </c>
      <c r="G2859" s="13" t="s">
        <v>19</v>
      </c>
      <c r="H2859" s="13" t="s">
        <v>3</v>
      </c>
      <c r="I2859" s="13" t="s">
        <v>6971</v>
      </c>
      <c r="J2859" s="13" t="s">
        <v>21</v>
      </c>
      <c r="K2859" s="13" t="s">
        <v>6971</v>
      </c>
      <c r="L2859" s="13" t="s">
        <v>18</v>
      </c>
      <c r="M2859" t="s">
        <v>3</v>
      </c>
    </row>
    <row r="2860" spans="1:13" ht="26.25" x14ac:dyDescent="0.25">
      <c r="A2860" s="13" t="s">
        <v>6972</v>
      </c>
      <c r="B2860" s="13" t="s">
        <v>6973</v>
      </c>
      <c r="C2860" s="13" t="s">
        <v>6974</v>
      </c>
      <c r="D2860" s="13">
        <v>0.1</v>
      </c>
      <c r="E2860" s="13" t="s">
        <v>6975</v>
      </c>
      <c r="F2860" s="13" t="s">
        <v>8860</v>
      </c>
      <c r="G2860" s="13" t="s">
        <v>19</v>
      </c>
      <c r="H2860" s="13" t="s">
        <v>3</v>
      </c>
      <c r="I2860" s="13" t="s">
        <v>6976</v>
      </c>
      <c r="J2860" s="13" t="s">
        <v>21</v>
      </c>
      <c r="K2860" s="13" t="s">
        <v>6974</v>
      </c>
      <c r="L2860" s="13" t="s">
        <v>18</v>
      </c>
      <c r="M2860" t="s">
        <v>3</v>
      </c>
    </row>
    <row r="2861" spans="1:13" ht="26.25" x14ac:dyDescent="0.25">
      <c r="A2861" s="13" t="s">
        <v>6977</v>
      </c>
      <c r="B2861" s="13" t="s">
        <v>6978</v>
      </c>
      <c r="C2861" s="13" t="s">
        <v>6979</v>
      </c>
      <c r="D2861" s="13">
        <v>0.1</v>
      </c>
      <c r="E2861" s="13" t="s">
        <v>6980</v>
      </c>
      <c r="F2861" s="13" t="s">
        <v>8860</v>
      </c>
      <c r="G2861" s="13" t="s">
        <v>19</v>
      </c>
      <c r="H2861" s="13" t="s">
        <v>3</v>
      </c>
      <c r="I2861" s="13" t="s">
        <v>6981</v>
      </c>
      <c r="J2861" s="13" t="s">
        <v>21</v>
      </c>
      <c r="K2861" s="13" t="s">
        <v>8809</v>
      </c>
      <c r="L2861" s="13" t="s">
        <v>18</v>
      </c>
      <c r="M2861" t="s">
        <v>3</v>
      </c>
    </row>
    <row r="2862" spans="1:13" ht="26.25" x14ac:dyDescent="0.25">
      <c r="A2862" s="13" t="s">
        <v>6983</v>
      </c>
      <c r="B2862" s="13" t="s">
        <v>6984</v>
      </c>
      <c r="C2862" s="13" t="s">
        <v>6985</v>
      </c>
      <c r="D2862" s="13">
        <v>0.1</v>
      </c>
      <c r="E2862" s="13" t="s">
        <v>6986</v>
      </c>
      <c r="F2862" s="13" t="s">
        <v>8860</v>
      </c>
      <c r="G2862" s="13" t="s">
        <v>19</v>
      </c>
      <c r="H2862" s="13" t="s">
        <v>3</v>
      </c>
      <c r="I2862" s="13" t="s">
        <v>6982</v>
      </c>
      <c r="J2862" s="13" t="s">
        <v>21</v>
      </c>
      <c r="K2862" s="13" t="s">
        <v>6985</v>
      </c>
      <c r="L2862" s="13" t="s">
        <v>18</v>
      </c>
      <c r="M2862" t="s">
        <v>3</v>
      </c>
    </row>
    <row r="2863" spans="1:13" ht="26.25" x14ac:dyDescent="0.25">
      <c r="A2863" s="13" t="s">
        <v>6987</v>
      </c>
      <c r="B2863" s="13" t="s">
        <v>6987</v>
      </c>
      <c r="C2863" s="13" t="s">
        <v>9446</v>
      </c>
      <c r="D2863" s="13">
        <v>0</v>
      </c>
      <c r="E2863" s="13" t="s">
        <v>6988</v>
      </c>
      <c r="F2863" s="13" t="s">
        <v>8876</v>
      </c>
      <c r="G2863" s="13" t="s">
        <v>2</v>
      </c>
      <c r="H2863" s="13" t="s">
        <v>3</v>
      </c>
      <c r="I2863" s="13" t="s">
        <v>1562</v>
      </c>
      <c r="J2863" s="13" t="s">
        <v>8890</v>
      </c>
      <c r="K2863" s="13" t="s">
        <v>8423</v>
      </c>
      <c r="L2863" s="13" t="s">
        <v>9244</v>
      </c>
      <c r="M2863" t="s">
        <v>3</v>
      </c>
    </row>
    <row r="2864" spans="1:13" ht="26.25" x14ac:dyDescent="0.25">
      <c r="A2864" s="13" t="s">
        <v>6989</v>
      </c>
      <c r="B2864" s="13" t="s">
        <v>6989</v>
      </c>
      <c r="C2864" s="13" t="s">
        <v>6990</v>
      </c>
      <c r="D2864" s="13">
        <v>1</v>
      </c>
      <c r="E2864" s="13" t="s">
        <v>6991</v>
      </c>
      <c r="F2864" s="13" t="s">
        <v>8860</v>
      </c>
      <c r="G2864" s="13" t="s">
        <v>19</v>
      </c>
      <c r="H2864" s="13" t="s">
        <v>3</v>
      </c>
      <c r="I2864" s="13" t="s">
        <v>6992</v>
      </c>
      <c r="J2864" s="13" t="s">
        <v>21</v>
      </c>
      <c r="K2864" s="13" t="s">
        <v>8810</v>
      </c>
      <c r="L2864" s="13" t="s">
        <v>18</v>
      </c>
      <c r="M2864" t="s">
        <v>3</v>
      </c>
    </row>
    <row r="2865" spans="1:13" ht="26.25" x14ac:dyDescent="0.25">
      <c r="A2865" s="13" t="s">
        <v>6993</v>
      </c>
      <c r="B2865" s="13" t="s">
        <v>6993</v>
      </c>
      <c r="C2865" s="13" t="s">
        <v>6994</v>
      </c>
      <c r="D2865" s="13">
        <v>0</v>
      </c>
      <c r="E2865" s="13" t="s">
        <v>6995</v>
      </c>
      <c r="F2865" s="13" t="s">
        <v>8876</v>
      </c>
      <c r="G2865" s="13" t="s">
        <v>2</v>
      </c>
      <c r="H2865" s="13" t="s">
        <v>3</v>
      </c>
      <c r="I2865" s="13" t="s">
        <v>2280</v>
      </c>
      <c r="J2865" s="13" t="s">
        <v>8890</v>
      </c>
      <c r="K2865" s="13" t="s">
        <v>8596</v>
      </c>
      <c r="L2865" s="13" t="s">
        <v>9244</v>
      </c>
      <c r="M2865" t="s">
        <v>3</v>
      </c>
    </row>
    <row r="2866" spans="1:13" ht="26.25" x14ac:dyDescent="0.25">
      <c r="A2866" s="13" t="s">
        <v>6996</v>
      </c>
      <c r="B2866" s="13" t="s">
        <v>6996</v>
      </c>
      <c r="C2866" s="13" t="s">
        <v>6997</v>
      </c>
      <c r="D2866" s="13">
        <v>0</v>
      </c>
      <c r="E2866" s="13" t="s">
        <v>6998</v>
      </c>
      <c r="F2866" s="13" t="s">
        <v>8876</v>
      </c>
      <c r="G2866" s="13" t="s">
        <v>2</v>
      </c>
      <c r="H2866" s="13" t="s">
        <v>3</v>
      </c>
      <c r="I2866" s="13" t="s">
        <v>2688</v>
      </c>
      <c r="J2866" s="13" t="s">
        <v>8890</v>
      </c>
      <c r="K2866" s="13" t="s">
        <v>8430</v>
      </c>
      <c r="L2866" s="13" t="s">
        <v>9244</v>
      </c>
      <c r="M2866" t="s">
        <v>3</v>
      </c>
    </row>
    <row r="2867" spans="1:13" ht="26.25" x14ac:dyDescent="0.25">
      <c r="A2867" s="13" t="s">
        <v>6999</v>
      </c>
      <c r="B2867" s="13" t="s">
        <v>6999</v>
      </c>
      <c r="C2867" s="13" t="s">
        <v>7000</v>
      </c>
      <c r="D2867" s="13">
        <v>0</v>
      </c>
      <c r="E2867" s="13" t="s">
        <v>7001</v>
      </c>
      <c r="F2867" s="13" t="s">
        <v>8876</v>
      </c>
      <c r="G2867" s="13" t="s">
        <v>2</v>
      </c>
      <c r="H2867" s="13" t="s">
        <v>3</v>
      </c>
      <c r="I2867" s="13" t="s">
        <v>2349</v>
      </c>
      <c r="J2867" s="13" t="s">
        <v>8890</v>
      </c>
      <c r="K2867" s="13" t="s">
        <v>8599</v>
      </c>
      <c r="L2867" s="13" t="s">
        <v>9244</v>
      </c>
      <c r="M2867" t="s">
        <v>3</v>
      </c>
    </row>
    <row r="2868" spans="1:13" ht="26.25" x14ac:dyDescent="0.25">
      <c r="A2868" s="13" t="s">
        <v>7002</v>
      </c>
      <c r="B2868" s="13" t="s">
        <v>7002</v>
      </c>
      <c r="C2868" s="13" t="s">
        <v>9447</v>
      </c>
      <c r="D2868" s="13">
        <v>0</v>
      </c>
      <c r="E2868" s="13" t="s">
        <v>7003</v>
      </c>
      <c r="F2868" s="13" t="s">
        <v>8876</v>
      </c>
      <c r="G2868" s="13" t="s">
        <v>2</v>
      </c>
      <c r="H2868" s="13" t="s">
        <v>3</v>
      </c>
      <c r="I2868" s="13" t="s">
        <v>2356</v>
      </c>
      <c r="J2868" s="13" t="s">
        <v>8890</v>
      </c>
      <c r="K2868" s="13" t="s">
        <v>8429</v>
      </c>
      <c r="L2868" s="13" t="s">
        <v>9244</v>
      </c>
      <c r="M2868" t="s">
        <v>3</v>
      </c>
    </row>
    <row r="2869" spans="1:13" x14ac:dyDescent="0.25">
      <c r="A2869" s="13" t="s">
        <v>7004</v>
      </c>
      <c r="B2869" s="13" t="s">
        <v>7004</v>
      </c>
      <c r="C2869" s="13" t="s">
        <v>7005</v>
      </c>
      <c r="D2869" s="13">
        <v>10</v>
      </c>
      <c r="E2869" s="13" t="s">
        <v>7006</v>
      </c>
      <c r="F2869" s="13" t="s">
        <v>8865</v>
      </c>
      <c r="G2869" s="13" t="s">
        <v>2</v>
      </c>
      <c r="H2869" s="13" t="s">
        <v>9060</v>
      </c>
      <c r="I2869" s="13" t="s">
        <v>706</v>
      </c>
      <c r="J2869" s="13" t="s">
        <v>8890</v>
      </c>
      <c r="K2869" s="13" t="s">
        <v>8419</v>
      </c>
      <c r="L2869" s="13" t="s">
        <v>8901</v>
      </c>
      <c r="M2869" t="s">
        <v>9060</v>
      </c>
    </row>
    <row r="2870" spans="1:13" x14ac:dyDescent="0.25">
      <c r="A2870" s="13" t="s">
        <v>7007</v>
      </c>
      <c r="B2870" s="13" t="s">
        <v>7007</v>
      </c>
      <c r="C2870" s="13" t="s">
        <v>7008</v>
      </c>
      <c r="D2870" s="13">
        <v>6.3</v>
      </c>
      <c r="E2870" s="13" t="s">
        <v>7008</v>
      </c>
      <c r="F2870" s="13" t="s">
        <v>8865</v>
      </c>
      <c r="G2870" s="13" t="s">
        <v>2</v>
      </c>
      <c r="H2870" s="13" t="s">
        <v>3</v>
      </c>
      <c r="I2870" s="13" t="s">
        <v>447</v>
      </c>
      <c r="J2870" s="13" t="s">
        <v>8890</v>
      </c>
      <c r="K2870" s="13" t="s">
        <v>8421</v>
      </c>
      <c r="L2870" s="13" t="s">
        <v>8901</v>
      </c>
      <c r="M2870" t="s">
        <v>3</v>
      </c>
    </row>
    <row r="2871" spans="1:13" x14ac:dyDescent="0.25">
      <c r="A2871" s="13" t="s">
        <v>7009</v>
      </c>
      <c r="B2871" s="13" t="s">
        <v>7009</v>
      </c>
      <c r="C2871" s="13" t="s">
        <v>7010</v>
      </c>
      <c r="D2871" s="13">
        <v>32</v>
      </c>
      <c r="E2871" s="13" t="s">
        <v>7011</v>
      </c>
      <c r="F2871" s="13" t="s">
        <v>8865</v>
      </c>
      <c r="G2871" s="13" t="s">
        <v>2</v>
      </c>
      <c r="H2871" s="13" t="s">
        <v>3</v>
      </c>
      <c r="I2871" s="13" t="s">
        <v>115</v>
      </c>
      <c r="J2871" s="13" t="s">
        <v>8890</v>
      </c>
      <c r="K2871" s="13" t="s">
        <v>928</v>
      </c>
      <c r="L2871" s="13" t="s">
        <v>8901</v>
      </c>
      <c r="M2871" t="s">
        <v>3</v>
      </c>
    </row>
    <row r="2872" spans="1:13" x14ac:dyDescent="0.25">
      <c r="A2872" s="13" t="s">
        <v>7012</v>
      </c>
      <c r="B2872" s="13" t="s">
        <v>7012</v>
      </c>
      <c r="C2872" s="13" t="s">
        <v>7013</v>
      </c>
      <c r="D2872" s="13">
        <v>13.5</v>
      </c>
      <c r="E2872" s="13" t="s">
        <v>7014</v>
      </c>
      <c r="F2872" s="13" t="s">
        <v>8865</v>
      </c>
      <c r="G2872" s="13" t="s">
        <v>2</v>
      </c>
      <c r="H2872" s="13" t="s">
        <v>3</v>
      </c>
      <c r="I2872" s="13" t="s">
        <v>115</v>
      </c>
      <c r="J2872" s="13" t="s">
        <v>8890</v>
      </c>
      <c r="K2872" s="13" t="s">
        <v>928</v>
      </c>
      <c r="L2872" s="13" t="s">
        <v>8901</v>
      </c>
      <c r="M2872" t="s">
        <v>3</v>
      </c>
    </row>
    <row r="2873" spans="1:13" x14ac:dyDescent="0.25">
      <c r="A2873" s="13" t="s">
        <v>7015</v>
      </c>
      <c r="B2873" s="13" t="s">
        <v>7015</v>
      </c>
      <c r="C2873" s="13" t="s">
        <v>7016</v>
      </c>
      <c r="D2873" s="13">
        <v>6.4</v>
      </c>
      <c r="E2873" s="13" t="s">
        <v>7017</v>
      </c>
      <c r="F2873" s="13" t="s">
        <v>8865</v>
      </c>
      <c r="G2873" s="13" t="s">
        <v>2</v>
      </c>
      <c r="H2873" s="13" t="s">
        <v>3</v>
      </c>
      <c r="I2873" s="13" t="s">
        <v>115</v>
      </c>
      <c r="J2873" s="13" t="s">
        <v>8890</v>
      </c>
      <c r="K2873" s="13" t="s">
        <v>928</v>
      </c>
      <c r="L2873" s="13" t="s">
        <v>8901</v>
      </c>
      <c r="M2873" t="s">
        <v>3</v>
      </c>
    </row>
    <row r="2874" spans="1:13" x14ac:dyDescent="0.25">
      <c r="A2874" s="13" t="s">
        <v>7018</v>
      </c>
      <c r="B2874" s="13" t="s">
        <v>7018</v>
      </c>
      <c r="C2874" s="13" t="s">
        <v>7019</v>
      </c>
      <c r="D2874" s="13">
        <v>6.4</v>
      </c>
      <c r="E2874" s="13" t="s">
        <v>7020</v>
      </c>
      <c r="F2874" s="13" t="s">
        <v>8865</v>
      </c>
      <c r="G2874" s="13" t="s">
        <v>2</v>
      </c>
      <c r="H2874" s="13" t="s">
        <v>3</v>
      </c>
      <c r="I2874" s="13" t="s">
        <v>115</v>
      </c>
      <c r="J2874" s="13" t="s">
        <v>8890</v>
      </c>
      <c r="K2874" s="13" t="s">
        <v>928</v>
      </c>
      <c r="L2874" s="13" t="s">
        <v>8901</v>
      </c>
      <c r="M2874" t="s">
        <v>3</v>
      </c>
    </row>
    <row r="2875" spans="1:13" x14ac:dyDescent="0.25">
      <c r="A2875" s="13" t="s">
        <v>7021</v>
      </c>
      <c r="B2875" s="13" t="s">
        <v>7021</v>
      </c>
      <c r="C2875" s="13" t="s">
        <v>7022</v>
      </c>
      <c r="D2875" s="13">
        <v>8.4</v>
      </c>
      <c r="E2875" s="13" t="s">
        <v>7023</v>
      </c>
      <c r="F2875" s="13" t="s">
        <v>8865</v>
      </c>
      <c r="G2875" s="13" t="s">
        <v>2</v>
      </c>
      <c r="H2875" s="13" t="s">
        <v>3</v>
      </c>
      <c r="I2875" s="13" t="s">
        <v>115</v>
      </c>
      <c r="J2875" s="13" t="s">
        <v>8890</v>
      </c>
      <c r="K2875" s="13" t="s">
        <v>928</v>
      </c>
      <c r="L2875" s="13" t="s">
        <v>8901</v>
      </c>
      <c r="M2875" t="s">
        <v>3</v>
      </c>
    </row>
    <row r="2876" spans="1:13" x14ac:dyDescent="0.25">
      <c r="A2876" s="13" t="s">
        <v>7024</v>
      </c>
      <c r="B2876" s="13" t="s">
        <v>7024</v>
      </c>
      <c r="C2876" s="13" t="s">
        <v>7025</v>
      </c>
      <c r="D2876" s="13">
        <v>4.4000000000000004</v>
      </c>
      <c r="E2876" s="13" t="s">
        <v>7026</v>
      </c>
      <c r="F2876" s="13" t="s">
        <v>8865</v>
      </c>
      <c r="G2876" s="13" t="s">
        <v>2</v>
      </c>
      <c r="H2876" s="13" t="s">
        <v>3</v>
      </c>
      <c r="I2876" s="13" t="s">
        <v>115</v>
      </c>
      <c r="J2876" s="13" t="s">
        <v>8890</v>
      </c>
      <c r="K2876" s="13" t="s">
        <v>928</v>
      </c>
      <c r="L2876" s="13" t="s">
        <v>8901</v>
      </c>
      <c r="M2876" t="s">
        <v>3</v>
      </c>
    </row>
    <row r="2877" spans="1:13" x14ac:dyDescent="0.25">
      <c r="A2877" s="13" t="s">
        <v>7027</v>
      </c>
      <c r="B2877" s="13" t="s">
        <v>7028</v>
      </c>
      <c r="C2877" s="13" t="s">
        <v>7029</v>
      </c>
      <c r="D2877" s="13">
        <v>11.5</v>
      </c>
      <c r="E2877" s="13" t="s">
        <v>7030</v>
      </c>
      <c r="F2877" s="13" t="s">
        <v>8862</v>
      </c>
      <c r="G2877" s="13" t="s">
        <v>2</v>
      </c>
      <c r="H2877" s="13" t="s">
        <v>3</v>
      </c>
      <c r="I2877" s="13" t="s">
        <v>1562</v>
      </c>
      <c r="J2877" s="13" t="s">
        <v>8890</v>
      </c>
      <c r="K2877" s="13" t="s">
        <v>8423</v>
      </c>
      <c r="L2877" s="13" t="s">
        <v>8892</v>
      </c>
      <c r="M2877" t="s">
        <v>3</v>
      </c>
    </row>
    <row r="2878" spans="1:13" x14ac:dyDescent="0.25">
      <c r="A2878" s="13" t="s">
        <v>7031</v>
      </c>
      <c r="B2878" s="13" t="s">
        <v>7032</v>
      </c>
      <c r="C2878" s="13" t="s">
        <v>7033</v>
      </c>
      <c r="D2878" s="13">
        <v>49.9</v>
      </c>
      <c r="E2878" s="13" t="s">
        <v>7034</v>
      </c>
      <c r="F2878" s="13" t="s">
        <v>8876</v>
      </c>
      <c r="G2878" s="13" t="s">
        <v>2</v>
      </c>
      <c r="H2878" s="13" t="s">
        <v>3</v>
      </c>
      <c r="I2878" s="13" t="s">
        <v>1978</v>
      </c>
      <c r="J2878" s="13" t="s">
        <v>8890</v>
      </c>
      <c r="K2878" s="13" t="s">
        <v>8570</v>
      </c>
      <c r="L2878" s="13" t="s">
        <v>9244</v>
      </c>
      <c r="M2878" t="s">
        <v>3</v>
      </c>
    </row>
    <row r="2879" spans="1:13" ht="26.25" x14ac:dyDescent="0.25">
      <c r="A2879" s="13" t="s">
        <v>7035</v>
      </c>
      <c r="B2879" s="13" t="s">
        <v>7036</v>
      </c>
      <c r="C2879" s="13" t="s">
        <v>7037</v>
      </c>
      <c r="D2879" s="13">
        <v>380</v>
      </c>
      <c r="E2879" s="13" t="s">
        <v>7038</v>
      </c>
      <c r="F2879" s="13" t="s">
        <v>8907</v>
      </c>
      <c r="G2879" s="13" t="s">
        <v>19</v>
      </c>
      <c r="H2879" s="13" t="s">
        <v>3</v>
      </c>
      <c r="I2879" s="13" t="s">
        <v>1224</v>
      </c>
      <c r="J2879" s="13" t="s">
        <v>144</v>
      </c>
      <c r="K2879" s="13" t="s">
        <v>8429</v>
      </c>
      <c r="L2879" s="13" t="s">
        <v>144</v>
      </c>
      <c r="M2879" t="s">
        <v>3</v>
      </c>
    </row>
    <row r="2880" spans="1:13" x14ac:dyDescent="0.25">
      <c r="A2880" s="13" t="s">
        <v>7039</v>
      </c>
      <c r="B2880" s="13" t="s">
        <v>7040</v>
      </c>
      <c r="C2880" s="13" t="s">
        <v>7041</v>
      </c>
      <c r="D2880" s="13">
        <v>2227.8000000000002</v>
      </c>
      <c r="E2880" s="13" t="s">
        <v>7042</v>
      </c>
      <c r="F2880" s="13" t="s">
        <v>8863</v>
      </c>
      <c r="G2880" s="13" t="s">
        <v>2</v>
      </c>
      <c r="H2880" s="13" t="s">
        <v>1224</v>
      </c>
      <c r="I2880" s="13" t="s">
        <v>1224</v>
      </c>
      <c r="J2880" s="13" t="s">
        <v>8890</v>
      </c>
      <c r="K2880" s="13" t="s">
        <v>8429</v>
      </c>
      <c r="L2880" s="13" t="s">
        <v>8893</v>
      </c>
      <c r="M2880" t="s">
        <v>10682</v>
      </c>
    </row>
    <row r="2881" spans="1:13" ht="26.25" x14ac:dyDescent="0.25">
      <c r="A2881" s="13" t="s">
        <v>7043</v>
      </c>
      <c r="B2881" s="13" t="s">
        <v>7044</v>
      </c>
      <c r="C2881" s="13" t="s">
        <v>7045</v>
      </c>
      <c r="D2881" s="13">
        <v>0.2</v>
      </c>
      <c r="E2881" s="13" t="s">
        <v>7046</v>
      </c>
      <c r="F2881" s="13" t="s">
        <v>8860</v>
      </c>
      <c r="G2881" s="13" t="s">
        <v>19</v>
      </c>
      <c r="H2881" s="13" t="s">
        <v>3</v>
      </c>
      <c r="I2881" s="13" t="s">
        <v>7047</v>
      </c>
      <c r="J2881" s="13" t="s">
        <v>21</v>
      </c>
      <c r="K2881" s="13" t="s">
        <v>8811</v>
      </c>
      <c r="L2881" s="13" t="s">
        <v>18</v>
      </c>
      <c r="M2881" t="s">
        <v>3</v>
      </c>
    </row>
    <row r="2882" spans="1:13" ht="26.25" x14ac:dyDescent="0.25">
      <c r="A2882" s="13" t="s">
        <v>7048</v>
      </c>
      <c r="B2882" s="13" t="s">
        <v>7049</v>
      </c>
      <c r="C2882" s="13" t="s">
        <v>7050</v>
      </c>
      <c r="D2882" s="13">
        <v>0.3</v>
      </c>
      <c r="E2882" s="13" t="s">
        <v>7051</v>
      </c>
      <c r="F2882" s="13" t="s">
        <v>35</v>
      </c>
      <c r="G2882" s="13" t="s">
        <v>19</v>
      </c>
      <c r="H2882" s="13" t="s">
        <v>3</v>
      </c>
      <c r="I2882" s="13" t="s">
        <v>7052</v>
      </c>
      <c r="J2882" s="13" t="s">
        <v>37</v>
      </c>
      <c r="K2882" s="13" t="s">
        <v>7050</v>
      </c>
      <c r="L2882" s="13" t="s">
        <v>35</v>
      </c>
      <c r="M2882" t="s">
        <v>3</v>
      </c>
    </row>
    <row r="2883" spans="1:13" x14ac:dyDescent="0.25">
      <c r="A2883" s="13" t="s">
        <v>7053</v>
      </c>
      <c r="B2883" s="13" t="s">
        <v>7053</v>
      </c>
      <c r="C2883" s="13" t="s">
        <v>7054</v>
      </c>
      <c r="D2883" s="13">
        <v>12</v>
      </c>
      <c r="E2883" s="13" t="s">
        <v>7055</v>
      </c>
      <c r="F2883" s="13" t="s">
        <v>8865</v>
      </c>
      <c r="G2883" s="13" t="s">
        <v>2</v>
      </c>
      <c r="H2883" s="13" t="s">
        <v>3</v>
      </c>
      <c r="I2883" s="13" t="s">
        <v>7056</v>
      </c>
      <c r="J2883" s="13" t="s">
        <v>8890</v>
      </c>
      <c r="K2883" s="13" t="s">
        <v>8812</v>
      </c>
      <c r="L2883" s="13" t="s">
        <v>8901</v>
      </c>
      <c r="M2883" t="s">
        <v>3</v>
      </c>
    </row>
    <row r="2884" spans="1:13" ht="26.25" x14ac:dyDescent="0.25">
      <c r="A2884" s="13" t="s">
        <v>7057</v>
      </c>
      <c r="B2884" s="13" t="s">
        <v>7058</v>
      </c>
      <c r="C2884" s="13" t="s">
        <v>7058</v>
      </c>
      <c r="D2884" s="13">
        <v>7.6</v>
      </c>
      <c r="E2884" s="13" t="s">
        <v>7059</v>
      </c>
      <c r="F2884" s="13" t="s">
        <v>8865</v>
      </c>
      <c r="G2884" s="13" t="s">
        <v>2</v>
      </c>
      <c r="H2884" s="13" t="s">
        <v>3</v>
      </c>
      <c r="I2884" s="13" t="s">
        <v>2465</v>
      </c>
      <c r="J2884" s="13" t="s">
        <v>8890</v>
      </c>
      <c r="K2884" s="13" t="s">
        <v>8605</v>
      </c>
      <c r="L2884" s="13" t="s">
        <v>8901</v>
      </c>
      <c r="M2884" t="s">
        <v>3</v>
      </c>
    </row>
    <row r="2885" spans="1:13" ht="26.25" x14ac:dyDescent="0.25">
      <c r="A2885" s="13" t="s">
        <v>7060</v>
      </c>
      <c r="B2885" s="13" t="s">
        <v>7061</v>
      </c>
      <c r="C2885" s="13" t="s">
        <v>7062</v>
      </c>
      <c r="D2885" s="13">
        <v>110</v>
      </c>
      <c r="E2885" s="13" t="s">
        <v>7063</v>
      </c>
      <c r="F2885" s="13" t="s">
        <v>8907</v>
      </c>
      <c r="G2885" s="13" t="s">
        <v>19</v>
      </c>
      <c r="H2885" s="13" t="s">
        <v>3</v>
      </c>
      <c r="I2885" s="13" t="s">
        <v>1366</v>
      </c>
      <c r="J2885" s="13" t="s">
        <v>144</v>
      </c>
      <c r="K2885" s="13" t="s">
        <v>8417</v>
      </c>
      <c r="L2885" s="13" t="s">
        <v>144</v>
      </c>
      <c r="M2885" t="s">
        <v>3</v>
      </c>
    </row>
    <row r="2886" spans="1:13" ht="26.25" x14ac:dyDescent="0.25">
      <c r="A2886" s="13" t="s">
        <v>7064</v>
      </c>
      <c r="B2886" s="13" t="s">
        <v>7065</v>
      </c>
      <c r="C2886" s="13" t="s">
        <v>7065</v>
      </c>
      <c r="D2886" s="13">
        <v>1</v>
      </c>
      <c r="E2886" s="13" t="s">
        <v>7066</v>
      </c>
      <c r="F2886" s="13" t="s">
        <v>8865</v>
      </c>
      <c r="G2886" s="13" t="s">
        <v>2</v>
      </c>
      <c r="H2886" s="13" t="s">
        <v>3</v>
      </c>
      <c r="I2886" s="13" t="s">
        <v>4</v>
      </c>
      <c r="J2886" s="13" t="s">
        <v>8890</v>
      </c>
      <c r="K2886" s="13" t="s">
        <v>8424</v>
      </c>
      <c r="L2886" s="13" t="s">
        <v>8901</v>
      </c>
      <c r="M2886" t="s">
        <v>3</v>
      </c>
    </row>
    <row r="2887" spans="1:13" x14ac:dyDescent="0.25">
      <c r="A2887" s="13" t="s">
        <v>7067</v>
      </c>
      <c r="B2887" s="13" t="s">
        <v>7068</v>
      </c>
      <c r="C2887" s="13" t="s">
        <v>7069</v>
      </c>
      <c r="D2887" s="13">
        <v>416.9</v>
      </c>
      <c r="E2887" s="13" t="s">
        <v>7070</v>
      </c>
      <c r="F2887" s="13" t="s">
        <v>8864</v>
      </c>
      <c r="G2887" s="13" t="s">
        <v>2</v>
      </c>
      <c r="H2887" s="13" t="s">
        <v>3</v>
      </c>
      <c r="I2887" s="13" t="s">
        <v>7071</v>
      </c>
      <c r="J2887" s="13" t="s">
        <v>8890</v>
      </c>
      <c r="K2887" s="13" t="s">
        <v>8813</v>
      </c>
      <c r="L2887" s="13" t="s">
        <v>56</v>
      </c>
      <c r="M2887" t="s">
        <v>3</v>
      </c>
    </row>
    <row r="2888" spans="1:13" x14ac:dyDescent="0.25">
      <c r="A2888" s="13" t="s">
        <v>7072</v>
      </c>
      <c r="B2888" s="13" t="s">
        <v>7072</v>
      </c>
      <c r="C2888" s="13" t="s">
        <v>7073</v>
      </c>
      <c r="D2888" s="13">
        <v>12.5</v>
      </c>
      <c r="E2888" s="13" t="s">
        <v>7073</v>
      </c>
      <c r="F2888" s="13" t="s">
        <v>8865</v>
      </c>
      <c r="G2888" s="13" t="s">
        <v>2</v>
      </c>
      <c r="H2888" s="13" t="s">
        <v>3</v>
      </c>
      <c r="I2888" s="13" t="s">
        <v>447</v>
      </c>
      <c r="J2888" s="13" t="s">
        <v>8890</v>
      </c>
      <c r="K2888" s="13" t="s">
        <v>8421</v>
      </c>
      <c r="L2888" s="13" t="s">
        <v>8901</v>
      </c>
      <c r="M2888" t="s">
        <v>3</v>
      </c>
    </row>
    <row r="2889" spans="1:13" x14ac:dyDescent="0.25">
      <c r="A2889" s="13" t="s">
        <v>7074</v>
      </c>
      <c r="B2889" s="13" t="s">
        <v>7074</v>
      </c>
      <c r="C2889" s="13" t="s">
        <v>7075</v>
      </c>
      <c r="D2889" s="13">
        <v>9.9</v>
      </c>
      <c r="E2889" s="13" t="s">
        <v>7076</v>
      </c>
      <c r="F2889" s="13" t="s">
        <v>8865</v>
      </c>
      <c r="G2889" s="13" t="s">
        <v>2</v>
      </c>
      <c r="H2889" s="13" t="s">
        <v>3</v>
      </c>
      <c r="I2889" s="13" t="s">
        <v>228</v>
      </c>
      <c r="J2889" s="13" t="s">
        <v>8890</v>
      </c>
      <c r="K2889" s="13" t="s">
        <v>8418</v>
      </c>
      <c r="L2889" s="13" t="s">
        <v>8901</v>
      </c>
      <c r="M2889" t="s">
        <v>3</v>
      </c>
    </row>
    <row r="2890" spans="1:13" x14ac:dyDescent="0.25">
      <c r="A2890" s="13" t="s">
        <v>7077</v>
      </c>
      <c r="B2890" s="13" t="s">
        <v>7077</v>
      </c>
      <c r="C2890" s="13" t="s">
        <v>7078</v>
      </c>
      <c r="D2890" s="13">
        <v>13.1</v>
      </c>
      <c r="E2890" s="13" t="s">
        <v>7079</v>
      </c>
      <c r="F2890" s="13" t="s">
        <v>8861</v>
      </c>
      <c r="G2890" s="13" t="s">
        <v>2</v>
      </c>
      <c r="H2890" s="13" t="s">
        <v>3</v>
      </c>
      <c r="I2890" s="13" t="s">
        <v>706</v>
      </c>
      <c r="J2890" s="13" t="s">
        <v>8890</v>
      </c>
      <c r="K2890" s="13" t="s">
        <v>8419</v>
      </c>
      <c r="L2890" s="13" t="s">
        <v>8891</v>
      </c>
      <c r="M2890" t="s">
        <v>3</v>
      </c>
    </row>
    <row r="2891" spans="1:13" x14ac:dyDescent="0.25">
      <c r="A2891" s="13" t="s">
        <v>11119</v>
      </c>
      <c r="B2891" s="13" t="s">
        <v>11119</v>
      </c>
      <c r="C2891" s="13" t="s">
        <v>11120</v>
      </c>
      <c r="D2891" s="13">
        <v>23.4</v>
      </c>
      <c r="E2891" s="13" t="s">
        <v>11121</v>
      </c>
      <c r="F2891" s="13" t="s">
        <v>8865</v>
      </c>
      <c r="G2891" s="13" t="s">
        <v>2</v>
      </c>
      <c r="H2891" s="13" t="s">
        <v>3</v>
      </c>
      <c r="I2891" s="13" t="s">
        <v>426</v>
      </c>
      <c r="J2891" s="13" t="s">
        <v>8890</v>
      </c>
      <c r="K2891" s="13" t="s">
        <v>8468</v>
      </c>
      <c r="L2891" s="13" t="s">
        <v>8901</v>
      </c>
      <c r="M2891" t="s">
        <v>3</v>
      </c>
    </row>
    <row r="2892" spans="1:13" x14ac:dyDescent="0.25">
      <c r="A2892" s="13" t="s">
        <v>7080</v>
      </c>
      <c r="B2892" s="13" t="s">
        <v>7080</v>
      </c>
      <c r="C2892" s="13" t="s">
        <v>7081</v>
      </c>
      <c r="D2892" s="13">
        <v>17.8</v>
      </c>
      <c r="E2892" s="13" t="s">
        <v>7081</v>
      </c>
      <c r="F2892" s="13" t="s">
        <v>8865</v>
      </c>
      <c r="G2892" s="13" t="s">
        <v>2</v>
      </c>
      <c r="H2892" s="13" t="s">
        <v>3</v>
      </c>
      <c r="I2892" s="13" t="s">
        <v>447</v>
      </c>
      <c r="J2892" s="13" t="s">
        <v>8890</v>
      </c>
      <c r="K2892" s="13" t="s">
        <v>8421</v>
      </c>
      <c r="L2892" s="13" t="s">
        <v>8901</v>
      </c>
      <c r="M2892" t="s">
        <v>3</v>
      </c>
    </row>
    <row r="2893" spans="1:13" ht="26.25" x14ac:dyDescent="0.25">
      <c r="A2893" s="13" t="s">
        <v>7082</v>
      </c>
      <c r="B2893" s="13" t="s">
        <v>7083</v>
      </c>
      <c r="C2893" s="13" t="s">
        <v>7084</v>
      </c>
      <c r="D2893" s="13">
        <v>0.1</v>
      </c>
      <c r="E2893" s="13" t="s">
        <v>7085</v>
      </c>
      <c r="F2893" s="13" t="s">
        <v>8860</v>
      </c>
      <c r="G2893" s="13" t="s">
        <v>19</v>
      </c>
      <c r="H2893" s="13" t="s">
        <v>3</v>
      </c>
      <c r="I2893" s="13" t="s">
        <v>7086</v>
      </c>
      <c r="J2893" s="13" t="s">
        <v>21</v>
      </c>
      <c r="K2893" s="13" t="s">
        <v>8814</v>
      </c>
      <c r="L2893" s="13" t="s">
        <v>18</v>
      </c>
      <c r="M2893" t="s">
        <v>3</v>
      </c>
    </row>
    <row r="2894" spans="1:13" x14ac:dyDescent="0.25">
      <c r="A2894" s="13" t="s">
        <v>7087</v>
      </c>
      <c r="B2894" s="13" t="s">
        <v>7087</v>
      </c>
      <c r="C2894" s="13" t="s">
        <v>7087</v>
      </c>
      <c r="D2894" s="13">
        <v>8.6</v>
      </c>
      <c r="E2894" s="13" t="s">
        <v>7088</v>
      </c>
      <c r="F2894" s="13" t="s">
        <v>8865</v>
      </c>
      <c r="G2894" s="13" t="s">
        <v>2</v>
      </c>
      <c r="H2894" s="13" t="s">
        <v>3</v>
      </c>
      <c r="I2894" s="13" t="s">
        <v>429</v>
      </c>
      <c r="J2894" s="13" t="s">
        <v>8890</v>
      </c>
      <c r="K2894" s="13" t="s">
        <v>6051</v>
      </c>
      <c r="L2894" s="13" t="s">
        <v>8901</v>
      </c>
      <c r="M2894" t="s">
        <v>3</v>
      </c>
    </row>
    <row r="2895" spans="1:13" x14ac:dyDescent="0.25">
      <c r="A2895" s="13" t="s">
        <v>9968</v>
      </c>
      <c r="B2895" s="13" t="s">
        <v>9968</v>
      </c>
      <c r="C2895" s="13" t="s">
        <v>9969</v>
      </c>
      <c r="D2895" s="13">
        <v>20.8</v>
      </c>
      <c r="E2895" s="13" t="s">
        <v>9970</v>
      </c>
      <c r="F2895" s="13" t="s">
        <v>8865</v>
      </c>
      <c r="G2895" s="13" t="s">
        <v>2</v>
      </c>
      <c r="H2895" s="13" t="s">
        <v>3</v>
      </c>
      <c r="I2895" s="13" t="s">
        <v>447</v>
      </c>
      <c r="J2895" s="13" t="s">
        <v>8890</v>
      </c>
      <c r="K2895" s="13" t="s">
        <v>8421</v>
      </c>
      <c r="L2895" s="13" t="s">
        <v>8901</v>
      </c>
      <c r="M2895" t="s">
        <v>3</v>
      </c>
    </row>
    <row r="2896" spans="1:13" x14ac:dyDescent="0.25">
      <c r="A2896" s="13" t="s">
        <v>9971</v>
      </c>
      <c r="B2896" s="13" t="s">
        <v>9971</v>
      </c>
      <c r="C2896" s="13" t="s">
        <v>9972</v>
      </c>
      <c r="D2896" s="13">
        <v>12.8</v>
      </c>
      <c r="E2896" s="13" t="s">
        <v>9973</v>
      </c>
      <c r="F2896" s="13" t="s">
        <v>8865</v>
      </c>
      <c r="G2896" s="13" t="s">
        <v>2</v>
      </c>
      <c r="H2896" s="13" t="s">
        <v>3</v>
      </c>
      <c r="I2896" s="13" t="s">
        <v>447</v>
      </c>
      <c r="J2896" s="13" t="s">
        <v>8890</v>
      </c>
      <c r="K2896" s="13" t="s">
        <v>8421</v>
      </c>
      <c r="L2896" s="13" t="s">
        <v>8901</v>
      </c>
      <c r="M2896" t="s">
        <v>3</v>
      </c>
    </row>
    <row r="2897" spans="1:13" x14ac:dyDescent="0.25">
      <c r="A2897" s="13" t="s">
        <v>7089</v>
      </c>
      <c r="B2897" s="13" t="s">
        <v>7089</v>
      </c>
      <c r="C2897" s="13" t="s">
        <v>7089</v>
      </c>
      <c r="D2897" s="13">
        <v>5.7</v>
      </c>
      <c r="E2897" s="13" t="s">
        <v>7090</v>
      </c>
      <c r="F2897" s="13" t="s">
        <v>8865</v>
      </c>
      <c r="G2897" s="13" t="s">
        <v>2</v>
      </c>
      <c r="H2897" s="13" t="s">
        <v>3</v>
      </c>
      <c r="I2897" s="13" t="s">
        <v>429</v>
      </c>
      <c r="J2897" s="13" t="s">
        <v>8890</v>
      </c>
      <c r="K2897" s="13" t="s">
        <v>6051</v>
      </c>
      <c r="L2897" s="13" t="s">
        <v>8901</v>
      </c>
      <c r="M2897" t="s">
        <v>3</v>
      </c>
    </row>
    <row r="2898" spans="1:13" x14ac:dyDescent="0.25">
      <c r="A2898" s="13" t="s">
        <v>7091</v>
      </c>
      <c r="B2898" s="13" t="s">
        <v>7091</v>
      </c>
      <c r="C2898" s="13" t="s">
        <v>9448</v>
      </c>
      <c r="D2898" s="13">
        <v>1.9</v>
      </c>
      <c r="E2898" s="13" t="s">
        <v>7092</v>
      </c>
      <c r="F2898" s="13" t="s">
        <v>8865</v>
      </c>
      <c r="G2898" s="13" t="s">
        <v>2</v>
      </c>
      <c r="H2898" s="13" t="s">
        <v>3</v>
      </c>
      <c r="I2898" s="13" t="s">
        <v>447</v>
      </c>
      <c r="J2898" s="13" t="s">
        <v>8890</v>
      </c>
      <c r="K2898" s="13" t="s">
        <v>8421</v>
      </c>
      <c r="L2898" s="13" t="s">
        <v>8901</v>
      </c>
      <c r="M2898" t="s">
        <v>3</v>
      </c>
    </row>
    <row r="2899" spans="1:13" ht="26.25" x14ac:dyDescent="0.25">
      <c r="A2899" s="13" t="s">
        <v>7093</v>
      </c>
      <c r="B2899" s="13" t="s">
        <v>7093</v>
      </c>
      <c r="C2899" s="13" t="s">
        <v>7094</v>
      </c>
      <c r="D2899" s="13">
        <v>4.4000000000000004</v>
      </c>
      <c r="E2899" s="13" t="s">
        <v>7095</v>
      </c>
      <c r="F2899" s="13" t="s">
        <v>8865</v>
      </c>
      <c r="G2899" s="13" t="s">
        <v>2</v>
      </c>
      <c r="H2899" s="13" t="s">
        <v>3</v>
      </c>
      <c r="I2899" s="13" t="s">
        <v>4</v>
      </c>
      <c r="J2899" s="13" t="s">
        <v>8890</v>
      </c>
      <c r="K2899" s="13" t="s">
        <v>8424</v>
      </c>
      <c r="L2899" s="13" t="s">
        <v>8901</v>
      </c>
      <c r="M2899" t="s">
        <v>3</v>
      </c>
    </row>
    <row r="2900" spans="1:13" x14ac:dyDescent="0.25">
      <c r="A2900" s="13" t="s">
        <v>7096</v>
      </c>
      <c r="B2900" s="13" t="s">
        <v>7096</v>
      </c>
      <c r="C2900" s="13" t="s">
        <v>7096</v>
      </c>
      <c r="D2900" s="13">
        <v>12.2</v>
      </c>
      <c r="E2900" s="13" t="s">
        <v>7097</v>
      </c>
      <c r="F2900" s="13" t="s">
        <v>8873</v>
      </c>
      <c r="G2900" s="13" t="s">
        <v>2</v>
      </c>
      <c r="H2900" s="13" t="s">
        <v>3</v>
      </c>
      <c r="I2900" s="13" t="s">
        <v>164</v>
      </c>
      <c r="J2900" s="13" t="s">
        <v>8890</v>
      </c>
      <c r="K2900" s="13" t="s">
        <v>8443</v>
      </c>
      <c r="L2900" s="13" t="s">
        <v>6113</v>
      </c>
      <c r="M2900" t="s">
        <v>3</v>
      </c>
    </row>
    <row r="2901" spans="1:13" ht="26.25" x14ac:dyDescent="0.25">
      <c r="A2901" s="13" t="s">
        <v>7098</v>
      </c>
      <c r="B2901" s="13" t="s">
        <v>7098</v>
      </c>
      <c r="C2901" s="13" t="s">
        <v>7099</v>
      </c>
      <c r="D2901" s="13">
        <v>4.5999999999999996</v>
      </c>
      <c r="E2901" s="13" t="s">
        <v>7100</v>
      </c>
      <c r="F2901" s="13" t="s">
        <v>8865</v>
      </c>
      <c r="G2901" s="13" t="s">
        <v>2</v>
      </c>
      <c r="H2901" s="13" t="s">
        <v>3</v>
      </c>
      <c r="I2901" s="13" t="s">
        <v>1263</v>
      </c>
      <c r="J2901" s="13" t="s">
        <v>8890</v>
      </c>
      <c r="K2901" s="13" t="s">
        <v>8422</v>
      </c>
      <c r="L2901" s="13" t="s">
        <v>8901</v>
      </c>
      <c r="M2901" t="s">
        <v>3</v>
      </c>
    </row>
    <row r="2902" spans="1:13" ht="26.25" x14ac:dyDescent="0.25">
      <c r="A2902" s="13" t="s">
        <v>7101</v>
      </c>
      <c r="B2902" s="13" t="s">
        <v>7101</v>
      </c>
      <c r="C2902" s="13" t="s">
        <v>7102</v>
      </c>
      <c r="D2902" s="13">
        <v>9.9</v>
      </c>
      <c r="E2902" s="13" t="s">
        <v>7103</v>
      </c>
      <c r="F2902" s="13" t="s">
        <v>8865</v>
      </c>
      <c r="G2902" s="13" t="s">
        <v>2</v>
      </c>
      <c r="H2902" s="13" t="s">
        <v>516</v>
      </c>
      <c r="I2902" s="13" t="s">
        <v>516</v>
      </c>
      <c r="J2902" s="13" t="s">
        <v>8890</v>
      </c>
      <c r="K2902" s="13" t="s">
        <v>516</v>
      </c>
      <c r="L2902" s="13" t="s">
        <v>8901</v>
      </c>
      <c r="M2902" t="s">
        <v>10700</v>
      </c>
    </row>
    <row r="2903" spans="1:13" ht="26.25" x14ac:dyDescent="0.25">
      <c r="A2903" s="13" t="s">
        <v>7104</v>
      </c>
      <c r="B2903" s="13" t="s">
        <v>7105</v>
      </c>
      <c r="C2903" s="13" t="s">
        <v>7105</v>
      </c>
      <c r="D2903" s="13">
        <v>24.8</v>
      </c>
      <c r="E2903" s="13" t="s">
        <v>7106</v>
      </c>
      <c r="F2903" s="13" t="s">
        <v>8865</v>
      </c>
      <c r="G2903" s="13" t="s">
        <v>2</v>
      </c>
      <c r="H2903" s="13" t="s">
        <v>11531</v>
      </c>
      <c r="I2903" s="13" t="s">
        <v>447</v>
      </c>
      <c r="J2903" s="13" t="s">
        <v>8890</v>
      </c>
      <c r="K2903" s="13" t="s">
        <v>8421</v>
      </c>
      <c r="L2903" s="13" t="s">
        <v>8901</v>
      </c>
      <c r="M2903" t="s">
        <v>11531</v>
      </c>
    </row>
    <row r="2904" spans="1:13" ht="26.25" x14ac:dyDescent="0.25">
      <c r="A2904" s="13" t="s">
        <v>7107</v>
      </c>
      <c r="B2904" s="13" t="s">
        <v>7108</v>
      </c>
      <c r="C2904" s="13" t="s">
        <v>7109</v>
      </c>
      <c r="D2904" s="13">
        <v>24.7</v>
      </c>
      <c r="E2904" s="13" t="s">
        <v>7110</v>
      </c>
      <c r="F2904" s="13" t="s">
        <v>8865</v>
      </c>
      <c r="G2904" s="13" t="s">
        <v>2</v>
      </c>
      <c r="H2904" s="13" t="s">
        <v>8420</v>
      </c>
      <c r="I2904" s="13" t="s">
        <v>1673</v>
      </c>
      <c r="J2904" s="13" t="s">
        <v>8890</v>
      </c>
      <c r="K2904" s="13" t="s">
        <v>8420</v>
      </c>
      <c r="L2904" s="13" t="s">
        <v>8901</v>
      </c>
      <c r="M2904" t="s">
        <v>10704</v>
      </c>
    </row>
    <row r="2905" spans="1:13" ht="26.25" x14ac:dyDescent="0.25">
      <c r="A2905" s="13" t="s">
        <v>7111</v>
      </c>
      <c r="B2905" s="13" t="s">
        <v>7112</v>
      </c>
      <c r="C2905" s="13" t="s">
        <v>7112</v>
      </c>
      <c r="D2905" s="13">
        <v>21.6</v>
      </c>
      <c r="E2905" s="13" t="s">
        <v>7113</v>
      </c>
      <c r="F2905" s="13" t="s">
        <v>8865</v>
      </c>
      <c r="G2905" s="13" t="s">
        <v>2</v>
      </c>
      <c r="H2905" s="13" t="s">
        <v>3</v>
      </c>
      <c r="I2905" s="13" t="s">
        <v>1673</v>
      </c>
      <c r="J2905" s="13" t="s">
        <v>8890</v>
      </c>
      <c r="K2905" s="13" t="s">
        <v>8420</v>
      </c>
      <c r="L2905" s="13" t="s">
        <v>8901</v>
      </c>
      <c r="M2905" t="s">
        <v>3</v>
      </c>
    </row>
    <row r="2906" spans="1:13" x14ac:dyDescent="0.25">
      <c r="A2906" s="13" t="s">
        <v>7114</v>
      </c>
      <c r="B2906" s="13" t="s">
        <v>7114</v>
      </c>
      <c r="C2906" s="13" t="s">
        <v>7115</v>
      </c>
      <c r="D2906" s="13">
        <v>4.9000000000000004</v>
      </c>
      <c r="E2906" s="13" t="s">
        <v>7115</v>
      </c>
      <c r="F2906" s="13" t="s">
        <v>8865</v>
      </c>
      <c r="G2906" s="13" t="s">
        <v>2</v>
      </c>
      <c r="H2906" s="13" t="s">
        <v>3</v>
      </c>
      <c r="I2906" s="13" t="s">
        <v>447</v>
      </c>
      <c r="J2906" s="13" t="s">
        <v>8890</v>
      </c>
      <c r="K2906" s="13" t="s">
        <v>8421</v>
      </c>
      <c r="L2906" s="13" t="s">
        <v>8901</v>
      </c>
      <c r="M2906" t="s">
        <v>3</v>
      </c>
    </row>
    <row r="2907" spans="1:13" x14ac:dyDescent="0.25">
      <c r="A2907" s="13" t="s">
        <v>7116</v>
      </c>
      <c r="B2907" s="13" t="s">
        <v>7116</v>
      </c>
      <c r="C2907" s="13" t="s">
        <v>7117</v>
      </c>
      <c r="D2907" s="13">
        <v>24.6</v>
      </c>
      <c r="E2907" s="13" t="s">
        <v>7117</v>
      </c>
      <c r="F2907" s="13" t="s">
        <v>8861</v>
      </c>
      <c r="G2907" s="13" t="s">
        <v>2</v>
      </c>
      <c r="H2907" s="13" t="s">
        <v>3</v>
      </c>
      <c r="I2907" s="13" t="s">
        <v>447</v>
      </c>
      <c r="J2907" s="13" t="s">
        <v>8890</v>
      </c>
      <c r="K2907" s="13" t="s">
        <v>8421</v>
      </c>
      <c r="L2907" s="13" t="s">
        <v>8891</v>
      </c>
      <c r="M2907" t="s">
        <v>3</v>
      </c>
    </row>
    <row r="2908" spans="1:13" x14ac:dyDescent="0.25">
      <c r="A2908" s="13" t="s">
        <v>7118</v>
      </c>
      <c r="B2908" s="13" t="s">
        <v>7118</v>
      </c>
      <c r="C2908" s="13" t="s">
        <v>7119</v>
      </c>
      <c r="D2908" s="13">
        <v>24.1</v>
      </c>
      <c r="E2908" s="13" t="s">
        <v>7120</v>
      </c>
      <c r="F2908" s="13" t="s">
        <v>8865</v>
      </c>
      <c r="G2908" s="13" t="s">
        <v>2</v>
      </c>
      <c r="H2908" s="13" t="s">
        <v>3</v>
      </c>
      <c r="I2908" s="13" t="s">
        <v>228</v>
      </c>
      <c r="J2908" s="13" t="s">
        <v>8890</v>
      </c>
      <c r="K2908" s="13" t="s">
        <v>8418</v>
      </c>
      <c r="L2908" s="13" t="s">
        <v>8901</v>
      </c>
      <c r="M2908" t="s">
        <v>3</v>
      </c>
    </row>
    <row r="2909" spans="1:13" x14ac:dyDescent="0.25">
      <c r="A2909" s="13" t="s">
        <v>7121</v>
      </c>
      <c r="B2909" s="13" t="s">
        <v>7122</v>
      </c>
      <c r="C2909" s="13" t="s">
        <v>7123</v>
      </c>
      <c r="D2909" s="13">
        <v>22.5</v>
      </c>
      <c r="E2909" s="13" t="s">
        <v>7124</v>
      </c>
      <c r="F2909" s="13" t="s">
        <v>8876</v>
      </c>
      <c r="G2909" s="13" t="s">
        <v>2</v>
      </c>
      <c r="H2909" s="13" t="s">
        <v>3</v>
      </c>
      <c r="I2909" s="13" t="s">
        <v>1978</v>
      </c>
      <c r="J2909" s="13" t="s">
        <v>8890</v>
      </c>
      <c r="K2909" s="13" t="s">
        <v>8570</v>
      </c>
      <c r="L2909" s="13" t="s">
        <v>9244</v>
      </c>
      <c r="M2909" t="s">
        <v>3</v>
      </c>
    </row>
    <row r="2910" spans="1:13" x14ac:dyDescent="0.25">
      <c r="A2910" s="13" t="s">
        <v>7125</v>
      </c>
      <c r="B2910" s="13" t="s">
        <v>7125</v>
      </c>
      <c r="C2910" s="13" t="s">
        <v>7126</v>
      </c>
      <c r="D2910" s="13">
        <v>28.5</v>
      </c>
      <c r="E2910" s="13" t="s">
        <v>7127</v>
      </c>
      <c r="F2910" s="13" t="s">
        <v>8873</v>
      </c>
      <c r="G2910" s="13" t="s">
        <v>2</v>
      </c>
      <c r="H2910" s="13" t="s">
        <v>3</v>
      </c>
      <c r="I2910" s="13" t="s">
        <v>589</v>
      </c>
      <c r="J2910" s="13" t="s">
        <v>8890</v>
      </c>
      <c r="K2910" s="13" t="s">
        <v>8486</v>
      </c>
      <c r="L2910" s="13" t="s">
        <v>6113</v>
      </c>
      <c r="M2910" t="s">
        <v>3</v>
      </c>
    </row>
    <row r="2911" spans="1:13" x14ac:dyDescent="0.25">
      <c r="A2911" s="13" t="s">
        <v>7128</v>
      </c>
      <c r="B2911" s="13" t="s">
        <v>7128</v>
      </c>
      <c r="C2911" s="13" t="s">
        <v>7129</v>
      </c>
      <c r="D2911" s="13">
        <v>25.6</v>
      </c>
      <c r="E2911" s="13" t="s">
        <v>7130</v>
      </c>
      <c r="F2911" s="13" t="s">
        <v>8873</v>
      </c>
      <c r="G2911" s="13" t="s">
        <v>2</v>
      </c>
      <c r="H2911" s="13" t="s">
        <v>3</v>
      </c>
      <c r="I2911" s="13" t="s">
        <v>589</v>
      </c>
      <c r="J2911" s="13" t="s">
        <v>8890</v>
      </c>
      <c r="K2911" s="13" t="s">
        <v>8486</v>
      </c>
      <c r="L2911" s="13" t="s">
        <v>6113</v>
      </c>
      <c r="M2911" t="s">
        <v>3</v>
      </c>
    </row>
    <row r="2912" spans="1:13" x14ac:dyDescent="0.25">
      <c r="A2912" s="13" t="s">
        <v>7131</v>
      </c>
      <c r="B2912" s="13" t="s">
        <v>7131</v>
      </c>
      <c r="C2912" s="13" t="s">
        <v>7132</v>
      </c>
      <c r="D2912" s="13">
        <v>29.7</v>
      </c>
      <c r="E2912" s="13" t="s">
        <v>7133</v>
      </c>
      <c r="F2912" s="13" t="s">
        <v>8865</v>
      </c>
      <c r="G2912" s="13" t="s">
        <v>2</v>
      </c>
      <c r="H2912" s="13" t="s">
        <v>3</v>
      </c>
      <c r="I2912" s="13" t="s">
        <v>706</v>
      </c>
      <c r="J2912" s="13" t="s">
        <v>8890</v>
      </c>
      <c r="K2912" s="13" t="s">
        <v>8419</v>
      </c>
      <c r="L2912" s="13" t="s">
        <v>8901</v>
      </c>
      <c r="M2912" t="s">
        <v>3</v>
      </c>
    </row>
    <row r="2913" spans="1:13" x14ac:dyDescent="0.25">
      <c r="A2913" s="13" t="s">
        <v>7134</v>
      </c>
      <c r="B2913" s="13" t="s">
        <v>7134</v>
      </c>
      <c r="C2913" s="13" t="s">
        <v>7135</v>
      </c>
      <c r="D2913" s="13">
        <v>18</v>
      </c>
      <c r="E2913" s="13" t="s">
        <v>7136</v>
      </c>
      <c r="F2913" s="13" t="s">
        <v>8865</v>
      </c>
      <c r="G2913" s="13" t="s">
        <v>2</v>
      </c>
      <c r="H2913" s="13" t="s">
        <v>3</v>
      </c>
      <c r="I2913" s="13" t="s">
        <v>706</v>
      </c>
      <c r="J2913" s="13" t="s">
        <v>8890</v>
      </c>
      <c r="K2913" s="13" t="s">
        <v>8419</v>
      </c>
      <c r="L2913" s="13" t="s">
        <v>8901</v>
      </c>
      <c r="M2913" t="s">
        <v>3</v>
      </c>
    </row>
    <row r="2914" spans="1:13" x14ac:dyDescent="0.25">
      <c r="A2914" s="13" t="s">
        <v>7137</v>
      </c>
      <c r="B2914" s="13" t="s">
        <v>7138</v>
      </c>
      <c r="C2914" s="13" t="s">
        <v>7139</v>
      </c>
      <c r="D2914" s="13">
        <v>1.6</v>
      </c>
      <c r="E2914" s="13" t="s">
        <v>7140</v>
      </c>
      <c r="F2914" s="13" t="s">
        <v>8873</v>
      </c>
      <c r="G2914" s="13" t="s">
        <v>2</v>
      </c>
      <c r="H2914" s="13" t="s">
        <v>3</v>
      </c>
      <c r="I2914" s="13" t="s">
        <v>7141</v>
      </c>
      <c r="J2914" s="13" t="s">
        <v>8890</v>
      </c>
      <c r="K2914" s="13" t="s">
        <v>8815</v>
      </c>
      <c r="L2914" s="13" t="s">
        <v>8964</v>
      </c>
      <c r="M2914" t="s">
        <v>3</v>
      </c>
    </row>
    <row r="2915" spans="1:13" x14ac:dyDescent="0.25">
      <c r="A2915" s="13" t="s">
        <v>7142</v>
      </c>
      <c r="B2915" s="13" t="s">
        <v>7142</v>
      </c>
      <c r="C2915" s="13" t="s">
        <v>7143</v>
      </c>
      <c r="D2915" s="13">
        <v>19.899999999999999</v>
      </c>
      <c r="E2915" s="13" t="s">
        <v>7144</v>
      </c>
      <c r="F2915" s="13" t="s">
        <v>8865</v>
      </c>
      <c r="G2915" s="13" t="s">
        <v>2</v>
      </c>
      <c r="H2915" s="13" t="s">
        <v>3</v>
      </c>
      <c r="I2915" s="13" t="s">
        <v>228</v>
      </c>
      <c r="J2915" s="13" t="s">
        <v>8890</v>
      </c>
      <c r="K2915" s="13" t="s">
        <v>8418</v>
      </c>
      <c r="L2915" s="13" t="s">
        <v>8901</v>
      </c>
      <c r="M2915" t="s">
        <v>3</v>
      </c>
    </row>
    <row r="2916" spans="1:13" x14ac:dyDescent="0.25">
      <c r="A2916" s="13" t="s">
        <v>7145</v>
      </c>
      <c r="B2916" s="13" t="s">
        <v>7145</v>
      </c>
      <c r="C2916" s="13" t="s">
        <v>7146</v>
      </c>
      <c r="D2916" s="13">
        <v>9.6999999999999993</v>
      </c>
      <c r="E2916" s="13" t="s">
        <v>7147</v>
      </c>
      <c r="F2916" s="13" t="s">
        <v>8865</v>
      </c>
      <c r="G2916" s="13" t="s">
        <v>2</v>
      </c>
      <c r="H2916" s="13" t="s">
        <v>3</v>
      </c>
      <c r="I2916" s="13" t="s">
        <v>429</v>
      </c>
      <c r="J2916" s="13" t="s">
        <v>8890</v>
      </c>
      <c r="K2916" s="13" t="s">
        <v>6051</v>
      </c>
      <c r="L2916" s="13" t="s">
        <v>8901</v>
      </c>
      <c r="M2916" t="s">
        <v>3</v>
      </c>
    </row>
    <row r="2917" spans="1:13" x14ac:dyDescent="0.25">
      <c r="A2917" s="13" t="s">
        <v>7148</v>
      </c>
      <c r="B2917" s="13" t="s">
        <v>7148</v>
      </c>
      <c r="C2917" s="13" t="s">
        <v>7149</v>
      </c>
      <c r="D2917" s="13">
        <v>4.9000000000000004</v>
      </c>
      <c r="E2917" s="13" t="s">
        <v>7150</v>
      </c>
      <c r="F2917" s="13" t="s">
        <v>8865</v>
      </c>
      <c r="G2917" s="13" t="s">
        <v>2</v>
      </c>
      <c r="H2917" s="13" t="s">
        <v>3</v>
      </c>
      <c r="I2917" s="13" t="s">
        <v>809</v>
      </c>
      <c r="J2917" s="13" t="s">
        <v>8890</v>
      </c>
      <c r="K2917" s="13" t="s">
        <v>8512</v>
      </c>
      <c r="L2917" s="13" t="s">
        <v>8901</v>
      </c>
      <c r="M2917" t="s">
        <v>3</v>
      </c>
    </row>
    <row r="2918" spans="1:13" x14ac:dyDescent="0.25">
      <c r="A2918" s="13" t="s">
        <v>7151</v>
      </c>
      <c r="B2918" s="13" t="s">
        <v>7151</v>
      </c>
      <c r="C2918" s="13" t="s">
        <v>9449</v>
      </c>
      <c r="D2918" s="13">
        <v>25</v>
      </c>
      <c r="E2918" s="13" t="s">
        <v>7152</v>
      </c>
      <c r="F2918" s="13" t="s">
        <v>8865</v>
      </c>
      <c r="G2918" s="13" t="s">
        <v>2</v>
      </c>
      <c r="H2918" s="13" t="s">
        <v>3</v>
      </c>
      <c r="I2918" s="13" t="s">
        <v>228</v>
      </c>
      <c r="J2918" s="13" t="s">
        <v>8890</v>
      </c>
      <c r="K2918" s="13" t="s">
        <v>8418</v>
      </c>
      <c r="L2918" s="13" t="s">
        <v>8901</v>
      </c>
      <c r="M2918" t="s">
        <v>3</v>
      </c>
    </row>
    <row r="2919" spans="1:13" x14ac:dyDescent="0.25">
      <c r="A2919" s="13" t="s">
        <v>7153</v>
      </c>
      <c r="B2919" s="13" t="s">
        <v>7153</v>
      </c>
      <c r="C2919" s="13" t="s">
        <v>9450</v>
      </c>
      <c r="D2919" s="13">
        <v>24.9</v>
      </c>
      <c r="E2919" s="13" t="s">
        <v>7154</v>
      </c>
      <c r="F2919" s="13" t="s">
        <v>8865</v>
      </c>
      <c r="G2919" s="13" t="s">
        <v>2</v>
      </c>
      <c r="H2919" s="13" t="s">
        <v>3</v>
      </c>
      <c r="I2919" s="13" t="s">
        <v>228</v>
      </c>
      <c r="J2919" s="13" t="s">
        <v>8890</v>
      </c>
      <c r="K2919" s="13" t="s">
        <v>8418</v>
      </c>
      <c r="L2919" s="13" t="s">
        <v>8901</v>
      </c>
      <c r="M2919" t="s">
        <v>3</v>
      </c>
    </row>
    <row r="2920" spans="1:13" ht="26.25" x14ac:dyDescent="0.25">
      <c r="A2920" s="13" t="s">
        <v>7155</v>
      </c>
      <c r="B2920" s="13" t="s">
        <v>7155</v>
      </c>
      <c r="C2920" s="13" t="s">
        <v>7156</v>
      </c>
      <c r="D2920" s="13">
        <v>4.8</v>
      </c>
      <c r="E2920" s="13" t="s">
        <v>7157</v>
      </c>
      <c r="F2920" s="13" t="s">
        <v>8865</v>
      </c>
      <c r="G2920" s="13" t="s">
        <v>2</v>
      </c>
      <c r="H2920" s="13" t="s">
        <v>3</v>
      </c>
      <c r="I2920" s="13" t="s">
        <v>2465</v>
      </c>
      <c r="J2920" s="13" t="s">
        <v>8890</v>
      </c>
      <c r="K2920" s="13" t="s">
        <v>8605</v>
      </c>
      <c r="L2920" s="13" t="s">
        <v>8901</v>
      </c>
      <c r="M2920" t="s">
        <v>3</v>
      </c>
    </row>
    <row r="2921" spans="1:13" ht="26.25" x14ac:dyDescent="0.25">
      <c r="A2921" s="13" t="s">
        <v>7158</v>
      </c>
      <c r="B2921" s="13" t="s">
        <v>7158</v>
      </c>
      <c r="C2921" s="13" t="s">
        <v>9451</v>
      </c>
      <c r="D2921" s="13">
        <v>17.2</v>
      </c>
      <c r="E2921" s="13" t="s">
        <v>7159</v>
      </c>
      <c r="F2921" s="13" t="s">
        <v>8865</v>
      </c>
      <c r="G2921" s="13" t="s">
        <v>2</v>
      </c>
      <c r="H2921" s="13" t="s">
        <v>3</v>
      </c>
      <c r="I2921" s="13" t="s">
        <v>228</v>
      </c>
      <c r="J2921" s="13" t="s">
        <v>8890</v>
      </c>
      <c r="K2921" s="13" t="s">
        <v>8418</v>
      </c>
      <c r="L2921" s="13" t="s">
        <v>8901</v>
      </c>
      <c r="M2921" t="s">
        <v>3</v>
      </c>
    </row>
    <row r="2922" spans="1:13" ht="26.25" x14ac:dyDescent="0.25">
      <c r="A2922" s="13" t="s">
        <v>7160</v>
      </c>
      <c r="B2922" s="13" t="s">
        <v>7160</v>
      </c>
      <c r="C2922" s="13" t="s">
        <v>9452</v>
      </c>
      <c r="D2922" s="13">
        <v>24.9</v>
      </c>
      <c r="E2922" s="13" t="s">
        <v>7161</v>
      </c>
      <c r="F2922" s="13" t="s">
        <v>8865</v>
      </c>
      <c r="G2922" s="13" t="s">
        <v>2</v>
      </c>
      <c r="H2922" s="13" t="s">
        <v>3</v>
      </c>
      <c r="I2922" s="13" t="s">
        <v>228</v>
      </c>
      <c r="J2922" s="13" t="s">
        <v>8890</v>
      </c>
      <c r="K2922" s="13" t="s">
        <v>8418</v>
      </c>
      <c r="L2922" s="13" t="s">
        <v>8901</v>
      </c>
      <c r="M2922" t="s">
        <v>3</v>
      </c>
    </row>
    <row r="2923" spans="1:13" x14ac:dyDescent="0.25">
      <c r="A2923" s="13" t="s">
        <v>7162</v>
      </c>
      <c r="B2923" s="13" t="s">
        <v>7162</v>
      </c>
      <c r="C2923" s="13" t="s">
        <v>7163</v>
      </c>
      <c r="D2923" s="13">
        <v>9.9</v>
      </c>
      <c r="E2923" s="13" t="s">
        <v>7164</v>
      </c>
      <c r="F2923" s="13" t="s">
        <v>8865</v>
      </c>
      <c r="G2923" s="13" t="s">
        <v>2</v>
      </c>
      <c r="H2923" s="13" t="s">
        <v>3</v>
      </c>
      <c r="I2923" s="13" t="s">
        <v>1263</v>
      </c>
      <c r="J2923" s="13" t="s">
        <v>8890</v>
      </c>
      <c r="K2923" s="13" t="s">
        <v>8422</v>
      </c>
      <c r="L2923" s="13" t="s">
        <v>8901</v>
      </c>
      <c r="M2923" t="s">
        <v>3</v>
      </c>
    </row>
    <row r="2924" spans="1:13" x14ac:dyDescent="0.25">
      <c r="A2924" s="13" t="s">
        <v>7165</v>
      </c>
      <c r="B2924" s="13" t="s">
        <v>7165</v>
      </c>
      <c r="C2924" s="13" t="s">
        <v>7166</v>
      </c>
      <c r="D2924" s="13">
        <v>2.9</v>
      </c>
      <c r="E2924" s="13" t="s">
        <v>7167</v>
      </c>
      <c r="F2924" s="13" t="s">
        <v>8861</v>
      </c>
      <c r="G2924" s="13" t="s">
        <v>2</v>
      </c>
      <c r="H2924" s="13" t="s">
        <v>3</v>
      </c>
      <c r="I2924" s="13" t="s">
        <v>1263</v>
      </c>
      <c r="J2924" s="13" t="s">
        <v>8890</v>
      </c>
      <c r="K2924" s="13" t="s">
        <v>8422</v>
      </c>
      <c r="L2924" s="13" t="s">
        <v>8891</v>
      </c>
      <c r="M2924" t="s">
        <v>3</v>
      </c>
    </row>
    <row r="2925" spans="1:13" x14ac:dyDescent="0.25">
      <c r="A2925" s="13" t="s">
        <v>7168</v>
      </c>
      <c r="B2925" s="13" t="s">
        <v>7168</v>
      </c>
      <c r="C2925" s="13" t="s">
        <v>7168</v>
      </c>
      <c r="D2925" s="13">
        <v>1</v>
      </c>
      <c r="E2925" s="13" t="s">
        <v>7169</v>
      </c>
      <c r="F2925" s="13" t="s">
        <v>8865</v>
      </c>
      <c r="G2925" s="13" t="s">
        <v>2</v>
      </c>
      <c r="H2925" s="13" t="s">
        <v>3</v>
      </c>
      <c r="I2925" s="13" t="s">
        <v>429</v>
      </c>
      <c r="J2925" s="13" t="s">
        <v>8890</v>
      </c>
      <c r="K2925" s="13" t="s">
        <v>6051</v>
      </c>
      <c r="L2925" s="13" t="s">
        <v>8901</v>
      </c>
      <c r="M2925" t="s">
        <v>3</v>
      </c>
    </row>
    <row r="2926" spans="1:13" x14ac:dyDescent="0.25">
      <c r="A2926" s="13" t="s">
        <v>7170</v>
      </c>
      <c r="B2926" s="13" t="s">
        <v>7170</v>
      </c>
      <c r="C2926" s="13" t="s">
        <v>7171</v>
      </c>
      <c r="D2926" s="13">
        <v>0</v>
      </c>
      <c r="E2926" s="13" t="s">
        <v>7172</v>
      </c>
      <c r="F2926" s="13" t="s">
        <v>8865</v>
      </c>
      <c r="G2926" s="13" t="s">
        <v>2</v>
      </c>
      <c r="H2926" s="13" t="s">
        <v>3</v>
      </c>
      <c r="I2926" s="13" t="s">
        <v>2356</v>
      </c>
      <c r="J2926" s="13" t="s">
        <v>8890</v>
      </c>
      <c r="K2926" s="13" t="s">
        <v>8429</v>
      </c>
      <c r="L2926" s="13" t="s">
        <v>8901</v>
      </c>
      <c r="M2926" t="s">
        <v>3</v>
      </c>
    </row>
    <row r="2927" spans="1:13" x14ac:dyDescent="0.25">
      <c r="A2927" s="13" t="s">
        <v>7173</v>
      </c>
      <c r="B2927" s="13" t="s">
        <v>7174</v>
      </c>
      <c r="C2927" s="13" t="s">
        <v>7175</v>
      </c>
      <c r="D2927" s="13">
        <v>5.8</v>
      </c>
      <c r="E2927" s="13" t="s">
        <v>7176</v>
      </c>
      <c r="F2927" s="13" t="s">
        <v>8865</v>
      </c>
      <c r="G2927" s="13" t="s">
        <v>2</v>
      </c>
      <c r="H2927" s="13" t="s">
        <v>3</v>
      </c>
      <c r="I2927" s="13" t="s">
        <v>429</v>
      </c>
      <c r="J2927" s="13" t="s">
        <v>8890</v>
      </c>
      <c r="K2927" s="13" t="s">
        <v>6051</v>
      </c>
      <c r="L2927" s="13" t="s">
        <v>8901</v>
      </c>
      <c r="M2927" t="s">
        <v>3</v>
      </c>
    </row>
    <row r="2928" spans="1:13" x14ac:dyDescent="0.25">
      <c r="A2928" s="13" t="s">
        <v>7177</v>
      </c>
      <c r="B2928" s="13" t="s">
        <v>7177</v>
      </c>
      <c r="C2928" s="13" t="s">
        <v>7178</v>
      </c>
      <c r="D2928" s="13">
        <v>7.2</v>
      </c>
      <c r="E2928" s="13" t="s">
        <v>7178</v>
      </c>
      <c r="F2928" s="13" t="s">
        <v>8865</v>
      </c>
      <c r="G2928" s="13" t="s">
        <v>2</v>
      </c>
      <c r="H2928" s="13" t="s">
        <v>3</v>
      </c>
      <c r="I2928" s="13" t="s">
        <v>447</v>
      </c>
      <c r="J2928" s="13" t="s">
        <v>8890</v>
      </c>
      <c r="K2928" s="13" t="s">
        <v>8421</v>
      </c>
      <c r="L2928" s="13" t="s">
        <v>8901</v>
      </c>
      <c r="M2928" t="s">
        <v>3</v>
      </c>
    </row>
    <row r="2929" spans="1:13" x14ac:dyDescent="0.25">
      <c r="A2929" s="13" t="s">
        <v>7179</v>
      </c>
      <c r="B2929" s="13" t="s">
        <v>7179</v>
      </c>
      <c r="C2929" s="13" t="s">
        <v>7180</v>
      </c>
      <c r="D2929" s="13">
        <v>4.9000000000000004</v>
      </c>
      <c r="E2929" s="13" t="s">
        <v>7181</v>
      </c>
      <c r="F2929" s="13" t="s">
        <v>8865</v>
      </c>
      <c r="G2929" s="13" t="s">
        <v>2</v>
      </c>
      <c r="H2929" s="13" t="s">
        <v>3</v>
      </c>
      <c r="I2929" s="13" t="s">
        <v>7182</v>
      </c>
      <c r="J2929" s="13" t="s">
        <v>8890</v>
      </c>
      <c r="K2929" s="13" t="s">
        <v>8816</v>
      </c>
      <c r="L2929" s="13" t="s">
        <v>8901</v>
      </c>
      <c r="M2929" t="s">
        <v>3</v>
      </c>
    </row>
    <row r="2930" spans="1:13" x14ac:dyDescent="0.25">
      <c r="A2930" s="13" t="s">
        <v>7183</v>
      </c>
      <c r="B2930" s="13" t="s">
        <v>7183</v>
      </c>
      <c r="C2930" s="13" t="s">
        <v>7184</v>
      </c>
      <c r="D2930" s="13">
        <v>24</v>
      </c>
      <c r="E2930" s="13" t="s">
        <v>7184</v>
      </c>
      <c r="F2930" s="13" t="s">
        <v>8861</v>
      </c>
      <c r="G2930" s="13" t="s">
        <v>2</v>
      </c>
      <c r="H2930" s="13" t="s">
        <v>3</v>
      </c>
      <c r="I2930" s="13" t="s">
        <v>447</v>
      </c>
      <c r="J2930" s="13" t="s">
        <v>8890</v>
      </c>
      <c r="K2930" s="13" t="s">
        <v>8421</v>
      </c>
      <c r="L2930" s="13" t="s">
        <v>8891</v>
      </c>
      <c r="M2930" t="s">
        <v>3</v>
      </c>
    </row>
    <row r="2931" spans="1:13" x14ac:dyDescent="0.25">
      <c r="A2931" s="13" t="s">
        <v>7185</v>
      </c>
      <c r="B2931" s="13" t="s">
        <v>7186</v>
      </c>
      <c r="C2931" s="13" t="s">
        <v>7187</v>
      </c>
      <c r="D2931" s="13">
        <v>5</v>
      </c>
      <c r="E2931" s="13" t="s">
        <v>7188</v>
      </c>
      <c r="F2931" s="13" t="s">
        <v>8865</v>
      </c>
      <c r="G2931" s="13" t="s">
        <v>2</v>
      </c>
      <c r="H2931" s="13" t="s">
        <v>3</v>
      </c>
      <c r="I2931" s="13" t="s">
        <v>1263</v>
      </c>
      <c r="J2931" s="13" t="s">
        <v>8890</v>
      </c>
      <c r="K2931" s="13" t="s">
        <v>8422</v>
      </c>
      <c r="L2931" s="13" t="s">
        <v>8901</v>
      </c>
      <c r="M2931" t="s">
        <v>3</v>
      </c>
    </row>
    <row r="2932" spans="1:13" x14ac:dyDescent="0.25">
      <c r="A2932" s="13" t="s">
        <v>7189</v>
      </c>
      <c r="B2932" s="13" t="s">
        <v>7189</v>
      </c>
      <c r="C2932" s="13" t="s">
        <v>7190</v>
      </c>
      <c r="D2932" s="13">
        <v>23.9</v>
      </c>
      <c r="E2932" s="13" t="s">
        <v>7190</v>
      </c>
      <c r="F2932" s="13" t="s">
        <v>8861</v>
      </c>
      <c r="G2932" s="13" t="s">
        <v>2</v>
      </c>
      <c r="H2932" s="13" t="s">
        <v>3</v>
      </c>
      <c r="I2932" s="13" t="s">
        <v>447</v>
      </c>
      <c r="J2932" s="13" t="s">
        <v>8890</v>
      </c>
      <c r="K2932" s="13" t="s">
        <v>8421</v>
      </c>
      <c r="L2932" s="13" t="s">
        <v>8891</v>
      </c>
      <c r="M2932" t="s">
        <v>3</v>
      </c>
    </row>
    <row r="2933" spans="1:13" x14ac:dyDescent="0.25">
      <c r="A2933" s="13" t="s">
        <v>7191</v>
      </c>
      <c r="B2933" s="13" t="s">
        <v>7191</v>
      </c>
      <c r="C2933" s="13" t="s">
        <v>7192</v>
      </c>
      <c r="D2933" s="13">
        <v>20.7</v>
      </c>
      <c r="E2933" s="13" t="s">
        <v>7193</v>
      </c>
      <c r="F2933" s="13" t="s">
        <v>8861</v>
      </c>
      <c r="G2933" s="13" t="s">
        <v>2</v>
      </c>
      <c r="H2933" s="13" t="s">
        <v>3</v>
      </c>
      <c r="I2933" s="13" t="s">
        <v>429</v>
      </c>
      <c r="J2933" s="13" t="s">
        <v>8890</v>
      </c>
      <c r="K2933" s="13" t="s">
        <v>6051</v>
      </c>
      <c r="L2933" s="13" t="s">
        <v>8891</v>
      </c>
      <c r="M2933" t="s">
        <v>3</v>
      </c>
    </row>
    <row r="2934" spans="1:13" x14ac:dyDescent="0.25">
      <c r="A2934" s="13" t="s">
        <v>7194</v>
      </c>
      <c r="B2934" s="13" t="s">
        <v>7194</v>
      </c>
      <c r="C2934" s="13" t="s">
        <v>7195</v>
      </c>
      <c r="D2934" s="13">
        <v>21</v>
      </c>
      <c r="E2934" s="13" t="s">
        <v>7196</v>
      </c>
      <c r="F2934" s="13" t="s">
        <v>8861</v>
      </c>
      <c r="G2934" s="13" t="s">
        <v>2</v>
      </c>
      <c r="H2934" s="13" t="s">
        <v>3</v>
      </c>
      <c r="I2934" s="13" t="s">
        <v>429</v>
      </c>
      <c r="J2934" s="13" t="s">
        <v>8890</v>
      </c>
      <c r="K2934" s="13" t="s">
        <v>6051</v>
      </c>
      <c r="L2934" s="13" t="s">
        <v>8891</v>
      </c>
      <c r="M2934" t="s">
        <v>3</v>
      </c>
    </row>
    <row r="2935" spans="1:13" x14ac:dyDescent="0.25">
      <c r="A2935" s="13" t="s">
        <v>7197</v>
      </c>
      <c r="B2935" s="13" t="s">
        <v>7197</v>
      </c>
      <c r="C2935" s="13" t="s">
        <v>7198</v>
      </c>
      <c r="D2935" s="13">
        <v>3.6</v>
      </c>
      <c r="E2935" s="13" t="s">
        <v>7198</v>
      </c>
      <c r="F2935" s="13" t="s">
        <v>8861</v>
      </c>
      <c r="G2935" s="13" t="s">
        <v>2</v>
      </c>
      <c r="H2935" s="13" t="s">
        <v>3</v>
      </c>
      <c r="I2935" s="13" t="s">
        <v>447</v>
      </c>
      <c r="J2935" s="13" t="s">
        <v>8890</v>
      </c>
      <c r="K2935" s="13" t="s">
        <v>8421</v>
      </c>
      <c r="L2935" s="13" t="s">
        <v>8891</v>
      </c>
      <c r="M2935" t="s">
        <v>3</v>
      </c>
    </row>
    <row r="2936" spans="1:13" x14ac:dyDescent="0.25">
      <c r="A2936" s="13" t="s">
        <v>7199</v>
      </c>
      <c r="B2936" s="13" t="s">
        <v>7199</v>
      </c>
      <c r="C2936" s="13" t="s">
        <v>7200</v>
      </c>
      <c r="D2936" s="13">
        <v>5.4</v>
      </c>
      <c r="E2936" s="13" t="s">
        <v>7201</v>
      </c>
      <c r="F2936" s="13" t="s">
        <v>8865</v>
      </c>
      <c r="G2936" s="13" t="s">
        <v>2</v>
      </c>
      <c r="H2936" s="13" t="s">
        <v>3</v>
      </c>
      <c r="I2936" s="13" t="s">
        <v>1263</v>
      </c>
      <c r="J2936" s="13" t="s">
        <v>8890</v>
      </c>
      <c r="K2936" s="13" t="s">
        <v>8422</v>
      </c>
      <c r="L2936" s="13" t="s">
        <v>8901</v>
      </c>
      <c r="M2936" t="s">
        <v>3</v>
      </c>
    </row>
    <row r="2937" spans="1:13" x14ac:dyDescent="0.25">
      <c r="A2937" s="13" t="s">
        <v>7202</v>
      </c>
      <c r="B2937" s="13" t="s">
        <v>7202</v>
      </c>
      <c r="C2937" s="13" t="s">
        <v>7203</v>
      </c>
      <c r="D2937" s="13">
        <v>3.8</v>
      </c>
      <c r="E2937" s="13" t="s">
        <v>7203</v>
      </c>
      <c r="F2937" s="13" t="s">
        <v>8865</v>
      </c>
      <c r="G2937" s="13" t="s">
        <v>2</v>
      </c>
      <c r="H2937" s="13" t="s">
        <v>3</v>
      </c>
      <c r="I2937" s="13" t="s">
        <v>447</v>
      </c>
      <c r="J2937" s="13" t="s">
        <v>8890</v>
      </c>
      <c r="K2937" s="13" t="s">
        <v>8421</v>
      </c>
      <c r="L2937" s="13" t="s">
        <v>8901</v>
      </c>
      <c r="M2937" t="s">
        <v>3</v>
      </c>
    </row>
    <row r="2938" spans="1:13" ht="26.25" x14ac:dyDescent="0.25">
      <c r="A2938" s="13" t="s">
        <v>7204</v>
      </c>
      <c r="B2938" s="13" t="s">
        <v>7204</v>
      </c>
      <c r="C2938" s="13" t="s">
        <v>7205</v>
      </c>
      <c r="D2938" s="13">
        <v>9</v>
      </c>
      <c r="E2938" s="13" t="s">
        <v>7206</v>
      </c>
      <c r="F2938" s="13" t="s">
        <v>9717</v>
      </c>
      <c r="G2938" s="13" t="s">
        <v>2</v>
      </c>
      <c r="H2938" s="13" t="s">
        <v>3</v>
      </c>
      <c r="I2938" s="13" t="s">
        <v>447</v>
      </c>
      <c r="J2938" s="13" t="s">
        <v>9004</v>
      </c>
      <c r="K2938" s="13" t="s">
        <v>8421</v>
      </c>
      <c r="L2938" s="13" t="s">
        <v>10077</v>
      </c>
      <c r="M2938" t="s">
        <v>3</v>
      </c>
    </row>
    <row r="2939" spans="1:13" x14ac:dyDescent="0.25">
      <c r="A2939" s="13" t="s">
        <v>7207</v>
      </c>
      <c r="B2939" s="13" t="s">
        <v>7207</v>
      </c>
      <c r="C2939" s="13" t="s">
        <v>7208</v>
      </c>
      <c r="D2939" s="13">
        <v>19.7</v>
      </c>
      <c r="E2939" s="13" t="s">
        <v>7208</v>
      </c>
      <c r="F2939" s="13" t="s">
        <v>8865</v>
      </c>
      <c r="G2939" s="13" t="s">
        <v>2</v>
      </c>
      <c r="H2939" s="13" t="s">
        <v>3</v>
      </c>
      <c r="I2939" s="13" t="s">
        <v>447</v>
      </c>
      <c r="J2939" s="13" t="s">
        <v>8890</v>
      </c>
      <c r="K2939" s="13" t="s">
        <v>8421</v>
      </c>
      <c r="L2939" s="13" t="s">
        <v>8901</v>
      </c>
      <c r="M2939" t="s">
        <v>3</v>
      </c>
    </row>
    <row r="2940" spans="1:13" x14ac:dyDescent="0.25">
      <c r="A2940" s="13" t="s">
        <v>7209</v>
      </c>
      <c r="B2940" s="13" t="s">
        <v>7209</v>
      </c>
      <c r="C2940" s="13" t="s">
        <v>7210</v>
      </c>
      <c r="D2940" s="13">
        <v>3.4</v>
      </c>
      <c r="E2940" s="13" t="s">
        <v>7211</v>
      </c>
      <c r="F2940" s="13" t="s">
        <v>8865</v>
      </c>
      <c r="G2940" s="13" t="s">
        <v>2</v>
      </c>
      <c r="H2940" s="13" t="s">
        <v>3</v>
      </c>
      <c r="I2940" s="13" t="s">
        <v>809</v>
      </c>
      <c r="J2940" s="13" t="s">
        <v>8890</v>
      </c>
      <c r="K2940" s="13" t="s">
        <v>8512</v>
      </c>
      <c r="L2940" s="13" t="s">
        <v>8901</v>
      </c>
      <c r="M2940" t="s">
        <v>3</v>
      </c>
    </row>
    <row r="2941" spans="1:13" x14ac:dyDescent="0.25">
      <c r="A2941" s="13" t="s">
        <v>7212</v>
      </c>
      <c r="B2941" s="13" t="s">
        <v>7212</v>
      </c>
      <c r="C2941" s="13" t="s">
        <v>7212</v>
      </c>
      <c r="D2941" s="13">
        <v>9.9</v>
      </c>
      <c r="E2941" s="13" t="s">
        <v>7213</v>
      </c>
      <c r="F2941" s="13" t="s">
        <v>8865</v>
      </c>
      <c r="G2941" s="13" t="s">
        <v>2</v>
      </c>
      <c r="H2941" s="13" t="s">
        <v>3</v>
      </c>
      <c r="I2941" s="13" t="s">
        <v>809</v>
      </c>
      <c r="J2941" s="13" t="s">
        <v>8890</v>
      </c>
      <c r="K2941" s="13" t="s">
        <v>8512</v>
      </c>
      <c r="L2941" s="13" t="s">
        <v>8901</v>
      </c>
      <c r="M2941" t="s">
        <v>3</v>
      </c>
    </row>
    <row r="2942" spans="1:13" x14ac:dyDescent="0.25">
      <c r="A2942" s="13" t="s">
        <v>7214</v>
      </c>
      <c r="B2942" s="13" t="s">
        <v>7214</v>
      </c>
      <c r="C2942" s="13" t="s">
        <v>7215</v>
      </c>
      <c r="D2942" s="13">
        <v>7.8</v>
      </c>
      <c r="E2942" s="13" t="s">
        <v>7216</v>
      </c>
      <c r="F2942" s="13" t="s">
        <v>8865</v>
      </c>
      <c r="G2942" s="13" t="s">
        <v>2</v>
      </c>
      <c r="H2942" s="13" t="s">
        <v>3</v>
      </c>
      <c r="I2942" s="13" t="s">
        <v>706</v>
      </c>
      <c r="J2942" s="13" t="s">
        <v>8890</v>
      </c>
      <c r="K2942" s="13" t="s">
        <v>8419</v>
      </c>
      <c r="L2942" s="13" t="s">
        <v>8901</v>
      </c>
      <c r="M2942" t="s">
        <v>3</v>
      </c>
    </row>
    <row r="2943" spans="1:13" x14ac:dyDescent="0.25">
      <c r="A2943" s="13" t="s">
        <v>7217</v>
      </c>
      <c r="B2943" s="13" t="s">
        <v>7217</v>
      </c>
      <c r="C2943" s="13" t="s">
        <v>7218</v>
      </c>
      <c r="D2943" s="13">
        <v>0.8</v>
      </c>
      <c r="E2943" s="13" t="s">
        <v>7219</v>
      </c>
      <c r="F2943" s="13" t="s">
        <v>8865</v>
      </c>
      <c r="G2943" s="13" t="s">
        <v>2</v>
      </c>
      <c r="H2943" s="13" t="s">
        <v>3</v>
      </c>
      <c r="I2943" s="13" t="s">
        <v>706</v>
      </c>
      <c r="J2943" s="13" t="s">
        <v>8890</v>
      </c>
      <c r="K2943" s="13" t="s">
        <v>8419</v>
      </c>
      <c r="L2943" s="13" t="s">
        <v>8901</v>
      </c>
      <c r="M2943" t="s">
        <v>3</v>
      </c>
    </row>
    <row r="2944" spans="1:13" x14ac:dyDescent="0.25">
      <c r="A2944" s="13" t="s">
        <v>7220</v>
      </c>
      <c r="B2944" s="13" t="s">
        <v>7220</v>
      </c>
      <c r="C2944" s="13" t="s">
        <v>7221</v>
      </c>
      <c r="D2944" s="13">
        <v>9.9</v>
      </c>
      <c r="E2944" s="13" t="s">
        <v>7221</v>
      </c>
      <c r="F2944" s="13" t="s">
        <v>8861</v>
      </c>
      <c r="G2944" s="13" t="s">
        <v>2</v>
      </c>
      <c r="H2944" s="13" t="s">
        <v>3</v>
      </c>
      <c r="I2944" s="13" t="s">
        <v>447</v>
      </c>
      <c r="J2944" s="13" t="s">
        <v>8890</v>
      </c>
      <c r="K2944" s="13" t="s">
        <v>8421</v>
      </c>
      <c r="L2944" s="13" t="s">
        <v>8891</v>
      </c>
      <c r="M2944" t="s">
        <v>3</v>
      </c>
    </row>
    <row r="2945" spans="1:13" x14ac:dyDescent="0.25">
      <c r="A2945" s="13" t="s">
        <v>7222</v>
      </c>
      <c r="B2945" s="13" t="s">
        <v>7223</v>
      </c>
      <c r="C2945" s="13" t="s">
        <v>7224</v>
      </c>
      <c r="D2945" s="13">
        <v>14.5</v>
      </c>
      <c r="E2945" s="13" t="s">
        <v>7225</v>
      </c>
      <c r="F2945" s="13" t="s">
        <v>8861</v>
      </c>
      <c r="G2945" s="13" t="s">
        <v>2</v>
      </c>
      <c r="H2945" s="13" t="s">
        <v>3</v>
      </c>
      <c r="I2945" s="13" t="s">
        <v>1562</v>
      </c>
      <c r="J2945" s="13" t="s">
        <v>8890</v>
      </c>
      <c r="K2945" s="13" t="s">
        <v>8423</v>
      </c>
      <c r="L2945" s="13" t="s">
        <v>8891</v>
      </c>
      <c r="M2945" t="s">
        <v>3</v>
      </c>
    </row>
    <row r="2946" spans="1:13" x14ac:dyDescent="0.25">
      <c r="A2946" s="13" t="s">
        <v>7226</v>
      </c>
      <c r="B2946" s="13" t="s">
        <v>7226</v>
      </c>
      <c r="C2946" s="13" t="s">
        <v>7227</v>
      </c>
      <c r="D2946" s="13">
        <v>3.6</v>
      </c>
      <c r="E2946" s="13" t="s">
        <v>7227</v>
      </c>
      <c r="F2946" s="13" t="s">
        <v>8861</v>
      </c>
      <c r="G2946" s="13" t="s">
        <v>2</v>
      </c>
      <c r="H2946" s="13" t="s">
        <v>3</v>
      </c>
      <c r="I2946" s="13" t="s">
        <v>447</v>
      </c>
      <c r="J2946" s="13" t="s">
        <v>8890</v>
      </c>
      <c r="K2946" s="13" t="s">
        <v>8421</v>
      </c>
      <c r="L2946" s="13" t="s">
        <v>8891</v>
      </c>
      <c r="M2946" t="s">
        <v>3</v>
      </c>
    </row>
    <row r="2947" spans="1:13" x14ac:dyDescent="0.25">
      <c r="A2947" s="13" t="s">
        <v>7228</v>
      </c>
      <c r="B2947" s="13" t="s">
        <v>7228</v>
      </c>
      <c r="C2947" s="13" t="s">
        <v>7228</v>
      </c>
      <c r="D2947" s="13">
        <v>0</v>
      </c>
      <c r="E2947" s="13" t="s">
        <v>7229</v>
      </c>
      <c r="F2947" s="13" t="s">
        <v>8865</v>
      </c>
      <c r="G2947" s="13" t="s">
        <v>2</v>
      </c>
      <c r="H2947" s="13" t="s">
        <v>3</v>
      </c>
      <c r="I2947" s="13" t="s">
        <v>2356</v>
      </c>
      <c r="J2947" s="13" t="s">
        <v>8890</v>
      </c>
      <c r="K2947" s="13" t="s">
        <v>8429</v>
      </c>
      <c r="L2947" s="13" t="s">
        <v>8901</v>
      </c>
      <c r="M2947" t="s">
        <v>3</v>
      </c>
    </row>
    <row r="2948" spans="1:13" x14ac:dyDescent="0.25">
      <c r="A2948" s="13" t="s">
        <v>7230</v>
      </c>
      <c r="B2948" s="13" t="s">
        <v>7230</v>
      </c>
      <c r="C2948" s="13" t="s">
        <v>7231</v>
      </c>
      <c r="D2948" s="13">
        <v>9.1999999999999993</v>
      </c>
      <c r="E2948" s="13" t="s">
        <v>7232</v>
      </c>
      <c r="F2948" s="13" t="s">
        <v>8861</v>
      </c>
      <c r="G2948" s="13" t="s">
        <v>2</v>
      </c>
      <c r="H2948" s="13" t="s">
        <v>3</v>
      </c>
      <c r="I2948" s="13" t="s">
        <v>1263</v>
      </c>
      <c r="J2948" s="13" t="s">
        <v>8890</v>
      </c>
      <c r="K2948" s="13" t="s">
        <v>8422</v>
      </c>
      <c r="L2948" s="13" t="s">
        <v>8891</v>
      </c>
      <c r="M2948" t="s">
        <v>3</v>
      </c>
    </row>
    <row r="2949" spans="1:13" x14ac:dyDescent="0.25">
      <c r="A2949" s="13" t="s">
        <v>9453</v>
      </c>
      <c r="B2949" s="13" t="s">
        <v>9453</v>
      </c>
      <c r="C2949" s="13" t="s">
        <v>9454</v>
      </c>
      <c r="D2949" s="13">
        <v>4.8</v>
      </c>
      <c r="E2949" s="13" t="s">
        <v>9455</v>
      </c>
      <c r="F2949" s="13" t="s">
        <v>8865</v>
      </c>
      <c r="G2949" s="13" t="s">
        <v>2</v>
      </c>
      <c r="H2949" s="13" t="s">
        <v>3</v>
      </c>
      <c r="I2949" s="13" t="s">
        <v>809</v>
      </c>
      <c r="J2949" s="13" t="s">
        <v>8890</v>
      </c>
      <c r="K2949" s="13" t="s">
        <v>8512</v>
      </c>
      <c r="L2949" s="13" t="s">
        <v>8901</v>
      </c>
      <c r="M2949" t="s">
        <v>3</v>
      </c>
    </row>
    <row r="2950" spans="1:13" ht="26.25" x14ac:dyDescent="0.25">
      <c r="A2950" s="13" t="s">
        <v>7233</v>
      </c>
      <c r="B2950" s="13" t="s">
        <v>7233</v>
      </c>
      <c r="C2950" s="13" t="s">
        <v>9456</v>
      </c>
      <c r="D2950" s="13">
        <v>7.7</v>
      </c>
      <c r="E2950" s="13" t="s">
        <v>7234</v>
      </c>
      <c r="F2950" s="13" t="s">
        <v>8865</v>
      </c>
      <c r="G2950" s="13" t="s">
        <v>2</v>
      </c>
      <c r="H2950" s="13" t="s">
        <v>3</v>
      </c>
      <c r="I2950" s="13" t="s">
        <v>4</v>
      </c>
      <c r="J2950" s="13" t="s">
        <v>8890</v>
      </c>
      <c r="K2950" s="13" t="s">
        <v>8424</v>
      </c>
      <c r="L2950" s="13" t="s">
        <v>8901</v>
      </c>
      <c r="M2950" t="s">
        <v>3</v>
      </c>
    </row>
    <row r="2951" spans="1:13" x14ac:dyDescent="0.25">
      <c r="A2951" s="13" t="s">
        <v>7235</v>
      </c>
      <c r="B2951" s="13" t="s">
        <v>7235</v>
      </c>
      <c r="C2951" s="13" t="s">
        <v>7236</v>
      </c>
      <c r="D2951" s="13">
        <v>4.8</v>
      </c>
      <c r="E2951" s="13" t="s">
        <v>7236</v>
      </c>
      <c r="F2951" s="13" t="s">
        <v>8865</v>
      </c>
      <c r="G2951" s="13" t="s">
        <v>2</v>
      </c>
      <c r="H2951" s="13" t="s">
        <v>3</v>
      </c>
      <c r="I2951" s="13" t="s">
        <v>7237</v>
      </c>
      <c r="J2951" s="13" t="s">
        <v>8890</v>
      </c>
      <c r="K2951" s="13" t="s">
        <v>8817</v>
      </c>
      <c r="L2951" s="13" t="s">
        <v>8901</v>
      </c>
      <c r="M2951" t="s">
        <v>3</v>
      </c>
    </row>
    <row r="2952" spans="1:13" x14ac:dyDescent="0.25">
      <c r="A2952" s="13" t="s">
        <v>10779</v>
      </c>
      <c r="B2952" s="13" t="s">
        <v>10779</v>
      </c>
      <c r="C2952" s="13" t="s">
        <v>10780</v>
      </c>
      <c r="D2952" s="13">
        <v>4.9000000000000004</v>
      </c>
      <c r="E2952" s="13" t="s">
        <v>10781</v>
      </c>
      <c r="F2952" s="13" t="s">
        <v>8867</v>
      </c>
      <c r="G2952" s="13" t="s">
        <v>2</v>
      </c>
      <c r="H2952" s="13" t="s">
        <v>3</v>
      </c>
      <c r="I2952" s="13" t="s">
        <v>517</v>
      </c>
      <c r="J2952" s="13" t="s">
        <v>8890</v>
      </c>
      <c r="K2952" s="13" t="s">
        <v>8477</v>
      </c>
      <c r="L2952" s="13" t="s">
        <v>158</v>
      </c>
      <c r="M2952" t="s">
        <v>3</v>
      </c>
    </row>
    <row r="2953" spans="1:13" x14ac:dyDescent="0.25">
      <c r="A2953" s="13" t="s">
        <v>9457</v>
      </c>
      <c r="B2953" s="13" t="s">
        <v>9457</v>
      </c>
      <c r="C2953" s="13" t="s">
        <v>9458</v>
      </c>
      <c r="D2953" s="13">
        <v>15</v>
      </c>
      <c r="E2953" s="13" t="s">
        <v>9459</v>
      </c>
      <c r="F2953" s="13" t="s">
        <v>8865</v>
      </c>
      <c r="G2953" s="13" t="s">
        <v>2</v>
      </c>
      <c r="H2953" s="13" t="s">
        <v>3</v>
      </c>
      <c r="I2953" s="13" t="s">
        <v>447</v>
      </c>
      <c r="J2953" s="13" t="s">
        <v>8890</v>
      </c>
      <c r="K2953" s="13" t="s">
        <v>8421</v>
      </c>
      <c r="L2953" s="13" t="s">
        <v>8901</v>
      </c>
      <c r="M2953" t="s">
        <v>3</v>
      </c>
    </row>
    <row r="2954" spans="1:13" x14ac:dyDescent="0.25">
      <c r="A2954" s="13" t="s">
        <v>7238</v>
      </c>
      <c r="B2954" s="13" t="s">
        <v>7238</v>
      </c>
      <c r="C2954" s="13" t="s">
        <v>7239</v>
      </c>
      <c r="D2954" s="13">
        <v>6.1</v>
      </c>
      <c r="E2954" s="13" t="s">
        <v>7240</v>
      </c>
      <c r="F2954" s="13" t="s">
        <v>8865</v>
      </c>
      <c r="G2954" s="13" t="s">
        <v>2</v>
      </c>
      <c r="H2954" s="13" t="s">
        <v>3</v>
      </c>
      <c r="I2954" s="13" t="s">
        <v>1263</v>
      </c>
      <c r="J2954" s="13" t="s">
        <v>8890</v>
      </c>
      <c r="K2954" s="13" t="s">
        <v>8422</v>
      </c>
      <c r="L2954" s="13" t="s">
        <v>8901</v>
      </c>
      <c r="M2954" t="s">
        <v>3</v>
      </c>
    </row>
    <row r="2955" spans="1:13" x14ac:dyDescent="0.25">
      <c r="A2955" s="13" t="s">
        <v>7241</v>
      </c>
      <c r="B2955" s="13" t="s">
        <v>7242</v>
      </c>
      <c r="C2955" s="13" t="s">
        <v>7243</v>
      </c>
      <c r="D2955" s="13">
        <v>113.7</v>
      </c>
      <c r="E2955" s="13" t="s">
        <v>7244</v>
      </c>
      <c r="F2955" s="13" t="s">
        <v>8863</v>
      </c>
      <c r="G2955" s="13" t="s">
        <v>2</v>
      </c>
      <c r="H2955" s="13" t="s">
        <v>8923</v>
      </c>
      <c r="I2955" s="13" t="s">
        <v>390</v>
      </c>
      <c r="J2955" s="13" t="s">
        <v>8890</v>
      </c>
      <c r="K2955" s="13" t="s">
        <v>8423</v>
      </c>
      <c r="L2955" s="13" t="s">
        <v>8893</v>
      </c>
      <c r="M2955" t="s">
        <v>8923</v>
      </c>
    </row>
    <row r="2956" spans="1:13" x14ac:dyDescent="0.25">
      <c r="A2956" s="13" t="s">
        <v>7245</v>
      </c>
      <c r="B2956" s="13" t="s">
        <v>7245</v>
      </c>
      <c r="C2956" s="13" t="s">
        <v>7245</v>
      </c>
      <c r="D2956" s="13">
        <v>15.2</v>
      </c>
      <c r="E2956" s="13" t="s">
        <v>7246</v>
      </c>
      <c r="F2956" s="13" t="s">
        <v>8865</v>
      </c>
      <c r="G2956" s="13" t="s">
        <v>2</v>
      </c>
      <c r="H2956" s="13" t="s">
        <v>3</v>
      </c>
      <c r="I2956" s="13" t="s">
        <v>1745</v>
      </c>
      <c r="J2956" s="13" t="s">
        <v>8890</v>
      </c>
      <c r="K2956" s="13" t="s">
        <v>8430</v>
      </c>
      <c r="L2956" s="13" t="s">
        <v>8901</v>
      </c>
      <c r="M2956" t="s">
        <v>3</v>
      </c>
    </row>
    <row r="2957" spans="1:13" x14ac:dyDescent="0.25">
      <c r="A2957" s="13" t="s">
        <v>7247</v>
      </c>
      <c r="B2957" s="13" t="s">
        <v>7247</v>
      </c>
      <c r="C2957" s="13" t="s">
        <v>7248</v>
      </c>
      <c r="D2957" s="13">
        <v>13</v>
      </c>
      <c r="E2957" s="13" t="s">
        <v>7249</v>
      </c>
      <c r="F2957" s="13" t="s">
        <v>8865</v>
      </c>
      <c r="G2957" s="13" t="s">
        <v>2</v>
      </c>
      <c r="H2957" s="13" t="s">
        <v>3</v>
      </c>
      <c r="I2957" s="13" t="s">
        <v>1263</v>
      </c>
      <c r="J2957" s="13" t="s">
        <v>8890</v>
      </c>
      <c r="K2957" s="13" t="s">
        <v>8422</v>
      </c>
      <c r="L2957" s="13" t="s">
        <v>8901</v>
      </c>
      <c r="M2957" t="s">
        <v>3</v>
      </c>
    </row>
    <row r="2958" spans="1:13" x14ac:dyDescent="0.25">
      <c r="A2958" s="13" t="s">
        <v>7250</v>
      </c>
      <c r="B2958" s="13" t="s">
        <v>7250</v>
      </c>
      <c r="C2958" s="13" t="s">
        <v>7251</v>
      </c>
      <c r="D2958" s="13">
        <v>10</v>
      </c>
      <c r="E2958" s="13" t="s">
        <v>7252</v>
      </c>
      <c r="F2958" s="13" t="s">
        <v>8865</v>
      </c>
      <c r="G2958" s="13" t="s">
        <v>2</v>
      </c>
      <c r="H2958" s="13" t="s">
        <v>3</v>
      </c>
      <c r="I2958" s="13" t="s">
        <v>706</v>
      </c>
      <c r="J2958" s="13" t="s">
        <v>8890</v>
      </c>
      <c r="K2958" s="13" t="s">
        <v>8419</v>
      </c>
      <c r="L2958" s="13" t="s">
        <v>8901</v>
      </c>
      <c r="M2958" t="s">
        <v>3</v>
      </c>
    </row>
    <row r="2959" spans="1:13" ht="26.25" x14ac:dyDescent="0.25">
      <c r="A2959" s="13" t="s">
        <v>7253</v>
      </c>
      <c r="B2959" s="13" t="s">
        <v>7253</v>
      </c>
      <c r="C2959" s="13" t="s">
        <v>7253</v>
      </c>
      <c r="D2959" s="13">
        <v>17.2</v>
      </c>
      <c r="E2959" s="13" t="s">
        <v>7254</v>
      </c>
      <c r="F2959" s="13" t="s">
        <v>8865</v>
      </c>
      <c r="G2959" s="13" t="s">
        <v>2</v>
      </c>
      <c r="H2959" s="13" t="s">
        <v>3</v>
      </c>
      <c r="I2959" s="13" t="s">
        <v>429</v>
      </c>
      <c r="J2959" s="13" t="s">
        <v>8890</v>
      </c>
      <c r="K2959" s="13" t="s">
        <v>6051</v>
      </c>
      <c r="L2959" s="13" t="s">
        <v>8901</v>
      </c>
      <c r="M2959" t="s">
        <v>3</v>
      </c>
    </row>
    <row r="2960" spans="1:13" ht="26.25" x14ac:dyDescent="0.25">
      <c r="A2960" s="13" t="s">
        <v>7255</v>
      </c>
      <c r="B2960" s="13" t="s">
        <v>7255</v>
      </c>
      <c r="C2960" s="13" t="s">
        <v>9460</v>
      </c>
      <c r="D2960" s="13">
        <v>10</v>
      </c>
      <c r="E2960" s="13" t="s">
        <v>7256</v>
      </c>
      <c r="F2960" s="13" t="s">
        <v>8865</v>
      </c>
      <c r="G2960" s="13" t="s">
        <v>2</v>
      </c>
      <c r="H2960" s="13" t="s">
        <v>3</v>
      </c>
      <c r="I2960" s="13" t="s">
        <v>809</v>
      </c>
      <c r="J2960" s="13" t="s">
        <v>8890</v>
      </c>
      <c r="K2960" s="13" t="s">
        <v>8512</v>
      </c>
      <c r="L2960" s="13" t="s">
        <v>8901</v>
      </c>
      <c r="M2960" t="s">
        <v>3</v>
      </c>
    </row>
    <row r="2961" spans="1:13" x14ac:dyDescent="0.25">
      <c r="A2961" s="13" t="s">
        <v>7257</v>
      </c>
      <c r="B2961" s="13" t="s">
        <v>7257</v>
      </c>
      <c r="C2961" s="13" t="s">
        <v>7258</v>
      </c>
      <c r="D2961" s="13">
        <v>19.600000000000001</v>
      </c>
      <c r="E2961" s="13" t="s">
        <v>7258</v>
      </c>
      <c r="F2961" s="13" t="s">
        <v>8865</v>
      </c>
      <c r="G2961" s="13" t="s">
        <v>2</v>
      </c>
      <c r="H2961" s="13" t="s">
        <v>3</v>
      </c>
      <c r="I2961" s="13" t="s">
        <v>447</v>
      </c>
      <c r="J2961" s="13" t="s">
        <v>8890</v>
      </c>
      <c r="K2961" s="13" t="s">
        <v>8421</v>
      </c>
      <c r="L2961" s="13" t="s">
        <v>8901</v>
      </c>
      <c r="M2961" t="s">
        <v>3</v>
      </c>
    </row>
    <row r="2962" spans="1:13" ht="26.25" x14ac:dyDescent="0.25">
      <c r="A2962" s="13" t="s">
        <v>7259</v>
      </c>
      <c r="B2962" s="13" t="s">
        <v>7259</v>
      </c>
      <c r="C2962" s="13" t="s">
        <v>7259</v>
      </c>
      <c r="D2962" s="13">
        <v>1</v>
      </c>
      <c r="E2962" s="13" t="s">
        <v>7260</v>
      </c>
      <c r="F2962" s="13" t="s">
        <v>8860</v>
      </c>
      <c r="G2962" s="13" t="s">
        <v>19</v>
      </c>
      <c r="H2962" s="13" t="s">
        <v>3</v>
      </c>
      <c r="I2962" s="13" t="s">
        <v>7261</v>
      </c>
      <c r="J2962" s="13" t="s">
        <v>21</v>
      </c>
      <c r="K2962" s="13" t="s">
        <v>8818</v>
      </c>
      <c r="L2962" s="13" t="s">
        <v>18</v>
      </c>
      <c r="M2962" t="s">
        <v>3</v>
      </c>
    </row>
    <row r="2963" spans="1:13" ht="26.25" x14ac:dyDescent="0.25">
      <c r="A2963" s="13" t="s">
        <v>7262</v>
      </c>
      <c r="B2963" s="13" t="s">
        <v>7262</v>
      </c>
      <c r="C2963" s="13" t="s">
        <v>7263</v>
      </c>
      <c r="D2963" s="13">
        <v>14.9</v>
      </c>
      <c r="E2963" s="13" t="s">
        <v>7264</v>
      </c>
      <c r="F2963" s="13" t="s">
        <v>8865</v>
      </c>
      <c r="G2963" s="13" t="s">
        <v>2</v>
      </c>
      <c r="H2963" s="13" t="s">
        <v>3</v>
      </c>
      <c r="I2963" s="13" t="s">
        <v>2465</v>
      </c>
      <c r="J2963" s="13" t="s">
        <v>8890</v>
      </c>
      <c r="K2963" s="13" t="s">
        <v>8605</v>
      </c>
      <c r="L2963" s="13" t="s">
        <v>8901</v>
      </c>
      <c r="M2963" t="s">
        <v>3</v>
      </c>
    </row>
    <row r="2964" spans="1:13" ht="26.25" x14ac:dyDescent="0.25">
      <c r="A2964" s="13" t="s">
        <v>11122</v>
      </c>
      <c r="B2964" s="13" t="s">
        <v>11123</v>
      </c>
      <c r="C2964" s="13" t="s">
        <v>11124</v>
      </c>
      <c r="D2964" s="13">
        <v>0</v>
      </c>
      <c r="E2964" s="13" t="s">
        <v>11125</v>
      </c>
      <c r="F2964" s="13" t="s">
        <v>8860</v>
      </c>
      <c r="G2964" s="13" t="s">
        <v>19</v>
      </c>
      <c r="H2964" s="13" t="s">
        <v>3</v>
      </c>
      <c r="I2964" s="13" t="s">
        <v>11123</v>
      </c>
      <c r="J2964" s="13" t="s">
        <v>21</v>
      </c>
      <c r="K2964" s="13" t="s">
        <v>11126</v>
      </c>
      <c r="L2964" s="13" t="s">
        <v>18</v>
      </c>
      <c r="M2964" t="s">
        <v>3</v>
      </c>
    </row>
    <row r="2965" spans="1:13" x14ac:dyDescent="0.25">
      <c r="A2965" s="13" t="s">
        <v>7265</v>
      </c>
      <c r="B2965" s="13" t="s">
        <v>7265</v>
      </c>
      <c r="C2965" s="13" t="s">
        <v>7266</v>
      </c>
      <c r="D2965" s="13">
        <v>5</v>
      </c>
      <c r="E2965" s="13" t="s">
        <v>7266</v>
      </c>
      <c r="F2965" s="13" t="s">
        <v>8865</v>
      </c>
      <c r="G2965" s="13" t="s">
        <v>2</v>
      </c>
      <c r="H2965" s="13" t="s">
        <v>3</v>
      </c>
      <c r="I2965" s="13" t="s">
        <v>447</v>
      </c>
      <c r="J2965" s="13" t="s">
        <v>8890</v>
      </c>
      <c r="K2965" s="13" t="s">
        <v>8421</v>
      </c>
      <c r="L2965" s="13" t="s">
        <v>8901</v>
      </c>
      <c r="M2965" t="s">
        <v>3</v>
      </c>
    </row>
    <row r="2966" spans="1:13" x14ac:dyDescent="0.25">
      <c r="A2966" s="13" t="s">
        <v>7267</v>
      </c>
      <c r="B2966" s="13" t="s">
        <v>7268</v>
      </c>
      <c r="C2966" s="13" t="s">
        <v>7269</v>
      </c>
      <c r="D2966" s="13">
        <v>150.80000000000001</v>
      </c>
      <c r="E2966" s="13" t="s">
        <v>7270</v>
      </c>
      <c r="F2966" s="13" t="s">
        <v>8863</v>
      </c>
      <c r="G2966" s="13" t="s">
        <v>2</v>
      </c>
      <c r="H2966" s="13" t="s">
        <v>8923</v>
      </c>
      <c r="I2966" s="13" t="s">
        <v>390</v>
      </c>
      <c r="J2966" s="13" t="s">
        <v>8890</v>
      </c>
      <c r="K2966" s="13" t="s">
        <v>8423</v>
      </c>
      <c r="L2966" s="13" t="s">
        <v>8893</v>
      </c>
      <c r="M2966" t="s">
        <v>8923</v>
      </c>
    </row>
    <row r="2967" spans="1:13" x14ac:dyDescent="0.25">
      <c r="A2967" s="13" t="s">
        <v>7271</v>
      </c>
      <c r="B2967" s="13" t="s">
        <v>7272</v>
      </c>
      <c r="C2967" s="13" t="s">
        <v>7273</v>
      </c>
      <c r="D2967" s="13">
        <v>48</v>
      </c>
      <c r="E2967" s="13" t="s">
        <v>7274</v>
      </c>
      <c r="F2967" s="13" t="s">
        <v>8876</v>
      </c>
      <c r="G2967" s="13" t="s">
        <v>2</v>
      </c>
      <c r="H2967" s="13" t="s">
        <v>3</v>
      </c>
      <c r="I2967" s="13" t="s">
        <v>1978</v>
      </c>
      <c r="J2967" s="13" t="s">
        <v>8890</v>
      </c>
      <c r="K2967" s="13" t="s">
        <v>8570</v>
      </c>
      <c r="L2967" s="13" t="s">
        <v>9244</v>
      </c>
      <c r="M2967" t="s">
        <v>3</v>
      </c>
    </row>
    <row r="2968" spans="1:13" x14ac:dyDescent="0.25">
      <c r="A2968" s="13" t="s">
        <v>11699</v>
      </c>
      <c r="B2968" s="13" t="s">
        <v>11700</v>
      </c>
      <c r="C2968" s="13" t="s">
        <v>11701</v>
      </c>
      <c r="D2968" s="13">
        <v>2.2999999999999998</v>
      </c>
      <c r="E2968" s="13" t="s">
        <v>11702</v>
      </c>
      <c r="F2968" s="13" t="s">
        <v>8867</v>
      </c>
      <c r="G2968" s="13" t="s">
        <v>2</v>
      </c>
      <c r="H2968" s="13" t="s">
        <v>3</v>
      </c>
      <c r="I2968" s="13" t="s">
        <v>497</v>
      </c>
      <c r="J2968" s="13" t="s">
        <v>8890</v>
      </c>
      <c r="K2968" s="13" t="s">
        <v>8475</v>
      </c>
      <c r="L2968" s="13" t="s">
        <v>158</v>
      </c>
      <c r="M2968" t="s">
        <v>3</v>
      </c>
    </row>
    <row r="2969" spans="1:13" ht="26.25" x14ac:dyDescent="0.25">
      <c r="A2969" s="13" t="s">
        <v>7275</v>
      </c>
      <c r="B2969" s="13" t="s">
        <v>7276</v>
      </c>
      <c r="C2969" s="13" t="s">
        <v>7277</v>
      </c>
      <c r="D2969" s="13">
        <v>0.1</v>
      </c>
      <c r="E2969" s="13" t="s">
        <v>7278</v>
      </c>
      <c r="F2969" s="13" t="s">
        <v>8860</v>
      </c>
      <c r="G2969" s="13" t="s">
        <v>19</v>
      </c>
      <c r="H2969" s="13" t="s">
        <v>3</v>
      </c>
      <c r="I2969" s="13" t="s">
        <v>4021</v>
      </c>
      <c r="J2969" s="13" t="s">
        <v>21</v>
      </c>
      <c r="K2969" s="13" t="s">
        <v>8632</v>
      </c>
      <c r="L2969" s="13" t="s">
        <v>18</v>
      </c>
      <c r="M2969" t="s">
        <v>3</v>
      </c>
    </row>
    <row r="2970" spans="1:13" x14ac:dyDescent="0.25">
      <c r="A2970" s="13" t="s">
        <v>7279</v>
      </c>
      <c r="B2970" s="13" t="s">
        <v>7279</v>
      </c>
      <c r="C2970" s="13" t="s">
        <v>7280</v>
      </c>
      <c r="D2970" s="13">
        <v>6</v>
      </c>
      <c r="E2970" s="13" t="s">
        <v>7281</v>
      </c>
      <c r="F2970" s="13" t="s">
        <v>8865</v>
      </c>
      <c r="G2970" s="13" t="s">
        <v>2</v>
      </c>
      <c r="H2970" s="13" t="s">
        <v>3</v>
      </c>
      <c r="I2970" s="13" t="s">
        <v>1283</v>
      </c>
      <c r="J2970" s="13" t="s">
        <v>8890</v>
      </c>
      <c r="K2970" s="13" t="s">
        <v>8524</v>
      </c>
      <c r="L2970" s="13" t="s">
        <v>8901</v>
      </c>
      <c r="M2970" t="s">
        <v>3</v>
      </c>
    </row>
    <row r="2971" spans="1:13" x14ac:dyDescent="0.25">
      <c r="A2971" s="13" t="s">
        <v>7282</v>
      </c>
      <c r="B2971" s="13" t="s">
        <v>7282</v>
      </c>
      <c r="C2971" s="13" t="s">
        <v>7283</v>
      </c>
      <c r="D2971" s="13">
        <v>12</v>
      </c>
      <c r="E2971" s="13" t="s">
        <v>7284</v>
      </c>
      <c r="F2971" s="13" t="s">
        <v>8865</v>
      </c>
      <c r="G2971" s="13" t="s">
        <v>2</v>
      </c>
      <c r="H2971" s="13" t="s">
        <v>8422</v>
      </c>
      <c r="I2971" s="13" t="s">
        <v>1263</v>
      </c>
      <c r="J2971" s="13" t="s">
        <v>8890</v>
      </c>
      <c r="K2971" s="13" t="s">
        <v>8422</v>
      </c>
      <c r="L2971" s="13" t="s">
        <v>8901</v>
      </c>
      <c r="M2971" t="s">
        <v>10689</v>
      </c>
    </row>
    <row r="2972" spans="1:13" x14ac:dyDescent="0.25">
      <c r="A2972" s="13" t="s">
        <v>7285</v>
      </c>
      <c r="B2972" s="13" t="s">
        <v>7285</v>
      </c>
      <c r="C2972" s="13" t="s">
        <v>7286</v>
      </c>
      <c r="D2972" s="13">
        <v>1.5</v>
      </c>
      <c r="E2972" s="13" t="s">
        <v>7287</v>
      </c>
      <c r="F2972" s="13" t="s">
        <v>8865</v>
      </c>
      <c r="G2972" s="13" t="s">
        <v>2</v>
      </c>
      <c r="H2972" s="13" t="s">
        <v>3</v>
      </c>
      <c r="I2972" s="13" t="s">
        <v>7288</v>
      </c>
      <c r="J2972" s="13" t="s">
        <v>8890</v>
      </c>
      <c r="K2972" s="13" t="s">
        <v>8819</v>
      </c>
      <c r="L2972" s="13" t="s">
        <v>8901</v>
      </c>
      <c r="M2972" t="s">
        <v>3</v>
      </c>
    </row>
    <row r="2973" spans="1:13" x14ac:dyDescent="0.25">
      <c r="A2973" s="13" t="s">
        <v>7289</v>
      </c>
      <c r="B2973" s="13" t="s">
        <v>7289</v>
      </c>
      <c r="C2973" s="13" t="s">
        <v>7290</v>
      </c>
      <c r="D2973" s="13">
        <v>9.9</v>
      </c>
      <c r="E2973" s="13" t="s">
        <v>7291</v>
      </c>
      <c r="F2973" s="13" t="s">
        <v>8865</v>
      </c>
      <c r="G2973" s="13" t="s">
        <v>2</v>
      </c>
      <c r="H2973" s="13" t="s">
        <v>3</v>
      </c>
      <c r="I2973" s="13" t="s">
        <v>809</v>
      </c>
      <c r="J2973" s="13" t="s">
        <v>8890</v>
      </c>
      <c r="K2973" s="13" t="s">
        <v>8512</v>
      </c>
      <c r="L2973" s="13" t="s">
        <v>8901</v>
      </c>
      <c r="M2973" t="s">
        <v>3</v>
      </c>
    </row>
    <row r="2974" spans="1:13" ht="26.25" x14ac:dyDescent="0.25">
      <c r="A2974" s="13" t="s">
        <v>7292</v>
      </c>
      <c r="B2974" s="13" t="s">
        <v>7293</v>
      </c>
      <c r="C2974" s="13" t="s">
        <v>7294</v>
      </c>
      <c r="D2974" s="13">
        <v>2.7</v>
      </c>
      <c r="E2974" s="13" t="s">
        <v>7295</v>
      </c>
      <c r="F2974" s="13" t="s">
        <v>35</v>
      </c>
      <c r="G2974" s="13" t="s">
        <v>19</v>
      </c>
      <c r="H2974" s="13" t="s">
        <v>3</v>
      </c>
      <c r="I2974" s="13" t="s">
        <v>7296</v>
      </c>
      <c r="J2974" s="13" t="s">
        <v>37</v>
      </c>
      <c r="K2974" s="13" t="s">
        <v>7299</v>
      </c>
      <c r="L2974" s="13" t="s">
        <v>35</v>
      </c>
      <c r="M2974" t="s">
        <v>3</v>
      </c>
    </row>
    <row r="2975" spans="1:13" ht="26.25" x14ac:dyDescent="0.25">
      <c r="A2975" s="13" t="s">
        <v>7297</v>
      </c>
      <c r="B2975" s="13" t="s">
        <v>7298</v>
      </c>
      <c r="C2975" s="13" t="s">
        <v>7299</v>
      </c>
      <c r="D2975" s="13">
        <v>14.3</v>
      </c>
      <c r="E2975" s="13" t="s">
        <v>7300</v>
      </c>
      <c r="F2975" s="13" t="s">
        <v>35</v>
      </c>
      <c r="G2975" s="13" t="s">
        <v>19</v>
      </c>
      <c r="H2975" s="13" t="s">
        <v>3</v>
      </c>
      <c r="I2975" s="13" t="s">
        <v>7296</v>
      </c>
      <c r="J2975" s="13" t="s">
        <v>37</v>
      </c>
      <c r="K2975" s="13" t="s">
        <v>7299</v>
      </c>
      <c r="L2975" s="13" t="s">
        <v>35</v>
      </c>
      <c r="M2975" t="s">
        <v>3</v>
      </c>
    </row>
    <row r="2976" spans="1:13" ht="26.25" x14ac:dyDescent="0.25">
      <c r="A2976" s="13" t="s">
        <v>7301</v>
      </c>
      <c r="B2976" s="13" t="s">
        <v>7302</v>
      </c>
      <c r="C2976" s="13" t="s">
        <v>7303</v>
      </c>
      <c r="D2976" s="13">
        <v>1.5</v>
      </c>
      <c r="E2976" s="13" t="s">
        <v>7304</v>
      </c>
      <c r="F2976" s="13" t="s">
        <v>35</v>
      </c>
      <c r="G2976" s="13" t="s">
        <v>19</v>
      </c>
      <c r="H2976" s="13" t="s">
        <v>3</v>
      </c>
      <c r="I2976" s="13" t="s">
        <v>7305</v>
      </c>
      <c r="J2976" s="13" t="s">
        <v>37</v>
      </c>
      <c r="K2976" s="13" t="s">
        <v>7303</v>
      </c>
      <c r="L2976" s="13" t="s">
        <v>35</v>
      </c>
      <c r="M2976" t="s">
        <v>3</v>
      </c>
    </row>
    <row r="2977" spans="1:13" x14ac:dyDescent="0.25">
      <c r="A2977" s="13" t="s">
        <v>7306</v>
      </c>
      <c r="B2977" s="13" t="s">
        <v>7306</v>
      </c>
      <c r="C2977" s="13" t="s">
        <v>7307</v>
      </c>
      <c r="D2977" s="13">
        <v>3.3</v>
      </c>
      <c r="E2977" s="13" t="s">
        <v>7308</v>
      </c>
      <c r="F2977" s="13" t="s">
        <v>8865</v>
      </c>
      <c r="G2977" s="13" t="s">
        <v>2</v>
      </c>
      <c r="H2977" s="13" t="s">
        <v>3</v>
      </c>
      <c r="I2977" s="13" t="s">
        <v>228</v>
      </c>
      <c r="J2977" s="13" t="s">
        <v>8890</v>
      </c>
      <c r="K2977" s="13" t="s">
        <v>8418</v>
      </c>
      <c r="L2977" s="13" t="s">
        <v>8901</v>
      </c>
      <c r="M2977" t="s">
        <v>3</v>
      </c>
    </row>
    <row r="2978" spans="1:13" x14ac:dyDescent="0.25">
      <c r="A2978" s="13" t="s">
        <v>7309</v>
      </c>
      <c r="B2978" s="13" t="s">
        <v>7309</v>
      </c>
      <c r="C2978" s="13" t="s">
        <v>7309</v>
      </c>
      <c r="D2978" s="13">
        <v>13.5</v>
      </c>
      <c r="E2978" s="13" t="s">
        <v>7310</v>
      </c>
      <c r="F2978" s="13" t="s">
        <v>8865</v>
      </c>
      <c r="G2978" s="13" t="s">
        <v>2</v>
      </c>
      <c r="H2978" s="13" t="s">
        <v>3</v>
      </c>
      <c r="I2978" s="13" t="s">
        <v>429</v>
      </c>
      <c r="J2978" s="13" t="s">
        <v>8890</v>
      </c>
      <c r="K2978" s="13" t="s">
        <v>6051</v>
      </c>
      <c r="L2978" s="13" t="s">
        <v>8901</v>
      </c>
      <c r="M2978" t="s">
        <v>3</v>
      </c>
    </row>
    <row r="2979" spans="1:13" x14ac:dyDescent="0.25">
      <c r="A2979" s="13" t="s">
        <v>7311</v>
      </c>
      <c r="B2979" s="13" t="s">
        <v>7312</v>
      </c>
      <c r="C2979" s="13" t="s">
        <v>7313</v>
      </c>
      <c r="D2979" s="13">
        <v>4.5999999999999996</v>
      </c>
      <c r="E2979" s="13" t="s">
        <v>7314</v>
      </c>
      <c r="F2979" s="13" t="s">
        <v>8865</v>
      </c>
      <c r="G2979" s="13" t="s">
        <v>2</v>
      </c>
      <c r="H2979" s="13" t="s">
        <v>3</v>
      </c>
      <c r="I2979" s="13" t="s">
        <v>1254</v>
      </c>
      <c r="J2979" s="13" t="s">
        <v>8890</v>
      </c>
      <c r="K2979" s="13" t="s">
        <v>8508</v>
      </c>
      <c r="L2979" s="13" t="s">
        <v>8901</v>
      </c>
      <c r="M2979" t="s">
        <v>3</v>
      </c>
    </row>
    <row r="2980" spans="1:13" x14ac:dyDescent="0.25">
      <c r="A2980" s="13" t="s">
        <v>7315</v>
      </c>
      <c r="B2980" s="13" t="s">
        <v>7315</v>
      </c>
      <c r="C2980" s="13" t="s">
        <v>7316</v>
      </c>
      <c r="D2980" s="13">
        <v>7.3</v>
      </c>
      <c r="E2980" s="13" t="s">
        <v>7317</v>
      </c>
      <c r="F2980" s="13" t="s">
        <v>8865</v>
      </c>
      <c r="G2980" s="13" t="s">
        <v>2</v>
      </c>
      <c r="H2980" s="13" t="s">
        <v>3</v>
      </c>
      <c r="I2980" s="13" t="s">
        <v>447</v>
      </c>
      <c r="J2980" s="13" t="s">
        <v>8890</v>
      </c>
      <c r="K2980" s="13" t="s">
        <v>8421</v>
      </c>
      <c r="L2980" s="13" t="s">
        <v>8901</v>
      </c>
      <c r="M2980" t="s">
        <v>3</v>
      </c>
    </row>
    <row r="2981" spans="1:13" x14ac:dyDescent="0.25">
      <c r="A2981" s="13" t="s">
        <v>7318</v>
      </c>
      <c r="B2981" s="13" t="s">
        <v>7318</v>
      </c>
      <c r="C2981" s="13" t="s">
        <v>7318</v>
      </c>
      <c r="D2981" s="13">
        <v>14.9</v>
      </c>
      <c r="E2981" s="13" t="s">
        <v>7319</v>
      </c>
      <c r="F2981" s="13" t="s">
        <v>8865</v>
      </c>
      <c r="G2981" s="13" t="s">
        <v>2</v>
      </c>
      <c r="H2981" s="13" t="s">
        <v>3</v>
      </c>
      <c r="I2981" s="13" t="s">
        <v>429</v>
      </c>
      <c r="J2981" s="13" t="s">
        <v>8890</v>
      </c>
      <c r="K2981" s="13" t="s">
        <v>6051</v>
      </c>
      <c r="L2981" s="13" t="s">
        <v>8901</v>
      </c>
      <c r="M2981" t="s">
        <v>3</v>
      </c>
    </row>
    <row r="2982" spans="1:13" x14ac:dyDescent="0.25">
      <c r="A2982" s="13" t="s">
        <v>10349</v>
      </c>
      <c r="B2982" s="13" t="s">
        <v>10349</v>
      </c>
      <c r="C2982" s="13" t="s">
        <v>10350</v>
      </c>
      <c r="D2982" s="13">
        <v>1.9</v>
      </c>
      <c r="E2982" s="13" t="s">
        <v>10351</v>
      </c>
      <c r="F2982" s="13" t="s">
        <v>8865</v>
      </c>
      <c r="G2982" s="13" t="s">
        <v>2</v>
      </c>
      <c r="H2982" s="13" t="s">
        <v>3</v>
      </c>
      <c r="I2982" s="13" t="s">
        <v>447</v>
      </c>
      <c r="J2982" s="13" t="s">
        <v>8890</v>
      </c>
      <c r="K2982" s="13" t="s">
        <v>8421</v>
      </c>
      <c r="L2982" s="13" t="s">
        <v>8901</v>
      </c>
      <c r="M2982" t="s">
        <v>3</v>
      </c>
    </row>
    <row r="2983" spans="1:13" x14ac:dyDescent="0.25">
      <c r="A2983" s="13" t="s">
        <v>7320</v>
      </c>
      <c r="B2983" s="13" t="s">
        <v>7320</v>
      </c>
      <c r="C2983" s="13" t="s">
        <v>7321</v>
      </c>
      <c r="D2983" s="13">
        <v>9.4</v>
      </c>
      <c r="E2983" s="13" t="s">
        <v>7322</v>
      </c>
      <c r="F2983" s="13" t="s">
        <v>8862</v>
      </c>
      <c r="G2983" s="13" t="s">
        <v>2</v>
      </c>
      <c r="H2983" s="13" t="s">
        <v>3</v>
      </c>
      <c r="I2983" s="13" t="s">
        <v>447</v>
      </c>
      <c r="J2983" s="13" t="s">
        <v>8890</v>
      </c>
      <c r="K2983" s="13" t="s">
        <v>8421</v>
      </c>
      <c r="L2983" s="13" t="s">
        <v>8892</v>
      </c>
      <c r="M2983" t="s">
        <v>3</v>
      </c>
    </row>
    <row r="2984" spans="1:13" x14ac:dyDescent="0.25">
      <c r="A2984" s="13" t="s">
        <v>7323</v>
      </c>
      <c r="B2984" s="13" t="s">
        <v>7323</v>
      </c>
      <c r="C2984" s="13" t="s">
        <v>7324</v>
      </c>
      <c r="D2984" s="13">
        <v>45.8</v>
      </c>
      <c r="E2984" s="13" t="s">
        <v>7325</v>
      </c>
      <c r="F2984" s="13" t="s">
        <v>8865</v>
      </c>
      <c r="G2984" s="13" t="s">
        <v>2</v>
      </c>
      <c r="H2984" s="13" t="s">
        <v>3</v>
      </c>
      <c r="I2984" s="13" t="s">
        <v>1745</v>
      </c>
      <c r="J2984" s="13" t="s">
        <v>8890</v>
      </c>
      <c r="K2984" s="13" t="s">
        <v>8430</v>
      </c>
      <c r="L2984" s="13" t="s">
        <v>8901</v>
      </c>
      <c r="M2984" t="s">
        <v>3</v>
      </c>
    </row>
    <row r="2985" spans="1:13" x14ac:dyDescent="0.25">
      <c r="A2985" s="13" t="s">
        <v>7326</v>
      </c>
      <c r="B2985" s="13" t="s">
        <v>7326</v>
      </c>
      <c r="C2985" s="13" t="s">
        <v>7326</v>
      </c>
      <c r="D2985" s="13">
        <v>37</v>
      </c>
      <c r="E2985" s="13" t="s">
        <v>7327</v>
      </c>
      <c r="F2985" s="13" t="s">
        <v>8865</v>
      </c>
      <c r="G2985" s="13" t="s">
        <v>2</v>
      </c>
      <c r="H2985" s="13" t="s">
        <v>3</v>
      </c>
      <c r="I2985" s="13" t="s">
        <v>649</v>
      </c>
      <c r="J2985" s="13" t="s">
        <v>8890</v>
      </c>
      <c r="K2985" s="13" t="s">
        <v>6051</v>
      </c>
      <c r="L2985" s="13" t="s">
        <v>8901</v>
      </c>
      <c r="M2985" t="s">
        <v>3</v>
      </c>
    </row>
    <row r="2986" spans="1:13" x14ac:dyDescent="0.25">
      <c r="A2986" s="13" t="s">
        <v>7328</v>
      </c>
      <c r="B2986" s="13" t="s">
        <v>7328</v>
      </c>
      <c r="C2986" s="13" t="s">
        <v>7328</v>
      </c>
      <c r="D2986" s="13">
        <v>27</v>
      </c>
      <c r="E2986" s="13" t="s">
        <v>7329</v>
      </c>
      <c r="F2986" s="13" t="s">
        <v>8865</v>
      </c>
      <c r="G2986" s="13" t="s">
        <v>2</v>
      </c>
      <c r="H2986" s="13" t="s">
        <v>3</v>
      </c>
      <c r="I2986" s="13" t="s">
        <v>649</v>
      </c>
      <c r="J2986" s="13" t="s">
        <v>8890</v>
      </c>
      <c r="K2986" s="13" t="s">
        <v>6051</v>
      </c>
      <c r="L2986" s="13" t="s">
        <v>8901</v>
      </c>
      <c r="M2986" t="s">
        <v>3</v>
      </c>
    </row>
    <row r="2987" spans="1:13" x14ac:dyDescent="0.25">
      <c r="A2987" s="13" t="s">
        <v>7330</v>
      </c>
      <c r="B2987" s="13" t="s">
        <v>7330</v>
      </c>
      <c r="C2987" s="13" t="s">
        <v>7330</v>
      </c>
      <c r="D2987" s="13">
        <v>132.30000000000001</v>
      </c>
      <c r="E2987" s="13" t="s">
        <v>7331</v>
      </c>
      <c r="F2987" s="13" t="s">
        <v>8865</v>
      </c>
      <c r="G2987" s="13" t="s">
        <v>2</v>
      </c>
      <c r="H2987" s="13" t="s">
        <v>3</v>
      </c>
      <c r="I2987" s="13" t="s">
        <v>137</v>
      </c>
      <c r="J2987" s="13" t="s">
        <v>8890</v>
      </c>
      <c r="K2987" s="13" t="s">
        <v>8429</v>
      </c>
      <c r="L2987" s="13" t="s">
        <v>8901</v>
      </c>
      <c r="M2987" t="s">
        <v>3</v>
      </c>
    </row>
    <row r="2988" spans="1:13" x14ac:dyDescent="0.25">
      <c r="A2988" s="13" t="s">
        <v>7332</v>
      </c>
      <c r="B2988" s="13" t="s">
        <v>7332</v>
      </c>
      <c r="C2988" s="13" t="s">
        <v>9461</v>
      </c>
      <c r="D2988" s="13">
        <v>17</v>
      </c>
      <c r="E2988" s="13" t="s">
        <v>7333</v>
      </c>
      <c r="F2988" s="13" t="s">
        <v>8861</v>
      </c>
      <c r="G2988" s="13" t="s">
        <v>2</v>
      </c>
      <c r="H2988" s="13" t="s">
        <v>3</v>
      </c>
      <c r="I2988" s="13" t="s">
        <v>7334</v>
      </c>
      <c r="J2988" s="13" t="s">
        <v>8890</v>
      </c>
      <c r="K2988" s="13" t="s">
        <v>8820</v>
      </c>
      <c r="L2988" s="13" t="s">
        <v>8891</v>
      </c>
      <c r="M2988" t="s">
        <v>3</v>
      </c>
    </row>
    <row r="2989" spans="1:13" x14ac:dyDescent="0.25">
      <c r="A2989" s="13" t="s">
        <v>7335</v>
      </c>
      <c r="B2989" s="13" t="s">
        <v>7335</v>
      </c>
      <c r="C2989" s="13" t="s">
        <v>7335</v>
      </c>
      <c r="D2989" s="13">
        <v>2.4</v>
      </c>
      <c r="E2989" s="13" t="s">
        <v>7336</v>
      </c>
      <c r="F2989" s="13" t="s">
        <v>8865</v>
      </c>
      <c r="G2989" s="13" t="s">
        <v>2</v>
      </c>
      <c r="H2989" s="13" t="s">
        <v>3</v>
      </c>
      <c r="I2989" s="13" t="s">
        <v>429</v>
      </c>
      <c r="J2989" s="13" t="s">
        <v>8890</v>
      </c>
      <c r="K2989" s="13" t="s">
        <v>6051</v>
      </c>
      <c r="L2989" s="13" t="s">
        <v>8901</v>
      </c>
      <c r="M2989" t="s">
        <v>3</v>
      </c>
    </row>
    <row r="2990" spans="1:13" x14ac:dyDescent="0.25">
      <c r="A2990" s="13" t="s">
        <v>7337</v>
      </c>
      <c r="B2990" s="13" t="s">
        <v>7337</v>
      </c>
      <c r="C2990" s="13" t="s">
        <v>7338</v>
      </c>
      <c r="D2990" s="13">
        <v>15.7</v>
      </c>
      <c r="E2990" s="13" t="s">
        <v>7338</v>
      </c>
      <c r="F2990" s="13" t="s">
        <v>8861</v>
      </c>
      <c r="G2990" s="13" t="s">
        <v>2</v>
      </c>
      <c r="H2990" s="13" t="s">
        <v>3</v>
      </c>
      <c r="I2990" s="13" t="s">
        <v>447</v>
      </c>
      <c r="J2990" s="13" t="s">
        <v>8890</v>
      </c>
      <c r="K2990" s="13" t="s">
        <v>8421</v>
      </c>
      <c r="L2990" s="13" t="s">
        <v>8891</v>
      </c>
      <c r="M2990" t="s">
        <v>3</v>
      </c>
    </row>
    <row r="2991" spans="1:13" x14ac:dyDescent="0.25">
      <c r="A2991" s="13" t="s">
        <v>7339</v>
      </c>
      <c r="B2991" s="13" t="s">
        <v>7339</v>
      </c>
      <c r="C2991" s="13" t="s">
        <v>7340</v>
      </c>
      <c r="D2991" s="13">
        <v>24.9</v>
      </c>
      <c r="E2991" s="13" t="s">
        <v>7341</v>
      </c>
      <c r="F2991" s="13" t="s">
        <v>8865</v>
      </c>
      <c r="G2991" s="13" t="s">
        <v>2</v>
      </c>
      <c r="H2991" s="13" t="s">
        <v>3</v>
      </c>
      <c r="I2991" s="13" t="s">
        <v>706</v>
      </c>
      <c r="J2991" s="13" t="s">
        <v>8890</v>
      </c>
      <c r="K2991" s="13" t="s">
        <v>8419</v>
      </c>
      <c r="L2991" s="13" t="s">
        <v>8901</v>
      </c>
      <c r="M2991" t="s">
        <v>3</v>
      </c>
    </row>
    <row r="2992" spans="1:13" x14ac:dyDescent="0.25">
      <c r="A2992" s="13" t="s">
        <v>7342</v>
      </c>
      <c r="B2992" s="13" t="s">
        <v>7342</v>
      </c>
      <c r="C2992" s="13" t="s">
        <v>7342</v>
      </c>
      <c r="D2992" s="13">
        <v>39.200000000000003</v>
      </c>
      <c r="E2992" s="13" t="s">
        <v>7343</v>
      </c>
      <c r="F2992" s="13" t="s">
        <v>8865</v>
      </c>
      <c r="G2992" s="13" t="s">
        <v>2</v>
      </c>
      <c r="H2992" s="13" t="s">
        <v>3</v>
      </c>
      <c r="I2992" s="13" t="s">
        <v>649</v>
      </c>
      <c r="J2992" s="13" t="s">
        <v>8890</v>
      </c>
      <c r="K2992" s="13" t="s">
        <v>6051</v>
      </c>
      <c r="L2992" s="13" t="s">
        <v>8901</v>
      </c>
      <c r="M2992" t="s">
        <v>3</v>
      </c>
    </row>
    <row r="2993" spans="1:13" x14ac:dyDescent="0.25">
      <c r="A2993" s="13" t="s">
        <v>7344</v>
      </c>
      <c r="B2993" s="13" t="s">
        <v>7344</v>
      </c>
      <c r="C2993" s="13" t="s">
        <v>7345</v>
      </c>
      <c r="D2993" s="13">
        <v>5.0999999999999996</v>
      </c>
      <c r="E2993" s="13" t="s">
        <v>7346</v>
      </c>
      <c r="F2993" s="13" t="s">
        <v>8865</v>
      </c>
      <c r="G2993" s="13" t="s">
        <v>2</v>
      </c>
      <c r="H2993" s="13" t="s">
        <v>3</v>
      </c>
      <c r="I2993" s="13" t="s">
        <v>1263</v>
      </c>
      <c r="J2993" s="13" t="s">
        <v>8890</v>
      </c>
      <c r="K2993" s="13" t="s">
        <v>8422</v>
      </c>
      <c r="L2993" s="13" t="s">
        <v>8901</v>
      </c>
      <c r="M2993" t="s">
        <v>3</v>
      </c>
    </row>
    <row r="2994" spans="1:13" ht="26.25" x14ac:dyDescent="0.25">
      <c r="A2994" s="13" t="s">
        <v>7347</v>
      </c>
      <c r="B2994" s="13" t="s">
        <v>7347</v>
      </c>
      <c r="C2994" s="13" t="s">
        <v>7348</v>
      </c>
      <c r="D2994" s="13">
        <v>24.8</v>
      </c>
      <c r="E2994" s="13" t="s">
        <v>7349</v>
      </c>
      <c r="F2994" s="13" t="s">
        <v>8861</v>
      </c>
      <c r="G2994" s="13" t="s">
        <v>2</v>
      </c>
      <c r="H2994" s="13" t="s">
        <v>3</v>
      </c>
      <c r="I2994" s="13" t="s">
        <v>429</v>
      </c>
      <c r="J2994" s="13" t="s">
        <v>8890</v>
      </c>
      <c r="K2994" s="13" t="s">
        <v>6051</v>
      </c>
      <c r="L2994" s="13" t="s">
        <v>8891</v>
      </c>
      <c r="M2994" t="s">
        <v>3</v>
      </c>
    </row>
    <row r="2995" spans="1:13" x14ac:dyDescent="0.25">
      <c r="A2995" s="13" t="s">
        <v>7350</v>
      </c>
      <c r="B2995" s="13" t="s">
        <v>7351</v>
      </c>
      <c r="C2995" s="13" t="s">
        <v>7352</v>
      </c>
      <c r="D2995" s="13">
        <v>43.3</v>
      </c>
      <c r="E2995" s="13" t="s">
        <v>7353</v>
      </c>
      <c r="F2995" s="13" t="s">
        <v>8865</v>
      </c>
      <c r="G2995" s="13" t="s">
        <v>2</v>
      </c>
      <c r="H2995" s="13" t="s">
        <v>3</v>
      </c>
      <c r="I2995" s="13" t="s">
        <v>813</v>
      </c>
      <c r="J2995" s="13" t="s">
        <v>8890</v>
      </c>
      <c r="K2995" s="13" t="s">
        <v>8443</v>
      </c>
      <c r="L2995" s="13" t="s">
        <v>8901</v>
      </c>
      <c r="M2995" t="s">
        <v>3</v>
      </c>
    </row>
    <row r="2996" spans="1:13" ht="26.25" x14ac:dyDescent="0.25">
      <c r="A2996" s="13" t="s">
        <v>7354</v>
      </c>
      <c r="B2996" s="13" t="s">
        <v>7355</v>
      </c>
      <c r="C2996" s="13" t="s">
        <v>7355</v>
      </c>
      <c r="D2996" s="13">
        <v>37.9</v>
      </c>
      <c r="E2996" s="13" t="s">
        <v>7356</v>
      </c>
      <c r="F2996" s="13" t="s">
        <v>8865</v>
      </c>
      <c r="G2996" s="13" t="s">
        <v>2</v>
      </c>
      <c r="H2996" s="13" t="s">
        <v>3</v>
      </c>
      <c r="I2996" s="13" t="s">
        <v>813</v>
      </c>
      <c r="J2996" s="13" t="s">
        <v>8890</v>
      </c>
      <c r="K2996" s="13" t="s">
        <v>8443</v>
      </c>
      <c r="L2996" s="13" t="s">
        <v>8901</v>
      </c>
      <c r="M2996" t="s">
        <v>3</v>
      </c>
    </row>
    <row r="2997" spans="1:13" x14ac:dyDescent="0.25">
      <c r="A2997" s="13" t="s">
        <v>7357</v>
      </c>
      <c r="B2997" s="13" t="s">
        <v>7357</v>
      </c>
      <c r="C2997" s="13" t="s">
        <v>7358</v>
      </c>
      <c r="D2997" s="13">
        <v>13.1</v>
      </c>
      <c r="E2997" s="13" t="s">
        <v>7358</v>
      </c>
      <c r="F2997" s="13" t="s">
        <v>8861</v>
      </c>
      <c r="G2997" s="13" t="s">
        <v>2</v>
      </c>
      <c r="H2997" s="13" t="s">
        <v>3</v>
      </c>
      <c r="I2997" s="13" t="s">
        <v>447</v>
      </c>
      <c r="J2997" s="13" t="s">
        <v>8890</v>
      </c>
      <c r="K2997" s="13" t="s">
        <v>8421</v>
      </c>
      <c r="L2997" s="13" t="s">
        <v>8891</v>
      </c>
      <c r="M2997" t="s">
        <v>3</v>
      </c>
    </row>
    <row r="2998" spans="1:13" x14ac:dyDescent="0.25">
      <c r="A2998" s="13" t="s">
        <v>7359</v>
      </c>
      <c r="B2998" s="13" t="s">
        <v>7360</v>
      </c>
      <c r="C2998" s="13" t="s">
        <v>7361</v>
      </c>
      <c r="D2998" s="13">
        <v>33</v>
      </c>
      <c r="E2998" s="13" t="s">
        <v>7362</v>
      </c>
      <c r="F2998" s="13" t="s">
        <v>8865</v>
      </c>
      <c r="G2998" s="13" t="s">
        <v>2</v>
      </c>
      <c r="H2998" s="13" t="s">
        <v>3</v>
      </c>
      <c r="I2998" s="13" t="s">
        <v>4477</v>
      </c>
      <c r="J2998" s="13" t="s">
        <v>8890</v>
      </c>
      <c r="K2998" s="13" t="s">
        <v>8654</v>
      </c>
      <c r="L2998" s="13" t="s">
        <v>8901</v>
      </c>
      <c r="M2998" t="s">
        <v>3</v>
      </c>
    </row>
    <row r="2999" spans="1:13" x14ac:dyDescent="0.25">
      <c r="A2999" s="13" t="s">
        <v>7363</v>
      </c>
      <c r="B2999" s="13" t="s">
        <v>7363</v>
      </c>
      <c r="C2999" s="13" t="s">
        <v>7364</v>
      </c>
      <c r="D2999" s="13">
        <v>49.9</v>
      </c>
      <c r="E2999" s="13" t="s">
        <v>7365</v>
      </c>
      <c r="F2999" s="13" t="s">
        <v>8865</v>
      </c>
      <c r="G2999" s="13" t="s">
        <v>2</v>
      </c>
      <c r="H2999" s="13" t="s">
        <v>3</v>
      </c>
      <c r="I2999" s="13" t="s">
        <v>649</v>
      </c>
      <c r="J2999" s="13" t="s">
        <v>8890</v>
      </c>
      <c r="K2999" s="13" t="s">
        <v>6051</v>
      </c>
      <c r="L2999" s="13" t="s">
        <v>8901</v>
      </c>
      <c r="M2999" t="s">
        <v>3</v>
      </c>
    </row>
    <row r="3000" spans="1:13" x14ac:dyDescent="0.25">
      <c r="A3000" s="13" t="s">
        <v>7366</v>
      </c>
      <c r="B3000" s="13" t="s">
        <v>7366</v>
      </c>
      <c r="C3000" s="13" t="s">
        <v>7367</v>
      </c>
      <c r="D3000" s="13">
        <v>15</v>
      </c>
      <c r="E3000" s="13" t="s">
        <v>7367</v>
      </c>
      <c r="F3000" s="13" t="s">
        <v>8865</v>
      </c>
      <c r="G3000" s="13" t="s">
        <v>2</v>
      </c>
      <c r="H3000" s="13" t="s">
        <v>3</v>
      </c>
      <c r="I3000" s="13" t="s">
        <v>447</v>
      </c>
      <c r="J3000" s="13" t="s">
        <v>8890</v>
      </c>
      <c r="K3000" s="13" t="s">
        <v>8421</v>
      </c>
      <c r="L3000" s="13" t="s">
        <v>8901</v>
      </c>
      <c r="M3000" t="s">
        <v>3</v>
      </c>
    </row>
    <row r="3001" spans="1:13" x14ac:dyDescent="0.25">
      <c r="A3001" s="13" t="s">
        <v>7368</v>
      </c>
      <c r="B3001" s="13" t="s">
        <v>7368</v>
      </c>
      <c r="C3001" s="13" t="s">
        <v>7369</v>
      </c>
      <c r="D3001" s="13">
        <v>2.1</v>
      </c>
      <c r="E3001" s="13" t="s">
        <v>7370</v>
      </c>
      <c r="F3001" s="13" t="s">
        <v>8865</v>
      </c>
      <c r="G3001" s="13" t="s">
        <v>2</v>
      </c>
      <c r="H3001" s="13" t="s">
        <v>3</v>
      </c>
      <c r="I3001" s="13" t="s">
        <v>706</v>
      </c>
      <c r="J3001" s="13" t="s">
        <v>8890</v>
      </c>
      <c r="K3001" s="13" t="s">
        <v>8419</v>
      </c>
      <c r="L3001" s="13" t="s">
        <v>8901</v>
      </c>
      <c r="M3001" t="s">
        <v>3</v>
      </c>
    </row>
    <row r="3002" spans="1:13" x14ac:dyDescent="0.25">
      <c r="A3002" s="13" t="s">
        <v>7371</v>
      </c>
      <c r="B3002" s="13" t="s">
        <v>7371</v>
      </c>
      <c r="C3002" s="13" t="s">
        <v>7372</v>
      </c>
      <c r="D3002" s="13">
        <v>3.6</v>
      </c>
      <c r="E3002" s="13" t="s">
        <v>7373</v>
      </c>
      <c r="F3002" s="13" t="s">
        <v>8865</v>
      </c>
      <c r="G3002" s="13" t="s">
        <v>2</v>
      </c>
      <c r="H3002" s="13" t="s">
        <v>3</v>
      </c>
      <c r="I3002" s="13" t="s">
        <v>1263</v>
      </c>
      <c r="J3002" s="13" t="s">
        <v>8890</v>
      </c>
      <c r="K3002" s="13" t="s">
        <v>8422</v>
      </c>
      <c r="L3002" s="13" t="s">
        <v>8901</v>
      </c>
      <c r="M3002" t="s">
        <v>3</v>
      </c>
    </row>
    <row r="3003" spans="1:13" ht="26.25" x14ac:dyDescent="0.25">
      <c r="A3003" s="13" t="s">
        <v>7374</v>
      </c>
      <c r="B3003" s="13" t="s">
        <v>7374</v>
      </c>
      <c r="C3003" s="13" t="s">
        <v>7375</v>
      </c>
      <c r="D3003" s="13">
        <v>0.6</v>
      </c>
      <c r="E3003" s="13" t="s">
        <v>7376</v>
      </c>
      <c r="F3003" s="13" t="s">
        <v>35</v>
      </c>
      <c r="G3003" s="13" t="s">
        <v>19</v>
      </c>
      <c r="H3003" s="13" t="s">
        <v>3</v>
      </c>
      <c r="I3003" s="13" t="s">
        <v>7377</v>
      </c>
      <c r="J3003" s="13" t="s">
        <v>37</v>
      </c>
      <c r="K3003" s="13" t="s">
        <v>7375</v>
      </c>
      <c r="L3003" s="13" t="s">
        <v>35</v>
      </c>
      <c r="M3003" t="s">
        <v>3</v>
      </c>
    </row>
    <row r="3004" spans="1:13" x14ac:dyDescent="0.25">
      <c r="A3004" s="13" t="s">
        <v>7378</v>
      </c>
      <c r="B3004" s="13" t="s">
        <v>7378</v>
      </c>
      <c r="C3004" s="13" t="s">
        <v>7379</v>
      </c>
      <c r="D3004" s="13">
        <v>13.7</v>
      </c>
      <c r="E3004" s="13" t="s">
        <v>7380</v>
      </c>
      <c r="F3004" s="13" t="s">
        <v>8865</v>
      </c>
      <c r="G3004" s="13" t="s">
        <v>2</v>
      </c>
      <c r="H3004" s="13" t="s">
        <v>3</v>
      </c>
      <c r="I3004" s="13" t="s">
        <v>429</v>
      </c>
      <c r="J3004" s="13" t="s">
        <v>8890</v>
      </c>
      <c r="K3004" s="13" t="s">
        <v>6051</v>
      </c>
      <c r="L3004" s="13" t="s">
        <v>8901</v>
      </c>
      <c r="M3004" t="s">
        <v>3</v>
      </c>
    </row>
    <row r="3005" spans="1:13" x14ac:dyDescent="0.25">
      <c r="A3005" s="13" t="s">
        <v>7381</v>
      </c>
      <c r="B3005" s="13" t="s">
        <v>7381</v>
      </c>
      <c r="C3005" s="13" t="s">
        <v>7382</v>
      </c>
      <c r="D3005" s="13">
        <v>9.8000000000000007</v>
      </c>
      <c r="E3005" s="13" t="s">
        <v>7382</v>
      </c>
      <c r="F3005" s="13" t="s">
        <v>8865</v>
      </c>
      <c r="G3005" s="13" t="s">
        <v>2</v>
      </c>
      <c r="H3005" s="13" t="s">
        <v>3</v>
      </c>
      <c r="I3005" s="13" t="s">
        <v>447</v>
      </c>
      <c r="J3005" s="13" t="s">
        <v>8890</v>
      </c>
      <c r="K3005" s="13" t="s">
        <v>8421</v>
      </c>
      <c r="L3005" s="13" t="s">
        <v>8901</v>
      </c>
      <c r="M3005" t="s">
        <v>3</v>
      </c>
    </row>
    <row r="3006" spans="1:13" x14ac:dyDescent="0.25">
      <c r="A3006" s="13" t="s">
        <v>7383</v>
      </c>
      <c r="B3006" s="13" t="s">
        <v>7383</v>
      </c>
      <c r="C3006" s="13" t="s">
        <v>9462</v>
      </c>
      <c r="D3006" s="13">
        <v>4.2</v>
      </c>
      <c r="E3006" s="13" t="s">
        <v>7384</v>
      </c>
      <c r="F3006" s="13" t="s">
        <v>8865</v>
      </c>
      <c r="G3006" s="13" t="s">
        <v>2</v>
      </c>
      <c r="H3006" s="13" t="s">
        <v>3</v>
      </c>
      <c r="I3006" s="13" t="s">
        <v>706</v>
      </c>
      <c r="J3006" s="13" t="s">
        <v>8890</v>
      </c>
      <c r="K3006" s="13" t="s">
        <v>8419</v>
      </c>
      <c r="L3006" s="13" t="s">
        <v>8901</v>
      </c>
      <c r="M3006" t="s">
        <v>3</v>
      </c>
    </row>
    <row r="3007" spans="1:13" x14ac:dyDescent="0.25">
      <c r="A3007" s="13" t="s">
        <v>7385</v>
      </c>
      <c r="B3007" s="13" t="s">
        <v>7385</v>
      </c>
      <c r="C3007" s="13" t="s">
        <v>7386</v>
      </c>
      <c r="D3007" s="13">
        <v>13.3</v>
      </c>
      <c r="E3007" s="13" t="s">
        <v>7386</v>
      </c>
      <c r="F3007" s="13" t="s">
        <v>8865</v>
      </c>
      <c r="G3007" s="13" t="s">
        <v>2</v>
      </c>
      <c r="H3007" s="13" t="s">
        <v>3</v>
      </c>
      <c r="I3007" s="13" t="s">
        <v>447</v>
      </c>
      <c r="J3007" s="13" t="s">
        <v>8890</v>
      </c>
      <c r="K3007" s="13" t="s">
        <v>8421</v>
      </c>
      <c r="L3007" s="13" t="s">
        <v>8901</v>
      </c>
      <c r="M3007" t="s">
        <v>3</v>
      </c>
    </row>
    <row r="3008" spans="1:13" x14ac:dyDescent="0.25">
      <c r="A3008" s="13" t="s">
        <v>7387</v>
      </c>
      <c r="B3008" s="13" t="s">
        <v>7387</v>
      </c>
      <c r="C3008" s="13" t="s">
        <v>7388</v>
      </c>
      <c r="D3008" s="13">
        <v>4.2</v>
      </c>
      <c r="E3008" s="13" t="s">
        <v>7389</v>
      </c>
      <c r="F3008" s="13" t="s">
        <v>8865</v>
      </c>
      <c r="G3008" s="13" t="s">
        <v>2</v>
      </c>
      <c r="H3008" s="13" t="s">
        <v>3</v>
      </c>
      <c r="I3008" s="13" t="s">
        <v>809</v>
      </c>
      <c r="J3008" s="13" t="s">
        <v>8890</v>
      </c>
      <c r="K3008" s="13" t="s">
        <v>8512</v>
      </c>
      <c r="L3008" s="13" t="s">
        <v>8901</v>
      </c>
      <c r="M3008" t="s">
        <v>3</v>
      </c>
    </row>
    <row r="3009" spans="1:13" x14ac:dyDescent="0.25">
      <c r="A3009" s="13" t="s">
        <v>7390</v>
      </c>
      <c r="B3009" s="13" t="s">
        <v>7390</v>
      </c>
      <c r="C3009" s="13" t="s">
        <v>7391</v>
      </c>
      <c r="D3009" s="14">
        <v>4</v>
      </c>
      <c r="E3009" s="13" t="s">
        <v>7392</v>
      </c>
      <c r="F3009" s="13" t="s">
        <v>8865</v>
      </c>
      <c r="G3009" s="13" t="s">
        <v>2</v>
      </c>
      <c r="H3009" s="13" t="s">
        <v>3</v>
      </c>
      <c r="I3009" s="13" t="s">
        <v>809</v>
      </c>
      <c r="J3009" s="13" t="s">
        <v>8890</v>
      </c>
      <c r="K3009" s="13" t="s">
        <v>8512</v>
      </c>
      <c r="L3009" s="13" t="s">
        <v>8901</v>
      </c>
      <c r="M3009" t="s">
        <v>3</v>
      </c>
    </row>
    <row r="3010" spans="1:13" x14ac:dyDescent="0.25">
      <c r="A3010" s="13" t="s">
        <v>7393</v>
      </c>
      <c r="B3010" s="13" t="s">
        <v>7393</v>
      </c>
      <c r="C3010" s="13" t="s">
        <v>7394</v>
      </c>
      <c r="D3010" s="13">
        <v>4.9000000000000004</v>
      </c>
      <c r="E3010" s="13" t="s">
        <v>7395</v>
      </c>
      <c r="F3010" s="13" t="s">
        <v>8865</v>
      </c>
      <c r="G3010" s="13" t="s">
        <v>2</v>
      </c>
      <c r="H3010" s="13" t="s">
        <v>3</v>
      </c>
      <c r="I3010" s="13" t="s">
        <v>809</v>
      </c>
      <c r="J3010" s="13" t="s">
        <v>8890</v>
      </c>
      <c r="K3010" s="13" t="s">
        <v>8512</v>
      </c>
      <c r="L3010" s="13" t="s">
        <v>8901</v>
      </c>
      <c r="M3010" t="s">
        <v>3</v>
      </c>
    </row>
    <row r="3011" spans="1:13" ht="26.25" x14ac:dyDescent="0.25">
      <c r="A3011" s="13" t="s">
        <v>7396</v>
      </c>
      <c r="B3011" s="13" t="s">
        <v>7397</v>
      </c>
      <c r="C3011" s="13" t="s">
        <v>7397</v>
      </c>
      <c r="D3011" s="13">
        <v>6</v>
      </c>
      <c r="E3011" s="13" t="s">
        <v>7398</v>
      </c>
      <c r="F3011" s="13" t="s">
        <v>8865</v>
      </c>
      <c r="G3011" s="13" t="s">
        <v>2</v>
      </c>
      <c r="H3011" s="13" t="s">
        <v>3</v>
      </c>
      <c r="I3011" s="13" t="s">
        <v>4</v>
      </c>
      <c r="J3011" s="13" t="s">
        <v>8890</v>
      </c>
      <c r="K3011" s="13" t="s">
        <v>8424</v>
      </c>
      <c r="L3011" s="13" t="s">
        <v>8901</v>
      </c>
      <c r="M3011" t="s">
        <v>3</v>
      </c>
    </row>
    <row r="3012" spans="1:13" ht="26.25" x14ac:dyDescent="0.25">
      <c r="A3012" s="13" t="s">
        <v>9974</v>
      </c>
      <c r="B3012" s="13" t="s">
        <v>9974</v>
      </c>
      <c r="C3012" s="13" t="s">
        <v>9974</v>
      </c>
      <c r="D3012" s="13">
        <v>49.9</v>
      </c>
      <c r="E3012" s="13" t="s">
        <v>9975</v>
      </c>
      <c r="F3012" s="13" t="s">
        <v>8876</v>
      </c>
      <c r="G3012" s="13" t="s">
        <v>2</v>
      </c>
      <c r="H3012" s="13" t="s">
        <v>3</v>
      </c>
      <c r="I3012" s="13" t="s">
        <v>1978</v>
      </c>
      <c r="J3012" s="13" t="s">
        <v>8890</v>
      </c>
      <c r="K3012" s="13" t="s">
        <v>8570</v>
      </c>
      <c r="L3012" s="13" t="s">
        <v>9244</v>
      </c>
      <c r="M3012" t="s">
        <v>3</v>
      </c>
    </row>
    <row r="3013" spans="1:13" ht="26.25" x14ac:dyDescent="0.25">
      <c r="A3013" s="13" t="s">
        <v>9976</v>
      </c>
      <c r="B3013" s="13" t="s">
        <v>9976</v>
      </c>
      <c r="C3013" s="13" t="s">
        <v>9976</v>
      </c>
      <c r="D3013" s="13">
        <v>49.9</v>
      </c>
      <c r="E3013" s="13" t="s">
        <v>9977</v>
      </c>
      <c r="F3013" s="13" t="s">
        <v>8876</v>
      </c>
      <c r="G3013" s="13" t="s">
        <v>2</v>
      </c>
      <c r="H3013" s="13" t="s">
        <v>3</v>
      </c>
      <c r="I3013" s="13" t="s">
        <v>1978</v>
      </c>
      <c r="J3013" s="13" t="s">
        <v>8890</v>
      </c>
      <c r="K3013" s="13" t="s">
        <v>8570</v>
      </c>
      <c r="L3013" s="13" t="s">
        <v>9244</v>
      </c>
      <c r="M3013" t="s">
        <v>3</v>
      </c>
    </row>
    <row r="3014" spans="1:13" x14ac:dyDescent="0.25">
      <c r="A3014" s="13" t="s">
        <v>11703</v>
      </c>
      <c r="B3014" s="13" t="s">
        <v>11703</v>
      </c>
      <c r="C3014" s="13" t="s">
        <v>11703</v>
      </c>
      <c r="D3014" s="13">
        <v>50</v>
      </c>
      <c r="E3014" s="13" t="s">
        <v>11704</v>
      </c>
      <c r="F3014" s="13" t="s">
        <v>8876</v>
      </c>
      <c r="G3014" s="13" t="s">
        <v>2</v>
      </c>
      <c r="H3014" s="13" t="s">
        <v>3</v>
      </c>
      <c r="I3014" s="13" t="s">
        <v>1978</v>
      </c>
      <c r="J3014" s="13" t="s">
        <v>8890</v>
      </c>
      <c r="K3014" s="13" t="s">
        <v>8570</v>
      </c>
      <c r="L3014" s="13" t="s">
        <v>9244</v>
      </c>
      <c r="M3014" t="s">
        <v>3</v>
      </c>
    </row>
    <row r="3015" spans="1:13" x14ac:dyDescent="0.25">
      <c r="A3015" s="13" t="s">
        <v>12100</v>
      </c>
      <c r="B3015" s="13" t="s">
        <v>12100</v>
      </c>
      <c r="C3015" s="13" t="s">
        <v>12100</v>
      </c>
      <c r="D3015" s="13">
        <v>49.9</v>
      </c>
      <c r="E3015" s="13" t="s">
        <v>12101</v>
      </c>
      <c r="F3015" s="13" t="s">
        <v>8876</v>
      </c>
      <c r="G3015" s="13" t="s">
        <v>2</v>
      </c>
      <c r="H3015" s="13" t="s">
        <v>3</v>
      </c>
      <c r="I3015" s="13" t="s">
        <v>1978</v>
      </c>
      <c r="J3015" s="13" t="s">
        <v>8890</v>
      </c>
      <c r="K3015" s="13" t="s">
        <v>8570</v>
      </c>
      <c r="L3015" s="13" t="s">
        <v>9244</v>
      </c>
      <c r="M3015" t="s">
        <v>3</v>
      </c>
    </row>
    <row r="3016" spans="1:13" ht="26.25" x14ac:dyDescent="0.25">
      <c r="A3016" s="13" t="s">
        <v>7399</v>
      </c>
      <c r="B3016" s="13" t="s">
        <v>7400</v>
      </c>
      <c r="C3016" s="13" t="s">
        <v>9463</v>
      </c>
      <c r="D3016" s="13">
        <v>1</v>
      </c>
      <c r="E3016" s="13" t="s">
        <v>7401</v>
      </c>
      <c r="F3016" s="13" t="s">
        <v>8860</v>
      </c>
      <c r="G3016" s="13" t="s">
        <v>19</v>
      </c>
      <c r="H3016" s="13" t="s">
        <v>3</v>
      </c>
      <c r="I3016" s="13" t="s">
        <v>7400</v>
      </c>
      <c r="J3016" s="13" t="s">
        <v>21</v>
      </c>
      <c r="K3016" s="13" t="s">
        <v>8514</v>
      </c>
      <c r="L3016" s="13" t="s">
        <v>18</v>
      </c>
      <c r="M3016" t="s">
        <v>3</v>
      </c>
    </row>
    <row r="3017" spans="1:13" ht="26.25" x14ac:dyDescent="0.25">
      <c r="A3017" s="13" t="s">
        <v>10352</v>
      </c>
      <c r="B3017" s="13" t="s">
        <v>10353</v>
      </c>
      <c r="C3017" s="13" t="s">
        <v>10353</v>
      </c>
      <c r="D3017" s="13">
        <v>1</v>
      </c>
      <c r="E3017" s="13" t="s">
        <v>10354</v>
      </c>
      <c r="F3017" s="13" t="s">
        <v>8860</v>
      </c>
      <c r="G3017" s="13" t="s">
        <v>19</v>
      </c>
      <c r="H3017" s="13" t="s">
        <v>3</v>
      </c>
      <c r="I3017" s="13" t="s">
        <v>7400</v>
      </c>
      <c r="J3017" s="13" t="s">
        <v>21</v>
      </c>
      <c r="K3017" s="13" t="s">
        <v>8514</v>
      </c>
      <c r="L3017" s="13" t="s">
        <v>18</v>
      </c>
      <c r="M3017" t="s">
        <v>3</v>
      </c>
    </row>
    <row r="3018" spans="1:13" x14ac:dyDescent="0.25">
      <c r="A3018" s="13" t="s">
        <v>7402</v>
      </c>
      <c r="B3018" s="13" t="s">
        <v>7402</v>
      </c>
      <c r="C3018" s="13" t="s">
        <v>7403</v>
      </c>
      <c r="D3018" s="13">
        <v>1</v>
      </c>
      <c r="E3018" s="13" t="s">
        <v>7404</v>
      </c>
      <c r="F3018" s="13" t="s">
        <v>8865</v>
      </c>
      <c r="G3018" s="13" t="s">
        <v>2</v>
      </c>
      <c r="H3018" s="13" t="s">
        <v>3</v>
      </c>
      <c r="I3018" s="13" t="s">
        <v>228</v>
      </c>
      <c r="J3018" s="13" t="s">
        <v>8890</v>
      </c>
      <c r="K3018" s="13" t="s">
        <v>8418</v>
      </c>
      <c r="L3018" s="13" t="s">
        <v>8901</v>
      </c>
      <c r="M3018" t="s">
        <v>3</v>
      </c>
    </row>
    <row r="3019" spans="1:13" x14ac:dyDescent="0.25">
      <c r="A3019" s="13" t="s">
        <v>7405</v>
      </c>
      <c r="B3019" s="13" t="s">
        <v>7405</v>
      </c>
      <c r="C3019" s="13" t="s">
        <v>7406</v>
      </c>
      <c r="D3019" s="13">
        <v>10</v>
      </c>
      <c r="E3019" s="13" t="s">
        <v>7407</v>
      </c>
      <c r="F3019" s="13" t="s">
        <v>8865</v>
      </c>
      <c r="G3019" s="13" t="s">
        <v>2</v>
      </c>
      <c r="H3019" s="13" t="s">
        <v>3</v>
      </c>
      <c r="I3019" s="13" t="s">
        <v>1366</v>
      </c>
      <c r="J3019" s="13" t="s">
        <v>8890</v>
      </c>
      <c r="K3019" s="13" t="s">
        <v>8417</v>
      </c>
      <c r="L3019" s="13" t="s">
        <v>8901</v>
      </c>
      <c r="M3019" t="s">
        <v>3</v>
      </c>
    </row>
    <row r="3020" spans="1:13" ht="26.25" x14ac:dyDescent="0.25">
      <c r="A3020" s="13" t="s">
        <v>9464</v>
      </c>
      <c r="B3020" s="13" t="s">
        <v>9464</v>
      </c>
      <c r="C3020" s="13" t="s">
        <v>9465</v>
      </c>
      <c r="D3020" s="13">
        <v>0.1</v>
      </c>
      <c r="E3020" s="13" t="s">
        <v>9466</v>
      </c>
      <c r="F3020" s="13" t="s">
        <v>8860</v>
      </c>
      <c r="G3020" s="13" t="s">
        <v>19</v>
      </c>
      <c r="H3020" s="13" t="s">
        <v>3</v>
      </c>
      <c r="I3020" s="13" t="s">
        <v>9467</v>
      </c>
      <c r="J3020" s="13" t="s">
        <v>21</v>
      </c>
      <c r="K3020" s="13" t="s">
        <v>9468</v>
      </c>
      <c r="L3020" s="13" t="s">
        <v>18</v>
      </c>
      <c r="M3020" t="s">
        <v>3</v>
      </c>
    </row>
    <row r="3021" spans="1:13" ht="26.25" x14ac:dyDescent="0.25">
      <c r="A3021" s="13" t="s">
        <v>7408</v>
      </c>
      <c r="B3021" s="13" t="s">
        <v>7409</v>
      </c>
      <c r="C3021" s="13" t="s">
        <v>7410</v>
      </c>
      <c r="D3021" s="13">
        <v>0.7</v>
      </c>
      <c r="E3021" s="13" t="s">
        <v>7411</v>
      </c>
      <c r="F3021" s="13" t="s">
        <v>35</v>
      </c>
      <c r="G3021" s="13" t="s">
        <v>19</v>
      </c>
      <c r="H3021" s="13" t="s">
        <v>3</v>
      </c>
      <c r="I3021" s="13" t="s">
        <v>7412</v>
      </c>
      <c r="J3021" s="13" t="s">
        <v>37</v>
      </c>
      <c r="K3021" s="13" t="s">
        <v>7410</v>
      </c>
      <c r="L3021" s="13" t="s">
        <v>35</v>
      </c>
      <c r="M3021" t="s">
        <v>3</v>
      </c>
    </row>
    <row r="3022" spans="1:13" x14ac:dyDescent="0.25">
      <c r="A3022" s="13" t="s">
        <v>7413</v>
      </c>
      <c r="B3022" s="13" t="s">
        <v>7413</v>
      </c>
      <c r="C3022" s="13" t="s">
        <v>7414</v>
      </c>
      <c r="D3022" s="13">
        <v>50</v>
      </c>
      <c r="E3022" s="13" t="s">
        <v>7415</v>
      </c>
      <c r="F3022" s="13" t="s">
        <v>8861</v>
      </c>
      <c r="G3022" s="13" t="s">
        <v>2</v>
      </c>
      <c r="H3022" s="13" t="s">
        <v>3</v>
      </c>
      <c r="I3022" s="13" t="s">
        <v>7416</v>
      </c>
      <c r="J3022" s="13" t="s">
        <v>8890</v>
      </c>
      <c r="K3022" s="13" t="s">
        <v>8821</v>
      </c>
      <c r="L3022" s="13" t="s">
        <v>9469</v>
      </c>
      <c r="M3022" t="s">
        <v>3</v>
      </c>
    </row>
    <row r="3023" spans="1:13" x14ac:dyDescent="0.25">
      <c r="A3023" s="13" t="s">
        <v>9470</v>
      </c>
      <c r="B3023" s="13" t="s">
        <v>9470</v>
      </c>
      <c r="C3023" s="13" t="s">
        <v>9470</v>
      </c>
      <c r="D3023" s="13">
        <v>180</v>
      </c>
      <c r="E3023" s="13" t="s">
        <v>9471</v>
      </c>
      <c r="F3023" s="13" t="s">
        <v>8869</v>
      </c>
      <c r="G3023" s="13" t="s">
        <v>2</v>
      </c>
      <c r="H3023" s="13" t="s">
        <v>8923</v>
      </c>
      <c r="I3023" s="13" t="s">
        <v>1514</v>
      </c>
      <c r="J3023" s="13" t="s">
        <v>8890</v>
      </c>
      <c r="K3023" s="13" t="s">
        <v>8423</v>
      </c>
      <c r="L3023" s="13" t="s">
        <v>8918</v>
      </c>
      <c r="M3023" t="s">
        <v>8923</v>
      </c>
    </row>
    <row r="3024" spans="1:13" x14ac:dyDescent="0.25">
      <c r="A3024" s="13" t="s">
        <v>7417</v>
      </c>
      <c r="B3024" s="13" t="s">
        <v>7418</v>
      </c>
      <c r="C3024" s="13" t="s">
        <v>7419</v>
      </c>
      <c r="D3024" s="13">
        <v>14.6</v>
      </c>
      <c r="E3024" s="13" t="s">
        <v>7420</v>
      </c>
      <c r="F3024" s="13" t="s">
        <v>8865</v>
      </c>
      <c r="G3024" s="13" t="s">
        <v>2</v>
      </c>
      <c r="H3024" s="13" t="s">
        <v>3</v>
      </c>
      <c r="I3024" s="13" t="s">
        <v>948</v>
      </c>
      <c r="J3024" s="13" t="s">
        <v>8890</v>
      </c>
      <c r="K3024" s="13" t="s">
        <v>8518</v>
      </c>
      <c r="L3024" s="13" t="s">
        <v>8901</v>
      </c>
      <c r="M3024" t="s">
        <v>3</v>
      </c>
    </row>
    <row r="3025" spans="1:13" x14ac:dyDescent="0.25">
      <c r="A3025" s="13" t="s">
        <v>7421</v>
      </c>
      <c r="B3025" s="13" t="s">
        <v>7422</v>
      </c>
      <c r="C3025" s="13" t="s">
        <v>7423</v>
      </c>
      <c r="D3025" s="13">
        <v>14.6</v>
      </c>
      <c r="E3025" s="13" t="s">
        <v>7424</v>
      </c>
      <c r="F3025" s="13" t="s">
        <v>8865</v>
      </c>
      <c r="G3025" s="13" t="s">
        <v>2</v>
      </c>
      <c r="H3025" s="13" t="s">
        <v>3</v>
      </c>
      <c r="I3025" s="13" t="s">
        <v>115</v>
      </c>
      <c r="J3025" s="13" t="s">
        <v>8890</v>
      </c>
      <c r="K3025" s="13" t="s">
        <v>928</v>
      </c>
      <c r="L3025" s="13" t="s">
        <v>8901</v>
      </c>
      <c r="M3025" t="s">
        <v>3</v>
      </c>
    </row>
    <row r="3026" spans="1:13" x14ac:dyDescent="0.25">
      <c r="A3026" s="13" t="s">
        <v>7425</v>
      </c>
      <c r="B3026" s="13" t="s">
        <v>7426</v>
      </c>
      <c r="C3026" s="13" t="s">
        <v>7427</v>
      </c>
      <c r="D3026" s="13">
        <v>14.6</v>
      </c>
      <c r="E3026" s="13" t="s">
        <v>7428</v>
      </c>
      <c r="F3026" s="13" t="s">
        <v>8865</v>
      </c>
      <c r="G3026" s="13" t="s">
        <v>2</v>
      </c>
      <c r="H3026" s="13" t="s">
        <v>3</v>
      </c>
      <c r="I3026" s="13" t="s">
        <v>115</v>
      </c>
      <c r="J3026" s="13" t="s">
        <v>8890</v>
      </c>
      <c r="K3026" s="13" t="s">
        <v>928</v>
      </c>
      <c r="L3026" s="13" t="s">
        <v>8901</v>
      </c>
      <c r="M3026" t="s">
        <v>3</v>
      </c>
    </row>
    <row r="3027" spans="1:13" x14ac:dyDescent="0.25">
      <c r="A3027" s="13" t="s">
        <v>7429</v>
      </c>
      <c r="B3027" s="13" t="s">
        <v>7430</v>
      </c>
      <c r="C3027" s="13" t="s">
        <v>7431</v>
      </c>
      <c r="D3027" s="13">
        <v>14.6</v>
      </c>
      <c r="E3027" s="13" t="s">
        <v>7432</v>
      </c>
      <c r="F3027" s="13" t="s">
        <v>8865</v>
      </c>
      <c r="G3027" s="13" t="s">
        <v>2</v>
      </c>
      <c r="H3027" s="13" t="s">
        <v>3</v>
      </c>
      <c r="I3027" s="13" t="s">
        <v>115</v>
      </c>
      <c r="J3027" s="13" t="s">
        <v>8890</v>
      </c>
      <c r="K3027" s="13" t="s">
        <v>928</v>
      </c>
      <c r="L3027" s="13" t="s">
        <v>8901</v>
      </c>
      <c r="M3027" t="s">
        <v>3</v>
      </c>
    </row>
    <row r="3028" spans="1:13" x14ac:dyDescent="0.25">
      <c r="A3028" s="13" t="s">
        <v>7433</v>
      </c>
      <c r="B3028" s="13" t="s">
        <v>7434</v>
      </c>
      <c r="C3028" s="13" t="s">
        <v>7435</v>
      </c>
      <c r="D3028" s="13">
        <v>14.6</v>
      </c>
      <c r="E3028" s="13" t="s">
        <v>7436</v>
      </c>
      <c r="F3028" s="13" t="s">
        <v>8865</v>
      </c>
      <c r="G3028" s="13" t="s">
        <v>2</v>
      </c>
      <c r="H3028" s="13" t="s">
        <v>3</v>
      </c>
      <c r="I3028" s="13" t="s">
        <v>115</v>
      </c>
      <c r="J3028" s="13" t="s">
        <v>8890</v>
      </c>
      <c r="K3028" s="13" t="s">
        <v>928</v>
      </c>
      <c r="L3028" s="13" t="s">
        <v>8901</v>
      </c>
      <c r="M3028" t="s">
        <v>3</v>
      </c>
    </row>
    <row r="3029" spans="1:13" x14ac:dyDescent="0.25">
      <c r="A3029" s="13" t="s">
        <v>7437</v>
      </c>
      <c r="B3029" s="13" t="s">
        <v>7438</v>
      </c>
      <c r="C3029" s="13" t="s">
        <v>7439</v>
      </c>
      <c r="D3029" s="13">
        <v>14.6</v>
      </c>
      <c r="E3029" s="13" t="s">
        <v>7440</v>
      </c>
      <c r="F3029" s="13" t="s">
        <v>8865</v>
      </c>
      <c r="G3029" s="13" t="s">
        <v>2</v>
      </c>
      <c r="H3029" s="13" t="s">
        <v>3</v>
      </c>
      <c r="I3029" s="13" t="s">
        <v>948</v>
      </c>
      <c r="J3029" s="13" t="s">
        <v>8890</v>
      </c>
      <c r="K3029" s="13" t="s">
        <v>8518</v>
      </c>
      <c r="L3029" s="13" t="s">
        <v>8901</v>
      </c>
      <c r="M3029" t="s">
        <v>3</v>
      </c>
    </row>
    <row r="3030" spans="1:13" x14ac:dyDescent="0.25">
      <c r="A3030" s="13" t="s">
        <v>7441</v>
      </c>
      <c r="B3030" s="13" t="s">
        <v>7441</v>
      </c>
      <c r="C3030" s="13" t="s">
        <v>7442</v>
      </c>
      <c r="D3030" s="13">
        <v>2</v>
      </c>
      <c r="E3030" s="13" t="s">
        <v>7442</v>
      </c>
      <c r="F3030" s="13" t="s">
        <v>8865</v>
      </c>
      <c r="G3030" s="13" t="s">
        <v>2</v>
      </c>
      <c r="H3030" s="13" t="s">
        <v>3</v>
      </c>
      <c r="I3030" s="13" t="s">
        <v>447</v>
      </c>
      <c r="J3030" s="13" t="s">
        <v>8890</v>
      </c>
      <c r="K3030" s="13" t="s">
        <v>8421</v>
      </c>
      <c r="L3030" s="13" t="s">
        <v>8901</v>
      </c>
      <c r="M3030" t="s">
        <v>3</v>
      </c>
    </row>
    <row r="3031" spans="1:13" x14ac:dyDescent="0.25">
      <c r="A3031" s="13" t="s">
        <v>7443</v>
      </c>
      <c r="B3031" s="13" t="s">
        <v>7444</v>
      </c>
      <c r="C3031" s="13" t="s">
        <v>7444</v>
      </c>
      <c r="D3031" s="13">
        <v>15.6</v>
      </c>
      <c r="E3031" s="13" t="s">
        <v>7445</v>
      </c>
      <c r="F3031" s="13" t="s">
        <v>8873</v>
      </c>
      <c r="G3031" s="13" t="s">
        <v>2</v>
      </c>
      <c r="H3031" s="13" t="s">
        <v>3</v>
      </c>
      <c r="I3031" s="13" t="s">
        <v>7446</v>
      </c>
      <c r="J3031" s="13" t="s">
        <v>8890</v>
      </c>
      <c r="K3031" s="13" t="s">
        <v>7444</v>
      </c>
      <c r="L3031" s="13" t="s">
        <v>6113</v>
      </c>
      <c r="M3031" t="s">
        <v>3</v>
      </c>
    </row>
    <row r="3032" spans="1:13" x14ac:dyDescent="0.25">
      <c r="A3032" s="13" t="s">
        <v>7447</v>
      </c>
      <c r="B3032" s="13" t="s">
        <v>7447</v>
      </c>
      <c r="C3032" s="13" t="s">
        <v>7448</v>
      </c>
      <c r="D3032" s="13">
        <v>13.2</v>
      </c>
      <c r="E3032" s="13" t="s">
        <v>7448</v>
      </c>
      <c r="F3032" s="13" t="s">
        <v>8865</v>
      </c>
      <c r="G3032" s="13" t="s">
        <v>2</v>
      </c>
      <c r="H3032" s="13" t="s">
        <v>3</v>
      </c>
      <c r="I3032" s="13" t="s">
        <v>447</v>
      </c>
      <c r="J3032" s="13" t="s">
        <v>8890</v>
      </c>
      <c r="K3032" s="13" t="s">
        <v>8421</v>
      </c>
      <c r="L3032" s="13" t="s">
        <v>8901</v>
      </c>
      <c r="M3032" t="s">
        <v>3</v>
      </c>
    </row>
    <row r="3033" spans="1:13" x14ac:dyDescent="0.25">
      <c r="A3033" s="13" t="s">
        <v>12102</v>
      </c>
      <c r="B3033" s="13" t="s">
        <v>12102</v>
      </c>
      <c r="C3033" s="13" t="s">
        <v>12103</v>
      </c>
      <c r="D3033" s="13">
        <v>3.5</v>
      </c>
      <c r="E3033" s="13" t="s">
        <v>12104</v>
      </c>
      <c r="F3033" s="13" t="s">
        <v>8865</v>
      </c>
      <c r="G3033" s="13" t="s">
        <v>2</v>
      </c>
      <c r="H3033" s="13" t="s">
        <v>3</v>
      </c>
      <c r="I3033" s="13" t="s">
        <v>447</v>
      </c>
      <c r="J3033" s="13" t="s">
        <v>8890</v>
      </c>
      <c r="K3033" s="13" t="s">
        <v>8421</v>
      </c>
      <c r="L3033" s="13" t="s">
        <v>8901</v>
      </c>
      <c r="M3033" t="s">
        <v>3</v>
      </c>
    </row>
    <row r="3034" spans="1:13" ht="39" x14ac:dyDescent="0.25">
      <c r="A3034" s="13" t="s">
        <v>7449</v>
      </c>
      <c r="B3034" s="13" t="s">
        <v>7450</v>
      </c>
      <c r="C3034" s="13" t="s">
        <v>7451</v>
      </c>
      <c r="D3034" s="13">
        <v>0.3</v>
      </c>
      <c r="E3034" s="13" t="s">
        <v>7452</v>
      </c>
      <c r="F3034" s="13" t="s">
        <v>8860</v>
      </c>
      <c r="G3034" s="13" t="s">
        <v>19</v>
      </c>
      <c r="H3034" s="13" t="s">
        <v>3</v>
      </c>
      <c r="I3034" s="13" t="s">
        <v>7453</v>
      </c>
      <c r="J3034" s="13" t="s">
        <v>21</v>
      </c>
      <c r="K3034" s="13" t="s">
        <v>8822</v>
      </c>
      <c r="L3034" s="13" t="s">
        <v>18</v>
      </c>
      <c r="M3034" t="s">
        <v>3</v>
      </c>
    </row>
    <row r="3035" spans="1:13" ht="26.25" x14ac:dyDescent="0.25">
      <c r="A3035" s="13" t="s">
        <v>7454</v>
      </c>
      <c r="B3035" s="13" t="s">
        <v>7455</v>
      </c>
      <c r="C3035" s="13" t="s">
        <v>7456</v>
      </c>
      <c r="D3035" s="13">
        <v>420</v>
      </c>
      <c r="E3035" s="13" t="s">
        <v>7457</v>
      </c>
      <c r="F3035" s="13" t="s">
        <v>8907</v>
      </c>
      <c r="G3035" s="13" t="s">
        <v>19</v>
      </c>
      <c r="H3035" s="13" t="s">
        <v>3</v>
      </c>
      <c r="I3035" s="13" t="s">
        <v>390</v>
      </c>
      <c r="J3035" s="13" t="s">
        <v>144</v>
      </c>
      <c r="K3035" s="13" t="s">
        <v>8423</v>
      </c>
      <c r="L3035" s="13" t="s">
        <v>144</v>
      </c>
      <c r="M3035" t="s">
        <v>3</v>
      </c>
    </row>
    <row r="3036" spans="1:13" x14ac:dyDescent="0.25">
      <c r="A3036" s="13" t="s">
        <v>7458</v>
      </c>
      <c r="B3036" s="13" t="s">
        <v>7459</v>
      </c>
      <c r="C3036" s="13" t="s">
        <v>7460</v>
      </c>
      <c r="D3036" s="13">
        <v>376.7</v>
      </c>
      <c r="E3036" s="13" t="s">
        <v>7461</v>
      </c>
      <c r="F3036" s="13" t="s">
        <v>8868</v>
      </c>
      <c r="G3036" s="13" t="s">
        <v>2</v>
      </c>
      <c r="H3036" s="13" t="s">
        <v>8923</v>
      </c>
      <c r="I3036" s="13" t="s">
        <v>390</v>
      </c>
      <c r="J3036" s="13" t="s">
        <v>8890</v>
      </c>
      <c r="K3036" s="13" t="s">
        <v>8423</v>
      </c>
      <c r="L3036" s="13" t="s">
        <v>8908</v>
      </c>
      <c r="M3036" t="s">
        <v>8923</v>
      </c>
    </row>
    <row r="3037" spans="1:13" x14ac:dyDescent="0.25">
      <c r="A3037" s="13" t="s">
        <v>7462</v>
      </c>
      <c r="B3037" s="13" t="s">
        <v>7462</v>
      </c>
      <c r="C3037" s="13" t="s">
        <v>7463</v>
      </c>
      <c r="D3037" s="13">
        <v>9.6</v>
      </c>
      <c r="E3037" s="13" t="s">
        <v>7464</v>
      </c>
      <c r="F3037" s="13" t="s">
        <v>8865</v>
      </c>
      <c r="G3037" s="13" t="s">
        <v>2</v>
      </c>
      <c r="H3037" s="13" t="s">
        <v>3</v>
      </c>
      <c r="I3037" s="13" t="s">
        <v>809</v>
      </c>
      <c r="J3037" s="13" t="s">
        <v>8890</v>
      </c>
      <c r="K3037" s="13" t="s">
        <v>8512</v>
      </c>
      <c r="L3037" s="13" t="s">
        <v>8901</v>
      </c>
      <c r="M3037" t="s">
        <v>3</v>
      </c>
    </row>
    <row r="3038" spans="1:13" x14ac:dyDescent="0.25">
      <c r="A3038" s="13" t="s">
        <v>7465</v>
      </c>
      <c r="B3038" s="13" t="s">
        <v>7465</v>
      </c>
      <c r="C3038" s="13" t="s">
        <v>9472</v>
      </c>
      <c r="D3038" s="13">
        <v>8.1999999999999993</v>
      </c>
      <c r="E3038" s="13" t="s">
        <v>7466</v>
      </c>
      <c r="F3038" s="13" t="s">
        <v>8865</v>
      </c>
      <c r="G3038" s="13" t="s">
        <v>2</v>
      </c>
      <c r="H3038" s="13" t="s">
        <v>3</v>
      </c>
      <c r="I3038" s="13" t="s">
        <v>228</v>
      </c>
      <c r="J3038" s="13" t="s">
        <v>8890</v>
      </c>
      <c r="K3038" s="13" t="s">
        <v>8418</v>
      </c>
      <c r="L3038" s="13" t="s">
        <v>8901</v>
      </c>
      <c r="M3038" t="s">
        <v>3</v>
      </c>
    </row>
    <row r="3039" spans="1:13" ht="26.25" x14ac:dyDescent="0.25">
      <c r="A3039" s="13" t="s">
        <v>11419</v>
      </c>
      <c r="B3039" s="13" t="s">
        <v>11420</v>
      </c>
      <c r="C3039" s="13" t="s">
        <v>11421</v>
      </c>
      <c r="D3039" s="13">
        <v>6.4</v>
      </c>
      <c r="E3039" s="13" t="s">
        <v>11422</v>
      </c>
      <c r="F3039" s="13" t="s">
        <v>8861</v>
      </c>
      <c r="G3039" s="13" t="s">
        <v>2</v>
      </c>
      <c r="H3039" s="13" t="s">
        <v>3</v>
      </c>
      <c r="I3039" s="13" t="s">
        <v>2465</v>
      </c>
      <c r="J3039" s="13" t="s">
        <v>8890</v>
      </c>
      <c r="K3039" s="13" t="s">
        <v>8605</v>
      </c>
      <c r="L3039" s="13" t="s">
        <v>8891</v>
      </c>
      <c r="M3039" t="s">
        <v>3</v>
      </c>
    </row>
    <row r="3040" spans="1:13" ht="26.25" x14ac:dyDescent="0.25">
      <c r="A3040" s="13" t="s">
        <v>7467</v>
      </c>
      <c r="B3040" s="13" t="s">
        <v>7468</v>
      </c>
      <c r="C3040" s="13" t="s">
        <v>7469</v>
      </c>
      <c r="D3040" s="13">
        <v>1</v>
      </c>
      <c r="E3040" s="13" t="s">
        <v>7470</v>
      </c>
      <c r="F3040" s="13" t="s">
        <v>8860</v>
      </c>
      <c r="G3040" s="13" t="s">
        <v>19</v>
      </c>
      <c r="H3040" s="13" t="s">
        <v>3</v>
      </c>
      <c r="I3040" s="13" t="s">
        <v>7471</v>
      </c>
      <c r="J3040" s="13" t="s">
        <v>21</v>
      </c>
      <c r="K3040" s="13" t="s">
        <v>8823</v>
      </c>
      <c r="L3040" s="13" t="s">
        <v>18</v>
      </c>
      <c r="M3040" t="s">
        <v>3</v>
      </c>
    </row>
    <row r="3041" spans="1:13" ht="26.25" x14ac:dyDescent="0.25">
      <c r="A3041" s="13" t="s">
        <v>7472</v>
      </c>
      <c r="B3041" s="13" t="s">
        <v>7471</v>
      </c>
      <c r="C3041" s="13" t="s">
        <v>7471</v>
      </c>
      <c r="D3041" s="13">
        <v>16675.599999999999</v>
      </c>
      <c r="E3041" s="13" t="s">
        <v>7473</v>
      </c>
      <c r="F3041" s="13" t="s">
        <v>35</v>
      </c>
      <c r="G3041" s="13" t="s">
        <v>19</v>
      </c>
      <c r="H3041" s="13" t="s">
        <v>3</v>
      </c>
      <c r="I3041" s="13" t="s">
        <v>7471</v>
      </c>
      <c r="J3041" s="13" t="s">
        <v>37</v>
      </c>
      <c r="K3041" s="13" t="s">
        <v>8823</v>
      </c>
      <c r="L3041" s="13" t="s">
        <v>35</v>
      </c>
      <c r="M3041" t="s">
        <v>3</v>
      </c>
    </row>
    <row r="3042" spans="1:13" x14ac:dyDescent="0.25">
      <c r="A3042" s="13" t="s">
        <v>7474</v>
      </c>
      <c r="B3042" s="13" t="s">
        <v>7474</v>
      </c>
      <c r="C3042" s="13" t="s">
        <v>7475</v>
      </c>
      <c r="D3042" s="13">
        <v>7.2</v>
      </c>
      <c r="E3042" s="13" t="s">
        <v>7476</v>
      </c>
      <c r="F3042" s="13" t="s">
        <v>8865</v>
      </c>
      <c r="G3042" s="13" t="s">
        <v>2</v>
      </c>
      <c r="H3042" s="13" t="s">
        <v>3</v>
      </c>
      <c r="I3042" s="13" t="s">
        <v>1263</v>
      </c>
      <c r="J3042" s="13" t="s">
        <v>8890</v>
      </c>
      <c r="K3042" s="13" t="s">
        <v>8422</v>
      </c>
      <c r="L3042" s="13" t="s">
        <v>8901</v>
      </c>
      <c r="M3042" t="s">
        <v>3</v>
      </c>
    </row>
    <row r="3043" spans="1:13" ht="26.25" x14ac:dyDescent="0.25">
      <c r="A3043" s="13" t="s">
        <v>7477</v>
      </c>
      <c r="B3043" s="13" t="s">
        <v>7477</v>
      </c>
      <c r="C3043" s="13" t="s">
        <v>7478</v>
      </c>
      <c r="D3043" s="13">
        <v>7.7</v>
      </c>
      <c r="E3043" s="13" t="s">
        <v>7479</v>
      </c>
      <c r="F3043" s="13" t="s">
        <v>8865</v>
      </c>
      <c r="G3043" s="13" t="s">
        <v>2</v>
      </c>
      <c r="H3043" s="13" t="s">
        <v>3</v>
      </c>
      <c r="I3043" s="13" t="s">
        <v>4</v>
      </c>
      <c r="J3043" s="13" t="s">
        <v>8890</v>
      </c>
      <c r="K3043" s="13" t="s">
        <v>8424</v>
      </c>
      <c r="L3043" s="13" t="s">
        <v>8901</v>
      </c>
      <c r="M3043" t="s">
        <v>3</v>
      </c>
    </row>
    <row r="3044" spans="1:13" x14ac:dyDescent="0.25">
      <c r="A3044" s="13" t="s">
        <v>7480</v>
      </c>
      <c r="B3044" s="13" t="s">
        <v>7480</v>
      </c>
      <c r="C3044" s="13" t="s">
        <v>7481</v>
      </c>
      <c r="D3044" s="13">
        <v>3.1</v>
      </c>
      <c r="E3044" s="13" t="s">
        <v>7481</v>
      </c>
      <c r="F3044" s="13" t="s">
        <v>8865</v>
      </c>
      <c r="G3044" s="13" t="s">
        <v>2</v>
      </c>
      <c r="H3044" s="13" t="s">
        <v>3</v>
      </c>
      <c r="I3044" s="13" t="s">
        <v>447</v>
      </c>
      <c r="J3044" s="13" t="s">
        <v>8890</v>
      </c>
      <c r="K3044" s="13" t="s">
        <v>8421</v>
      </c>
      <c r="L3044" s="13" t="s">
        <v>8901</v>
      </c>
      <c r="M3044" t="s">
        <v>3</v>
      </c>
    </row>
    <row r="3045" spans="1:13" x14ac:dyDescent="0.25">
      <c r="A3045" s="13" t="s">
        <v>7482</v>
      </c>
      <c r="B3045" s="13" t="s">
        <v>7482</v>
      </c>
      <c r="C3045" s="13" t="s">
        <v>7483</v>
      </c>
      <c r="D3045" s="14">
        <v>12</v>
      </c>
      <c r="E3045" s="13" t="s">
        <v>7484</v>
      </c>
      <c r="F3045" s="13" t="s">
        <v>8865</v>
      </c>
      <c r="G3045" s="13" t="s">
        <v>2</v>
      </c>
      <c r="H3045" s="13" t="s">
        <v>3</v>
      </c>
      <c r="I3045" s="13" t="s">
        <v>706</v>
      </c>
      <c r="J3045" s="13" t="s">
        <v>8890</v>
      </c>
      <c r="K3045" s="13" t="s">
        <v>8419</v>
      </c>
      <c r="L3045" s="13" t="s">
        <v>8901</v>
      </c>
      <c r="M3045" t="s">
        <v>3</v>
      </c>
    </row>
    <row r="3046" spans="1:13" x14ac:dyDescent="0.25">
      <c r="A3046" s="13" t="s">
        <v>7485</v>
      </c>
      <c r="B3046" s="13" t="s">
        <v>7485</v>
      </c>
      <c r="C3046" s="13" t="s">
        <v>7486</v>
      </c>
      <c r="D3046" s="14">
        <v>5.4</v>
      </c>
      <c r="E3046" s="13" t="s">
        <v>7486</v>
      </c>
      <c r="F3046" s="13" t="s">
        <v>8861</v>
      </c>
      <c r="G3046" s="13" t="s">
        <v>2</v>
      </c>
      <c r="H3046" s="13" t="s">
        <v>3</v>
      </c>
      <c r="I3046" s="13" t="s">
        <v>447</v>
      </c>
      <c r="J3046" s="13" t="s">
        <v>8890</v>
      </c>
      <c r="K3046" s="13" t="s">
        <v>8421</v>
      </c>
      <c r="L3046" s="13" t="s">
        <v>8891</v>
      </c>
      <c r="M3046" t="s">
        <v>3</v>
      </c>
    </row>
    <row r="3047" spans="1:13" x14ac:dyDescent="0.25">
      <c r="A3047" s="13" t="s">
        <v>7487</v>
      </c>
      <c r="B3047" s="13" t="s">
        <v>7487</v>
      </c>
      <c r="C3047" s="13" t="s">
        <v>7488</v>
      </c>
      <c r="D3047" s="13">
        <v>3.3</v>
      </c>
      <c r="E3047" s="13" t="s">
        <v>7489</v>
      </c>
      <c r="F3047" s="13" t="s">
        <v>8865</v>
      </c>
      <c r="G3047" s="13" t="s">
        <v>2</v>
      </c>
      <c r="H3047" s="13" t="s">
        <v>3</v>
      </c>
      <c r="I3047" s="13" t="s">
        <v>228</v>
      </c>
      <c r="J3047" s="13" t="s">
        <v>8890</v>
      </c>
      <c r="K3047" s="13" t="s">
        <v>8418</v>
      </c>
      <c r="L3047" s="13" t="s">
        <v>8901</v>
      </c>
      <c r="M3047" t="s">
        <v>3</v>
      </c>
    </row>
    <row r="3048" spans="1:13" x14ac:dyDescent="0.25">
      <c r="A3048" s="13" t="s">
        <v>7490</v>
      </c>
      <c r="B3048" s="13" t="s">
        <v>7490</v>
      </c>
      <c r="C3048" s="13" t="s">
        <v>7491</v>
      </c>
      <c r="D3048" s="13">
        <v>3.4</v>
      </c>
      <c r="E3048" s="13" t="s">
        <v>7492</v>
      </c>
      <c r="F3048" s="13" t="s">
        <v>8865</v>
      </c>
      <c r="G3048" s="13" t="s">
        <v>2</v>
      </c>
      <c r="H3048" s="13" t="s">
        <v>3</v>
      </c>
      <c r="I3048" s="13" t="s">
        <v>1263</v>
      </c>
      <c r="J3048" s="13" t="s">
        <v>8890</v>
      </c>
      <c r="K3048" s="13" t="s">
        <v>8422</v>
      </c>
      <c r="L3048" s="13" t="s">
        <v>8901</v>
      </c>
      <c r="M3048" t="s">
        <v>3</v>
      </c>
    </row>
    <row r="3049" spans="1:13" x14ac:dyDescent="0.25">
      <c r="A3049" s="13" t="s">
        <v>7493</v>
      </c>
      <c r="B3049" s="13" t="s">
        <v>7493</v>
      </c>
      <c r="C3049" s="13" t="s">
        <v>7494</v>
      </c>
      <c r="D3049" s="13">
        <v>2.2999999999999998</v>
      </c>
      <c r="E3049" s="13" t="s">
        <v>7495</v>
      </c>
      <c r="F3049" s="13" t="s">
        <v>8865</v>
      </c>
      <c r="G3049" s="13" t="s">
        <v>2</v>
      </c>
      <c r="H3049" s="13" t="s">
        <v>3</v>
      </c>
      <c r="I3049" s="13" t="s">
        <v>706</v>
      </c>
      <c r="J3049" s="13" t="s">
        <v>8890</v>
      </c>
      <c r="K3049" s="13" t="s">
        <v>8419</v>
      </c>
      <c r="L3049" s="13" t="s">
        <v>8901</v>
      </c>
      <c r="M3049" t="s">
        <v>3</v>
      </c>
    </row>
    <row r="3050" spans="1:13" x14ac:dyDescent="0.25">
      <c r="A3050" s="13" t="s">
        <v>7496</v>
      </c>
      <c r="B3050" s="13" t="s">
        <v>7496</v>
      </c>
      <c r="C3050" s="13" t="s">
        <v>7496</v>
      </c>
      <c r="D3050" s="13">
        <v>38.700000000000003</v>
      </c>
      <c r="E3050" s="13" t="s">
        <v>7497</v>
      </c>
      <c r="F3050" s="13" t="s">
        <v>8867</v>
      </c>
      <c r="G3050" s="13" t="s">
        <v>2</v>
      </c>
      <c r="H3050" s="13" t="s">
        <v>3</v>
      </c>
      <c r="I3050" s="13" t="s">
        <v>228</v>
      </c>
      <c r="J3050" s="13" t="s">
        <v>8890</v>
      </c>
      <c r="K3050" s="13" t="s">
        <v>8418</v>
      </c>
      <c r="L3050" s="13" t="s">
        <v>158</v>
      </c>
      <c r="M3050" t="s">
        <v>3</v>
      </c>
    </row>
    <row r="3051" spans="1:13" x14ac:dyDescent="0.25">
      <c r="A3051" s="13" t="s">
        <v>7498</v>
      </c>
      <c r="B3051" s="13" t="s">
        <v>7499</v>
      </c>
      <c r="C3051" s="13" t="s">
        <v>7500</v>
      </c>
      <c r="D3051" s="13">
        <v>2</v>
      </c>
      <c r="E3051" s="13" t="s">
        <v>7501</v>
      </c>
      <c r="F3051" s="13" t="s">
        <v>8865</v>
      </c>
      <c r="G3051" s="13" t="s">
        <v>2</v>
      </c>
      <c r="H3051" s="13" t="s">
        <v>3</v>
      </c>
      <c r="I3051" s="13" t="s">
        <v>497</v>
      </c>
      <c r="J3051" s="13" t="s">
        <v>8890</v>
      </c>
      <c r="K3051" s="13" t="s">
        <v>8475</v>
      </c>
      <c r="L3051" s="13" t="s">
        <v>8901</v>
      </c>
      <c r="M3051" t="s">
        <v>3</v>
      </c>
    </row>
    <row r="3052" spans="1:13" x14ac:dyDescent="0.25">
      <c r="A3052" s="13" t="s">
        <v>7502</v>
      </c>
      <c r="B3052" s="13" t="s">
        <v>7502</v>
      </c>
      <c r="C3052" s="13" t="s">
        <v>7503</v>
      </c>
      <c r="D3052" s="13">
        <v>10.8</v>
      </c>
      <c r="E3052" s="13" t="s">
        <v>7503</v>
      </c>
      <c r="F3052" s="13" t="s">
        <v>8865</v>
      </c>
      <c r="G3052" s="13" t="s">
        <v>2</v>
      </c>
      <c r="H3052" s="13" t="s">
        <v>3</v>
      </c>
      <c r="I3052" s="13" t="s">
        <v>119</v>
      </c>
      <c r="J3052" s="13" t="s">
        <v>8890</v>
      </c>
      <c r="K3052" s="13" t="s">
        <v>8883</v>
      </c>
      <c r="L3052" s="13" t="s">
        <v>8901</v>
      </c>
      <c r="M3052" t="s">
        <v>3</v>
      </c>
    </row>
    <row r="3053" spans="1:13" x14ac:dyDescent="0.25">
      <c r="A3053" s="13" t="s">
        <v>7504</v>
      </c>
      <c r="B3053" s="13" t="s">
        <v>7504</v>
      </c>
      <c r="C3053" s="13" t="s">
        <v>7505</v>
      </c>
      <c r="D3053" s="13">
        <v>19.8</v>
      </c>
      <c r="E3053" s="13" t="s">
        <v>7506</v>
      </c>
      <c r="F3053" s="13" t="s">
        <v>8865</v>
      </c>
      <c r="G3053" s="13" t="s">
        <v>2</v>
      </c>
      <c r="H3053" s="13" t="s">
        <v>3</v>
      </c>
      <c r="I3053" s="13" t="s">
        <v>706</v>
      </c>
      <c r="J3053" s="13" t="s">
        <v>8890</v>
      </c>
      <c r="K3053" s="13" t="s">
        <v>8419</v>
      </c>
      <c r="L3053" s="13" t="s">
        <v>8901</v>
      </c>
      <c r="M3053" t="s">
        <v>3</v>
      </c>
    </row>
    <row r="3054" spans="1:13" x14ac:dyDescent="0.25">
      <c r="A3054" s="13" t="s">
        <v>7507</v>
      </c>
      <c r="B3054" s="13" t="s">
        <v>7507</v>
      </c>
      <c r="C3054" s="13" t="s">
        <v>9473</v>
      </c>
      <c r="D3054" s="13">
        <v>23.7</v>
      </c>
      <c r="E3054" s="13" t="s">
        <v>7508</v>
      </c>
      <c r="F3054" s="13" t="s">
        <v>8861</v>
      </c>
      <c r="G3054" s="13" t="s">
        <v>2</v>
      </c>
      <c r="H3054" s="13" t="s">
        <v>3</v>
      </c>
      <c r="I3054" s="13" t="s">
        <v>706</v>
      </c>
      <c r="J3054" s="13" t="s">
        <v>8890</v>
      </c>
      <c r="K3054" s="13" t="s">
        <v>8419</v>
      </c>
      <c r="L3054" s="13" t="s">
        <v>8891</v>
      </c>
      <c r="M3054" t="s">
        <v>3</v>
      </c>
    </row>
    <row r="3055" spans="1:13" x14ac:dyDescent="0.25">
      <c r="A3055" s="13" t="s">
        <v>7509</v>
      </c>
      <c r="B3055" s="13" t="s">
        <v>7509</v>
      </c>
      <c r="C3055" s="13" t="s">
        <v>7510</v>
      </c>
      <c r="D3055" s="13">
        <v>19.8</v>
      </c>
      <c r="E3055" s="13" t="s">
        <v>7511</v>
      </c>
      <c r="F3055" s="13" t="s">
        <v>8865</v>
      </c>
      <c r="G3055" s="13" t="s">
        <v>2</v>
      </c>
      <c r="H3055" s="13" t="s">
        <v>3</v>
      </c>
      <c r="I3055" s="13" t="s">
        <v>706</v>
      </c>
      <c r="J3055" s="13" t="s">
        <v>8890</v>
      </c>
      <c r="K3055" s="13" t="s">
        <v>8419</v>
      </c>
      <c r="L3055" s="13" t="s">
        <v>8901</v>
      </c>
      <c r="M3055" t="s">
        <v>3</v>
      </c>
    </row>
    <row r="3056" spans="1:13" ht="26.25" x14ac:dyDescent="0.25">
      <c r="A3056" s="13" t="s">
        <v>7512</v>
      </c>
      <c r="B3056" s="13" t="s">
        <v>7513</v>
      </c>
      <c r="C3056" s="13" t="s">
        <v>7514</v>
      </c>
      <c r="D3056" s="13">
        <v>4.8</v>
      </c>
      <c r="E3056" s="13" t="s">
        <v>7515</v>
      </c>
      <c r="F3056" s="13" t="s">
        <v>8865</v>
      </c>
      <c r="G3056" s="13" t="s">
        <v>2</v>
      </c>
      <c r="H3056" s="13" t="s">
        <v>3</v>
      </c>
      <c r="I3056" s="13" t="s">
        <v>4</v>
      </c>
      <c r="J3056" s="13" t="s">
        <v>8890</v>
      </c>
      <c r="K3056" s="13" t="s">
        <v>8424</v>
      </c>
      <c r="L3056" s="13" t="s">
        <v>8901</v>
      </c>
      <c r="M3056" t="s">
        <v>3</v>
      </c>
    </row>
    <row r="3057" spans="1:13" x14ac:dyDescent="0.25">
      <c r="A3057" s="13" t="s">
        <v>7516</v>
      </c>
      <c r="B3057" s="13" t="s">
        <v>7516</v>
      </c>
      <c r="C3057" s="13" t="s">
        <v>7516</v>
      </c>
      <c r="D3057" s="13">
        <v>16.399999999999999</v>
      </c>
      <c r="E3057" s="13" t="s">
        <v>7517</v>
      </c>
      <c r="F3057" s="13" t="s">
        <v>8865</v>
      </c>
      <c r="G3057" s="13" t="s">
        <v>2</v>
      </c>
      <c r="H3057" s="13" t="s">
        <v>3</v>
      </c>
      <c r="I3057" s="13" t="s">
        <v>119</v>
      </c>
      <c r="J3057" s="13" t="s">
        <v>8890</v>
      </c>
      <c r="K3057" s="13" t="s">
        <v>8883</v>
      </c>
      <c r="L3057" s="13" t="s">
        <v>8901</v>
      </c>
      <c r="M3057" t="s">
        <v>3</v>
      </c>
    </row>
    <row r="3058" spans="1:13" x14ac:dyDescent="0.25">
      <c r="A3058" s="13" t="s">
        <v>7518</v>
      </c>
      <c r="B3058" s="13" t="s">
        <v>7518</v>
      </c>
      <c r="C3058" s="13" t="s">
        <v>7518</v>
      </c>
      <c r="D3058" s="13">
        <v>14.9</v>
      </c>
      <c r="E3058" s="13" t="s">
        <v>7519</v>
      </c>
      <c r="F3058" s="13" t="s">
        <v>8865</v>
      </c>
      <c r="G3058" s="13" t="s">
        <v>2</v>
      </c>
      <c r="H3058" s="13" t="s">
        <v>9243</v>
      </c>
      <c r="I3058" s="13" t="s">
        <v>119</v>
      </c>
      <c r="J3058" s="13" t="s">
        <v>8890</v>
      </c>
      <c r="K3058" s="13" t="s">
        <v>8883</v>
      </c>
      <c r="L3058" s="13" t="s">
        <v>8901</v>
      </c>
      <c r="M3058" t="s">
        <v>9243</v>
      </c>
    </row>
    <row r="3059" spans="1:13" x14ac:dyDescent="0.25">
      <c r="A3059" s="13" t="s">
        <v>7520</v>
      </c>
      <c r="B3059" s="13" t="s">
        <v>7520</v>
      </c>
      <c r="C3059" s="13" t="s">
        <v>7521</v>
      </c>
      <c r="D3059" s="13">
        <v>9.6999999999999993</v>
      </c>
      <c r="E3059" s="13" t="s">
        <v>7522</v>
      </c>
      <c r="F3059" s="13" t="s">
        <v>8865</v>
      </c>
      <c r="G3059" s="13" t="s">
        <v>2</v>
      </c>
      <c r="H3059" s="13" t="s">
        <v>3</v>
      </c>
      <c r="I3059" s="13" t="s">
        <v>447</v>
      </c>
      <c r="J3059" s="13" t="s">
        <v>8890</v>
      </c>
      <c r="K3059" s="13" t="s">
        <v>8421</v>
      </c>
      <c r="L3059" s="13" t="s">
        <v>8901</v>
      </c>
      <c r="M3059" t="s">
        <v>3</v>
      </c>
    </row>
    <row r="3060" spans="1:13" x14ac:dyDescent="0.25">
      <c r="A3060" s="13" t="s">
        <v>7523</v>
      </c>
      <c r="B3060" s="13" t="s">
        <v>7523</v>
      </c>
      <c r="C3060" s="13" t="s">
        <v>7524</v>
      </c>
      <c r="D3060" s="13">
        <v>9.6999999999999993</v>
      </c>
      <c r="E3060" s="13" t="s">
        <v>7524</v>
      </c>
      <c r="F3060" s="13" t="s">
        <v>8865</v>
      </c>
      <c r="G3060" s="13" t="s">
        <v>2</v>
      </c>
      <c r="H3060" s="13" t="s">
        <v>3</v>
      </c>
      <c r="I3060" s="13" t="s">
        <v>7525</v>
      </c>
      <c r="J3060" s="13" t="s">
        <v>8890</v>
      </c>
      <c r="K3060" s="13" t="s">
        <v>8824</v>
      </c>
      <c r="L3060" s="13" t="s">
        <v>8901</v>
      </c>
      <c r="M3060" t="s">
        <v>3</v>
      </c>
    </row>
    <row r="3061" spans="1:13" ht="26.25" x14ac:dyDescent="0.25">
      <c r="A3061" s="13" t="s">
        <v>7526</v>
      </c>
      <c r="B3061" s="13" t="s">
        <v>7527</v>
      </c>
      <c r="C3061" s="13" t="s">
        <v>9474</v>
      </c>
      <c r="D3061" s="13">
        <v>5.5</v>
      </c>
      <c r="E3061" s="13" t="s">
        <v>7528</v>
      </c>
      <c r="F3061" s="13" t="s">
        <v>8865</v>
      </c>
      <c r="G3061" s="13" t="s">
        <v>2</v>
      </c>
      <c r="H3061" s="13" t="s">
        <v>3</v>
      </c>
      <c r="I3061" s="13" t="s">
        <v>4</v>
      </c>
      <c r="J3061" s="13" t="s">
        <v>8890</v>
      </c>
      <c r="K3061" s="13" t="s">
        <v>8424</v>
      </c>
      <c r="L3061" s="13" t="s">
        <v>8901</v>
      </c>
      <c r="M3061" t="s">
        <v>3</v>
      </c>
    </row>
    <row r="3062" spans="1:13" ht="26.25" x14ac:dyDescent="0.25">
      <c r="A3062" s="13" t="s">
        <v>7529</v>
      </c>
      <c r="B3062" s="13" t="s">
        <v>7529</v>
      </c>
      <c r="C3062" s="13" t="s">
        <v>9475</v>
      </c>
      <c r="D3062" s="13">
        <v>5.0999999999999996</v>
      </c>
      <c r="E3062" s="13" t="s">
        <v>7530</v>
      </c>
      <c r="F3062" s="13" t="s">
        <v>8865</v>
      </c>
      <c r="G3062" s="13" t="s">
        <v>2</v>
      </c>
      <c r="H3062" s="13" t="s">
        <v>3</v>
      </c>
      <c r="I3062" s="13" t="s">
        <v>4</v>
      </c>
      <c r="J3062" s="13" t="s">
        <v>8890</v>
      </c>
      <c r="K3062" s="13" t="s">
        <v>8424</v>
      </c>
      <c r="L3062" s="13" t="s">
        <v>8901</v>
      </c>
      <c r="M3062" t="s">
        <v>3</v>
      </c>
    </row>
    <row r="3063" spans="1:13" ht="26.25" x14ac:dyDescent="0.25">
      <c r="A3063" s="13" t="s">
        <v>7531</v>
      </c>
      <c r="B3063" s="13" t="s">
        <v>7531</v>
      </c>
      <c r="C3063" s="13" t="s">
        <v>7532</v>
      </c>
      <c r="D3063" s="13">
        <v>8.9</v>
      </c>
      <c r="E3063" s="13" t="s">
        <v>7532</v>
      </c>
      <c r="F3063" s="13" t="s">
        <v>8865</v>
      </c>
      <c r="G3063" s="13" t="s">
        <v>2</v>
      </c>
      <c r="H3063" s="13" t="s">
        <v>3</v>
      </c>
      <c r="I3063" s="13" t="s">
        <v>7533</v>
      </c>
      <c r="J3063" s="13" t="s">
        <v>8890</v>
      </c>
      <c r="K3063" s="13" t="s">
        <v>8825</v>
      </c>
      <c r="L3063" s="13" t="s">
        <v>8901</v>
      </c>
      <c r="M3063" t="s">
        <v>3</v>
      </c>
    </row>
    <row r="3064" spans="1:13" x14ac:dyDescent="0.25">
      <c r="A3064" s="13" t="s">
        <v>7534</v>
      </c>
      <c r="B3064" s="13" t="s">
        <v>7534</v>
      </c>
      <c r="C3064" s="13" t="s">
        <v>7535</v>
      </c>
      <c r="D3064" s="13">
        <v>13.6</v>
      </c>
      <c r="E3064" s="13" t="s">
        <v>7536</v>
      </c>
      <c r="F3064" s="13" t="s">
        <v>8865</v>
      </c>
      <c r="G3064" s="13" t="s">
        <v>2</v>
      </c>
      <c r="H3064" s="13" t="s">
        <v>3</v>
      </c>
      <c r="I3064" s="13" t="s">
        <v>809</v>
      </c>
      <c r="J3064" s="13" t="s">
        <v>8890</v>
      </c>
      <c r="K3064" s="13" t="s">
        <v>8512</v>
      </c>
      <c r="L3064" s="13" t="s">
        <v>8901</v>
      </c>
      <c r="M3064" t="s">
        <v>3</v>
      </c>
    </row>
    <row r="3065" spans="1:13" ht="26.25" x14ac:dyDescent="0.25">
      <c r="A3065" s="13" t="s">
        <v>7537</v>
      </c>
      <c r="B3065" s="13" t="s">
        <v>7538</v>
      </c>
      <c r="C3065" s="13" t="s">
        <v>7539</v>
      </c>
      <c r="D3065" s="13">
        <v>6.7</v>
      </c>
      <c r="E3065" s="13" t="s">
        <v>7540</v>
      </c>
      <c r="F3065" s="13" t="s">
        <v>8865</v>
      </c>
      <c r="G3065" s="13" t="s">
        <v>2</v>
      </c>
      <c r="H3065" s="13" t="s">
        <v>3</v>
      </c>
      <c r="I3065" s="13" t="s">
        <v>4</v>
      </c>
      <c r="J3065" s="13" t="s">
        <v>8890</v>
      </c>
      <c r="K3065" s="13" t="s">
        <v>8424</v>
      </c>
      <c r="L3065" s="13" t="s">
        <v>8901</v>
      </c>
      <c r="M3065" t="s">
        <v>3</v>
      </c>
    </row>
    <row r="3066" spans="1:13" x14ac:dyDescent="0.25">
      <c r="A3066" s="13" t="s">
        <v>7541</v>
      </c>
      <c r="B3066" s="13" t="s">
        <v>7541</v>
      </c>
      <c r="C3066" s="13" t="s">
        <v>7542</v>
      </c>
      <c r="D3066" s="13">
        <v>3.9</v>
      </c>
      <c r="E3066" s="13" t="s">
        <v>7542</v>
      </c>
      <c r="F3066" s="13" t="s">
        <v>8861</v>
      </c>
      <c r="G3066" s="13" t="s">
        <v>2</v>
      </c>
      <c r="H3066" s="13" t="s">
        <v>3</v>
      </c>
      <c r="I3066" s="13" t="s">
        <v>447</v>
      </c>
      <c r="J3066" s="13" t="s">
        <v>8890</v>
      </c>
      <c r="K3066" s="13" t="s">
        <v>8421</v>
      </c>
      <c r="L3066" s="13" t="s">
        <v>8891</v>
      </c>
      <c r="M3066" t="s">
        <v>3</v>
      </c>
    </row>
    <row r="3067" spans="1:13" ht="26.25" x14ac:dyDescent="0.25">
      <c r="A3067" s="13" t="s">
        <v>10078</v>
      </c>
      <c r="B3067" s="13" t="s">
        <v>10079</v>
      </c>
      <c r="C3067" s="13" t="s">
        <v>10080</v>
      </c>
      <c r="D3067" s="13">
        <v>1</v>
      </c>
      <c r="E3067" s="13" t="s">
        <v>10081</v>
      </c>
      <c r="F3067" s="13" t="s">
        <v>8860</v>
      </c>
      <c r="G3067" s="13" t="s">
        <v>19</v>
      </c>
      <c r="H3067" s="13" t="s">
        <v>3</v>
      </c>
      <c r="I3067" s="13" t="s">
        <v>10079</v>
      </c>
      <c r="J3067" s="13" t="s">
        <v>21</v>
      </c>
      <c r="K3067" s="13" t="s">
        <v>10082</v>
      </c>
      <c r="L3067" s="13" t="s">
        <v>18</v>
      </c>
      <c r="M3067" t="s">
        <v>3</v>
      </c>
    </row>
    <row r="3068" spans="1:13" ht="26.25" x14ac:dyDescent="0.25">
      <c r="A3068" s="13" t="s">
        <v>7543</v>
      </c>
      <c r="B3068" s="13" t="s">
        <v>7543</v>
      </c>
      <c r="C3068" s="13" t="s">
        <v>7544</v>
      </c>
      <c r="D3068" s="13">
        <v>1.9</v>
      </c>
      <c r="E3068" s="13" t="s">
        <v>7545</v>
      </c>
      <c r="F3068" s="13" t="s">
        <v>8867</v>
      </c>
      <c r="G3068" s="13" t="s">
        <v>2</v>
      </c>
      <c r="H3068" s="13" t="s">
        <v>3</v>
      </c>
      <c r="I3068" s="13" t="s">
        <v>228</v>
      </c>
      <c r="J3068" s="13" t="s">
        <v>8890</v>
      </c>
      <c r="K3068" s="13" t="s">
        <v>8418</v>
      </c>
      <c r="L3068" s="13" t="s">
        <v>158</v>
      </c>
      <c r="M3068" t="s">
        <v>3</v>
      </c>
    </row>
    <row r="3069" spans="1:13" x14ac:dyDescent="0.25">
      <c r="A3069" s="13" t="s">
        <v>7546</v>
      </c>
      <c r="B3069" s="13" t="s">
        <v>7546</v>
      </c>
      <c r="C3069" s="13" t="s">
        <v>7547</v>
      </c>
      <c r="D3069" s="13">
        <v>9.1</v>
      </c>
      <c r="E3069" s="13" t="s">
        <v>7547</v>
      </c>
      <c r="F3069" s="13" t="s">
        <v>8865</v>
      </c>
      <c r="G3069" s="13" t="s">
        <v>2</v>
      </c>
      <c r="H3069" s="13" t="s">
        <v>3</v>
      </c>
      <c r="I3069" s="13" t="s">
        <v>447</v>
      </c>
      <c r="J3069" s="13" t="s">
        <v>8890</v>
      </c>
      <c r="K3069" s="13" t="s">
        <v>8421</v>
      </c>
      <c r="L3069" s="13" t="s">
        <v>8901</v>
      </c>
      <c r="M3069" t="s">
        <v>3</v>
      </c>
    </row>
    <row r="3070" spans="1:13" x14ac:dyDescent="0.25">
      <c r="A3070" s="13" t="s">
        <v>7548</v>
      </c>
      <c r="B3070" s="13" t="s">
        <v>7548</v>
      </c>
      <c r="C3070" s="13" t="s">
        <v>7549</v>
      </c>
      <c r="D3070" s="13">
        <v>16.600000000000001</v>
      </c>
      <c r="E3070" s="13" t="s">
        <v>7550</v>
      </c>
      <c r="F3070" s="13" t="s">
        <v>8865</v>
      </c>
      <c r="G3070" s="13" t="s">
        <v>2</v>
      </c>
      <c r="H3070" s="13" t="s">
        <v>8422</v>
      </c>
      <c r="I3070" s="13" t="s">
        <v>1263</v>
      </c>
      <c r="J3070" s="13" t="s">
        <v>8890</v>
      </c>
      <c r="K3070" s="13" t="s">
        <v>8422</v>
      </c>
      <c r="L3070" s="13" t="s">
        <v>8901</v>
      </c>
      <c r="M3070" t="s">
        <v>10689</v>
      </c>
    </row>
    <row r="3071" spans="1:13" ht="26.25" x14ac:dyDescent="0.25">
      <c r="A3071" s="13" t="s">
        <v>10355</v>
      </c>
      <c r="B3071" s="13" t="s">
        <v>10356</v>
      </c>
      <c r="C3071" s="13" t="s">
        <v>10357</v>
      </c>
      <c r="D3071" s="13">
        <v>1</v>
      </c>
      <c r="E3071" s="13" t="s">
        <v>10358</v>
      </c>
      <c r="F3071" s="13" t="s">
        <v>8860</v>
      </c>
      <c r="G3071" s="13" t="s">
        <v>19</v>
      </c>
      <c r="H3071" s="13" t="s">
        <v>3</v>
      </c>
      <c r="I3071" s="13" t="s">
        <v>10359</v>
      </c>
      <c r="J3071" s="13" t="s">
        <v>21</v>
      </c>
      <c r="K3071" s="13" t="s">
        <v>10360</v>
      </c>
      <c r="L3071" s="13" t="s">
        <v>18</v>
      </c>
      <c r="M3071" t="s">
        <v>3</v>
      </c>
    </row>
    <row r="3072" spans="1:13" ht="26.25" x14ac:dyDescent="0.25">
      <c r="A3072" s="13" t="s">
        <v>7551</v>
      </c>
      <c r="B3072" s="13" t="s">
        <v>7551</v>
      </c>
      <c r="C3072" s="13" t="s">
        <v>7551</v>
      </c>
      <c r="D3072" s="13">
        <v>0.1</v>
      </c>
      <c r="E3072" s="13" t="s">
        <v>7552</v>
      </c>
      <c r="F3072" s="13" t="s">
        <v>8860</v>
      </c>
      <c r="G3072" s="13" t="s">
        <v>19</v>
      </c>
      <c r="H3072" s="13" t="s">
        <v>3</v>
      </c>
      <c r="I3072" s="13" t="s">
        <v>7553</v>
      </c>
      <c r="J3072" s="13" t="s">
        <v>21</v>
      </c>
      <c r="K3072" s="13" t="s">
        <v>8826</v>
      </c>
      <c r="L3072" s="13" t="s">
        <v>18</v>
      </c>
      <c r="M3072" t="s">
        <v>3</v>
      </c>
    </row>
    <row r="3073" spans="1:13" ht="26.25" x14ac:dyDescent="0.25">
      <c r="A3073" s="13" t="s">
        <v>7554</v>
      </c>
      <c r="B3073" s="13" t="s">
        <v>7554</v>
      </c>
      <c r="C3073" s="13" t="s">
        <v>7555</v>
      </c>
      <c r="D3073" s="13">
        <v>11.9</v>
      </c>
      <c r="E3073" s="13" t="s">
        <v>7555</v>
      </c>
      <c r="F3073" s="13" t="s">
        <v>8861</v>
      </c>
      <c r="G3073" s="13" t="s">
        <v>2</v>
      </c>
      <c r="H3073" s="13" t="s">
        <v>3</v>
      </c>
      <c r="I3073" s="13" t="s">
        <v>447</v>
      </c>
      <c r="J3073" s="13" t="s">
        <v>8890</v>
      </c>
      <c r="K3073" s="13" t="s">
        <v>8421</v>
      </c>
      <c r="L3073" s="13" t="s">
        <v>8891</v>
      </c>
      <c r="M3073" t="s">
        <v>3</v>
      </c>
    </row>
    <row r="3074" spans="1:13" x14ac:dyDescent="0.25">
      <c r="A3074" s="13" t="s">
        <v>7556</v>
      </c>
      <c r="B3074" s="13" t="s">
        <v>7556</v>
      </c>
      <c r="C3074" s="13" t="s">
        <v>7557</v>
      </c>
      <c r="D3074" s="13">
        <v>5.4</v>
      </c>
      <c r="E3074" s="13" t="s">
        <v>7557</v>
      </c>
      <c r="F3074" s="13" t="s">
        <v>8865</v>
      </c>
      <c r="G3074" s="13" t="s">
        <v>2</v>
      </c>
      <c r="H3074" s="13" t="s">
        <v>3</v>
      </c>
      <c r="I3074" s="13" t="s">
        <v>447</v>
      </c>
      <c r="J3074" s="13" t="s">
        <v>8890</v>
      </c>
      <c r="K3074" s="13" t="s">
        <v>8421</v>
      </c>
      <c r="L3074" s="13" t="s">
        <v>8901</v>
      </c>
      <c r="M3074" t="s">
        <v>3</v>
      </c>
    </row>
    <row r="3075" spans="1:13" ht="26.25" x14ac:dyDescent="0.25">
      <c r="A3075" s="13" t="s">
        <v>7558</v>
      </c>
      <c r="B3075" s="13" t="s">
        <v>7559</v>
      </c>
      <c r="C3075" s="13" t="s">
        <v>9476</v>
      </c>
      <c r="D3075" s="14">
        <v>100</v>
      </c>
      <c r="E3075" s="13" t="s">
        <v>7560</v>
      </c>
      <c r="F3075" s="13" t="s">
        <v>35</v>
      </c>
      <c r="G3075" s="13" t="s">
        <v>19</v>
      </c>
      <c r="H3075" s="13" t="s">
        <v>3</v>
      </c>
      <c r="I3075" s="13" t="s">
        <v>7561</v>
      </c>
      <c r="J3075" s="13" t="s">
        <v>37</v>
      </c>
      <c r="K3075" s="13" t="s">
        <v>8827</v>
      </c>
      <c r="L3075" s="13" t="s">
        <v>35</v>
      </c>
      <c r="M3075" t="s">
        <v>3</v>
      </c>
    </row>
    <row r="3076" spans="1:13" ht="26.25" x14ac:dyDescent="0.25">
      <c r="A3076" s="13" t="s">
        <v>7562</v>
      </c>
      <c r="B3076" s="13" t="s">
        <v>7562</v>
      </c>
      <c r="C3076" s="13" t="s">
        <v>7562</v>
      </c>
      <c r="D3076" s="13">
        <v>0.1</v>
      </c>
      <c r="E3076" s="13" t="s">
        <v>7563</v>
      </c>
      <c r="F3076" s="13" t="s">
        <v>8860</v>
      </c>
      <c r="G3076" s="13" t="s">
        <v>19</v>
      </c>
      <c r="H3076" s="13" t="s">
        <v>3</v>
      </c>
      <c r="I3076" s="13" t="s">
        <v>7564</v>
      </c>
      <c r="J3076" s="13" t="s">
        <v>21</v>
      </c>
      <c r="K3076" s="13" t="s">
        <v>9477</v>
      </c>
      <c r="L3076" s="13" t="s">
        <v>18</v>
      </c>
      <c r="M3076" t="s">
        <v>3</v>
      </c>
    </row>
    <row r="3077" spans="1:13" ht="26.25" x14ac:dyDescent="0.25">
      <c r="A3077" s="13" t="s">
        <v>7565</v>
      </c>
      <c r="B3077" s="13" t="s">
        <v>7565</v>
      </c>
      <c r="C3077" s="13" t="s">
        <v>7566</v>
      </c>
      <c r="D3077" s="13">
        <v>1400</v>
      </c>
      <c r="E3077" s="13" t="s">
        <v>7567</v>
      </c>
      <c r="F3077" s="13" t="s">
        <v>8870</v>
      </c>
      <c r="G3077" s="13" t="s">
        <v>19</v>
      </c>
      <c r="H3077" s="13" t="s">
        <v>3</v>
      </c>
      <c r="I3077" s="13" t="s">
        <v>4522</v>
      </c>
      <c r="J3077" s="13" t="s">
        <v>410</v>
      </c>
      <c r="K3077" s="13" t="s">
        <v>8514</v>
      </c>
      <c r="L3077" s="13" t="s">
        <v>8942</v>
      </c>
      <c r="M3077" t="s">
        <v>3</v>
      </c>
    </row>
    <row r="3078" spans="1:13" x14ac:dyDescent="0.25">
      <c r="A3078" s="13" t="s">
        <v>7568</v>
      </c>
      <c r="B3078" s="13" t="s">
        <v>7568</v>
      </c>
      <c r="C3078" s="13" t="s">
        <v>7568</v>
      </c>
      <c r="D3078" s="13">
        <v>1400</v>
      </c>
      <c r="E3078" s="13" t="s">
        <v>7569</v>
      </c>
      <c r="F3078" s="13" t="s">
        <v>8871</v>
      </c>
      <c r="G3078" s="13" t="s">
        <v>2</v>
      </c>
      <c r="H3078" s="13" t="s">
        <v>3</v>
      </c>
      <c r="I3078" s="13" t="s">
        <v>4522</v>
      </c>
      <c r="J3078" s="13" t="s">
        <v>410</v>
      </c>
      <c r="K3078" s="13" t="s">
        <v>8514</v>
      </c>
      <c r="L3078" s="13" t="s">
        <v>8943</v>
      </c>
      <c r="M3078" t="s">
        <v>3</v>
      </c>
    </row>
    <row r="3079" spans="1:13" x14ac:dyDescent="0.25">
      <c r="A3079" s="13" t="s">
        <v>7570</v>
      </c>
      <c r="B3079" s="13" t="s">
        <v>7570</v>
      </c>
      <c r="C3079" s="13" t="s">
        <v>7571</v>
      </c>
      <c r="D3079" s="13">
        <v>13.9</v>
      </c>
      <c r="E3079" s="13" t="s">
        <v>7571</v>
      </c>
      <c r="F3079" s="13" t="s">
        <v>8865</v>
      </c>
      <c r="G3079" s="13" t="s">
        <v>2</v>
      </c>
      <c r="H3079" s="13" t="s">
        <v>3</v>
      </c>
      <c r="I3079" s="13" t="s">
        <v>447</v>
      </c>
      <c r="J3079" s="13" t="s">
        <v>8890</v>
      </c>
      <c r="K3079" s="13" t="s">
        <v>8421</v>
      </c>
      <c r="L3079" s="13" t="s">
        <v>8901</v>
      </c>
      <c r="M3079" t="s">
        <v>3</v>
      </c>
    </row>
    <row r="3080" spans="1:13" x14ac:dyDescent="0.25">
      <c r="A3080" s="13" t="s">
        <v>7572</v>
      </c>
      <c r="B3080" s="13" t="s">
        <v>7572</v>
      </c>
      <c r="C3080" s="13" t="s">
        <v>7573</v>
      </c>
      <c r="D3080" s="13">
        <v>9.9</v>
      </c>
      <c r="E3080" s="13" t="s">
        <v>7573</v>
      </c>
      <c r="F3080" s="13" t="s">
        <v>8865</v>
      </c>
      <c r="G3080" s="13" t="s">
        <v>2</v>
      </c>
      <c r="H3080" s="13" t="s">
        <v>3</v>
      </c>
      <c r="I3080" s="13" t="s">
        <v>447</v>
      </c>
      <c r="J3080" s="13" t="s">
        <v>8890</v>
      </c>
      <c r="K3080" s="13" t="s">
        <v>8421</v>
      </c>
      <c r="L3080" s="13" t="s">
        <v>8901</v>
      </c>
      <c r="M3080" t="s">
        <v>3</v>
      </c>
    </row>
    <row r="3081" spans="1:13" x14ac:dyDescent="0.25">
      <c r="A3081" s="13" t="s">
        <v>7574</v>
      </c>
      <c r="B3081" s="13" t="s">
        <v>7574</v>
      </c>
      <c r="C3081" s="13" t="s">
        <v>7575</v>
      </c>
      <c r="D3081" s="13">
        <v>9.1</v>
      </c>
      <c r="E3081" s="13" t="s">
        <v>7575</v>
      </c>
      <c r="F3081" s="13" t="s">
        <v>8865</v>
      </c>
      <c r="G3081" s="13" t="s">
        <v>2</v>
      </c>
      <c r="H3081" s="13" t="s">
        <v>3</v>
      </c>
      <c r="I3081" s="13" t="s">
        <v>447</v>
      </c>
      <c r="J3081" s="13" t="s">
        <v>8890</v>
      </c>
      <c r="K3081" s="13" t="s">
        <v>8421</v>
      </c>
      <c r="L3081" s="13" t="s">
        <v>8901</v>
      </c>
      <c r="M3081" t="s">
        <v>3</v>
      </c>
    </row>
    <row r="3082" spans="1:13" x14ac:dyDescent="0.25">
      <c r="A3082" s="13" t="s">
        <v>7576</v>
      </c>
      <c r="B3082" s="13" t="s">
        <v>7576</v>
      </c>
      <c r="C3082" s="13" t="s">
        <v>7577</v>
      </c>
      <c r="D3082" s="14">
        <v>5</v>
      </c>
      <c r="E3082" s="13" t="s">
        <v>7578</v>
      </c>
      <c r="F3082" s="13" t="s">
        <v>8865</v>
      </c>
      <c r="G3082" s="13" t="s">
        <v>2</v>
      </c>
      <c r="H3082" s="13" t="s">
        <v>3</v>
      </c>
      <c r="I3082" s="13" t="s">
        <v>706</v>
      </c>
      <c r="J3082" s="13" t="s">
        <v>8890</v>
      </c>
      <c r="K3082" s="13" t="s">
        <v>8419</v>
      </c>
      <c r="L3082" s="13" t="s">
        <v>8901</v>
      </c>
      <c r="M3082" t="s">
        <v>3</v>
      </c>
    </row>
    <row r="3083" spans="1:13" x14ac:dyDescent="0.25">
      <c r="A3083" s="13" t="s">
        <v>7579</v>
      </c>
      <c r="B3083" s="13" t="s">
        <v>7579</v>
      </c>
      <c r="C3083" s="13" t="s">
        <v>7580</v>
      </c>
      <c r="D3083" s="14">
        <v>4.7</v>
      </c>
      <c r="E3083" s="13" t="s">
        <v>7580</v>
      </c>
      <c r="F3083" s="13" t="s">
        <v>8865</v>
      </c>
      <c r="G3083" s="13" t="s">
        <v>2</v>
      </c>
      <c r="H3083" s="13" t="s">
        <v>3</v>
      </c>
      <c r="I3083" s="13" t="s">
        <v>447</v>
      </c>
      <c r="J3083" s="13" t="s">
        <v>8890</v>
      </c>
      <c r="K3083" s="13" t="s">
        <v>8421</v>
      </c>
      <c r="L3083" s="13" t="s">
        <v>8901</v>
      </c>
      <c r="M3083" t="s">
        <v>3</v>
      </c>
    </row>
    <row r="3084" spans="1:13" ht="26.25" x14ac:dyDescent="0.25">
      <c r="A3084" s="13" t="s">
        <v>7581</v>
      </c>
      <c r="B3084" s="13" t="s">
        <v>7581</v>
      </c>
      <c r="C3084" s="13" t="s">
        <v>7582</v>
      </c>
      <c r="D3084" s="14">
        <v>6.4</v>
      </c>
      <c r="E3084" s="13" t="s">
        <v>7583</v>
      </c>
      <c r="F3084" s="13" t="s">
        <v>8865</v>
      </c>
      <c r="G3084" s="13" t="s">
        <v>2</v>
      </c>
      <c r="H3084" s="13" t="s">
        <v>3</v>
      </c>
      <c r="I3084" s="13" t="s">
        <v>447</v>
      </c>
      <c r="J3084" s="13" t="s">
        <v>8890</v>
      </c>
      <c r="K3084" s="13" t="s">
        <v>8421</v>
      </c>
      <c r="L3084" s="13" t="s">
        <v>8901</v>
      </c>
      <c r="M3084" t="s">
        <v>3</v>
      </c>
    </row>
    <row r="3085" spans="1:13" x14ac:dyDescent="0.25">
      <c r="A3085" s="13" t="s">
        <v>7584</v>
      </c>
      <c r="B3085" s="13" t="s">
        <v>7584</v>
      </c>
      <c r="C3085" s="13" t="s">
        <v>7585</v>
      </c>
      <c r="D3085" s="13">
        <v>7.5</v>
      </c>
      <c r="E3085" s="13" t="s">
        <v>7585</v>
      </c>
      <c r="F3085" s="13" t="s">
        <v>8865</v>
      </c>
      <c r="G3085" s="13" t="s">
        <v>2</v>
      </c>
      <c r="H3085" s="13" t="s">
        <v>3</v>
      </c>
      <c r="I3085" s="13" t="s">
        <v>447</v>
      </c>
      <c r="J3085" s="13" t="s">
        <v>8890</v>
      </c>
      <c r="K3085" s="13" t="s">
        <v>8421</v>
      </c>
      <c r="L3085" s="13" t="s">
        <v>8901</v>
      </c>
      <c r="M3085" t="s">
        <v>3</v>
      </c>
    </row>
    <row r="3086" spans="1:13" x14ac:dyDescent="0.25">
      <c r="A3086" s="13" t="s">
        <v>7586</v>
      </c>
      <c r="B3086" s="13" t="s">
        <v>7586</v>
      </c>
      <c r="C3086" s="13" t="s">
        <v>7587</v>
      </c>
      <c r="D3086" s="13">
        <v>31.3</v>
      </c>
      <c r="E3086" s="13" t="s">
        <v>7587</v>
      </c>
      <c r="F3086" s="13" t="s">
        <v>8865</v>
      </c>
      <c r="G3086" s="13" t="s">
        <v>2</v>
      </c>
      <c r="H3086" s="13" t="s">
        <v>3</v>
      </c>
      <c r="I3086" s="13" t="s">
        <v>447</v>
      </c>
      <c r="J3086" s="13" t="s">
        <v>8890</v>
      </c>
      <c r="K3086" s="13" t="s">
        <v>8421</v>
      </c>
      <c r="L3086" s="13" t="s">
        <v>8901</v>
      </c>
      <c r="M3086" t="s">
        <v>3</v>
      </c>
    </row>
    <row r="3087" spans="1:13" x14ac:dyDescent="0.25">
      <c r="A3087" s="13" t="s">
        <v>7588</v>
      </c>
      <c r="B3087" s="13" t="s">
        <v>7588</v>
      </c>
      <c r="C3087" s="13" t="s">
        <v>7589</v>
      </c>
      <c r="D3087" s="13">
        <v>7.3</v>
      </c>
      <c r="E3087" s="13" t="s">
        <v>7589</v>
      </c>
      <c r="F3087" s="13" t="s">
        <v>8865</v>
      </c>
      <c r="G3087" s="13" t="s">
        <v>2</v>
      </c>
      <c r="H3087" s="13" t="s">
        <v>3</v>
      </c>
      <c r="I3087" s="13" t="s">
        <v>447</v>
      </c>
      <c r="J3087" s="13" t="s">
        <v>8890</v>
      </c>
      <c r="K3087" s="13" t="s">
        <v>8421</v>
      </c>
      <c r="L3087" s="13" t="s">
        <v>8901</v>
      </c>
      <c r="M3087" t="s">
        <v>3</v>
      </c>
    </row>
    <row r="3088" spans="1:13" x14ac:dyDescent="0.25">
      <c r="A3088" s="13" t="s">
        <v>7590</v>
      </c>
      <c r="B3088" s="13" t="s">
        <v>7590</v>
      </c>
      <c r="C3088" s="13" t="s">
        <v>7591</v>
      </c>
      <c r="D3088" s="13">
        <v>22.3</v>
      </c>
      <c r="E3088" s="13" t="s">
        <v>7592</v>
      </c>
      <c r="F3088" s="13" t="s">
        <v>8861</v>
      </c>
      <c r="G3088" s="13" t="s">
        <v>2</v>
      </c>
      <c r="H3088" s="13" t="s">
        <v>3</v>
      </c>
      <c r="I3088" s="13" t="s">
        <v>447</v>
      </c>
      <c r="J3088" s="13" t="s">
        <v>8890</v>
      </c>
      <c r="K3088" s="13" t="s">
        <v>8421</v>
      </c>
      <c r="L3088" s="13" t="s">
        <v>8891</v>
      </c>
      <c r="M3088" t="s">
        <v>3</v>
      </c>
    </row>
    <row r="3089" spans="1:13" ht="26.25" x14ac:dyDescent="0.25">
      <c r="A3089" s="13" t="s">
        <v>7593</v>
      </c>
      <c r="B3089" s="13" t="s">
        <v>7593</v>
      </c>
      <c r="C3089" s="13" t="s">
        <v>9478</v>
      </c>
      <c r="D3089" s="13">
        <v>0.9</v>
      </c>
      <c r="E3089" s="13" t="s">
        <v>7594</v>
      </c>
      <c r="F3089" s="13" t="s">
        <v>8865</v>
      </c>
      <c r="G3089" s="13" t="s">
        <v>2</v>
      </c>
      <c r="H3089" s="13" t="s">
        <v>3</v>
      </c>
      <c r="I3089" s="13" t="s">
        <v>1562</v>
      </c>
      <c r="J3089" s="13" t="s">
        <v>8890</v>
      </c>
      <c r="K3089" s="13" t="s">
        <v>8423</v>
      </c>
      <c r="L3089" s="13" t="s">
        <v>8901</v>
      </c>
      <c r="M3089" t="s">
        <v>3</v>
      </c>
    </row>
    <row r="3090" spans="1:13" ht="26.25" x14ac:dyDescent="0.25">
      <c r="A3090" s="13" t="s">
        <v>7595</v>
      </c>
      <c r="B3090" s="13" t="s">
        <v>7595</v>
      </c>
      <c r="C3090" s="13" t="s">
        <v>7596</v>
      </c>
      <c r="D3090" s="13">
        <v>0</v>
      </c>
      <c r="E3090" s="13" t="s">
        <v>7597</v>
      </c>
      <c r="F3090" s="13" t="s">
        <v>8865</v>
      </c>
      <c r="G3090" s="13" t="s">
        <v>2</v>
      </c>
      <c r="H3090" s="13" t="s">
        <v>3</v>
      </c>
      <c r="I3090" s="13" t="s">
        <v>2280</v>
      </c>
      <c r="J3090" s="13" t="s">
        <v>8890</v>
      </c>
      <c r="K3090" s="13" t="s">
        <v>8596</v>
      </c>
      <c r="L3090" s="13" t="s">
        <v>8901</v>
      </c>
      <c r="M3090" t="s">
        <v>3</v>
      </c>
    </row>
    <row r="3091" spans="1:13" x14ac:dyDescent="0.25">
      <c r="A3091" s="13" t="s">
        <v>7598</v>
      </c>
      <c r="B3091" s="13" t="s">
        <v>7598</v>
      </c>
      <c r="C3091" s="13" t="s">
        <v>7598</v>
      </c>
      <c r="D3091" s="13">
        <v>6.8</v>
      </c>
      <c r="E3091" s="13" t="s">
        <v>7599</v>
      </c>
      <c r="F3091" s="13" t="s">
        <v>8865</v>
      </c>
      <c r="G3091" s="13" t="s">
        <v>2</v>
      </c>
      <c r="H3091" s="13" t="s">
        <v>3</v>
      </c>
      <c r="I3091" s="13" t="s">
        <v>429</v>
      </c>
      <c r="J3091" s="13" t="s">
        <v>8890</v>
      </c>
      <c r="K3091" s="13" t="s">
        <v>6051</v>
      </c>
      <c r="L3091" s="13" t="s">
        <v>8901</v>
      </c>
      <c r="M3091" t="s">
        <v>3</v>
      </c>
    </row>
    <row r="3092" spans="1:13" x14ac:dyDescent="0.25">
      <c r="A3092" s="13" t="s">
        <v>7600</v>
      </c>
      <c r="B3092" s="13" t="s">
        <v>7601</v>
      </c>
      <c r="C3092" s="13" t="s">
        <v>7602</v>
      </c>
      <c r="D3092" s="13">
        <v>0</v>
      </c>
      <c r="E3092" s="13" t="s">
        <v>7603</v>
      </c>
      <c r="F3092" s="13" t="s">
        <v>8861</v>
      </c>
      <c r="G3092" s="13" t="s">
        <v>2</v>
      </c>
      <c r="H3092" s="13" t="s">
        <v>3</v>
      </c>
      <c r="I3092" s="13" t="s">
        <v>1834</v>
      </c>
      <c r="J3092" s="13" t="s">
        <v>8890</v>
      </c>
      <c r="K3092" s="13" t="s">
        <v>3164</v>
      </c>
      <c r="L3092" s="13" t="s">
        <v>8891</v>
      </c>
      <c r="M3092" t="s">
        <v>3</v>
      </c>
    </row>
    <row r="3093" spans="1:13" x14ac:dyDescent="0.25">
      <c r="A3093" s="13" t="s">
        <v>7604</v>
      </c>
      <c r="B3093" s="13" t="s">
        <v>7604</v>
      </c>
      <c r="C3093" s="13" t="s">
        <v>7605</v>
      </c>
      <c r="D3093" s="13">
        <v>48.6</v>
      </c>
      <c r="E3093" s="13" t="s">
        <v>7605</v>
      </c>
      <c r="F3093" s="13" t="s">
        <v>8865</v>
      </c>
      <c r="G3093" s="13" t="s">
        <v>2</v>
      </c>
      <c r="H3093" s="13" t="s">
        <v>3</v>
      </c>
      <c r="I3093" s="13" t="s">
        <v>447</v>
      </c>
      <c r="J3093" s="13" t="s">
        <v>8890</v>
      </c>
      <c r="K3093" s="13" t="s">
        <v>8421</v>
      </c>
      <c r="L3093" s="13" t="s">
        <v>8901</v>
      </c>
      <c r="M3093" t="s">
        <v>3</v>
      </c>
    </row>
    <row r="3094" spans="1:13" ht="26.25" x14ac:dyDescent="0.25">
      <c r="A3094" s="13" t="s">
        <v>7606</v>
      </c>
      <c r="B3094" s="13" t="s">
        <v>7606</v>
      </c>
      <c r="C3094" s="13" t="s">
        <v>7607</v>
      </c>
      <c r="D3094" s="13">
        <v>0</v>
      </c>
      <c r="E3094" s="13" t="s">
        <v>7608</v>
      </c>
      <c r="F3094" s="13" t="s">
        <v>8865</v>
      </c>
      <c r="G3094" s="13" t="s">
        <v>2</v>
      </c>
      <c r="H3094" s="13" t="s">
        <v>3</v>
      </c>
      <c r="I3094" s="13" t="s">
        <v>2349</v>
      </c>
      <c r="J3094" s="13" t="s">
        <v>8890</v>
      </c>
      <c r="K3094" s="13" t="s">
        <v>8599</v>
      </c>
      <c r="L3094" s="13" t="s">
        <v>8901</v>
      </c>
      <c r="M3094" t="s">
        <v>3</v>
      </c>
    </row>
    <row r="3095" spans="1:13" ht="26.25" x14ac:dyDescent="0.25">
      <c r="A3095" s="13" t="s">
        <v>7609</v>
      </c>
      <c r="B3095" s="13" t="s">
        <v>7609</v>
      </c>
      <c r="C3095" s="13" t="s">
        <v>9479</v>
      </c>
      <c r="D3095" s="13">
        <v>3.6</v>
      </c>
      <c r="E3095" s="13" t="s">
        <v>7610</v>
      </c>
      <c r="F3095" s="13" t="s">
        <v>8865</v>
      </c>
      <c r="G3095" s="13" t="s">
        <v>2</v>
      </c>
      <c r="H3095" s="13" t="s">
        <v>3</v>
      </c>
      <c r="I3095" s="13" t="s">
        <v>2356</v>
      </c>
      <c r="J3095" s="13" t="s">
        <v>8890</v>
      </c>
      <c r="K3095" s="13" t="s">
        <v>8429</v>
      </c>
      <c r="L3095" s="13" t="s">
        <v>8901</v>
      </c>
      <c r="M3095" t="s">
        <v>3</v>
      </c>
    </row>
    <row r="3096" spans="1:13" x14ac:dyDescent="0.25">
      <c r="A3096" s="13" t="s">
        <v>7611</v>
      </c>
      <c r="B3096" s="13" t="s">
        <v>7611</v>
      </c>
      <c r="C3096" s="13" t="s">
        <v>7612</v>
      </c>
      <c r="D3096" s="13">
        <v>13.1</v>
      </c>
      <c r="E3096" s="13" t="s">
        <v>7613</v>
      </c>
      <c r="F3096" s="13" t="s">
        <v>8861</v>
      </c>
      <c r="G3096" s="13" t="s">
        <v>2</v>
      </c>
      <c r="H3096" s="13" t="s">
        <v>3</v>
      </c>
      <c r="I3096" s="13" t="s">
        <v>137</v>
      </c>
      <c r="J3096" s="13" t="s">
        <v>8890</v>
      </c>
      <c r="K3096" s="13" t="s">
        <v>8429</v>
      </c>
      <c r="L3096" s="13" t="s">
        <v>8891</v>
      </c>
      <c r="M3096" t="s">
        <v>3</v>
      </c>
    </row>
    <row r="3097" spans="1:13" ht="26.25" x14ac:dyDescent="0.25">
      <c r="A3097" s="13" t="s">
        <v>7614</v>
      </c>
      <c r="B3097" s="13" t="s">
        <v>7614</v>
      </c>
      <c r="C3097" s="13" t="s">
        <v>7615</v>
      </c>
      <c r="D3097" s="13">
        <v>4.4000000000000004</v>
      </c>
      <c r="E3097" s="13" t="s">
        <v>7616</v>
      </c>
      <c r="F3097" s="13" t="s">
        <v>8861</v>
      </c>
      <c r="G3097" s="13" t="s">
        <v>2</v>
      </c>
      <c r="H3097" s="13" t="s">
        <v>3</v>
      </c>
      <c r="I3097" s="13" t="s">
        <v>706</v>
      </c>
      <c r="J3097" s="13" t="s">
        <v>8890</v>
      </c>
      <c r="K3097" s="13" t="s">
        <v>8419</v>
      </c>
      <c r="L3097" s="13" t="s">
        <v>8891</v>
      </c>
      <c r="M3097" t="s">
        <v>3</v>
      </c>
    </row>
    <row r="3098" spans="1:13" x14ac:dyDescent="0.25">
      <c r="A3098" s="13" t="s">
        <v>7617</v>
      </c>
      <c r="B3098" s="13" t="s">
        <v>7617</v>
      </c>
      <c r="C3098" s="13" t="s">
        <v>7617</v>
      </c>
      <c r="D3098" s="13">
        <v>8.3000000000000007</v>
      </c>
      <c r="E3098" s="13" t="s">
        <v>7618</v>
      </c>
      <c r="F3098" s="13" t="s">
        <v>8861</v>
      </c>
      <c r="G3098" s="13" t="s">
        <v>2</v>
      </c>
      <c r="H3098" s="13" t="s">
        <v>3</v>
      </c>
      <c r="I3098" s="13" t="s">
        <v>7619</v>
      </c>
      <c r="J3098" s="13" t="s">
        <v>8890</v>
      </c>
      <c r="K3098" s="13" t="s">
        <v>8828</v>
      </c>
      <c r="L3098" s="13" t="s">
        <v>8891</v>
      </c>
      <c r="M3098" t="s">
        <v>3</v>
      </c>
    </row>
    <row r="3099" spans="1:13" ht="26.25" x14ac:dyDescent="0.25">
      <c r="A3099" s="13" t="s">
        <v>7620</v>
      </c>
      <c r="B3099" s="13" t="s">
        <v>7620</v>
      </c>
      <c r="C3099" s="13" t="s">
        <v>9480</v>
      </c>
      <c r="D3099" s="13">
        <v>7.3</v>
      </c>
      <c r="E3099" s="13" t="s">
        <v>7621</v>
      </c>
      <c r="F3099" s="13" t="s">
        <v>8865</v>
      </c>
      <c r="G3099" s="13" t="s">
        <v>2</v>
      </c>
      <c r="H3099" s="13" t="s">
        <v>3</v>
      </c>
      <c r="I3099" s="13" t="s">
        <v>4</v>
      </c>
      <c r="J3099" s="13" t="s">
        <v>8890</v>
      </c>
      <c r="K3099" s="13" t="s">
        <v>8424</v>
      </c>
      <c r="L3099" s="13" t="s">
        <v>8901</v>
      </c>
      <c r="M3099" t="s">
        <v>3</v>
      </c>
    </row>
    <row r="3100" spans="1:13" x14ac:dyDescent="0.25">
      <c r="A3100" s="13" t="s">
        <v>7622</v>
      </c>
      <c r="B3100" s="13" t="s">
        <v>7622</v>
      </c>
      <c r="C3100" s="13" t="s">
        <v>7623</v>
      </c>
      <c r="D3100" s="13">
        <v>0.5</v>
      </c>
      <c r="E3100" s="13" t="s">
        <v>7624</v>
      </c>
      <c r="F3100" s="13" t="s">
        <v>8865</v>
      </c>
      <c r="G3100" s="13" t="s">
        <v>2</v>
      </c>
      <c r="H3100" s="13" t="s">
        <v>3</v>
      </c>
      <c r="I3100" s="13" t="s">
        <v>706</v>
      </c>
      <c r="J3100" s="13" t="s">
        <v>8890</v>
      </c>
      <c r="K3100" s="13" t="s">
        <v>8419</v>
      </c>
      <c r="L3100" s="13" t="s">
        <v>8901</v>
      </c>
      <c r="M3100" t="s">
        <v>3</v>
      </c>
    </row>
    <row r="3101" spans="1:13" x14ac:dyDescent="0.25">
      <c r="A3101" s="13" t="s">
        <v>7625</v>
      </c>
      <c r="B3101" s="13" t="s">
        <v>7625</v>
      </c>
      <c r="C3101" s="13" t="s">
        <v>7626</v>
      </c>
      <c r="D3101" s="13">
        <v>8.8000000000000007</v>
      </c>
      <c r="E3101" s="13" t="s">
        <v>7626</v>
      </c>
      <c r="F3101" s="13" t="s">
        <v>8865</v>
      </c>
      <c r="G3101" s="13" t="s">
        <v>2</v>
      </c>
      <c r="H3101" s="13" t="s">
        <v>3</v>
      </c>
      <c r="I3101" s="13" t="s">
        <v>447</v>
      </c>
      <c r="J3101" s="13" t="s">
        <v>8890</v>
      </c>
      <c r="K3101" s="13" t="s">
        <v>8421</v>
      </c>
      <c r="L3101" s="13" t="s">
        <v>8901</v>
      </c>
      <c r="M3101" t="s">
        <v>3</v>
      </c>
    </row>
    <row r="3102" spans="1:13" x14ac:dyDescent="0.25">
      <c r="A3102" s="13" t="s">
        <v>7627</v>
      </c>
      <c r="B3102" s="13" t="s">
        <v>7627</v>
      </c>
      <c r="C3102" s="13" t="s">
        <v>7628</v>
      </c>
      <c r="D3102" s="13">
        <v>9.9</v>
      </c>
      <c r="E3102" s="13" t="s">
        <v>7628</v>
      </c>
      <c r="F3102" s="13" t="s">
        <v>8865</v>
      </c>
      <c r="G3102" s="13" t="s">
        <v>2</v>
      </c>
      <c r="H3102" s="13" t="s">
        <v>3</v>
      </c>
      <c r="I3102" s="13" t="s">
        <v>447</v>
      </c>
      <c r="J3102" s="13" t="s">
        <v>8890</v>
      </c>
      <c r="K3102" s="13" t="s">
        <v>8421</v>
      </c>
      <c r="L3102" s="13" t="s">
        <v>8901</v>
      </c>
      <c r="M3102" t="s">
        <v>3</v>
      </c>
    </row>
    <row r="3103" spans="1:13" x14ac:dyDescent="0.25">
      <c r="A3103" s="13" t="s">
        <v>7629</v>
      </c>
      <c r="B3103" s="13" t="s">
        <v>7629</v>
      </c>
      <c r="C3103" s="13" t="s">
        <v>7630</v>
      </c>
      <c r="D3103" s="13">
        <v>34.9</v>
      </c>
      <c r="E3103" s="13" t="s">
        <v>7630</v>
      </c>
      <c r="F3103" s="13" t="s">
        <v>8865</v>
      </c>
      <c r="G3103" s="13" t="s">
        <v>2</v>
      </c>
      <c r="H3103" s="13" t="s">
        <v>11531</v>
      </c>
      <c r="I3103" s="13" t="s">
        <v>447</v>
      </c>
      <c r="J3103" s="13" t="s">
        <v>8890</v>
      </c>
      <c r="K3103" s="13" t="s">
        <v>8421</v>
      </c>
      <c r="L3103" s="13" t="s">
        <v>8901</v>
      </c>
      <c r="M3103" t="s">
        <v>11531</v>
      </c>
    </row>
    <row r="3104" spans="1:13" ht="26.25" x14ac:dyDescent="0.25">
      <c r="A3104" s="13" t="s">
        <v>7631</v>
      </c>
      <c r="B3104" s="13" t="s">
        <v>7631</v>
      </c>
      <c r="C3104" s="13" t="s">
        <v>7632</v>
      </c>
      <c r="D3104" s="13">
        <v>2</v>
      </c>
      <c r="E3104" s="13" t="s">
        <v>7633</v>
      </c>
      <c r="F3104" s="13" t="s">
        <v>8865</v>
      </c>
      <c r="G3104" s="13" t="s">
        <v>2</v>
      </c>
      <c r="H3104" s="13" t="s">
        <v>3</v>
      </c>
      <c r="I3104" s="13" t="s">
        <v>809</v>
      </c>
      <c r="J3104" s="13" t="s">
        <v>8890</v>
      </c>
      <c r="K3104" s="13" t="s">
        <v>8512</v>
      </c>
      <c r="L3104" s="13" t="s">
        <v>8901</v>
      </c>
      <c r="M3104" t="s">
        <v>3</v>
      </c>
    </row>
    <row r="3105" spans="1:13" ht="26.25" x14ac:dyDescent="0.25">
      <c r="A3105" s="13" t="s">
        <v>7634</v>
      </c>
      <c r="B3105" s="13" t="s">
        <v>7635</v>
      </c>
      <c r="C3105" s="13" t="s">
        <v>7636</v>
      </c>
      <c r="D3105" s="13">
        <v>11136</v>
      </c>
      <c r="E3105" s="13" t="s">
        <v>7637</v>
      </c>
      <c r="F3105" s="13" t="s">
        <v>35</v>
      </c>
      <c r="G3105" s="13" t="s">
        <v>19</v>
      </c>
      <c r="H3105" s="13" t="s">
        <v>3</v>
      </c>
      <c r="I3105" s="13" t="s">
        <v>7638</v>
      </c>
      <c r="J3105" s="13" t="s">
        <v>37</v>
      </c>
      <c r="K3105" s="13" t="s">
        <v>8829</v>
      </c>
      <c r="L3105" s="13" t="s">
        <v>35</v>
      </c>
      <c r="M3105" t="s">
        <v>3</v>
      </c>
    </row>
    <row r="3106" spans="1:13" x14ac:dyDescent="0.25">
      <c r="A3106" s="13" t="s">
        <v>7639</v>
      </c>
      <c r="B3106" s="13" t="s">
        <v>7639</v>
      </c>
      <c r="C3106" s="13" t="s">
        <v>7639</v>
      </c>
      <c r="D3106" s="13">
        <v>0.9</v>
      </c>
      <c r="E3106" s="13" t="s">
        <v>7640</v>
      </c>
      <c r="F3106" s="13" t="s">
        <v>8863</v>
      </c>
      <c r="G3106" s="13" t="s">
        <v>2</v>
      </c>
      <c r="H3106" s="13" t="s">
        <v>3</v>
      </c>
      <c r="I3106" s="13" t="s">
        <v>809</v>
      </c>
      <c r="J3106" s="13" t="s">
        <v>8890</v>
      </c>
      <c r="K3106" s="13" t="s">
        <v>8512</v>
      </c>
      <c r="L3106" s="13" t="s">
        <v>8893</v>
      </c>
      <c r="M3106" t="s">
        <v>3</v>
      </c>
    </row>
    <row r="3107" spans="1:13" x14ac:dyDescent="0.25">
      <c r="A3107" s="13" t="s">
        <v>7641</v>
      </c>
      <c r="B3107" s="13" t="s">
        <v>7641</v>
      </c>
      <c r="C3107" s="13" t="s">
        <v>7641</v>
      </c>
      <c r="D3107" s="13">
        <v>2.2000000000000002</v>
      </c>
      <c r="E3107" s="13" t="s">
        <v>7642</v>
      </c>
      <c r="F3107" s="13" t="s">
        <v>8863</v>
      </c>
      <c r="G3107" s="13" t="s">
        <v>2</v>
      </c>
      <c r="H3107" s="13" t="s">
        <v>3</v>
      </c>
      <c r="I3107" s="13" t="s">
        <v>809</v>
      </c>
      <c r="J3107" s="13" t="s">
        <v>8890</v>
      </c>
      <c r="K3107" s="13" t="s">
        <v>8512</v>
      </c>
      <c r="L3107" s="13" t="s">
        <v>8893</v>
      </c>
      <c r="M3107" t="s">
        <v>3</v>
      </c>
    </row>
    <row r="3108" spans="1:13" ht="26.25" x14ac:dyDescent="0.25">
      <c r="A3108" s="13" t="s">
        <v>7643</v>
      </c>
      <c r="B3108" s="13" t="s">
        <v>7643</v>
      </c>
      <c r="C3108" s="13" t="s">
        <v>7643</v>
      </c>
      <c r="D3108" s="13">
        <v>3.6</v>
      </c>
      <c r="E3108" s="13" t="s">
        <v>7644</v>
      </c>
      <c r="F3108" s="13" t="s">
        <v>8865</v>
      </c>
      <c r="G3108" s="13" t="s">
        <v>2</v>
      </c>
      <c r="H3108" s="13" t="s">
        <v>3</v>
      </c>
      <c r="I3108" s="13" t="s">
        <v>429</v>
      </c>
      <c r="J3108" s="13" t="s">
        <v>8890</v>
      </c>
      <c r="K3108" s="13" t="s">
        <v>6051</v>
      </c>
      <c r="L3108" s="13" t="s">
        <v>8901</v>
      </c>
      <c r="M3108" t="s">
        <v>3</v>
      </c>
    </row>
    <row r="3109" spans="1:13" x14ac:dyDescent="0.25">
      <c r="A3109" s="13" t="s">
        <v>7645</v>
      </c>
      <c r="B3109" s="13" t="s">
        <v>7645</v>
      </c>
      <c r="C3109" s="13" t="s">
        <v>7646</v>
      </c>
      <c r="D3109" s="13">
        <v>4.7</v>
      </c>
      <c r="E3109" s="13" t="s">
        <v>7647</v>
      </c>
      <c r="F3109" s="13" t="s">
        <v>8861</v>
      </c>
      <c r="G3109" s="13" t="s">
        <v>2</v>
      </c>
      <c r="H3109" s="13" t="s">
        <v>3</v>
      </c>
      <c r="I3109" s="13" t="s">
        <v>706</v>
      </c>
      <c r="J3109" s="13" t="s">
        <v>8890</v>
      </c>
      <c r="K3109" s="13" t="s">
        <v>8419</v>
      </c>
      <c r="L3109" s="13" t="s">
        <v>8891</v>
      </c>
      <c r="M3109" t="s">
        <v>3</v>
      </c>
    </row>
    <row r="3110" spans="1:13" ht="26.25" x14ac:dyDescent="0.25">
      <c r="A3110" s="13" t="s">
        <v>7648</v>
      </c>
      <c r="B3110" s="13" t="s">
        <v>7648</v>
      </c>
      <c r="C3110" s="13" t="s">
        <v>7649</v>
      </c>
      <c r="D3110" s="13">
        <v>40.799999999999997</v>
      </c>
      <c r="E3110" s="13" t="s">
        <v>7650</v>
      </c>
      <c r="F3110" s="13" t="s">
        <v>8865</v>
      </c>
      <c r="G3110" s="13" t="s">
        <v>2</v>
      </c>
      <c r="H3110" s="13" t="s">
        <v>3</v>
      </c>
      <c r="I3110" s="13" t="s">
        <v>813</v>
      </c>
      <c r="J3110" s="13" t="s">
        <v>8890</v>
      </c>
      <c r="K3110" s="13" t="s">
        <v>8443</v>
      </c>
      <c r="L3110" s="13" t="s">
        <v>8901</v>
      </c>
      <c r="M3110" t="s">
        <v>3</v>
      </c>
    </row>
    <row r="3111" spans="1:13" ht="26.25" x14ac:dyDescent="0.25">
      <c r="A3111" s="13" t="s">
        <v>11423</v>
      </c>
      <c r="B3111" s="13" t="s">
        <v>11424</v>
      </c>
      <c r="C3111" s="13" t="s">
        <v>11425</v>
      </c>
      <c r="D3111" s="13">
        <v>0.6</v>
      </c>
      <c r="E3111" s="13" t="s">
        <v>11426</v>
      </c>
      <c r="F3111" s="13" t="s">
        <v>8860</v>
      </c>
      <c r="G3111" s="13" t="s">
        <v>19</v>
      </c>
      <c r="H3111" s="13" t="s">
        <v>3</v>
      </c>
      <c r="I3111" s="13" t="s">
        <v>11427</v>
      </c>
      <c r="J3111" s="13" t="s">
        <v>21</v>
      </c>
      <c r="K3111" s="13" t="s">
        <v>11425</v>
      </c>
      <c r="L3111" s="13" t="s">
        <v>18</v>
      </c>
      <c r="M3111" t="s">
        <v>3</v>
      </c>
    </row>
    <row r="3112" spans="1:13" ht="26.25" x14ac:dyDescent="0.25">
      <c r="A3112" s="13" t="s">
        <v>11127</v>
      </c>
      <c r="B3112" s="13" t="s">
        <v>11127</v>
      </c>
      <c r="C3112" s="13" t="s">
        <v>11127</v>
      </c>
      <c r="D3112" s="13">
        <v>9999</v>
      </c>
      <c r="E3112" s="13" t="s">
        <v>11128</v>
      </c>
      <c r="F3112" s="13" t="s">
        <v>855</v>
      </c>
      <c r="G3112" s="13" t="s">
        <v>19</v>
      </c>
      <c r="H3112" s="13" t="s">
        <v>3</v>
      </c>
      <c r="I3112" s="13" t="s">
        <v>10079</v>
      </c>
      <c r="J3112" s="13" t="s">
        <v>856</v>
      </c>
      <c r="K3112" s="13" t="s">
        <v>10082</v>
      </c>
      <c r="L3112" s="13" t="s">
        <v>855</v>
      </c>
      <c r="M3112" t="s">
        <v>3</v>
      </c>
    </row>
    <row r="3113" spans="1:13" x14ac:dyDescent="0.25">
      <c r="A3113" s="13" t="s">
        <v>11129</v>
      </c>
      <c r="B3113" s="13" t="s">
        <v>11129</v>
      </c>
      <c r="C3113" s="13" t="s">
        <v>11129</v>
      </c>
      <c r="D3113" s="13">
        <v>9999</v>
      </c>
      <c r="E3113" s="13" t="s">
        <v>11130</v>
      </c>
      <c r="F3113" s="13" t="s">
        <v>855</v>
      </c>
      <c r="G3113" s="13" t="s">
        <v>2</v>
      </c>
      <c r="H3113" s="13" t="s">
        <v>3</v>
      </c>
      <c r="I3113" s="13" t="s">
        <v>10079</v>
      </c>
      <c r="J3113" s="13" t="s">
        <v>856</v>
      </c>
      <c r="K3113" s="13" t="s">
        <v>10082</v>
      </c>
      <c r="L3113" s="13" t="s">
        <v>855</v>
      </c>
      <c r="M3113" t="s">
        <v>3</v>
      </c>
    </row>
    <row r="3114" spans="1:13" x14ac:dyDescent="0.25">
      <c r="A3114" s="13" t="s">
        <v>7651</v>
      </c>
      <c r="B3114" s="13" t="s">
        <v>7652</v>
      </c>
      <c r="C3114" s="13" t="s">
        <v>7653</v>
      </c>
      <c r="D3114" s="13">
        <v>1003.4</v>
      </c>
      <c r="E3114" s="13" t="s">
        <v>7654</v>
      </c>
      <c r="F3114" s="13" t="s">
        <v>262</v>
      </c>
      <c r="G3114" s="13" t="s">
        <v>2</v>
      </c>
      <c r="H3114" s="13" t="s">
        <v>3</v>
      </c>
      <c r="I3114" s="13" t="s">
        <v>263</v>
      </c>
      <c r="J3114" s="13" t="s">
        <v>8890</v>
      </c>
      <c r="K3114" s="13" t="s">
        <v>8429</v>
      </c>
      <c r="L3114" s="13" t="s">
        <v>262</v>
      </c>
      <c r="M3114" t="s">
        <v>3</v>
      </c>
    </row>
    <row r="3115" spans="1:13" x14ac:dyDescent="0.25">
      <c r="A3115" s="13" t="s">
        <v>7655</v>
      </c>
      <c r="B3115" s="13" t="s">
        <v>7655</v>
      </c>
      <c r="C3115" s="13" t="s">
        <v>7656</v>
      </c>
      <c r="D3115" s="13">
        <v>14.6</v>
      </c>
      <c r="E3115" s="13" t="s">
        <v>7656</v>
      </c>
      <c r="F3115" s="13" t="s">
        <v>8865</v>
      </c>
      <c r="G3115" s="13" t="s">
        <v>2</v>
      </c>
      <c r="H3115" s="13" t="s">
        <v>3</v>
      </c>
      <c r="I3115" s="13" t="s">
        <v>447</v>
      </c>
      <c r="J3115" s="13" t="s">
        <v>8890</v>
      </c>
      <c r="K3115" s="13" t="s">
        <v>8421</v>
      </c>
      <c r="L3115" s="13" t="s">
        <v>8901</v>
      </c>
      <c r="M3115" t="s">
        <v>3</v>
      </c>
    </row>
    <row r="3116" spans="1:13" x14ac:dyDescent="0.25">
      <c r="A3116" s="13" t="s">
        <v>7657</v>
      </c>
      <c r="B3116" s="13" t="s">
        <v>7657</v>
      </c>
      <c r="C3116" s="13" t="s">
        <v>7658</v>
      </c>
      <c r="D3116" s="13">
        <v>4</v>
      </c>
      <c r="E3116" s="13" t="s">
        <v>7659</v>
      </c>
      <c r="F3116" s="13" t="s">
        <v>8865</v>
      </c>
      <c r="G3116" s="13" t="s">
        <v>2</v>
      </c>
      <c r="H3116" s="13" t="s">
        <v>3</v>
      </c>
      <c r="I3116" s="13" t="s">
        <v>447</v>
      </c>
      <c r="J3116" s="13" t="s">
        <v>8890</v>
      </c>
      <c r="K3116" s="13" t="s">
        <v>8421</v>
      </c>
      <c r="L3116" s="13" t="s">
        <v>8901</v>
      </c>
      <c r="M3116" t="s">
        <v>3</v>
      </c>
    </row>
    <row r="3117" spans="1:13" x14ac:dyDescent="0.25">
      <c r="A3117" s="13" t="s">
        <v>7660</v>
      </c>
      <c r="B3117" s="13" t="s">
        <v>7660</v>
      </c>
      <c r="C3117" s="13" t="s">
        <v>7661</v>
      </c>
      <c r="D3117" s="13">
        <v>6.8</v>
      </c>
      <c r="E3117" s="13" t="s">
        <v>7661</v>
      </c>
      <c r="F3117" s="13" t="s">
        <v>8865</v>
      </c>
      <c r="G3117" s="13" t="s">
        <v>2</v>
      </c>
      <c r="H3117" s="13" t="s">
        <v>3</v>
      </c>
      <c r="I3117" s="13" t="s">
        <v>447</v>
      </c>
      <c r="J3117" s="13" t="s">
        <v>8890</v>
      </c>
      <c r="K3117" s="13" t="s">
        <v>8421</v>
      </c>
      <c r="L3117" s="13" t="s">
        <v>8901</v>
      </c>
      <c r="M3117" t="s">
        <v>3</v>
      </c>
    </row>
    <row r="3118" spans="1:13" x14ac:dyDescent="0.25">
      <c r="A3118" s="13" t="s">
        <v>7662</v>
      </c>
      <c r="B3118" s="13" t="s">
        <v>7662</v>
      </c>
      <c r="C3118" s="13" t="s">
        <v>7663</v>
      </c>
      <c r="D3118" s="13">
        <v>6.8</v>
      </c>
      <c r="E3118" s="13" t="s">
        <v>7663</v>
      </c>
      <c r="F3118" s="13" t="s">
        <v>8865</v>
      </c>
      <c r="G3118" s="13" t="s">
        <v>2</v>
      </c>
      <c r="H3118" s="13" t="s">
        <v>3</v>
      </c>
      <c r="I3118" s="13" t="s">
        <v>447</v>
      </c>
      <c r="J3118" s="13" t="s">
        <v>8890</v>
      </c>
      <c r="K3118" s="13" t="s">
        <v>8421</v>
      </c>
      <c r="L3118" s="13" t="s">
        <v>8901</v>
      </c>
      <c r="M3118" t="s">
        <v>3</v>
      </c>
    </row>
    <row r="3119" spans="1:13" x14ac:dyDescent="0.25">
      <c r="A3119" s="13" t="s">
        <v>7664</v>
      </c>
      <c r="B3119" s="13" t="s">
        <v>7665</v>
      </c>
      <c r="C3119" s="13" t="s">
        <v>7666</v>
      </c>
      <c r="D3119" s="13">
        <v>39.9</v>
      </c>
      <c r="E3119" s="13" t="s">
        <v>7667</v>
      </c>
      <c r="F3119" s="13" t="s">
        <v>8865</v>
      </c>
      <c r="G3119" s="13" t="s">
        <v>2</v>
      </c>
      <c r="H3119" s="13" t="s">
        <v>3</v>
      </c>
      <c r="I3119" s="13" t="s">
        <v>813</v>
      </c>
      <c r="J3119" s="13" t="s">
        <v>8890</v>
      </c>
      <c r="K3119" s="13" t="s">
        <v>8443</v>
      </c>
      <c r="L3119" s="13" t="s">
        <v>8901</v>
      </c>
      <c r="M3119" t="s">
        <v>3</v>
      </c>
    </row>
    <row r="3120" spans="1:13" x14ac:dyDescent="0.25">
      <c r="A3120" s="13" t="s">
        <v>7668</v>
      </c>
      <c r="B3120" s="13" t="s">
        <v>7668</v>
      </c>
      <c r="C3120" s="13" t="s">
        <v>7669</v>
      </c>
      <c r="D3120" s="13">
        <v>7.1</v>
      </c>
      <c r="E3120" s="13" t="s">
        <v>7670</v>
      </c>
      <c r="F3120" s="13" t="s">
        <v>8861</v>
      </c>
      <c r="G3120" s="13" t="s">
        <v>2</v>
      </c>
      <c r="H3120" s="13" t="s">
        <v>3</v>
      </c>
      <c r="I3120" s="13" t="s">
        <v>706</v>
      </c>
      <c r="J3120" s="13" t="s">
        <v>8890</v>
      </c>
      <c r="K3120" s="13" t="s">
        <v>8419</v>
      </c>
      <c r="L3120" s="13" t="s">
        <v>8891</v>
      </c>
      <c r="M3120" t="s">
        <v>3</v>
      </c>
    </row>
    <row r="3121" spans="1:13" x14ac:dyDescent="0.25">
      <c r="A3121" s="13" t="s">
        <v>7671</v>
      </c>
      <c r="B3121" s="13" t="s">
        <v>7671</v>
      </c>
      <c r="C3121" s="13" t="s">
        <v>7672</v>
      </c>
      <c r="D3121" s="13">
        <v>4.4000000000000004</v>
      </c>
      <c r="E3121" s="13" t="s">
        <v>7673</v>
      </c>
      <c r="F3121" s="13" t="s">
        <v>8865</v>
      </c>
      <c r="G3121" s="13" t="s">
        <v>2</v>
      </c>
      <c r="H3121" s="13" t="s">
        <v>3</v>
      </c>
      <c r="I3121" s="13" t="s">
        <v>1263</v>
      </c>
      <c r="J3121" s="13" t="s">
        <v>8890</v>
      </c>
      <c r="K3121" s="13" t="s">
        <v>8422</v>
      </c>
      <c r="L3121" s="13" t="s">
        <v>8901</v>
      </c>
      <c r="M3121" t="s">
        <v>3</v>
      </c>
    </row>
    <row r="3122" spans="1:13" ht="26.25" x14ac:dyDescent="0.25">
      <c r="A3122" s="13" t="s">
        <v>7674</v>
      </c>
      <c r="B3122" s="13" t="s">
        <v>7674</v>
      </c>
      <c r="C3122" s="13" t="s">
        <v>7675</v>
      </c>
      <c r="D3122" s="13">
        <v>4.5</v>
      </c>
      <c r="E3122" s="13" t="s">
        <v>7676</v>
      </c>
      <c r="F3122" s="13" t="s">
        <v>8865</v>
      </c>
      <c r="G3122" s="13" t="s">
        <v>2</v>
      </c>
      <c r="H3122" s="13" t="s">
        <v>3</v>
      </c>
      <c r="I3122" s="13" t="s">
        <v>1263</v>
      </c>
      <c r="J3122" s="13" t="s">
        <v>8890</v>
      </c>
      <c r="K3122" s="13" t="s">
        <v>8422</v>
      </c>
      <c r="L3122" s="13" t="s">
        <v>8901</v>
      </c>
      <c r="M3122" t="s">
        <v>3</v>
      </c>
    </row>
    <row r="3123" spans="1:13" x14ac:dyDescent="0.25">
      <c r="A3123" s="13" t="s">
        <v>7677</v>
      </c>
      <c r="B3123" s="13" t="s">
        <v>7677</v>
      </c>
      <c r="C3123" s="13" t="s">
        <v>7678</v>
      </c>
      <c r="D3123" s="13">
        <v>12.8</v>
      </c>
      <c r="E3123" s="13" t="s">
        <v>7678</v>
      </c>
      <c r="F3123" s="13" t="s">
        <v>8865</v>
      </c>
      <c r="G3123" s="13" t="s">
        <v>2</v>
      </c>
      <c r="H3123" s="13" t="s">
        <v>8420</v>
      </c>
      <c r="I3123" s="13" t="s">
        <v>6078</v>
      </c>
      <c r="J3123" s="13" t="s">
        <v>8890</v>
      </c>
      <c r="K3123" s="13" t="s">
        <v>8420</v>
      </c>
      <c r="L3123" s="13" t="s">
        <v>8901</v>
      </c>
      <c r="M3123" t="s">
        <v>10704</v>
      </c>
    </row>
    <row r="3124" spans="1:13" x14ac:dyDescent="0.25">
      <c r="A3124" s="13" t="s">
        <v>7679</v>
      </c>
      <c r="B3124" s="13" t="s">
        <v>7679</v>
      </c>
      <c r="C3124" s="13" t="s">
        <v>7680</v>
      </c>
      <c r="D3124" s="13">
        <v>15</v>
      </c>
      <c r="E3124" s="13" t="s">
        <v>7681</v>
      </c>
      <c r="F3124" s="13" t="s">
        <v>8865</v>
      </c>
      <c r="G3124" s="13" t="s">
        <v>2</v>
      </c>
      <c r="H3124" s="13" t="s">
        <v>8422</v>
      </c>
      <c r="I3124" s="13" t="s">
        <v>1263</v>
      </c>
      <c r="J3124" s="13" t="s">
        <v>8890</v>
      </c>
      <c r="K3124" s="13" t="s">
        <v>8422</v>
      </c>
      <c r="L3124" s="13" t="s">
        <v>8901</v>
      </c>
      <c r="M3124" t="s">
        <v>10689</v>
      </c>
    </row>
    <row r="3125" spans="1:13" x14ac:dyDescent="0.25">
      <c r="A3125" s="13" t="s">
        <v>7682</v>
      </c>
      <c r="B3125" s="13" t="s">
        <v>7683</v>
      </c>
      <c r="C3125" s="13" t="s">
        <v>7683</v>
      </c>
      <c r="D3125" s="13">
        <v>22.8</v>
      </c>
      <c r="E3125" s="13" t="s">
        <v>7684</v>
      </c>
      <c r="F3125" s="13" t="s">
        <v>8865</v>
      </c>
      <c r="G3125" s="13" t="s">
        <v>2</v>
      </c>
      <c r="H3125" s="13" t="s">
        <v>3</v>
      </c>
      <c r="I3125" s="13" t="s">
        <v>832</v>
      </c>
      <c r="J3125" s="13" t="s">
        <v>8890</v>
      </c>
      <c r="K3125" s="13" t="s">
        <v>8515</v>
      </c>
      <c r="L3125" s="13" t="s">
        <v>8901</v>
      </c>
      <c r="M3125" t="s">
        <v>3</v>
      </c>
    </row>
    <row r="3126" spans="1:13" ht="26.25" x14ac:dyDescent="0.25">
      <c r="A3126" s="13" t="s">
        <v>7685</v>
      </c>
      <c r="B3126" s="13" t="s">
        <v>7686</v>
      </c>
      <c r="C3126" s="13" t="s">
        <v>7687</v>
      </c>
      <c r="D3126" s="13">
        <v>5.2</v>
      </c>
      <c r="E3126" s="13" t="s">
        <v>7688</v>
      </c>
      <c r="F3126" s="13" t="s">
        <v>8865</v>
      </c>
      <c r="G3126" s="13" t="s">
        <v>2</v>
      </c>
      <c r="H3126" s="13" t="s">
        <v>3</v>
      </c>
      <c r="I3126" s="13" t="s">
        <v>4</v>
      </c>
      <c r="J3126" s="13" t="s">
        <v>8890</v>
      </c>
      <c r="K3126" s="13" t="s">
        <v>8424</v>
      </c>
      <c r="L3126" s="13" t="s">
        <v>8901</v>
      </c>
      <c r="M3126" t="s">
        <v>3</v>
      </c>
    </row>
    <row r="3127" spans="1:13" x14ac:dyDescent="0.25">
      <c r="A3127" s="13" t="s">
        <v>7689</v>
      </c>
      <c r="B3127" s="13" t="s">
        <v>7689</v>
      </c>
      <c r="C3127" s="13" t="s">
        <v>7690</v>
      </c>
      <c r="D3127" s="13">
        <v>14.2</v>
      </c>
      <c r="E3127" s="13" t="s">
        <v>7690</v>
      </c>
      <c r="F3127" s="13" t="s">
        <v>8865</v>
      </c>
      <c r="G3127" s="13" t="s">
        <v>2</v>
      </c>
      <c r="H3127" s="13" t="s">
        <v>3</v>
      </c>
      <c r="I3127" s="13" t="s">
        <v>447</v>
      </c>
      <c r="J3127" s="13" t="s">
        <v>8890</v>
      </c>
      <c r="K3127" s="13" t="s">
        <v>8421</v>
      </c>
      <c r="L3127" s="13" t="s">
        <v>8901</v>
      </c>
      <c r="M3127" t="s">
        <v>3</v>
      </c>
    </row>
    <row r="3128" spans="1:13" x14ac:dyDescent="0.25">
      <c r="A3128" s="13" t="s">
        <v>7691</v>
      </c>
      <c r="B3128" s="13" t="s">
        <v>7691</v>
      </c>
      <c r="C3128" s="13" t="s">
        <v>7691</v>
      </c>
      <c r="D3128" s="13">
        <v>50</v>
      </c>
      <c r="E3128" s="13" t="s">
        <v>7692</v>
      </c>
      <c r="F3128" s="13" t="s">
        <v>8876</v>
      </c>
      <c r="G3128" s="13" t="s">
        <v>2</v>
      </c>
      <c r="H3128" s="13" t="s">
        <v>3</v>
      </c>
      <c r="I3128" s="13" t="s">
        <v>228</v>
      </c>
      <c r="J3128" s="13" t="s">
        <v>8890</v>
      </c>
      <c r="K3128" s="13" t="s">
        <v>8418</v>
      </c>
      <c r="L3128" s="13" t="s">
        <v>9244</v>
      </c>
      <c r="M3128" t="s">
        <v>3</v>
      </c>
    </row>
    <row r="3129" spans="1:13" x14ac:dyDescent="0.25">
      <c r="A3129" s="13" t="s">
        <v>7693</v>
      </c>
      <c r="B3129" s="13" t="s">
        <v>7693</v>
      </c>
      <c r="C3129" s="13" t="s">
        <v>7693</v>
      </c>
      <c r="D3129" s="13">
        <v>50</v>
      </c>
      <c r="E3129" s="13" t="s">
        <v>7694</v>
      </c>
      <c r="F3129" s="13" t="s">
        <v>8876</v>
      </c>
      <c r="G3129" s="13" t="s">
        <v>2</v>
      </c>
      <c r="H3129" s="13" t="s">
        <v>3</v>
      </c>
      <c r="I3129" s="13" t="s">
        <v>228</v>
      </c>
      <c r="J3129" s="13" t="s">
        <v>8890</v>
      </c>
      <c r="K3129" s="13" t="s">
        <v>8418</v>
      </c>
      <c r="L3129" s="13" t="s">
        <v>9244</v>
      </c>
      <c r="M3129" t="s">
        <v>3</v>
      </c>
    </row>
    <row r="3130" spans="1:13" x14ac:dyDescent="0.25">
      <c r="A3130" s="13" t="s">
        <v>7695</v>
      </c>
      <c r="B3130" s="13" t="s">
        <v>7695</v>
      </c>
      <c r="C3130" s="13" t="s">
        <v>7695</v>
      </c>
      <c r="D3130" s="13">
        <v>17</v>
      </c>
      <c r="E3130" s="13" t="s">
        <v>7696</v>
      </c>
      <c r="F3130" s="13" t="s">
        <v>8876</v>
      </c>
      <c r="G3130" s="13" t="s">
        <v>2</v>
      </c>
      <c r="H3130" s="13" t="s">
        <v>3</v>
      </c>
      <c r="I3130" s="13" t="s">
        <v>228</v>
      </c>
      <c r="J3130" s="13" t="s">
        <v>8890</v>
      </c>
      <c r="K3130" s="13" t="s">
        <v>8418</v>
      </c>
      <c r="L3130" s="13" t="s">
        <v>9244</v>
      </c>
      <c r="M3130" t="s">
        <v>3</v>
      </c>
    </row>
    <row r="3131" spans="1:13" x14ac:dyDescent="0.25">
      <c r="A3131" s="13" t="s">
        <v>7697</v>
      </c>
      <c r="B3131" s="13" t="s">
        <v>7697</v>
      </c>
      <c r="C3131" s="13" t="s">
        <v>7698</v>
      </c>
      <c r="D3131" s="13">
        <v>37</v>
      </c>
      <c r="E3131" s="13" t="s">
        <v>7699</v>
      </c>
      <c r="F3131" s="13" t="s">
        <v>8865</v>
      </c>
      <c r="G3131" s="13" t="s">
        <v>2</v>
      </c>
      <c r="H3131" s="13" t="s">
        <v>3</v>
      </c>
      <c r="I3131" s="13" t="s">
        <v>137</v>
      </c>
      <c r="J3131" s="13" t="s">
        <v>8890</v>
      </c>
      <c r="K3131" s="13" t="s">
        <v>8429</v>
      </c>
      <c r="L3131" s="13" t="s">
        <v>8901</v>
      </c>
      <c r="M3131" t="s">
        <v>3</v>
      </c>
    </row>
    <row r="3132" spans="1:13" ht="26.25" x14ac:dyDescent="0.25">
      <c r="A3132" s="13" t="s">
        <v>7700</v>
      </c>
      <c r="B3132" s="13" t="s">
        <v>7700</v>
      </c>
      <c r="C3132" s="13" t="s">
        <v>9481</v>
      </c>
      <c r="D3132" s="13">
        <v>7.4</v>
      </c>
      <c r="E3132" s="13" t="s">
        <v>7701</v>
      </c>
      <c r="F3132" s="13" t="s">
        <v>8873</v>
      </c>
      <c r="G3132" s="13" t="s">
        <v>2</v>
      </c>
      <c r="H3132" s="13" t="s">
        <v>3</v>
      </c>
      <c r="I3132" s="13" t="s">
        <v>7702</v>
      </c>
      <c r="J3132" s="13" t="s">
        <v>8890</v>
      </c>
      <c r="K3132" s="13" t="s">
        <v>8830</v>
      </c>
      <c r="L3132" s="13" t="s">
        <v>9399</v>
      </c>
      <c r="M3132" t="s">
        <v>3</v>
      </c>
    </row>
    <row r="3133" spans="1:13" ht="26.25" x14ac:dyDescent="0.25">
      <c r="A3133" s="13" t="s">
        <v>7703</v>
      </c>
      <c r="B3133" s="13" t="s">
        <v>7703</v>
      </c>
      <c r="C3133" s="13" t="s">
        <v>9482</v>
      </c>
      <c r="D3133" s="13">
        <v>14.8</v>
      </c>
      <c r="E3133" s="13" t="s">
        <v>7704</v>
      </c>
      <c r="F3133" s="13" t="s">
        <v>8865</v>
      </c>
      <c r="G3133" s="13" t="s">
        <v>2</v>
      </c>
      <c r="H3133" s="13" t="s">
        <v>3</v>
      </c>
      <c r="I3133" s="13" t="s">
        <v>4</v>
      </c>
      <c r="J3133" s="13" t="s">
        <v>8890</v>
      </c>
      <c r="K3133" s="13" t="s">
        <v>8424</v>
      </c>
      <c r="L3133" s="13" t="s">
        <v>8901</v>
      </c>
      <c r="M3133" t="s">
        <v>3</v>
      </c>
    </row>
    <row r="3134" spans="1:13" ht="26.25" x14ac:dyDescent="0.25">
      <c r="A3134" s="13" t="s">
        <v>7705</v>
      </c>
      <c r="B3134" s="13" t="s">
        <v>7705</v>
      </c>
      <c r="C3134" s="13" t="s">
        <v>7706</v>
      </c>
      <c r="D3134" s="13">
        <v>24.7</v>
      </c>
      <c r="E3134" s="13" t="s">
        <v>7707</v>
      </c>
      <c r="F3134" s="13" t="s">
        <v>8865</v>
      </c>
      <c r="G3134" s="13" t="s">
        <v>2</v>
      </c>
      <c r="H3134" s="13" t="s">
        <v>3</v>
      </c>
      <c r="I3134" s="13" t="s">
        <v>809</v>
      </c>
      <c r="J3134" s="13" t="s">
        <v>8890</v>
      </c>
      <c r="K3134" s="13" t="s">
        <v>8512</v>
      </c>
      <c r="L3134" s="13" t="s">
        <v>8901</v>
      </c>
      <c r="M3134" t="s">
        <v>3</v>
      </c>
    </row>
    <row r="3135" spans="1:13" x14ac:dyDescent="0.25">
      <c r="A3135" s="13" t="s">
        <v>7708</v>
      </c>
      <c r="B3135" s="13" t="s">
        <v>7708</v>
      </c>
      <c r="C3135" s="13" t="s">
        <v>7709</v>
      </c>
      <c r="D3135" s="13">
        <v>21.2</v>
      </c>
      <c r="E3135" s="13" t="s">
        <v>7710</v>
      </c>
      <c r="F3135" s="13" t="s">
        <v>8865</v>
      </c>
      <c r="G3135" s="13" t="s">
        <v>2</v>
      </c>
      <c r="H3135" s="13" t="s">
        <v>3</v>
      </c>
      <c r="I3135" s="13" t="s">
        <v>809</v>
      </c>
      <c r="J3135" s="13" t="s">
        <v>8890</v>
      </c>
      <c r="K3135" s="13" t="s">
        <v>8512</v>
      </c>
      <c r="L3135" s="13" t="s">
        <v>8901</v>
      </c>
      <c r="M3135" t="s">
        <v>3</v>
      </c>
    </row>
    <row r="3136" spans="1:13" ht="26.25" x14ac:dyDescent="0.25">
      <c r="A3136" s="13" t="s">
        <v>7711</v>
      </c>
      <c r="B3136" s="13" t="s">
        <v>7712</v>
      </c>
      <c r="C3136" s="13" t="s">
        <v>7713</v>
      </c>
      <c r="D3136" s="13">
        <v>75</v>
      </c>
      <c r="E3136" s="13" t="s">
        <v>7714</v>
      </c>
      <c r="F3136" s="13" t="s">
        <v>8860</v>
      </c>
      <c r="G3136" s="13" t="s">
        <v>19</v>
      </c>
      <c r="H3136" s="13" t="s">
        <v>3</v>
      </c>
      <c r="I3136" s="13" t="s">
        <v>7715</v>
      </c>
      <c r="J3136" s="13" t="s">
        <v>21</v>
      </c>
      <c r="K3136" s="13" t="s">
        <v>8831</v>
      </c>
      <c r="L3136" s="13" t="s">
        <v>18</v>
      </c>
      <c r="M3136" t="s">
        <v>3</v>
      </c>
    </row>
    <row r="3137" spans="1:13" x14ac:dyDescent="0.25">
      <c r="A3137" s="13" t="s">
        <v>7716</v>
      </c>
      <c r="B3137" s="13" t="s">
        <v>7717</v>
      </c>
      <c r="C3137" s="13" t="s">
        <v>7717</v>
      </c>
      <c r="D3137" s="13">
        <v>47</v>
      </c>
      <c r="E3137" s="13" t="s">
        <v>7718</v>
      </c>
      <c r="F3137" s="13" t="s">
        <v>8861</v>
      </c>
      <c r="G3137" s="13" t="s">
        <v>2</v>
      </c>
      <c r="H3137" s="13" t="s">
        <v>3</v>
      </c>
      <c r="I3137" s="13" t="s">
        <v>164</v>
      </c>
      <c r="J3137" s="13" t="s">
        <v>8890</v>
      </c>
      <c r="K3137" s="13" t="s">
        <v>8443</v>
      </c>
      <c r="L3137" s="13" t="s">
        <v>8891</v>
      </c>
      <c r="M3137" t="s">
        <v>3</v>
      </c>
    </row>
    <row r="3138" spans="1:13" x14ac:dyDescent="0.25">
      <c r="A3138" s="13" t="s">
        <v>7719</v>
      </c>
      <c r="B3138" s="13" t="s">
        <v>7720</v>
      </c>
      <c r="C3138" s="13" t="s">
        <v>7720</v>
      </c>
      <c r="D3138" s="13">
        <v>42</v>
      </c>
      <c r="E3138" s="13" t="s">
        <v>7721</v>
      </c>
      <c r="F3138" s="13" t="s">
        <v>8865</v>
      </c>
      <c r="G3138" s="13" t="s">
        <v>2</v>
      </c>
      <c r="H3138" s="13" t="s">
        <v>3</v>
      </c>
      <c r="I3138" s="13" t="s">
        <v>164</v>
      </c>
      <c r="J3138" s="13" t="s">
        <v>8890</v>
      </c>
      <c r="K3138" s="13" t="s">
        <v>8443</v>
      </c>
      <c r="L3138" s="13" t="s">
        <v>8901</v>
      </c>
      <c r="M3138" t="s">
        <v>3</v>
      </c>
    </row>
    <row r="3139" spans="1:13" ht="26.25" x14ac:dyDescent="0.25">
      <c r="A3139" s="13" t="s">
        <v>7722</v>
      </c>
      <c r="B3139" s="13" t="s">
        <v>7722</v>
      </c>
      <c r="C3139" s="13" t="s">
        <v>7723</v>
      </c>
      <c r="D3139" s="13">
        <v>500</v>
      </c>
      <c r="E3139" s="13" t="s">
        <v>7724</v>
      </c>
      <c r="F3139" s="13" t="s">
        <v>8870</v>
      </c>
      <c r="G3139" s="13" t="s">
        <v>19</v>
      </c>
      <c r="H3139" s="13" t="s">
        <v>3</v>
      </c>
      <c r="I3139" s="13" t="s">
        <v>4526</v>
      </c>
      <c r="J3139" s="13" t="s">
        <v>410</v>
      </c>
      <c r="K3139" s="13" t="s">
        <v>8656</v>
      </c>
      <c r="L3139" s="13" t="s">
        <v>8942</v>
      </c>
      <c r="M3139" t="s">
        <v>3</v>
      </c>
    </row>
    <row r="3140" spans="1:13" ht="26.25" x14ac:dyDescent="0.25">
      <c r="A3140" s="13" t="s">
        <v>7725</v>
      </c>
      <c r="B3140" s="13" t="s">
        <v>7725</v>
      </c>
      <c r="C3140" s="13" t="s">
        <v>7726</v>
      </c>
      <c r="D3140" s="13">
        <v>500</v>
      </c>
      <c r="E3140" s="13" t="s">
        <v>7727</v>
      </c>
      <c r="F3140" s="13" t="s">
        <v>8871</v>
      </c>
      <c r="G3140" s="13" t="s">
        <v>2</v>
      </c>
      <c r="H3140" s="13" t="s">
        <v>3</v>
      </c>
      <c r="I3140" s="13" t="s">
        <v>4526</v>
      </c>
      <c r="J3140" s="13" t="s">
        <v>410</v>
      </c>
      <c r="K3140" s="13" t="s">
        <v>8656</v>
      </c>
      <c r="L3140" s="13" t="s">
        <v>8943</v>
      </c>
      <c r="M3140" t="s">
        <v>3</v>
      </c>
    </row>
    <row r="3141" spans="1:13" x14ac:dyDescent="0.25">
      <c r="A3141" s="13" t="s">
        <v>7728</v>
      </c>
      <c r="B3141" s="13" t="s">
        <v>7728</v>
      </c>
      <c r="C3141" s="13" t="s">
        <v>7729</v>
      </c>
      <c r="D3141" s="13">
        <v>46</v>
      </c>
      <c r="E3141" s="13" t="s">
        <v>7729</v>
      </c>
      <c r="F3141" s="13" t="s">
        <v>8865</v>
      </c>
      <c r="G3141" s="13" t="s">
        <v>2</v>
      </c>
      <c r="H3141" s="13" t="s">
        <v>3</v>
      </c>
      <c r="I3141" s="13" t="s">
        <v>447</v>
      </c>
      <c r="J3141" s="13" t="s">
        <v>8890</v>
      </c>
      <c r="K3141" s="13" t="s">
        <v>8421</v>
      </c>
      <c r="L3141" s="13" t="s">
        <v>8901</v>
      </c>
      <c r="M3141" t="s">
        <v>3</v>
      </c>
    </row>
    <row r="3142" spans="1:13" ht="26.25" x14ac:dyDescent="0.25">
      <c r="A3142" s="13" t="s">
        <v>7730</v>
      </c>
      <c r="B3142" s="13" t="s">
        <v>7730</v>
      </c>
      <c r="C3142" s="13" t="s">
        <v>7731</v>
      </c>
      <c r="D3142" s="13">
        <v>24.8</v>
      </c>
      <c r="E3142" s="13" t="s">
        <v>7732</v>
      </c>
      <c r="F3142" s="13" t="s">
        <v>8861</v>
      </c>
      <c r="G3142" s="13" t="s">
        <v>2</v>
      </c>
      <c r="H3142" s="13" t="s">
        <v>3</v>
      </c>
      <c r="I3142" s="13" t="s">
        <v>809</v>
      </c>
      <c r="J3142" s="13" t="s">
        <v>8890</v>
      </c>
      <c r="K3142" s="13" t="s">
        <v>8512</v>
      </c>
      <c r="L3142" s="13" t="s">
        <v>8891</v>
      </c>
      <c r="M3142" t="s">
        <v>3</v>
      </c>
    </row>
    <row r="3143" spans="1:13" ht="26.25" x14ac:dyDescent="0.25">
      <c r="A3143" s="13" t="s">
        <v>7733</v>
      </c>
      <c r="B3143" s="13" t="s">
        <v>7733</v>
      </c>
      <c r="C3143" s="13" t="s">
        <v>7734</v>
      </c>
      <c r="D3143" s="13">
        <v>2.7</v>
      </c>
      <c r="E3143" s="13" t="s">
        <v>7735</v>
      </c>
      <c r="F3143" s="13" t="s">
        <v>8873</v>
      </c>
      <c r="G3143" s="13" t="s">
        <v>2</v>
      </c>
      <c r="H3143" s="13" t="s">
        <v>3</v>
      </c>
      <c r="I3143" s="13" t="s">
        <v>2465</v>
      </c>
      <c r="J3143" s="13" t="s">
        <v>8890</v>
      </c>
      <c r="K3143" s="13" t="s">
        <v>8605</v>
      </c>
      <c r="L3143" s="13" t="s">
        <v>6113</v>
      </c>
      <c r="M3143" t="s">
        <v>3</v>
      </c>
    </row>
    <row r="3144" spans="1:13" x14ac:dyDescent="0.25">
      <c r="A3144" s="13" t="s">
        <v>7736</v>
      </c>
      <c r="B3144" s="13" t="s">
        <v>7736</v>
      </c>
      <c r="C3144" s="13" t="s">
        <v>7736</v>
      </c>
      <c r="D3144" s="13">
        <v>14.5</v>
      </c>
      <c r="E3144" s="13" t="s">
        <v>7737</v>
      </c>
      <c r="F3144" s="13" t="s">
        <v>8865</v>
      </c>
      <c r="G3144" s="13" t="s">
        <v>2</v>
      </c>
      <c r="H3144" s="13" t="s">
        <v>3</v>
      </c>
      <c r="I3144" s="13" t="s">
        <v>429</v>
      </c>
      <c r="J3144" s="13" t="s">
        <v>8890</v>
      </c>
      <c r="K3144" s="13" t="s">
        <v>6051</v>
      </c>
      <c r="L3144" s="13" t="s">
        <v>8901</v>
      </c>
      <c r="M3144" t="s">
        <v>3</v>
      </c>
    </row>
    <row r="3145" spans="1:13" ht="26.25" x14ac:dyDescent="0.25">
      <c r="A3145" s="13" t="s">
        <v>7738</v>
      </c>
      <c r="B3145" s="13" t="s">
        <v>7738</v>
      </c>
      <c r="C3145" s="13" t="s">
        <v>7739</v>
      </c>
      <c r="D3145" s="13">
        <v>7.3</v>
      </c>
      <c r="E3145" s="13" t="s">
        <v>7740</v>
      </c>
      <c r="F3145" s="13" t="s">
        <v>8865</v>
      </c>
      <c r="G3145" s="13" t="s">
        <v>2</v>
      </c>
      <c r="H3145" s="13" t="s">
        <v>3</v>
      </c>
      <c r="I3145" s="13" t="s">
        <v>1283</v>
      </c>
      <c r="J3145" s="13" t="s">
        <v>8890</v>
      </c>
      <c r="K3145" s="13" t="s">
        <v>8524</v>
      </c>
      <c r="L3145" s="13" t="s">
        <v>8901</v>
      </c>
      <c r="M3145" t="s">
        <v>3</v>
      </c>
    </row>
    <row r="3146" spans="1:13" x14ac:dyDescent="0.25">
      <c r="A3146" s="13" t="s">
        <v>7741</v>
      </c>
      <c r="B3146" s="13" t="s">
        <v>7741</v>
      </c>
      <c r="C3146" s="13" t="s">
        <v>7742</v>
      </c>
      <c r="D3146" s="13">
        <v>7.3</v>
      </c>
      <c r="E3146" s="13" t="s">
        <v>7742</v>
      </c>
      <c r="F3146" s="13" t="s">
        <v>8865</v>
      </c>
      <c r="G3146" s="13" t="s">
        <v>2</v>
      </c>
      <c r="H3146" s="13" t="s">
        <v>3</v>
      </c>
      <c r="I3146" s="13" t="s">
        <v>447</v>
      </c>
      <c r="J3146" s="13" t="s">
        <v>8890</v>
      </c>
      <c r="K3146" s="13" t="s">
        <v>8421</v>
      </c>
      <c r="L3146" s="13" t="s">
        <v>8901</v>
      </c>
      <c r="M3146" t="s">
        <v>3</v>
      </c>
    </row>
    <row r="3147" spans="1:13" ht="26.25" x14ac:dyDescent="0.25">
      <c r="A3147" s="13" t="s">
        <v>7743</v>
      </c>
      <c r="B3147" s="13" t="s">
        <v>7743</v>
      </c>
      <c r="C3147" s="13" t="s">
        <v>9483</v>
      </c>
      <c r="D3147" s="13">
        <v>7.3</v>
      </c>
      <c r="E3147" s="13" t="s">
        <v>7744</v>
      </c>
      <c r="F3147" s="13" t="s">
        <v>8865</v>
      </c>
      <c r="G3147" s="13" t="s">
        <v>2</v>
      </c>
      <c r="H3147" s="13" t="s">
        <v>516</v>
      </c>
      <c r="I3147" s="13" t="s">
        <v>516</v>
      </c>
      <c r="J3147" s="13" t="s">
        <v>8890</v>
      </c>
      <c r="K3147" s="13" t="s">
        <v>516</v>
      </c>
      <c r="L3147" s="13" t="s">
        <v>8901</v>
      </c>
      <c r="M3147" t="s">
        <v>10700</v>
      </c>
    </row>
    <row r="3148" spans="1:13" x14ac:dyDescent="0.25">
      <c r="A3148" s="13" t="s">
        <v>7745</v>
      </c>
      <c r="B3148" s="13" t="s">
        <v>7746</v>
      </c>
      <c r="C3148" s="13" t="s">
        <v>7747</v>
      </c>
      <c r="D3148" s="13">
        <v>13.8</v>
      </c>
      <c r="E3148" s="13" t="s">
        <v>7748</v>
      </c>
      <c r="F3148" s="13" t="s">
        <v>8865</v>
      </c>
      <c r="G3148" s="13" t="s">
        <v>2</v>
      </c>
      <c r="H3148" s="13" t="s">
        <v>3</v>
      </c>
      <c r="I3148" s="13" t="s">
        <v>1263</v>
      </c>
      <c r="J3148" s="13" t="s">
        <v>8890</v>
      </c>
      <c r="K3148" s="13" t="s">
        <v>8422</v>
      </c>
      <c r="L3148" s="13" t="s">
        <v>8901</v>
      </c>
      <c r="M3148" t="s">
        <v>3</v>
      </c>
    </row>
    <row r="3149" spans="1:13" x14ac:dyDescent="0.25">
      <c r="A3149" s="13" t="s">
        <v>7749</v>
      </c>
      <c r="B3149" s="13" t="s">
        <v>7750</v>
      </c>
      <c r="C3149" s="13" t="s">
        <v>7751</v>
      </c>
      <c r="D3149" s="13">
        <v>11.9</v>
      </c>
      <c r="E3149" s="13" t="s">
        <v>7752</v>
      </c>
      <c r="F3149" s="13" t="s">
        <v>8865</v>
      </c>
      <c r="G3149" s="13" t="s">
        <v>2</v>
      </c>
      <c r="H3149" s="13" t="s">
        <v>3</v>
      </c>
      <c r="I3149" s="13" t="s">
        <v>1263</v>
      </c>
      <c r="J3149" s="13" t="s">
        <v>8890</v>
      </c>
      <c r="K3149" s="13" t="s">
        <v>8422</v>
      </c>
      <c r="L3149" s="13" t="s">
        <v>8901</v>
      </c>
      <c r="M3149" t="s">
        <v>3</v>
      </c>
    </row>
    <row r="3150" spans="1:13" x14ac:dyDescent="0.25">
      <c r="A3150" s="13" t="s">
        <v>7753</v>
      </c>
      <c r="B3150" s="13" t="s">
        <v>7754</v>
      </c>
      <c r="C3150" s="13" t="s">
        <v>7755</v>
      </c>
      <c r="D3150" s="13">
        <v>14.8</v>
      </c>
      <c r="E3150" s="13" t="s">
        <v>7756</v>
      </c>
      <c r="F3150" s="13" t="s">
        <v>8865</v>
      </c>
      <c r="G3150" s="13" t="s">
        <v>2</v>
      </c>
      <c r="H3150" s="13" t="s">
        <v>3</v>
      </c>
      <c r="I3150" s="13" t="s">
        <v>1263</v>
      </c>
      <c r="J3150" s="13" t="s">
        <v>8890</v>
      </c>
      <c r="K3150" s="13" t="s">
        <v>8422</v>
      </c>
      <c r="L3150" s="13" t="s">
        <v>8901</v>
      </c>
      <c r="M3150" t="s">
        <v>3</v>
      </c>
    </row>
    <row r="3151" spans="1:13" x14ac:dyDescent="0.25">
      <c r="A3151" s="13" t="s">
        <v>7757</v>
      </c>
      <c r="B3151" s="13" t="s">
        <v>7758</v>
      </c>
      <c r="C3151" s="13" t="s">
        <v>7759</v>
      </c>
      <c r="D3151" s="13">
        <v>48.8</v>
      </c>
      <c r="E3151" s="13" t="s">
        <v>7760</v>
      </c>
      <c r="F3151" s="13" t="s">
        <v>8865</v>
      </c>
      <c r="G3151" s="13" t="s">
        <v>2</v>
      </c>
      <c r="H3151" s="13" t="s">
        <v>3</v>
      </c>
      <c r="I3151" s="13" t="s">
        <v>1263</v>
      </c>
      <c r="J3151" s="13" t="s">
        <v>8890</v>
      </c>
      <c r="K3151" s="13" t="s">
        <v>8422</v>
      </c>
      <c r="L3151" s="13" t="s">
        <v>8901</v>
      </c>
      <c r="M3151" t="s">
        <v>3</v>
      </c>
    </row>
    <row r="3152" spans="1:13" x14ac:dyDescent="0.25">
      <c r="A3152" s="13" t="s">
        <v>7761</v>
      </c>
      <c r="B3152" s="13" t="s">
        <v>7761</v>
      </c>
      <c r="C3152" s="13" t="s">
        <v>7762</v>
      </c>
      <c r="D3152" s="13">
        <v>24.9</v>
      </c>
      <c r="E3152" s="13" t="s">
        <v>7763</v>
      </c>
      <c r="F3152" s="13" t="s">
        <v>8865</v>
      </c>
      <c r="G3152" s="13" t="s">
        <v>2</v>
      </c>
      <c r="H3152" s="13" t="s">
        <v>3</v>
      </c>
      <c r="I3152" s="13" t="s">
        <v>1263</v>
      </c>
      <c r="J3152" s="13" t="s">
        <v>8890</v>
      </c>
      <c r="K3152" s="13" t="s">
        <v>8422</v>
      </c>
      <c r="L3152" s="13" t="s">
        <v>8901</v>
      </c>
      <c r="M3152" t="s">
        <v>3</v>
      </c>
    </row>
    <row r="3153" spans="1:13" x14ac:dyDescent="0.25">
      <c r="A3153" s="13" t="s">
        <v>7764</v>
      </c>
      <c r="B3153" s="13" t="s">
        <v>7765</v>
      </c>
      <c r="C3153" s="13" t="s">
        <v>7766</v>
      </c>
      <c r="D3153" s="13">
        <v>23.6</v>
      </c>
      <c r="E3153" s="13" t="s">
        <v>7767</v>
      </c>
      <c r="F3153" s="13" t="s">
        <v>8865</v>
      </c>
      <c r="G3153" s="13" t="s">
        <v>2</v>
      </c>
      <c r="H3153" s="13" t="s">
        <v>3</v>
      </c>
      <c r="I3153" s="13" t="s">
        <v>1263</v>
      </c>
      <c r="J3153" s="13" t="s">
        <v>8890</v>
      </c>
      <c r="K3153" s="13" t="s">
        <v>8422</v>
      </c>
      <c r="L3153" s="13" t="s">
        <v>8901</v>
      </c>
      <c r="M3153" t="s">
        <v>3</v>
      </c>
    </row>
    <row r="3154" spans="1:13" x14ac:dyDescent="0.25">
      <c r="A3154" s="13" t="s">
        <v>7768</v>
      </c>
      <c r="B3154" s="13" t="s">
        <v>7769</v>
      </c>
      <c r="C3154" s="13" t="s">
        <v>7770</v>
      </c>
      <c r="D3154" s="13">
        <v>13.4</v>
      </c>
      <c r="E3154" s="13" t="s">
        <v>7771</v>
      </c>
      <c r="F3154" s="13" t="s">
        <v>8865</v>
      </c>
      <c r="G3154" s="13" t="s">
        <v>2</v>
      </c>
      <c r="H3154" s="13" t="s">
        <v>3</v>
      </c>
      <c r="I3154" s="13" t="s">
        <v>1263</v>
      </c>
      <c r="J3154" s="13" t="s">
        <v>8890</v>
      </c>
      <c r="K3154" s="13" t="s">
        <v>8422</v>
      </c>
      <c r="L3154" s="13" t="s">
        <v>8901</v>
      </c>
      <c r="M3154" t="s">
        <v>3</v>
      </c>
    </row>
    <row r="3155" spans="1:13" x14ac:dyDescent="0.25">
      <c r="A3155" s="13" t="s">
        <v>7772</v>
      </c>
      <c r="B3155" s="13" t="s">
        <v>7773</v>
      </c>
      <c r="C3155" s="13" t="s">
        <v>7612</v>
      </c>
      <c r="D3155" s="13">
        <v>24</v>
      </c>
      <c r="E3155" s="13" t="s">
        <v>7774</v>
      </c>
      <c r="F3155" s="13" t="s">
        <v>8861</v>
      </c>
      <c r="G3155" s="13" t="s">
        <v>2</v>
      </c>
      <c r="H3155" s="13" t="s">
        <v>3</v>
      </c>
      <c r="I3155" s="13" t="s">
        <v>137</v>
      </c>
      <c r="J3155" s="13" t="s">
        <v>8890</v>
      </c>
      <c r="K3155" s="13" t="s">
        <v>8429</v>
      </c>
      <c r="L3155" s="13" t="s">
        <v>8891</v>
      </c>
      <c r="M3155" t="s">
        <v>3</v>
      </c>
    </row>
    <row r="3156" spans="1:13" x14ac:dyDescent="0.25">
      <c r="A3156" s="13" t="s">
        <v>7775</v>
      </c>
      <c r="B3156" s="13" t="s">
        <v>7775</v>
      </c>
      <c r="C3156" s="13" t="s">
        <v>7776</v>
      </c>
      <c r="D3156" s="13">
        <v>2</v>
      </c>
      <c r="E3156" s="13" t="s">
        <v>7776</v>
      </c>
      <c r="F3156" s="13" t="s">
        <v>8865</v>
      </c>
      <c r="G3156" s="13" t="s">
        <v>2</v>
      </c>
      <c r="H3156" s="13" t="s">
        <v>3</v>
      </c>
      <c r="I3156" s="13" t="s">
        <v>447</v>
      </c>
      <c r="J3156" s="13" t="s">
        <v>8890</v>
      </c>
      <c r="K3156" s="13" t="s">
        <v>8421</v>
      </c>
      <c r="L3156" s="13" t="s">
        <v>8901</v>
      </c>
      <c r="M3156" t="s">
        <v>3</v>
      </c>
    </row>
    <row r="3157" spans="1:13" x14ac:dyDescent="0.25">
      <c r="A3157" s="13" t="s">
        <v>7777</v>
      </c>
      <c r="B3157" s="13" t="s">
        <v>7777</v>
      </c>
      <c r="C3157" s="13" t="s">
        <v>7778</v>
      </c>
      <c r="D3157" s="13">
        <v>3.4</v>
      </c>
      <c r="E3157" s="13" t="s">
        <v>7779</v>
      </c>
      <c r="F3157" s="13" t="s">
        <v>8865</v>
      </c>
      <c r="G3157" s="13" t="s">
        <v>2</v>
      </c>
      <c r="H3157" s="13" t="s">
        <v>3</v>
      </c>
      <c r="I3157" s="13" t="s">
        <v>7780</v>
      </c>
      <c r="J3157" s="13" t="s">
        <v>8890</v>
      </c>
      <c r="K3157" s="13" t="s">
        <v>8832</v>
      </c>
      <c r="L3157" s="13" t="s">
        <v>8901</v>
      </c>
      <c r="M3157" t="s">
        <v>3</v>
      </c>
    </row>
    <row r="3158" spans="1:13" x14ac:dyDescent="0.25">
      <c r="A3158" s="13" t="s">
        <v>7781</v>
      </c>
      <c r="B3158" s="13" t="s">
        <v>7781</v>
      </c>
      <c r="C3158" s="13" t="s">
        <v>7782</v>
      </c>
      <c r="D3158" s="13">
        <v>12.5</v>
      </c>
      <c r="E3158" s="13" t="s">
        <v>7783</v>
      </c>
      <c r="F3158" s="13" t="s">
        <v>8865</v>
      </c>
      <c r="G3158" s="13" t="s">
        <v>2</v>
      </c>
      <c r="H3158" s="13" t="s">
        <v>3</v>
      </c>
      <c r="I3158" s="13" t="s">
        <v>706</v>
      </c>
      <c r="J3158" s="13" t="s">
        <v>8890</v>
      </c>
      <c r="K3158" s="13" t="s">
        <v>8419</v>
      </c>
      <c r="L3158" s="13" t="s">
        <v>8901</v>
      </c>
      <c r="M3158" t="s">
        <v>3</v>
      </c>
    </row>
    <row r="3159" spans="1:13" x14ac:dyDescent="0.25">
      <c r="A3159" s="13" t="s">
        <v>7784</v>
      </c>
      <c r="B3159" s="13" t="s">
        <v>7784</v>
      </c>
      <c r="C3159" s="13" t="s">
        <v>7785</v>
      </c>
      <c r="D3159" s="13">
        <v>22.9</v>
      </c>
      <c r="E3159" s="13" t="s">
        <v>7785</v>
      </c>
      <c r="F3159" s="13" t="s">
        <v>8865</v>
      </c>
      <c r="G3159" s="13" t="s">
        <v>2</v>
      </c>
      <c r="H3159" s="13" t="s">
        <v>3</v>
      </c>
      <c r="I3159" s="13" t="s">
        <v>447</v>
      </c>
      <c r="J3159" s="13" t="s">
        <v>8890</v>
      </c>
      <c r="K3159" s="13" t="s">
        <v>8421</v>
      </c>
      <c r="L3159" s="13" t="s">
        <v>8901</v>
      </c>
      <c r="M3159" t="s">
        <v>3</v>
      </c>
    </row>
    <row r="3160" spans="1:13" x14ac:dyDescent="0.25">
      <c r="A3160" s="13" t="s">
        <v>9484</v>
      </c>
      <c r="B3160" s="13" t="s">
        <v>9484</v>
      </c>
      <c r="C3160" s="13" t="s">
        <v>9484</v>
      </c>
      <c r="D3160" s="13">
        <v>1.3</v>
      </c>
      <c r="E3160" s="13" t="s">
        <v>9485</v>
      </c>
      <c r="F3160" s="13" t="s">
        <v>8873</v>
      </c>
      <c r="G3160" s="13" t="s">
        <v>2</v>
      </c>
      <c r="H3160" s="13" t="s">
        <v>3</v>
      </c>
      <c r="I3160" s="13" t="s">
        <v>429</v>
      </c>
      <c r="J3160" s="13" t="s">
        <v>8890</v>
      </c>
      <c r="K3160" s="13" t="s">
        <v>6051</v>
      </c>
      <c r="L3160" s="13" t="s">
        <v>8964</v>
      </c>
      <c r="M3160" t="s">
        <v>3</v>
      </c>
    </row>
    <row r="3161" spans="1:13" x14ac:dyDescent="0.25">
      <c r="A3161" s="13" t="s">
        <v>9486</v>
      </c>
      <c r="B3161" s="13" t="s">
        <v>9486</v>
      </c>
      <c r="C3161" s="13" t="s">
        <v>9486</v>
      </c>
      <c r="D3161" s="13">
        <v>15</v>
      </c>
      <c r="E3161" s="13" t="s">
        <v>9487</v>
      </c>
      <c r="F3161" s="13" t="s">
        <v>8865</v>
      </c>
      <c r="G3161" s="13" t="s">
        <v>2</v>
      </c>
      <c r="H3161" s="13" t="s">
        <v>3</v>
      </c>
      <c r="I3161" s="13" t="s">
        <v>429</v>
      </c>
      <c r="J3161" s="13" t="s">
        <v>8890</v>
      </c>
      <c r="K3161" s="13" t="s">
        <v>6051</v>
      </c>
      <c r="L3161" s="13" t="s">
        <v>8901</v>
      </c>
      <c r="M3161" t="s">
        <v>3</v>
      </c>
    </row>
    <row r="3162" spans="1:13" x14ac:dyDescent="0.25">
      <c r="A3162" s="13" t="s">
        <v>7786</v>
      </c>
      <c r="B3162" s="13" t="s">
        <v>7786</v>
      </c>
      <c r="C3162" s="13" t="s">
        <v>7787</v>
      </c>
      <c r="D3162" s="13">
        <v>1</v>
      </c>
      <c r="E3162" s="13" t="s">
        <v>7788</v>
      </c>
      <c r="F3162" s="13" t="s">
        <v>8865</v>
      </c>
      <c r="G3162" s="13" t="s">
        <v>2</v>
      </c>
      <c r="H3162" s="13" t="s">
        <v>3</v>
      </c>
      <c r="I3162" s="13" t="s">
        <v>1263</v>
      </c>
      <c r="J3162" s="13" t="s">
        <v>8890</v>
      </c>
      <c r="K3162" s="13" t="s">
        <v>8422</v>
      </c>
      <c r="L3162" s="13" t="s">
        <v>8901</v>
      </c>
      <c r="M3162" t="s">
        <v>3</v>
      </c>
    </row>
    <row r="3163" spans="1:13" x14ac:dyDescent="0.25">
      <c r="A3163" s="13" t="s">
        <v>7789</v>
      </c>
      <c r="B3163" s="13" t="s">
        <v>7789</v>
      </c>
      <c r="C3163" s="13" t="s">
        <v>7790</v>
      </c>
      <c r="D3163" s="13">
        <v>9.9</v>
      </c>
      <c r="E3163" s="13" t="s">
        <v>7791</v>
      </c>
      <c r="F3163" s="13" t="s">
        <v>8865</v>
      </c>
      <c r="G3163" s="13" t="s">
        <v>2</v>
      </c>
      <c r="H3163" s="13" t="s">
        <v>3</v>
      </c>
      <c r="I3163" s="13" t="s">
        <v>228</v>
      </c>
      <c r="J3163" s="13" t="s">
        <v>8890</v>
      </c>
      <c r="K3163" s="13" t="s">
        <v>8418</v>
      </c>
      <c r="L3163" s="13" t="s">
        <v>8901</v>
      </c>
      <c r="M3163" t="s">
        <v>3</v>
      </c>
    </row>
    <row r="3164" spans="1:13" ht="26.25" x14ac:dyDescent="0.25">
      <c r="A3164" s="13" t="s">
        <v>7792</v>
      </c>
      <c r="B3164" s="13" t="s">
        <v>7793</v>
      </c>
      <c r="C3164" s="13" t="s">
        <v>7794</v>
      </c>
      <c r="D3164" s="13">
        <v>1</v>
      </c>
      <c r="E3164" s="13" t="s">
        <v>7795</v>
      </c>
      <c r="F3164" s="13" t="s">
        <v>8860</v>
      </c>
      <c r="G3164" s="13" t="s">
        <v>19</v>
      </c>
      <c r="H3164" s="13" t="s">
        <v>3</v>
      </c>
      <c r="I3164" s="13" t="s">
        <v>7793</v>
      </c>
      <c r="J3164" s="13" t="s">
        <v>21</v>
      </c>
      <c r="K3164" s="13" t="s">
        <v>8833</v>
      </c>
      <c r="L3164" s="13" t="s">
        <v>18</v>
      </c>
      <c r="M3164" t="s">
        <v>3</v>
      </c>
    </row>
    <row r="3165" spans="1:13" ht="26.25" x14ac:dyDescent="0.25">
      <c r="A3165" s="13" t="s">
        <v>7796</v>
      </c>
      <c r="B3165" s="13" t="s">
        <v>7797</v>
      </c>
      <c r="C3165" s="13" t="s">
        <v>7798</v>
      </c>
      <c r="D3165" s="13">
        <v>0.1</v>
      </c>
      <c r="E3165" s="13" t="s">
        <v>7799</v>
      </c>
      <c r="F3165" s="13" t="s">
        <v>8860</v>
      </c>
      <c r="G3165" s="13" t="s">
        <v>19</v>
      </c>
      <c r="H3165" s="13" t="s">
        <v>3</v>
      </c>
      <c r="I3165" s="13" t="s">
        <v>7800</v>
      </c>
      <c r="J3165" s="13" t="s">
        <v>21</v>
      </c>
      <c r="K3165" s="13" t="s">
        <v>8834</v>
      </c>
      <c r="L3165" s="13" t="s">
        <v>18</v>
      </c>
      <c r="M3165" t="s">
        <v>3</v>
      </c>
    </row>
    <row r="3166" spans="1:13" ht="26.25" x14ac:dyDescent="0.25">
      <c r="A3166" s="13" t="s">
        <v>7801</v>
      </c>
      <c r="B3166" s="13" t="s">
        <v>7801</v>
      </c>
      <c r="C3166" s="13" t="s">
        <v>7802</v>
      </c>
      <c r="D3166" s="13">
        <v>14.7</v>
      </c>
      <c r="E3166" s="13" t="s">
        <v>7803</v>
      </c>
      <c r="F3166" s="13" t="s">
        <v>8861</v>
      </c>
      <c r="G3166" s="13" t="s">
        <v>2</v>
      </c>
      <c r="H3166" s="13" t="s">
        <v>3</v>
      </c>
      <c r="I3166" s="13" t="s">
        <v>809</v>
      </c>
      <c r="J3166" s="13" t="s">
        <v>8890</v>
      </c>
      <c r="K3166" s="13" t="s">
        <v>8512</v>
      </c>
      <c r="L3166" s="13" t="s">
        <v>8891</v>
      </c>
      <c r="M3166" t="s">
        <v>3</v>
      </c>
    </row>
    <row r="3167" spans="1:13" ht="26.25" x14ac:dyDescent="0.25">
      <c r="A3167" s="13" t="s">
        <v>7804</v>
      </c>
      <c r="B3167" s="13" t="s">
        <v>7804</v>
      </c>
      <c r="C3167" s="13" t="s">
        <v>9488</v>
      </c>
      <c r="D3167" s="13">
        <v>32.5</v>
      </c>
      <c r="E3167" s="13" t="s">
        <v>7805</v>
      </c>
      <c r="F3167" s="13" t="s">
        <v>8865</v>
      </c>
      <c r="G3167" s="13" t="s">
        <v>2</v>
      </c>
      <c r="H3167" s="13" t="s">
        <v>3</v>
      </c>
      <c r="I3167" s="13" t="s">
        <v>4</v>
      </c>
      <c r="J3167" s="13" t="s">
        <v>8890</v>
      </c>
      <c r="K3167" s="13" t="s">
        <v>8424</v>
      </c>
      <c r="L3167" s="13" t="s">
        <v>8901</v>
      </c>
      <c r="M3167" t="s">
        <v>3</v>
      </c>
    </row>
    <row r="3168" spans="1:13" x14ac:dyDescent="0.25">
      <c r="A3168" s="13" t="s">
        <v>7806</v>
      </c>
      <c r="B3168" s="13" t="s">
        <v>7806</v>
      </c>
      <c r="C3168" s="13" t="s">
        <v>7807</v>
      </c>
      <c r="D3168" s="13">
        <v>1.9</v>
      </c>
      <c r="E3168" s="13" t="s">
        <v>7808</v>
      </c>
      <c r="F3168" s="13" t="s">
        <v>8861</v>
      </c>
      <c r="G3168" s="13" t="s">
        <v>2</v>
      </c>
      <c r="H3168" s="13" t="s">
        <v>3</v>
      </c>
      <c r="I3168" s="13" t="s">
        <v>228</v>
      </c>
      <c r="J3168" s="13" t="s">
        <v>8890</v>
      </c>
      <c r="K3168" s="13" t="s">
        <v>8418</v>
      </c>
      <c r="L3168" s="13" t="s">
        <v>8891</v>
      </c>
      <c r="M3168" t="s">
        <v>3</v>
      </c>
    </row>
    <row r="3169" spans="1:13" x14ac:dyDescent="0.25">
      <c r="A3169" s="13" t="s">
        <v>7809</v>
      </c>
      <c r="B3169" s="13" t="s">
        <v>7810</v>
      </c>
      <c r="C3169" s="13" t="s">
        <v>7811</v>
      </c>
      <c r="D3169" s="13">
        <v>13.1</v>
      </c>
      <c r="E3169" s="13" t="s">
        <v>7812</v>
      </c>
      <c r="F3169" s="13" t="s">
        <v>8873</v>
      </c>
      <c r="G3169" s="13" t="s">
        <v>2</v>
      </c>
      <c r="H3169" s="13" t="s">
        <v>3</v>
      </c>
      <c r="I3169" s="13" t="s">
        <v>7141</v>
      </c>
      <c r="J3169" s="13" t="s">
        <v>8890</v>
      </c>
      <c r="K3169" s="13" t="s">
        <v>8815</v>
      </c>
      <c r="L3169" s="13" t="s">
        <v>9399</v>
      </c>
      <c r="M3169" t="s">
        <v>3</v>
      </c>
    </row>
    <row r="3170" spans="1:13" x14ac:dyDescent="0.25">
      <c r="A3170" s="13" t="s">
        <v>7813</v>
      </c>
      <c r="B3170" s="13" t="s">
        <v>7813</v>
      </c>
      <c r="C3170" s="13" t="s">
        <v>7814</v>
      </c>
      <c r="D3170" s="13">
        <v>10</v>
      </c>
      <c r="E3170" s="13" t="s">
        <v>7815</v>
      </c>
      <c r="F3170" s="13" t="s">
        <v>8865</v>
      </c>
      <c r="G3170" s="13" t="s">
        <v>2</v>
      </c>
      <c r="H3170" s="13" t="s">
        <v>3</v>
      </c>
      <c r="I3170" s="13" t="s">
        <v>706</v>
      </c>
      <c r="J3170" s="13" t="s">
        <v>8890</v>
      </c>
      <c r="K3170" s="13" t="s">
        <v>8419</v>
      </c>
      <c r="L3170" s="13" t="s">
        <v>8901</v>
      </c>
      <c r="M3170" t="s">
        <v>3</v>
      </c>
    </row>
    <row r="3171" spans="1:13" x14ac:dyDescent="0.25">
      <c r="A3171" s="13" t="s">
        <v>7816</v>
      </c>
      <c r="B3171" s="13" t="s">
        <v>7816</v>
      </c>
      <c r="C3171" s="13" t="s">
        <v>7817</v>
      </c>
      <c r="D3171" s="13">
        <v>16.5</v>
      </c>
      <c r="E3171" s="13" t="s">
        <v>7818</v>
      </c>
      <c r="F3171" s="13" t="s">
        <v>8865</v>
      </c>
      <c r="G3171" s="13" t="s">
        <v>2</v>
      </c>
      <c r="H3171" s="13" t="s">
        <v>8422</v>
      </c>
      <c r="I3171" s="13" t="s">
        <v>1263</v>
      </c>
      <c r="J3171" s="13" t="s">
        <v>8890</v>
      </c>
      <c r="K3171" s="13" t="s">
        <v>8422</v>
      </c>
      <c r="L3171" s="13" t="s">
        <v>8901</v>
      </c>
      <c r="M3171" t="s">
        <v>10689</v>
      </c>
    </row>
    <row r="3172" spans="1:13" x14ac:dyDescent="0.25">
      <c r="A3172" s="13" t="s">
        <v>7819</v>
      </c>
      <c r="B3172" s="13" t="s">
        <v>7819</v>
      </c>
      <c r="C3172" s="13" t="s">
        <v>7820</v>
      </c>
      <c r="D3172" s="13">
        <v>16.5</v>
      </c>
      <c r="E3172" s="13" t="s">
        <v>7821</v>
      </c>
      <c r="F3172" s="13" t="s">
        <v>8865</v>
      </c>
      <c r="G3172" s="13" t="s">
        <v>2</v>
      </c>
      <c r="H3172" s="13" t="s">
        <v>8422</v>
      </c>
      <c r="I3172" s="13" t="s">
        <v>1263</v>
      </c>
      <c r="J3172" s="13" t="s">
        <v>8890</v>
      </c>
      <c r="K3172" s="13" t="s">
        <v>8422</v>
      </c>
      <c r="L3172" s="13" t="s">
        <v>8901</v>
      </c>
      <c r="M3172" t="s">
        <v>10689</v>
      </c>
    </row>
    <row r="3173" spans="1:13" x14ac:dyDescent="0.25">
      <c r="A3173" s="13" t="s">
        <v>9489</v>
      </c>
      <c r="B3173" s="13" t="s">
        <v>9489</v>
      </c>
      <c r="C3173" s="13" t="s">
        <v>9490</v>
      </c>
      <c r="D3173" s="13">
        <v>15</v>
      </c>
      <c r="E3173" s="13" t="s">
        <v>9491</v>
      </c>
      <c r="F3173" s="13" t="s">
        <v>8865</v>
      </c>
      <c r="G3173" s="13" t="s">
        <v>2</v>
      </c>
      <c r="H3173" s="13" t="s">
        <v>3</v>
      </c>
      <c r="I3173" s="13" t="s">
        <v>447</v>
      </c>
      <c r="J3173" s="13" t="s">
        <v>8890</v>
      </c>
      <c r="K3173" s="13" t="s">
        <v>8421</v>
      </c>
      <c r="L3173" s="13" t="s">
        <v>8901</v>
      </c>
      <c r="M3173" t="s">
        <v>3</v>
      </c>
    </row>
    <row r="3174" spans="1:13" x14ac:dyDescent="0.25">
      <c r="A3174" s="13" t="s">
        <v>7822</v>
      </c>
      <c r="B3174" s="13" t="s">
        <v>7822</v>
      </c>
      <c r="C3174" s="13" t="s">
        <v>7822</v>
      </c>
      <c r="D3174" s="13">
        <v>3.2</v>
      </c>
      <c r="E3174" s="13" t="s">
        <v>7823</v>
      </c>
      <c r="F3174" s="13" t="s">
        <v>8861</v>
      </c>
      <c r="G3174" s="13" t="s">
        <v>2</v>
      </c>
      <c r="H3174" s="13" t="s">
        <v>3</v>
      </c>
      <c r="I3174" s="13" t="s">
        <v>228</v>
      </c>
      <c r="J3174" s="13" t="s">
        <v>8890</v>
      </c>
      <c r="K3174" s="13" t="s">
        <v>8418</v>
      </c>
      <c r="L3174" s="13" t="s">
        <v>8891</v>
      </c>
      <c r="M3174" t="s">
        <v>3</v>
      </c>
    </row>
    <row r="3175" spans="1:13" ht="26.25" x14ac:dyDescent="0.25">
      <c r="A3175" s="13" t="s">
        <v>7824</v>
      </c>
      <c r="B3175" s="13" t="s">
        <v>7824</v>
      </c>
      <c r="C3175" s="13" t="s">
        <v>7825</v>
      </c>
      <c r="D3175" s="13">
        <v>2.6</v>
      </c>
      <c r="E3175" s="13" t="s">
        <v>7826</v>
      </c>
      <c r="F3175" s="13" t="s">
        <v>8865</v>
      </c>
      <c r="G3175" s="13" t="s">
        <v>2</v>
      </c>
      <c r="H3175" s="13" t="s">
        <v>3</v>
      </c>
      <c r="I3175" s="13" t="s">
        <v>4</v>
      </c>
      <c r="J3175" s="13" t="s">
        <v>8890</v>
      </c>
      <c r="K3175" s="13" t="s">
        <v>8424</v>
      </c>
      <c r="L3175" s="13" t="s">
        <v>8901</v>
      </c>
      <c r="M3175" t="s">
        <v>3</v>
      </c>
    </row>
    <row r="3176" spans="1:13" ht="26.25" x14ac:dyDescent="0.25">
      <c r="A3176" s="13" t="s">
        <v>7827</v>
      </c>
      <c r="B3176" s="13" t="s">
        <v>7827</v>
      </c>
      <c r="C3176" s="13" t="s">
        <v>7828</v>
      </c>
      <c r="D3176" s="13">
        <v>15</v>
      </c>
      <c r="E3176" s="13" t="s">
        <v>7829</v>
      </c>
      <c r="F3176" s="13" t="s">
        <v>8862</v>
      </c>
      <c r="G3176" s="13" t="s">
        <v>2</v>
      </c>
      <c r="H3176" s="13" t="s">
        <v>3</v>
      </c>
      <c r="I3176" s="13" t="s">
        <v>4</v>
      </c>
      <c r="J3176" s="13" t="s">
        <v>8890</v>
      </c>
      <c r="K3176" s="13" t="s">
        <v>8424</v>
      </c>
      <c r="L3176" s="13" t="s">
        <v>8892</v>
      </c>
      <c r="M3176" t="s">
        <v>3</v>
      </c>
    </row>
    <row r="3177" spans="1:13" x14ac:dyDescent="0.25">
      <c r="A3177" s="13" t="s">
        <v>7830</v>
      </c>
      <c r="B3177" s="13" t="s">
        <v>7830</v>
      </c>
      <c r="C3177" s="13" t="s">
        <v>7831</v>
      </c>
      <c r="D3177" s="13">
        <v>14.9</v>
      </c>
      <c r="E3177" s="13" t="s">
        <v>7832</v>
      </c>
      <c r="F3177" s="13" t="s">
        <v>8862</v>
      </c>
      <c r="G3177" s="13" t="s">
        <v>2</v>
      </c>
      <c r="H3177" s="13" t="s">
        <v>3</v>
      </c>
      <c r="I3177" s="13" t="s">
        <v>7833</v>
      </c>
      <c r="J3177" s="13" t="s">
        <v>8890</v>
      </c>
      <c r="K3177" s="13" t="s">
        <v>8835</v>
      </c>
      <c r="L3177" s="13" t="s">
        <v>8892</v>
      </c>
      <c r="M3177" t="s">
        <v>3</v>
      </c>
    </row>
    <row r="3178" spans="1:13" ht="26.25" x14ac:dyDescent="0.25">
      <c r="A3178" s="13" t="s">
        <v>7834</v>
      </c>
      <c r="B3178" s="13" t="s">
        <v>7834</v>
      </c>
      <c r="C3178" s="13" t="s">
        <v>7835</v>
      </c>
      <c r="D3178" s="13">
        <v>8.1</v>
      </c>
      <c r="E3178" s="13" t="s">
        <v>7836</v>
      </c>
      <c r="F3178" s="13" t="s">
        <v>8865</v>
      </c>
      <c r="G3178" s="13" t="s">
        <v>2</v>
      </c>
      <c r="H3178" s="13" t="s">
        <v>3</v>
      </c>
      <c r="I3178" s="13" t="s">
        <v>4</v>
      </c>
      <c r="J3178" s="13" t="s">
        <v>8890</v>
      </c>
      <c r="K3178" s="13" t="s">
        <v>8424</v>
      </c>
      <c r="L3178" s="13" t="s">
        <v>8901</v>
      </c>
      <c r="M3178" t="s">
        <v>3</v>
      </c>
    </row>
    <row r="3179" spans="1:13" x14ac:dyDescent="0.25">
      <c r="A3179" s="13" t="s">
        <v>7837</v>
      </c>
      <c r="B3179" s="13" t="s">
        <v>7837</v>
      </c>
      <c r="C3179" s="13" t="s">
        <v>7838</v>
      </c>
      <c r="D3179" s="13">
        <v>5.4</v>
      </c>
      <c r="E3179" s="13" t="s">
        <v>7839</v>
      </c>
      <c r="F3179" s="13" t="s">
        <v>8865</v>
      </c>
      <c r="G3179" s="13" t="s">
        <v>2</v>
      </c>
      <c r="H3179" s="13" t="s">
        <v>3</v>
      </c>
      <c r="I3179" s="13" t="s">
        <v>706</v>
      </c>
      <c r="J3179" s="13" t="s">
        <v>8890</v>
      </c>
      <c r="K3179" s="13" t="s">
        <v>8419</v>
      </c>
      <c r="L3179" s="13" t="s">
        <v>8901</v>
      </c>
      <c r="M3179" t="s">
        <v>3</v>
      </c>
    </row>
    <row r="3180" spans="1:13" ht="26.25" x14ac:dyDescent="0.25">
      <c r="A3180" s="13" t="s">
        <v>7841</v>
      </c>
      <c r="B3180" s="13" t="s">
        <v>7841</v>
      </c>
      <c r="C3180" s="13" t="s">
        <v>7842</v>
      </c>
      <c r="D3180" s="13">
        <v>12</v>
      </c>
      <c r="E3180" s="13" t="s">
        <v>7843</v>
      </c>
      <c r="F3180" s="13" t="s">
        <v>8865</v>
      </c>
      <c r="G3180" s="13" t="s">
        <v>2</v>
      </c>
      <c r="H3180" s="13" t="s">
        <v>3</v>
      </c>
      <c r="I3180" s="13" t="s">
        <v>429</v>
      </c>
      <c r="J3180" s="13" t="s">
        <v>8890</v>
      </c>
      <c r="K3180" s="13" t="s">
        <v>6051</v>
      </c>
      <c r="L3180" s="13" t="s">
        <v>8901</v>
      </c>
      <c r="M3180" t="s">
        <v>3</v>
      </c>
    </row>
    <row r="3181" spans="1:13" ht="26.25" x14ac:dyDescent="0.25">
      <c r="A3181" s="13" t="s">
        <v>7844</v>
      </c>
      <c r="B3181" s="13" t="s">
        <v>7844</v>
      </c>
      <c r="C3181" s="13" t="s">
        <v>9492</v>
      </c>
      <c r="D3181" s="13">
        <v>282</v>
      </c>
      <c r="E3181" s="13" t="s">
        <v>7845</v>
      </c>
      <c r="F3181" s="13" t="s">
        <v>8865</v>
      </c>
      <c r="G3181" s="13" t="s">
        <v>2</v>
      </c>
      <c r="H3181" s="13" t="s">
        <v>3</v>
      </c>
      <c r="I3181" s="13" t="s">
        <v>1562</v>
      </c>
      <c r="J3181" s="13" t="s">
        <v>8890</v>
      </c>
      <c r="K3181" s="13" t="s">
        <v>8423</v>
      </c>
      <c r="L3181" s="13" t="s">
        <v>8901</v>
      </c>
      <c r="M3181" t="s">
        <v>3</v>
      </c>
    </row>
    <row r="3182" spans="1:13" x14ac:dyDescent="0.25">
      <c r="A3182" s="13" t="s">
        <v>7846</v>
      </c>
      <c r="B3182" s="13" t="s">
        <v>7846</v>
      </c>
      <c r="C3182" s="13" t="s">
        <v>7847</v>
      </c>
      <c r="D3182" s="13">
        <v>3.9</v>
      </c>
      <c r="E3182" s="13" t="s">
        <v>7848</v>
      </c>
      <c r="F3182" s="13" t="s">
        <v>8865</v>
      </c>
      <c r="G3182" s="13" t="s">
        <v>2</v>
      </c>
      <c r="H3182" s="13" t="s">
        <v>3</v>
      </c>
      <c r="I3182" s="13" t="s">
        <v>447</v>
      </c>
      <c r="J3182" s="13" t="s">
        <v>8890</v>
      </c>
      <c r="K3182" s="13" t="s">
        <v>8421</v>
      </c>
      <c r="L3182" s="13" t="s">
        <v>8901</v>
      </c>
      <c r="M3182" t="s">
        <v>3</v>
      </c>
    </row>
    <row r="3183" spans="1:13" ht="26.25" x14ac:dyDescent="0.25">
      <c r="A3183" s="13" t="s">
        <v>7849</v>
      </c>
      <c r="B3183" s="13" t="s">
        <v>7849</v>
      </c>
      <c r="C3183" s="13" t="s">
        <v>7850</v>
      </c>
      <c r="D3183" s="13">
        <v>6.7</v>
      </c>
      <c r="E3183" s="13" t="s">
        <v>7851</v>
      </c>
      <c r="F3183" s="13" t="s">
        <v>8865</v>
      </c>
      <c r="G3183" s="13" t="s">
        <v>2</v>
      </c>
      <c r="H3183" s="13" t="s">
        <v>3</v>
      </c>
      <c r="I3183" s="13" t="s">
        <v>2280</v>
      </c>
      <c r="J3183" s="13" t="s">
        <v>8890</v>
      </c>
      <c r="K3183" s="13" t="s">
        <v>8596</v>
      </c>
      <c r="L3183" s="13" t="s">
        <v>8901</v>
      </c>
      <c r="M3183" t="s">
        <v>3</v>
      </c>
    </row>
    <row r="3184" spans="1:13" ht="26.25" x14ac:dyDescent="0.25">
      <c r="A3184" s="13" t="s">
        <v>7852</v>
      </c>
      <c r="B3184" s="13" t="s">
        <v>7852</v>
      </c>
      <c r="C3184" s="13" t="s">
        <v>7853</v>
      </c>
      <c r="D3184" s="13">
        <v>1.5</v>
      </c>
      <c r="E3184" s="13" t="s">
        <v>7854</v>
      </c>
      <c r="F3184" s="13" t="s">
        <v>8865</v>
      </c>
      <c r="G3184" s="13" t="s">
        <v>2</v>
      </c>
      <c r="H3184" s="13" t="s">
        <v>3</v>
      </c>
      <c r="I3184" s="13" t="s">
        <v>2465</v>
      </c>
      <c r="J3184" s="13" t="s">
        <v>8890</v>
      </c>
      <c r="K3184" s="13" t="s">
        <v>8605</v>
      </c>
      <c r="L3184" s="13" t="s">
        <v>8901</v>
      </c>
      <c r="M3184" t="s">
        <v>3</v>
      </c>
    </row>
    <row r="3185" spans="1:13" ht="26.25" x14ac:dyDescent="0.25">
      <c r="A3185" s="13" t="s">
        <v>7855</v>
      </c>
      <c r="B3185" s="13" t="s">
        <v>7855</v>
      </c>
      <c r="C3185" s="13" t="s">
        <v>7856</v>
      </c>
      <c r="D3185" s="13">
        <v>3.9</v>
      </c>
      <c r="E3185" s="13" t="s">
        <v>7857</v>
      </c>
      <c r="F3185" s="13" t="s">
        <v>8865</v>
      </c>
      <c r="G3185" s="13" t="s">
        <v>2</v>
      </c>
      <c r="H3185" s="13" t="s">
        <v>3</v>
      </c>
      <c r="I3185" s="13" t="s">
        <v>2465</v>
      </c>
      <c r="J3185" s="13" t="s">
        <v>8890</v>
      </c>
      <c r="K3185" s="13" t="s">
        <v>8605</v>
      </c>
      <c r="L3185" s="13" t="s">
        <v>8901</v>
      </c>
      <c r="M3185" t="s">
        <v>3</v>
      </c>
    </row>
    <row r="3186" spans="1:13" ht="26.25" x14ac:dyDescent="0.25">
      <c r="A3186" s="13" t="s">
        <v>7858</v>
      </c>
      <c r="B3186" s="13" t="s">
        <v>7858</v>
      </c>
      <c r="C3186" s="13" t="s">
        <v>7859</v>
      </c>
      <c r="D3186" s="13">
        <v>0.9</v>
      </c>
      <c r="E3186" s="13" t="s">
        <v>7860</v>
      </c>
      <c r="F3186" s="13" t="s">
        <v>8865</v>
      </c>
      <c r="G3186" s="13" t="s">
        <v>2</v>
      </c>
      <c r="H3186" s="13" t="s">
        <v>3</v>
      </c>
      <c r="I3186" s="13" t="s">
        <v>435</v>
      </c>
      <c r="J3186" s="13" t="s">
        <v>8890</v>
      </c>
      <c r="K3186" s="13" t="s">
        <v>8469</v>
      </c>
      <c r="L3186" s="13" t="s">
        <v>8901</v>
      </c>
      <c r="M3186" t="s">
        <v>3</v>
      </c>
    </row>
    <row r="3187" spans="1:13" ht="26.25" x14ac:dyDescent="0.25">
      <c r="A3187" s="13" t="s">
        <v>7861</v>
      </c>
      <c r="B3187" s="13" t="s">
        <v>7861</v>
      </c>
      <c r="C3187" s="13" t="s">
        <v>7862</v>
      </c>
      <c r="D3187" s="13">
        <v>3.4</v>
      </c>
      <c r="E3187" s="13" t="s">
        <v>7863</v>
      </c>
      <c r="F3187" s="13" t="s">
        <v>8865</v>
      </c>
      <c r="G3187" s="13" t="s">
        <v>2</v>
      </c>
      <c r="H3187" s="13" t="s">
        <v>3</v>
      </c>
      <c r="I3187" s="13" t="s">
        <v>228</v>
      </c>
      <c r="J3187" s="13" t="s">
        <v>8890</v>
      </c>
      <c r="K3187" s="13" t="s">
        <v>8418</v>
      </c>
      <c r="L3187" s="13" t="s">
        <v>8901</v>
      </c>
      <c r="M3187" t="s">
        <v>3</v>
      </c>
    </row>
    <row r="3188" spans="1:13" ht="26.25" x14ac:dyDescent="0.25">
      <c r="A3188" s="13" t="s">
        <v>7864</v>
      </c>
      <c r="B3188" s="13" t="s">
        <v>7864</v>
      </c>
      <c r="C3188" s="13" t="s">
        <v>7865</v>
      </c>
      <c r="D3188" s="13">
        <v>121.2</v>
      </c>
      <c r="E3188" s="13" t="s">
        <v>7866</v>
      </c>
      <c r="F3188" s="13" t="s">
        <v>8865</v>
      </c>
      <c r="G3188" s="13" t="s">
        <v>2</v>
      </c>
      <c r="H3188" s="13" t="s">
        <v>3</v>
      </c>
      <c r="I3188" s="13" t="s">
        <v>2688</v>
      </c>
      <c r="J3188" s="13" t="s">
        <v>8890</v>
      </c>
      <c r="K3188" s="13" t="s">
        <v>8430</v>
      </c>
      <c r="L3188" s="13" t="s">
        <v>8901</v>
      </c>
      <c r="M3188" t="s">
        <v>3</v>
      </c>
    </row>
    <row r="3189" spans="1:13" ht="26.25" x14ac:dyDescent="0.25">
      <c r="A3189" s="13" t="s">
        <v>7867</v>
      </c>
      <c r="B3189" s="13" t="s">
        <v>7867</v>
      </c>
      <c r="C3189" s="13" t="s">
        <v>7868</v>
      </c>
      <c r="D3189" s="13">
        <v>15.8</v>
      </c>
      <c r="E3189" s="13" t="s">
        <v>7869</v>
      </c>
      <c r="F3189" s="13" t="s">
        <v>8865</v>
      </c>
      <c r="G3189" s="13" t="s">
        <v>2</v>
      </c>
      <c r="H3189" s="13" t="s">
        <v>3</v>
      </c>
      <c r="I3189" s="13" t="s">
        <v>2349</v>
      </c>
      <c r="J3189" s="13" t="s">
        <v>8890</v>
      </c>
      <c r="K3189" s="13" t="s">
        <v>8599</v>
      </c>
      <c r="L3189" s="13" t="s">
        <v>8901</v>
      </c>
      <c r="M3189" t="s">
        <v>3</v>
      </c>
    </row>
    <row r="3190" spans="1:13" x14ac:dyDescent="0.25">
      <c r="A3190" s="13" t="s">
        <v>7870</v>
      </c>
      <c r="B3190" s="13" t="s">
        <v>7870</v>
      </c>
      <c r="C3190" s="13" t="s">
        <v>7871</v>
      </c>
      <c r="D3190" s="13">
        <v>0</v>
      </c>
      <c r="E3190" s="13" t="s">
        <v>7872</v>
      </c>
      <c r="F3190" s="13" t="s">
        <v>8865</v>
      </c>
      <c r="G3190" s="13" t="s">
        <v>2</v>
      </c>
      <c r="H3190" s="13" t="s">
        <v>3</v>
      </c>
      <c r="I3190" s="13" t="s">
        <v>1366</v>
      </c>
      <c r="J3190" s="13" t="s">
        <v>8890</v>
      </c>
      <c r="K3190" s="13" t="s">
        <v>8417</v>
      </c>
      <c r="L3190" s="13" t="s">
        <v>8901</v>
      </c>
      <c r="M3190" t="s">
        <v>3</v>
      </c>
    </row>
    <row r="3191" spans="1:13" ht="26.25" x14ac:dyDescent="0.25">
      <c r="A3191" s="13" t="s">
        <v>7873</v>
      </c>
      <c r="B3191" s="13" t="s">
        <v>7873</v>
      </c>
      <c r="C3191" s="13" t="s">
        <v>9493</v>
      </c>
      <c r="D3191" s="13">
        <v>126.6</v>
      </c>
      <c r="E3191" s="13" t="s">
        <v>7874</v>
      </c>
      <c r="F3191" s="13" t="s">
        <v>8865</v>
      </c>
      <c r="G3191" s="13" t="s">
        <v>2</v>
      </c>
      <c r="H3191" s="13" t="s">
        <v>3</v>
      </c>
      <c r="I3191" s="13" t="s">
        <v>2356</v>
      </c>
      <c r="J3191" s="13" t="s">
        <v>8890</v>
      </c>
      <c r="K3191" s="13" t="s">
        <v>8429</v>
      </c>
      <c r="L3191" s="13" t="s">
        <v>8901</v>
      </c>
      <c r="M3191" t="s">
        <v>3</v>
      </c>
    </row>
    <row r="3192" spans="1:13" ht="26.25" x14ac:dyDescent="0.25">
      <c r="A3192" s="13" t="s">
        <v>7875</v>
      </c>
      <c r="B3192" s="13" t="s">
        <v>7875</v>
      </c>
      <c r="C3192" s="13" t="s">
        <v>7876</v>
      </c>
      <c r="D3192" s="13">
        <v>9.1999999999999993</v>
      </c>
      <c r="E3192" s="13" t="s">
        <v>7877</v>
      </c>
      <c r="F3192" s="13" t="s">
        <v>8861</v>
      </c>
      <c r="G3192" s="13" t="s">
        <v>2</v>
      </c>
      <c r="H3192" s="13" t="s">
        <v>3</v>
      </c>
      <c r="I3192" s="13" t="s">
        <v>3851</v>
      </c>
      <c r="J3192" s="13" t="s">
        <v>8890</v>
      </c>
      <c r="K3192" s="13" t="s">
        <v>8628</v>
      </c>
      <c r="L3192" s="13" t="s">
        <v>8891</v>
      </c>
      <c r="M3192" t="s">
        <v>3</v>
      </c>
    </row>
    <row r="3193" spans="1:13" ht="26.25" x14ac:dyDescent="0.25">
      <c r="A3193" s="13" t="s">
        <v>7878</v>
      </c>
      <c r="B3193" s="13" t="s">
        <v>7878</v>
      </c>
      <c r="C3193" s="13" t="s">
        <v>7879</v>
      </c>
      <c r="D3193" s="13">
        <v>41</v>
      </c>
      <c r="E3193" s="13" t="s">
        <v>7880</v>
      </c>
      <c r="F3193" s="13" t="s">
        <v>8865</v>
      </c>
      <c r="G3193" s="13" t="s">
        <v>2</v>
      </c>
      <c r="H3193" s="13" t="s">
        <v>3</v>
      </c>
      <c r="I3193" s="13" t="s">
        <v>497</v>
      </c>
      <c r="J3193" s="13" t="s">
        <v>8890</v>
      </c>
      <c r="K3193" s="13" t="s">
        <v>8475</v>
      </c>
      <c r="L3193" s="13" t="s">
        <v>8901</v>
      </c>
      <c r="M3193" t="s">
        <v>3</v>
      </c>
    </row>
    <row r="3194" spans="1:13" ht="26.25" x14ac:dyDescent="0.25">
      <c r="A3194" s="13" t="s">
        <v>7881</v>
      </c>
      <c r="B3194" s="13" t="s">
        <v>7881</v>
      </c>
      <c r="C3194" s="13" t="s">
        <v>9494</v>
      </c>
      <c r="D3194" s="13">
        <v>9.6999999999999993</v>
      </c>
      <c r="E3194" s="13" t="s">
        <v>7882</v>
      </c>
      <c r="F3194" s="13" t="s">
        <v>8865</v>
      </c>
      <c r="G3194" s="13" t="s">
        <v>2</v>
      </c>
      <c r="H3194" s="13" t="s">
        <v>3</v>
      </c>
      <c r="I3194" s="13" t="s">
        <v>1263</v>
      </c>
      <c r="J3194" s="13" t="s">
        <v>8890</v>
      </c>
      <c r="K3194" s="13" t="s">
        <v>8422</v>
      </c>
      <c r="L3194" s="13" t="s">
        <v>8901</v>
      </c>
      <c r="M3194" t="s">
        <v>3</v>
      </c>
    </row>
    <row r="3195" spans="1:13" ht="26.25" x14ac:dyDescent="0.25">
      <c r="A3195" s="13" t="s">
        <v>7883</v>
      </c>
      <c r="B3195" s="13" t="s">
        <v>7884</v>
      </c>
      <c r="C3195" s="13" t="s">
        <v>7885</v>
      </c>
      <c r="D3195" s="13">
        <v>31.7</v>
      </c>
      <c r="E3195" s="13" t="s">
        <v>7886</v>
      </c>
      <c r="F3195" s="13" t="s">
        <v>8873</v>
      </c>
      <c r="G3195" s="13" t="s">
        <v>2</v>
      </c>
      <c r="H3195" s="13" t="s">
        <v>3</v>
      </c>
      <c r="I3195" s="13" t="s">
        <v>4021</v>
      </c>
      <c r="J3195" s="13" t="s">
        <v>8890</v>
      </c>
      <c r="K3195" s="13" t="s">
        <v>8632</v>
      </c>
      <c r="L3195" s="13" t="s">
        <v>9399</v>
      </c>
      <c r="M3195" t="s">
        <v>3</v>
      </c>
    </row>
    <row r="3196" spans="1:13" x14ac:dyDescent="0.25">
      <c r="A3196" s="13" t="s">
        <v>7887</v>
      </c>
      <c r="B3196" s="13" t="s">
        <v>7888</v>
      </c>
      <c r="C3196" s="13" t="s">
        <v>7889</v>
      </c>
      <c r="D3196" s="13">
        <v>5</v>
      </c>
      <c r="E3196" s="13" t="s">
        <v>7890</v>
      </c>
      <c r="F3196" s="13" t="s">
        <v>8873</v>
      </c>
      <c r="G3196" s="13" t="s">
        <v>2</v>
      </c>
      <c r="H3196" s="13" t="s">
        <v>3</v>
      </c>
      <c r="I3196" s="13" t="s">
        <v>7638</v>
      </c>
      <c r="J3196" s="13" t="s">
        <v>8890</v>
      </c>
      <c r="K3196" s="13" t="s">
        <v>8829</v>
      </c>
      <c r="L3196" s="13" t="s">
        <v>8964</v>
      </c>
      <c r="M3196" t="s">
        <v>3</v>
      </c>
    </row>
    <row r="3197" spans="1:13" x14ac:dyDescent="0.25">
      <c r="A3197" s="13" t="s">
        <v>7891</v>
      </c>
      <c r="B3197" s="13" t="s">
        <v>7891</v>
      </c>
      <c r="C3197" s="13" t="s">
        <v>7892</v>
      </c>
      <c r="D3197" s="13">
        <v>3.8</v>
      </c>
      <c r="E3197" s="13" t="s">
        <v>7893</v>
      </c>
      <c r="F3197" s="13" t="s">
        <v>8865</v>
      </c>
      <c r="G3197" s="13" t="s">
        <v>2</v>
      </c>
      <c r="H3197" s="13" t="s">
        <v>3</v>
      </c>
      <c r="I3197" s="13" t="s">
        <v>809</v>
      </c>
      <c r="J3197" s="13" t="s">
        <v>8890</v>
      </c>
      <c r="K3197" s="13" t="s">
        <v>8512</v>
      </c>
      <c r="L3197" s="13" t="s">
        <v>8901</v>
      </c>
      <c r="M3197" t="s">
        <v>3</v>
      </c>
    </row>
    <row r="3198" spans="1:13" ht="26.25" x14ac:dyDescent="0.25">
      <c r="A3198" s="13" t="s">
        <v>7894</v>
      </c>
      <c r="B3198" s="13" t="s">
        <v>7894</v>
      </c>
      <c r="C3198" s="13" t="s">
        <v>7894</v>
      </c>
      <c r="D3198" s="13">
        <v>12.1</v>
      </c>
      <c r="E3198" s="13" t="s">
        <v>7895</v>
      </c>
      <c r="F3198" s="13" t="s">
        <v>8865</v>
      </c>
      <c r="G3198" s="13" t="s">
        <v>2</v>
      </c>
      <c r="H3198" s="13" t="s">
        <v>3</v>
      </c>
      <c r="I3198" s="13" t="s">
        <v>4</v>
      </c>
      <c r="J3198" s="13" t="s">
        <v>8890</v>
      </c>
      <c r="K3198" s="13" t="s">
        <v>8424</v>
      </c>
      <c r="L3198" s="13" t="s">
        <v>8901</v>
      </c>
      <c r="M3198" t="s">
        <v>3</v>
      </c>
    </row>
    <row r="3199" spans="1:13" ht="26.25" x14ac:dyDescent="0.25">
      <c r="A3199" s="13" t="s">
        <v>7896</v>
      </c>
      <c r="B3199" s="13" t="s">
        <v>7897</v>
      </c>
      <c r="C3199" s="13" t="s">
        <v>7898</v>
      </c>
      <c r="D3199" s="13">
        <v>4.3</v>
      </c>
      <c r="E3199" s="13" t="s">
        <v>7899</v>
      </c>
      <c r="F3199" s="13" t="s">
        <v>8865</v>
      </c>
      <c r="G3199" s="13" t="s">
        <v>2</v>
      </c>
      <c r="H3199" s="13" t="s">
        <v>3</v>
      </c>
      <c r="I3199" s="13" t="s">
        <v>4</v>
      </c>
      <c r="J3199" s="13" t="s">
        <v>8890</v>
      </c>
      <c r="K3199" s="13" t="s">
        <v>8424</v>
      </c>
      <c r="L3199" s="13" t="s">
        <v>8901</v>
      </c>
      <c r="M3199" t="s">
        <v>3</v>
      </c>
    </row>
    <row r="3200" spans="1:13" ht="26.25" x14ac:dyDescent="0.25">
      <c r="A3200" s="13" t="s">
        <v>7900</v>
      </c>
      <c r="B3200" s="13" t="s">
        <v>7901</v>
      </c>
      <c r="C3200" s="13" t="s">
        <v>7902</v>
      </c>
      <c r="D3200" s="13">
        <v>208</v>
      </c>
      <c r="E3200" s="13" t="s">
        <v>7903</v>
      </c>
      <c r="F3200" s="13" t="s">
        <v>8907</v>
      </c>
      <c r="G3200" s="13" t="s">
        <v>19</v>
      </c>
      <c r="H3200" s="13" t="s">
        <v>3</v>
      </c>
      <c r="I3200" s="13" t="s">
        <v>7904</v>
      </c>
      <c r="J3200" s="13" t="s">
        <v>144</v>
      </c>
      <c r="K3200" s="13" t="s">
        <v>8430</v>
      </c>
      <c r="L3200" s="13" t="s">
        <v>144</v>
      </c>
      <c r="M3200" t="s">
        <v>3</v>
      </c>
    </row>
    <row r="3201" spans="1:13" x14ac:dyDescent="0.25">
      <c r="A3201" s="13" t="s">
        <v>7905</v>
      </c>
      <c r="B3201" s="13" t="s">
        <v>7906</v>
      </c>
      <c r="C3201" s="13" t="s">
        <v>7907</v>
      </c>
      <c r="D3201" s="13">
        <v>215</v>
      </c>
      <c r="E3201" s="13" t="s">
        <v>7908</v>
      </c>
      <c r="F3201" s="13" t="s">
        <v>8868</v>
      </c>
      <c r="G3201" s="13" t="s">
        <v>2</v>
      </c>
      <c r="H3201" s="13" t="s">
        <v>8900</v>
      </c>
      <c r="I3201" s="13" t="s">
        <v>7904</v>
      </c>
      <c r="J3201" s="13" t="s">
        <v>8890</v>
      </c>
      <c r="K3201" s="13" t="s">
        <v>8430</v>
      </c>
      <c r="L3201" s="13" t="s">
        <v>8908</v>
      </c>
      <c r="M3201" t="s">
        <v>10683</v>
      </c>
    </row>
    <row r="3202" spans="1:13" x14ac:dyDescent="0.25">
      <c r="A3202" s="13" t="s">
        <v>7909</v>
      </c>
      <c r="B3202" s="13" t="s">
        <v>7910</v>
      </c>
      <c r="C3202" s="13" t="s">
        <v>7911</v>
      </c>
      <c r="D3202" s="13">
        <v>385.4</v>
      </c>
      <c r="E3202" s="13" t="s">
        <v>7912</v>
      </c>
      <c r="F3202" s="13" t="s">
        <v>8863</v>
      </c>
      <c r="G3202" s="13" t="s">
        <v>2</v>
      </c>
      <c r="H3202" s="13" t="s">
        <v>8900</v>
      </c>
      <c r="I3202" s="13" t="s">
        <v>7904</v>
      </c>
      <c r="J3202" s="13" t="s">
        <v>8890</v>
      </c>
      <c r="K3202" s="13" t="s">
        <v>8430</v>
      </c>
      <c r="L3202" s="13" t="s">
        <v>8893</v>
      </c>
      <c r="M3202" t="s">
        <v>10683</v>
      </c>
    </row>
    <row r="3203" spans="1:13" x14ac:dyDescent="0.25">
      <c r="A3203" s="13" t="s">
        <v>7913</v>
      </c>
      <c r="B3203" s="13" t="s">
        <v>9495</v>
      </c>
      <c r="C3203" s="13" t="s">
        <v>9496</v>
      </c>
      <c r="D3203" s="13">
        <v>941.1</v>
      </c>
      <c r="E3203" s="13" t="s">
        <v>7914</v>
      </c>
      <c r="F3203" s="13" t="s">
        <v>8863</v>
      </c>
      <c r="G3203" s="13" t="s">
        <v>2</v>
      </c>
      <c r="H3203" s="13" t="s">
        <v>8900</v>
      </c>
      <c r="I3203" s="13" t="s">
        <v>7904</v>
      </c>
      <c r="J3203" s="13" t="s">
        <v>8890</v>
      </c>
      <c r="K3203" s="13" t="s">
        <v>8430</v>
      </c>
      <c r="L3203" s="13" t="s">
        <v>8893</v>
      </c>
      <c r="M3203" t="s">
        <v>10683</v>
      </c>
    </row>
    <row r="3204" spans="1:13" x14ac:dyDescent="0.25">
      <c r="A3204" s="13" t="s">
        <v>7915</v>
      </c>
      <c r="B3204" s="13" t="s">
        <v>7916</v>
      </c>
      <c r="C3204" s="13" t="s">
        <v>7917</v>
      </c>
      <c r="D3204" s="13">
        <v>388.4</v>
      </c>
      <c r="E3204" s="13" t="s">
        <v>7918</v>
      </c>
      <c r="F3204" s="13" t="s">
        <v>8863</v>
      </c>
      <c r="G3204" s="13" t="s">
        <v>2</v>
      </c>
      <c r="H3204" s="13" t="s">
        <v>8900</v>
      </c>
      <c r="I3204" s="13" t="s">
        <v>7904</v>
      </c>
      <c r="J3204" s="13" t="s">
        <v>8890</v>
      </c>
      <c r="K3204" s="13" t="s">
        <v>8430</v>
      </c>
      <c r="L3204" s="13" t="s">
        <v>8893</v>
      </c>
      <c r="M3204" t="s">
        <v>10683</v>
      </c>
    </row>
    <row r="3205" spans="1:13" ht="26.25" x14ac:dyDescent="0.25">
      <c r="A3205" s="13" t="s">
        <v>7919</v>
      </c>
      <c r="B3205" s="13" t="s">
        <v>7919</v>
      </c>
      <c r="C3205" s="13" t="s">
        <v>7919</v>
      </c>
      <c r="D3205" s="13">
        <v>1.5</v>
      </c>
      <c r="E3205" s="13" t="s">
        <v>7920</v>
      </c>
      <c r="F3205" s="13" t="s">
        <v>8863</v>
      </c>
      <c r="G3205" s="13" t="s">
        <v>2</v>
      </c>
      <c r="H3205" s="13" t="s">
        <v>3</v>
      </c>
      <c r="I3205" s="13" t="s">
        <v>10</v>
      </c>
      <c r="J3205" s="13" t="s">
        <v>8890</v>
      </c>
      <c r="K3205" s="13" t="s">
        <v>8425</v>
      </c>
      <c r="L3205" s="13" t="s">
        <v>8893</v>
      </c>
      <c r="M3205" t="s">
        <v>3</v>
      </c>
    </row>
    <row r="3206" spans="1:13" ht="26.25" x14ac:dyDescent="0.25">
      <c r="A3206" s="13" t="s">
        <v>7921</v>
      </c>
      <c r="B3206" s="13" t="s">
        <v>9497</v>
      </c>
      <c r="C3206" s="13" t="s">
        <v>7922</v>
      </c>
      <c r="D3206" s="13">
        <v>1</v>
      </c>
      <c r="E3206" s="13" t="s">
        <v>7923</v>
      </c>
      <c r="F3206" s="13" t="s">
        <v>8860</v>
      </c>
      <c r="G3206" s="13" t="s">
        <v>19</v>
      </c>
      <c r="H3206" s="13" t="s">
        <v>3</v>
      </c>
      <c r="I3206" s="13" t="s">
        <v>7924</v>
      </c>
      <c r="J3206" s="13" t="s">
        <v>21</v>
      </c>
      <c r="K3206" s="13" t="s">
        <v>8836</v>
      </c>
      <c r="L3206" s="13" t="s">
        <v>18</v>
      </c>
      <c r="M3206" t="s">
        <v>3</v>
      </c>
    </row>
    <row r="3207" spans="1:13" ht="26.25" x14ac:dyDescent="0.25">
      <c r="A3207" s="13" t="s">
        <v>7925</v>
      </c>
      <c r="B3207" s="13" t="s">
        <v>7926</v>
      </c>
      <c r="C3207" s="13" t="s">
        <v>7927</v>
      </c>
      <c r="D3207" s="13">
        <v>1</v>
      </c>
      <c r="E3207" s="13" t="s">
        <v>7928</v>
      </c>
      <c r="F3207" s="13" t="s">
        <v>8860</v>
      </c>
      <c r="G3207" s="13" t="s">
        <v>19</v>
      </c>
      <c r="H3207" s="13" t="s">
        <v>3</v>
      </c>
      <c r="I3207" s="13" t="s">
        <v>7929</v>
      </c>
      <c r="J3207" s="13" t="s">
        <v>21</v>
      </c>
      <c r="K3207" s="13" t="s">
        <v>8837</v>
      </c>
      <c r="L3207" s="13" t="s">
        <v>18</v>
      </c>
      <c r="M3207" t="s">
        <v>3</v>
      </c>
    </row>
    <row r="3208" spans="1:13" ht="26.25" x14ac:dyDescent="0.25">
      <c r="A3208" s="13" t="s">
        <v>7930</v>
      </c>
      <c r="B3208" s="13" t="s">
        <v>7931</v>
      </c>
      <c r="C3208" s="13" t="s">
        <v>7932</v>
      </c>
      <c r="D3208" s="13">
        <v>30</v>
      </c>
      <c r="E3208" s="13" t="s">
        <v>7933</v>
      </c>
      <c r="F3208" s="13" t="s">
        <v>8860</v>
      </c>
      <c r="G3208" s="13" t="s">
        <v>19</v>
      </c>
      <c r="H3208" s="13" t="s">
        <v>3</v>
      </c>
      <c r="I3208" s="13" t="s">
        <v>7931</v>
      </c>
      <c r="J3208" s="13" t="s">
        <v>21</v>
      </c>
      <c r="K3208" s="13" t="s">
        <v>8838</v>
      </c>
      <c r="L3208" s="13" t="s">
        <v>18</v>
      </c>
      <c r="M3208" t="s">
        <v>3</v>
      </c>
    </row>
    <row r="3209" spans="1:13" ht="26.25" x14ac:dyDescent="0.25">
      <c r="A3209" s="13" t="s">
        <v>7934</v>
      </c>
      <c r="B3209" s="13" t="s">
        <v>7934</v>
      </c>
      <c r="C3209" s="13" t="s">
        <v>7935</v>
      </c>
      <c r="D3209" s="13">
        <v>0.2</v>
      </c>
      <c r="E3209" s="13" t="s">
        <v>7936</v>
      </c>
      <c r="F3209" s="13" t="s">
        <v>8860</v>
      </c>
      <c r="G3209" s="13" t="s">
        <v>19</v>
      </c>
      <c r="H3209" s="13" t="s">
        <v>3</v>
      </c>
      <c r="I3209" s="13" t="s">
        <v>4554</v>
      </c>
      <c r="J3209" s="13" t="s">
        <v>21</v>
      </c>
      <c r="K3209" s="13" t="s">
        <v>8658</v>
      </c>
      <c r="L3209" s="13" t="s">
        <v>18</v>
      </c>
      <c r="M3209" t="s">
        <v>3</v>
      </c>
    </row>
    <row r="3210" spans="1:13" x14ac:dyDescent="0.25">
      <c r="A3210" s="13" t="s">
        <v>7937</v>
      </c>
      <c r="B3210" s="13" t="s">
        <v>7938</v>
      </c>
      <c r="C3210" s="13" t="s">
        <v>7939</v>
      </c>
      <c r="D3210" s="13">
        <v>0.4</v>
      </c>
      <c r="E3210" s="13" t="s">
        <v>7940</v>
      </c>
      <c r="F3210" s="13" t="s">
        <v>8865</v>
      </c>
      <c r="G3210" s="13" t="s">
        <v>2</v>
      </c>
      <c r="H3210" s="13" t="s">
        <v>3</v>
      </c>
      <c r="I3210" s="13" t="s">
        <v>948</v>
      </c>
      <c r="J3210" s="13" t="s">
        <v>8890</v>
      </c>
      <c r="K3210" s="13" t="s">
        <v>8518</v>
      </c>
      <c r="L3210" s="13" t="s">
        <v>8901</v>
      </c>
      <c r="M3210" t="s">
        <v>3</v>
      </c>
    </row>
    <row r="3211" spans="1:13" ht="26.25" x14ac:dyDescent="0.25">
      <c r="A3211" s="13" t="s">
        <v>11705</v>
      </c>
      <c r="B3211" s="13" t="s">
        <v>11706</v>
      </c>
      <c r="C3211" s="13" t="s">
        <v>11707</v>
      </c>
      <c r="D3211" s="13">
        <v>1</v>
      </c>
      <c r="E3211" s="13" t="s">
        <v>11708</v>
      </c>
      <c r="F3211" s="13" t="s">
        <v>8902</v>
      </c>
      <c r="G3211" s="13" t="s">
        <v>19</v>
      </c>
      <c r="H3211" s="13" t="s">
        <v>3</v>
      </c>
      <c r="I3211" s="13" t="s">
        <v>516</v>
      </c>
      <c r="J3211" s="13" t="s">
        <v>138</v>
      </c>
      <c r="K3211" s="13" t="s">
        <v>516</v>
      </c>
      <c r="L3211" s="13" t="s">
        <v>136</v>
      </c>
      <c r="M3211" t="s">
        <v>3</v>
      </c>
    </row>
    <row r="3212" spans="1:13" x14ac:dyDescent="0.25">
      <c r="A3212" s="13" t="s">
        <v>9815</v>
      </c>
      <c r="B3212" s="13" t="s">
        <v>9816</v>
      </c>
      <c r="C3212" s="13" t="s">
        <v>9817</v>
      </c>
      <c r="D3212" s="13">
        <v>25</v>
      </c>
      <c r="E3212" s="13" t="s">
        <v>9818</v>
      </c>
      <c r="F3212" s="13" t="s">
        <v>8867</v>
      </c>
      <c r="G3212" s="13" t="s">
        <v>2</v>
      </c>
      <c r="H3212" s="13" t="s">
        <v>3</v>
      </c>
      <c r="I3212" s="13" t="s">
        <v>516</v>
      </c>
      <c r="J3212" s="13" t="s">
        <v>8890</v>
      </c>
      <c r="K3212" s="13" t="s">
        <v>516</v>
      </c>
      <c r="L3212" s="13" t="s">
        <v>158</v>
      </c>
      <c r="M3212" t="s">
        <v>3</v>
      </c>
    </row>
    <row r="3213" spans="1:13" x14ac:dyDescent="0.25">
      <c r="A3213" s="13" t="s">
        <v>11709</v>
      </c>
      <c r="B3213" s="13" t="s">
        <v>11710</v>
      </c>
      <c r="C3213" s="13" t="s">
        <v>11711</v>
      </c>
      <c r="D3213" s="13">
        <v>1</v>
      </c>
      <c r="E3213" s="13" t="s">
        <v>11712</v>
      </c>
      <c r="F3213" s="13" t="s">
        <v>8902</v>
      </c>
      <c r="G3213" s="13" t="s">
        <v>2</v>
      </c>
      <c r="H3213" s="13" t="s">
        <v>3</v>
      </c>
      <c r="I3213" s="13" t="s">
        <v>516</v>
      </c>
      <c r="J3213" s="13" t="s">
        <v>138</v>
      </c>
      <c r="K3213" s="13" t="s">
        <v>516</v>
      </c>
      <c r="L3213" s="13" t="s">
        <v>136</v>
      </c>
      <c r="M3213" t="s">
        <v>3</v>
      </c>
    </row>
    <row r="3214" spans="1:13" x14ac:dyDescent="0.25">
      <c r="A3214" s="13" t="s">
        <v>11713</v>
      </c>
      <c r="B3214" s="13" t="s">
        <v>11714</v>
      </c>
      <c r="C3214" s="13" t="s">
        <v>11715</v>
      </c>
      <c r="D3214" s="13">
        <v>46.5</v>
      </c>
      <c r="E3214" s="13" t="s">
        <v>11716</v>
      </c>
      <c r="F3214" s="13" t="s">
        <v>8867</v>
      </c>
      <c r="G3214" s="13" t="s">
        <v>2</v>
      </c>
      <c r="H3214" s="13" t="s">
        <v>3</v>
      </c>
      <c r="I3214" s="13" t="s">
        <v>516</v>
      </c>
      <c r="J3214" s="13" t="s">
        <v>8890</v>
      </c>
      <c r="K3214" s="13" t="s">
        <v>516</v>
      </c>
      <c r="L3214" s="13" t="s">
        <v>158</v>
      </c>
      <c r="M3214" t="s">
        <v>3</v>
      </c>
    </row>
    <row r="3215" spans="1:13" x14ac:dyDescent="0.25">
      <c r="A3215" s="13" t="s">
        <v>10615</v>
      </c>
      <c r="B3215" s="13" t="s">
        <v>10615</v>
      </c>
      <c r="C3215" s="13" t="s">
        <v>10615</v>
      </c>
      <c r="D3215" s="13">
        <v>18</v>
      </c>
      <c r="E3215" s="13" t="s">
        <v>10616</v>
      </c>
      <c r="F3215" s="13" t="s">
        <v>8867</v>
      </c>
      <c r="G3215" s="13" t="s">
        <v>2</v>
      </c>
      <c r="H3215" s="13" t="s">
        <v>3</v>
      </c>
      <c r="I3215" s="13" t="s">
        <v>228</v>
      </c>
      <c r="J3215" s="13" t="s">
        <v>8890</v>
      </c>
      <c r="K3215" s="13" t="s">
        <v>8418</v>
      </c>
      <c r="L3215" s="13" t="s">
        <v>158</v>
      </c>
      <c r="M3215" t="s">
        <v>3</v>
      </c>
    </row>
    <row r="3216" spans="1:13" x14ac:dyDescent="0.25">
      <c r="A3216" s="13" t="s">
        <v>10617</v>
      </c>
      <c r="B3216" s="13" t="s">
        <v>10617</v>
      </c>
      <c r="C3216" s="13" t="s">
        <v>10617</v>
      </c>
      <c r="D3216" s="13">
        <v>22</v>
      </c>
      <c r="E3216" s="13" t="s">
        <v>10618</v>
      </c>
      <c r="F3216" s="13" t="s">
        <v>8867</v>
      </c>
      <c r="G3216" s="13" t="s">
        <v>2</v>
      </c>
      <c r="H3216" s="13" t="s">
        <v>3</v>
      </c>
      <c r="I3216" s="13" t="s">
        <v>228</v>
      </c>
      <c r="J3216" s="13" t="s">
        <v>8890</v>
      </c>
      <c r="K3216" s="13" t="s">
        <v>8418</v>
      </c>
      <c r="L3216" s="13" t="s">
        <v>158</v>
      </c>
      <c r="M3216" t="s">
        <v>3</v>
      </c>
    </row>
    <row r="3217" spans="1:13" x14ac:dyDescent="0.25">
      <c r="A3217" s="13" t="s">
        <v>9819</v>
      </c>
      <c r="B3217" s="13" t="s">
        <v>9820</v>
      </c>
      <c r="C3217" s="13" t="s">
        <v>9821</v>
      </c>
      <c r="D3217" s="13">
        <v>43.6</v>
      </c>
      <c r="E3217" s="13" t="s">
        <v>9822</v>
      </c>
      <c r="F3217" s="13" t="s">
        <v>8867</v>
      </c>
      <c r="G3217" s="13" t="s">
        <v>2</v>
      </c>
      <c r="H3217" s="13" t="s">
        <v>8958</v>
      </c>
      <c r="I3217" s="13" t="s">
        <v>516</v>
      </c>
      <c r="J3217" s="13" t="s">
        <v>8890</v>
      </c>
      <c r="K3217" s="13" t="s">
        <v>516</v>
      </c>
      <c r="L3217" s="13" t="s">
        <v>158</v>
      </c>
      <c r="M3217" t="s">
        <v>8958</v>
      </c>
    </row>
    <row r="3218" spans="1:13" x14ac:dyDescent="0.25">
      <c r="A3218" s="13" t="s">
        <v>10428</v>
      </c>
      <c r="B3218" s="13" t="s">
        <v>10429</v>
      </c>
      <c r="C3218" s="13" t="s">
        <v>10430</v>
      </c>
      <c r="D3218" s="13">
        <v>44.5</v>
      </c>
      <c r="E3218" s="13" t="s">
        <v>10431</v>
      </c>
      <c r="F3218" s="13" t="s">
        <v>8867</v>
      </c>
      <c r="G3218" s="13" t="s">
        <v>2</v>
      </c>
      <c r="H3218" s="13" t="s">
        <v>8958</v>
      </c>
      <c r="I3218" s="13" t="s">
        <v>516</v>
      </c>
      <c r="J3218" s="13" t="s">
        <v>8890</v>
      </c>
      <c r="K3218" s="13" t="s">
        <v>516</v>
      </c>
      <c r="L3218" s="13" t="s">
        <v>158</v>
      </c>
      <c r="M3218" t="s">
        <v>8958</v>
      </c>
    </row>
    <row r="3219" spans="1:13" x14ac:dyDescent="0.25">
      <c r="A3219" s="13" t="s">
        <v>11428</v>
      </c>
      <c r="B3219" s="13" t="s">
        <v>11428</v>
      </c>
      <c r="C3219" s="13" t="s">
        <v>11428</v>
      </c>
      <c r="D3219" s="13">
        <v>43.2</v>
      </c>
      <c r="E3219" s="13" t="s">
        <v>11429</v>
      </c>
      <c r="F3219" s="13" t="s">
        <v>8867</v>
      </c>
      <c r="G3219" s="13" t="s">
        <v>2</v>
      </c>
      <c r="H3219" s="13" t="s">
        <v>3</v>
      </c>
      <c r="I3219" s="13" t="s">
        <v>228</v>
      </c>
      <c r="J3219" s="13" t="s">
        <v>8890</v>
      </c>
      <c r="K3219" s="13" t="s">
        <v>8418</v>
      </c>
      <c r="L3219" s="13" t="s">
        <v>158</v>
      </c>
      <c r="M3219" t="s">
        <v>3</v>
      </c>
    </row>
    <row r="3220" spans="1:13" x14ac:dyDescent="0.25">
      <c r="A3220" s="13" t="s">
        <v>11430</v>
      </c>
      <c r="B3220" s="13" t="s">
        <v>11430</v>
      </c>
      <c r="C3220" s="13" t="s">
        <v>11430</v>
      </c>
      <c r="D3220" s="13">
        <v>27.1</v>
      </c>
      <c r="E3220" s="13" t="s">
        <v>11431</v>
      </c>
      <c r="F3220" s="13" t="s">
        <v>8867</v>
      </c>
      <c r="G3220" s="13" t="s">
        <v>2</v>
      </c>
      <c r="H3220" s="13" t="s">
        <v>3</v>
      </c>
      <c r="I3220" s="13" t="s">
        <v>228</v>
      </c>
      <c r="J3220" s="13" t="s">
        <v>8890</v>
      </c>
      <c r="K3220" s="13" t="s">
        <v>8418</v>
      </c>
      <c r="L3220" s="13" t="s">
        <v>158</v>
      </c>
      <c r="M3220" t="s">
        <v>3</v>
      </c>
    </row>
    <row r="3221" spans="1:13" x14ac:dyDescent="0.25">
      <c r="A3221" s="13" t="s">
        <v>11432</v>
      </c>
      <c r="B3221" s="13" t="s">
        <v>11432</v>
      </c>
      <c r="C3221" s="13" t="s">
        <v>11432</v>
      </c>
      <c r="D3221" s="13">
        <v>4.8</v>
      </c>
      <c r="E3221" s="13" t="s">
        <v>11433</v>
      </c>
      <c r="F3221" s="13" t="s">
        <v>8867</v>
      </c>
      <c r="G3221" s="13" t="s">
        <v>2</v>
      </c>
      <c r="H3221" s="13" t="s">
        <v>3</v>
      </c>
      <c r="I3221" s="13" t="s">
        <v>228</v>
      </c>
      <c r="J3221" s="13" t="s">
        <v>8890</v>
      </c>
      <c r="K3221" s="13" t="s">
        <v>8418</v>
      </c>
      <c r="L3221" s="13" t="s">
        <v>158</v>
      </c>
      <c r="M3221" t="s">
        <v>3</v>
      </c>
    </row>
    <row r="3222" spans="1:13" x14ac:dyDescent="0.25">
      <c r="A3222" s="13" t="s">
        <v>7941</v>
      </c>
      <c r="B3222" s="13" t="s">
        <v>7942</v>
      </c>
      <c r="C3222" s="13" t="s">
        <v>7943</v>
      </c>
      <c r="D3222" s="13">
        <v>112</v>
      </c>
      <c r="E3222" s="13" t="s">
        <v>7944</v>
      </c>
      <c r="F3222" s="13" t="s">
        <v>8869</v>
      </c>
      <c r="G3222" s="13" t="s">
        <v>2</v>
      </c>
      <c r="H3222" s="13" t="s">
        <v>3</v>
      </c>
      <c r="I3222" s="13" t="s">
        <v>516</v>
      </c>
      <c r="J3222" s="13" t="s">
        <v>8890</v>
      </c>
      <c r="K3222" s="13" t="s">
        <v>516</v>
      </c>
      <c r="L3222" s="13" t="s">
        <v>8918</v>
      </c>
      <c r="M3222" t="s">
        <v>3</v>
      </c>
    </row>
    <row r="3223" spans="1:13" x14ac:dyDescent="0.25">
      <c r="A3223" s="13" t="s">
        <v>11717</v>
      </c>
      <c r="B3223" s="13" t="s">
        <v>11718</v>
      </c>
      <c r="C3223" s="13" t="s">
        <v>11719</v>
      </c>
      <c r="D3223" s="13">
        <v>10</v>
      </c>
      <c r="E3223" s="13" t="s">
        <v>11720</v>
      </c>
      <c r="F3223" s="13" t="s">
        <v>8867</v>
      </c>
      <c r="G3223" s="13" t="s">
        <v>2</v>
      </c>
      <c r="H3223" s="13" t="s">
        <v>3</v>
      </c>
      <c r="I3223" s="13" t="s">
        <v>516</v>
      </c>
      <c r="J3223" s="13" t="s">
        <v>8890</v>
      </c>
      <c r="K3223" s="13" t="s">
        <v>516</v>
      </c>
      <c r="L3223" s="13" t="s">
        <v>158</v>
      </c>
      <c r="M3223" t="s">
        <v>3</v>
      </c>
    </row>
    <row r="3224" spans="1:13" x14ac:dyDescent="0.25">
      <c r="A3224" s="13" t="s">
        <v>11721</v>
      </c>
      <c r="B3224" s="13" t="s">
        <v>11722</v>
      </c>
      <c r="C3224" s="13" t="s">
        <v>11723</v>
      </c>
      <c r="D3224" s="13">
        <v>2.7</v>
      </c>
      <c r="E3224" s="13" t="s">
        <v>11724</v>
      </c>
      <c r="F3224" s="13" t="s">
        <v>8867</v>
      </c>
      <c r="G3224" s="13" t="s">
        <v>2</v>
      </c>
      <c r="H3224" s="13" t="s">
        <v>3</v>
      </c>
      <c r="I3224" s="13" t="s">
        <v>516</v>
      </c>
      <c r="J3224" s="13" t="s">
        <v>8890</v>
      </c>
      <c r="K3224" s="13" t="s">
        <v>516</v>
      </c>
      <c r="L3224" s="13" t="s">
        <v>158</v>
      </c>
      <c r="M3224" t="s">
        <v>3</v>
      </c>
    </row>
    <row r="3225" spans="1:13" x14ac:dyDescent="0.25">
      <c r="A3225" s="13" t="s">
        <v>10782</v>
      </c>
      <c r="B3225" s="13" t="s">
        <v>10783</v>
      </c>
      <c r="C3225" s="13" t="s">
        <v>10784</v>
      </c>
      <c r="D3225" s="13">
        <v>42</v>
      </c>
      <c r="E3225" s="13" t="s">
        <v>10785</v>
      </c>
      <c r="F3225" s="13" t="s">
        <v>8867</v>
      </c>
      <c r="G3225" s="13" t="s">
        <v>2</v>
      </c>
      <c r="H3225" s="13" t="s">
        <v>8958</v>
      </c>
      <c r="I3225" s="13" t="s">
        <v>516</v>
      </c>
      <c r="J3225" s="13" t="s">
        <v>8890</v>
      </c>
      <c r="K3225" s="13" t="s">
        <v>516</v>
      </c>
      <c r="L3225" s="13" t="s">
        <v>158</v>
      </c>
      <c r="M3225" t="s">
        <v>8958</v>
      </c>
    </row>
    <row r="3226" spans="1:13" x14ac:dyDescent="0.25">
      <c r="A3226" s="13" t="s">
        <v>11434</v>
      </c>
      <c r="B3226" s="13" t="s">
        <v>11435</v>
      </c>
      <c r="C3226" s="13" t="s">
        <v>11436</v>
      </c>
      <c r="D3226" s="13">
        <v>46.2</v>
      </c>
      <c r="E3226" s="13" t="s">
        <v>11437</v>
      </c>
      <c r="F3226" s="13" t="s">
        <v>8867</v>
      </c>
      <c r="G3226" s="13" t="s">
        <v>2</v>
      </c>
      <c r="H3226" s="13" t="s">
        <v>3</v>
      </c>
      <c r="I3226" s="13" t="s">
        <v>516</v>
      </c>
      <c r="J3226" s="13" t="s">
        <v>8890</v>
      </c>
      <c r="K3226" s="13" t="s">
        <v>516</v>
      </c>
      <c r="L3226" s="13" t="s">
        <v>158</v>
      </c>
      <c r="M3226" t="s">
        <v>3</v>
      </c>
    </row>
    <row r="3227" spans="1:13" x14ac:dyDescent="0.25">
      <c r="A3227" s="13" t="s">
        <v>9823</v>
      </c>
      <c r="B3227" s="13" t="s">
        <v>9824</v>
      </c>
      <c r="C3227" s="13" t="s">
        <v>9825</v>
      </c>
      <c r="D3227" s="13">
        <v>10.8</v>
      </c>
      <c r="E3227" s="13" t="s">
        <v>9826</v>
      </c>
      <c r="F3227" s="13" t="s">
        <v>8867</v>
      </c>
      <c r="G3227" s="13" t="s">
        <v>2</v>
      </c>
      <c r="H3227" s="13" t="s">
        <v>8958</v>
      </c>
      <c r="I3227" s="13" t="s">
        <v>516</v>
      </c>
      <c r="J3227" s="13" t="s">
        <v>8890</v>
      </c>
      <c r="K3227" s="13" t="s">
        <v>516</v>
      </c>
      <c r="L3227" s="13" t="s">
        <v>158</v>
      </c>
      <c r="M3227" t="s">
        <v>8958</v>
      </c>
    </row>
    <row r="3228" spans="1:13" x14ac:dyDescent="0.25">
      <c r="A3228" s="13" t="s">
        <v>9827</v>
      </c>
      <c r="B3228" s="13" t="s">
        <v>9828</v>
      </c>
      <c r="C3228" s="13" t="s">
        <v>9829</v>
      </c>
      <c r="D3228" s="13">
        <v>24.2</v>
      </c>
      <c r="E3228" s="13" t="s">
        <v>9830</v>
      </c>
      <c r="F3228" s="13" t="s">
        <v>8867</v>
      </c>
      <c r="G3228" s="13" t="s">
        <v>2</v>
      </c>
      <c r="H3228" s="13" t="s">
        <v>8958</v>
      </c>
      <c r="I3228" s="13" t="s">
        <v>516</v>
      </c>
      <c r="J3228" s="13" t="s">
        <v>8890</v>
      </c>
      <c r="K3228" s="13" t="s">
        <v>516</v>
      </c>
      <c r="L3228" s="13" t="s">
        <v>158</v>
      </c>
      <c r="M3228" t="s">
        <v>8958</v>
      </c>
    </row>
    <row r="3229" spans="1:13" x14ac:dyDescent="0.25">
      <c r="A3229" s="13" t="s">
        <v>11725</v>
      </c>
      <c r="B3229" s="13" t="s">
        <v>11725</v>
      </c>
      <c r="C3229" s="13" t="s">
        <v>11725</v>
      </c>
      <c r="D3229" s="13">
        <v>4.3</v>
      </c>
      <c r="E3229" s="13" t="s">
        <v>11726</v>
      </c>
      <c r="F3229" s="13" t="s">
        <v>8867</v>
      </c>
      <c r="G3229" s="13" t="s">
        <v>2</v>
      </c>
      <c r="H3229" s="13" t="s">
        <v>3</v>
      </c>
      <c r="I3229" s="13" t="s">
        <v>228</v>
      </c>
      <c r="J3229" s="13" t="s">
        <v>8890</v>
      </c>
      <c r="K3229" s="13" t="s">
        <v>8418</v>
      </c>
      <c r="L3229" s="13" t="s">
        <v>158</v>
      </c>
      <c r="M3229" t="s">
        <v>3</v>
      </c>
    </row>
    <row r="3230" spans="1:13" x14ac:dyDescent="0.25">
      <c r="A3230" s="13" t="s">
        <v>9679</v>
      </c>
      <c r="B3230" s="13" t="s">
        <v>9680</v>
      </c>
      <c r="C3230" s="13" t="s">
        <v>9681</v>
      </c>
      <c r="D3230" s="13">
        <v>48.2</v>
      </c>
      <c r="E3230" s="13" t="s">
        <v>9682</v>
      </c>
      <c r="F3230" s="13" t="s">
        <v>8869</v>
      </c>
      <c r="G3230" s="13" t="s">
        <v>2</v>
      </c>
      <c r="H3230" s="13" t="s">
        <v>10022</v>
      </c>
      <c r="I3230" s="13" t="s">
        <v>516</v>
      </c>
      <c r="J3230" s="13" t="s">
        <v>8890</v>
      </c>
      <c r="K3230" s="13" t="s">
        <v>516</v>
      </c>
      <c r="L3230" s="13" t="s">
        <v>8918</v>
      </c>
      <c r="M3230" t="s">
        <v>10022</v>
      </c>
    </row>
    <row r="3231" spans="1:13" ht="26.25" x14ac:dyDescent="0.25">
      <c r="A3231" s="13" t="s">
        <v>10361</v>
      </c>
      <c r="B3231" s="13" t="s">
        <v>10361</v>
      </c>
      <c r="C3231" s="13" t="s">
        <v>10361</v>
      </c>
      <c r="D3231" s="13">
        <v>45</v>
      </c>
      <c r="E3231" s="13" t="s">
        <v>10362</v>
      </c>
      <c r="F3231" s="13" t="s">
        <v>8867</v>
      </c>
      <c r="G3231" s="13" t="s">
        <v>2</v>
      </c>
      <c r="H3231" s="13" t="s">
        <v>3</v>
      </c>
      <c r="I3231" s="13" t="s">
        <v>228</v>
      </c>
      <c r="J3231" s="13" t="s">
        <v>8890</v>
      </c>
      <c r="K3231" s="13" t="s">
        <v>8418</v>
      </c>
      <c r="L3231" s="13" t="s">
        <v>158</v>
      </c>
      <c r="M3231" t="s">
        <v>3</v>
      </c>
    </row>
    <row r="3232" spans="1:13" x14ac:dyDescent="0.25">
      <c r="A3232" s="13" t="s">
        <v>10363</v>
      </c>
      <c r="B3232" s="13" t="s">
        <v>10364</v>
      </c>
      <c r="C3232" s="13" t="s">
        <v>10365</v>
      </c>
      <c r="D3232" s="13">
        <v>43.5</v>
      </c>
      <c r="E3232" s="13" t="s">
        <v>10366</v>
      </c>
      <c r="F3232" s="13" t="s">
        <v>8867</v>
      </c>
      <c r="G3232" s="13" t="s">
        <v>2</v>
      </c>
      <c r="H3232" s="13" t="s">
        <v>8958</v>
      </c>
      <c r="I3232" s="13" t="s">
        <v>516</v>
      </c>
      <c r="J3232" s="13" t="s">
        <v>8890</v>
      </c>
      <c r="K3232" s="13" t="s">
        <v>516</v>
      </c>
      <c r="L3232" s="13" t="s">
        <v>158</v>
      </c>
      <c r="M3232" t="s">
        <v>8958</v>
      </c>
    </row>
    <row r="3233" spans="1:13" x14ac:dyDescent="0.25">
      <c r="A3233" s="13" t="s">
        <v>10367</v>
      </c>
      <c r="B3233" s="13" t="s">
        <v>10368</v>
      </c>
      <c r="C3233" s="13" t="s">
        <v>10369</v>
      </c>
      <c r="D3233" s="13">
        <v>43.5</v>
      </c>
      <c r="E3233" s="13" t="s">
        <v>10370</v>
      </c>
      <c r="F3233" s="13" t="s">
        <v>8867</v>
      </c>
      <c r="G3233" s="13" t="s">
        <v>2</v>
      </c>
      <c r="H3233" s="13" t="s">
        <v>8958</v>
      </c>
      <c r="I3233" s="13" t="s">
        <v>516</v>
      </c>
      <c r="J3233" s="13" t="s">
        <v>8890</v>
      </c>
      <c r="K3233" s="13" t="s">
        <v>516</v>
      </c>
      <c r="L3233" s="13" t="s">
        <v>158</v>
      </c>
      <c r="M3233" t="s">
        <v>8958</v>
      </c>
    </row>
    <row r="3234" spans="1:13" x14ac:dyDescent="0.25">
      <c r="A3234" s="13" t="s">
        <v>10619</v>
      </c>
      <c r="B3234" s="13" t="s">
        <v>10619</v>
      </c>
      <c r="C3234" s="13" t="s">
        <v>10619</v>
      </c>
      <c r="D3234" s="13">
        <v>39.200000000000003</v>
      </c>
      <c r="E3234" s="13" t="s">
        <v>10620</v>
      </c>
      <c r="F3234" s="13" t="s">
        <v>8867</v>
      </c>
      <c r="G3234" s="13" t="s">
        <v>2</v>
      </c>
      <c r="H3234" s="13" t="s">
        <v>3</v>
      </c>
      <c r="I3234" s="13" t="s">
        <v>228</v>
      </c>
      <c r="J3234" s="13" t="s">
        <v>8890</v>
      </c>
      <c r="K3234" s="13" t="s">
        <v>8418</v>
      </c>
      <c r="L3234" s="13" t="s">
        <v>158</v>
      </c>
      <c r="M3234" t="s">
        <v>3</v>
      </c>
    </row>
    <row r="3235" spans="1:13" x14ac:dyDescent="0.25">
      <c r="A3235" s="13" t="s">
        <v>7945</v>
      </c>
      <c r="B3235" s="13" t="s">
        <v>7945</v>
      </c>
      <c r="C3235" s="13" t="s">
        <v>7945</v>
      </c>
      <c r="D3235" s="13">
        <v>42</v>
      </c>
      <c r="E3235" s="13" t="s">
        <v>7946</v>
      </c>
      <c r="F3235" s="13" t="s">
        <v>8867</v>
      </c>
      <c r="G3235" s="13" t="s">
        <v>2</v>
      </c>
      <c r="H3235" s="13" t="s">
        <v>9224</v>
      </c>
      <c r="I3235" s="13" t="s">
        <v>228</v>
      </c>
      <c r="J3235" s="13" t="s">
        <v>8890</v>
      </c>
      <c r="K3235" s="13" t="s">
        <v>8418</v>
      </c>
      <c r="L3235" s="13" t="s">
        <v>158</v>
      </c>
      <c r="M3235" t="s">
        <v>10685</v>
      </c>
    </row>
    <row r="3236" spans="1:13" x14ac:dyDescent="0.25">
      <c r="A3236" s="13" t="s">
        <v>7947</v>
      </c>
      <c r="B3236" s="13" t="s">
        <v>7948</v>
      </c>
      <c r="C3236" s="13" t="s">
        <v>7949</v>
      </c>
      <c r="D3236" s="13">
        <v>43.5</v>
      </c>
      <c r="E3236" s="13" t="s">
        <v>7950</v>
      </c>
      <c r="F3236" s="13" t="s">
        <v>8867</v>
      </c>
      <c r="G3236" s="13" t="s">
        <v>2</v>
      </c>
      <c r="H3236" s="13" t="s">
        <v>8958</v>
      </c>
      <c r="I3236" s="13" t="s">
        <v>516</v>
      </c>
      <c r="J3236" s="13" t="s">
        <v>8890</v>
      </c>
      <c r="K3236" s="13" t="s">
        <v>516</v>
      </c>
      <c r="L3236" s="13" t="s">
        <v>158</v>
      </c>
      <c r="M3236" t="s">
        <v>8958</v>
      </c>
    </row>
    <row r="3237" spans="1:13" x14ac:dyDescent="0.25">
      <c r="A3237" s="13" t="s">
        <v>11438</v>
      </c>
      <c r="B3237" s="13" t="s">
        <v>11438</v>
      </c>
      <c r="C3237" s="13" t="s">
        <v>11438</v>
      </c>
      <c r="D3237" s="13">
        <v>8</v>
      </c>
      <c r="E3237" s="13" t="s">
        <v>11439</v>
      </c>
      <c r="F3237" s="13" t="s">
        <v>8867</v>
      </c>
      <c r="G3237" s="13" t="s">
        <v>2</v>
      </c>
      <c r="H3237" s="13" t="s">
        <v>3</v>
      </c>
      <c r="I3237" s="13" t="s">
        <v>228</v>
      </c>
      <c r="J3237" s="13" t="s">
        <v>8890</v>
      </c>
      <c r="K3237" s="13" t="s">
        <v>8418</v>
      </c>
      <c r="L3237" s="13" t="s">
        <v>158</v>
      </c>
      <c r="M3237" t="s">
        <v>3</v>
      </c>
    </row>
    <row r="3238" spans="1:13" x14ac:dyDescent="0.25">
      <c r="A3238" s="13" t="s">
        <v>11440</v>
      </c>
      <c r="B3238" s="13" t="s">
        <v>11440</v>
      </c>
      <c r="C3238" s="13" t="s">
        <v>11440</v>
      </c>
      <c r="D3238" s="13">
        <v>8</v>
      </c>
      <c r="E3238" s="13" t="s">
        <v>11441</v>
      </c>
      <c r="F3238" s="13" t="s">
        <v>8867</v>
      </c>
      <c r="G3238" s="13" t="s">
        <v>2</v>
      </c>
      <c r="H3238" s="13" t="s">
        <v>3</v>
      </c>
      <c r="I3238" s="13" t="s">
        <v>228</v>
      </c>
      <c r="J3238" s="13" t="s">
        <v>8890</v>
      </c>
      <c r="K3238" s="13" t="s">
        <v>8418</v>
      </c>
      <c r="L3238" s="13" t="s">
        <v>158</v>
      </c>
      <c r="M3238" t="s">
        <v>3</v>
      </c>
    </row>
    <row r="3239" spans="1:13" x14ac:dyDescent="0.25">
      <c r="A3239" s="13" t="s">
        <v>11442</v>
      </c>
      <c r="B3239" s="13" t="s">
        <v>11442</v>
      </c>
      <c r="C3239" s="13" t="s">
        <v>11442</v>
      </c>
      <c r="D3239" s="13">
        <v>8</v>
      </c>
      <c r="E3239" s="13" t="s">
        <v>11443</v>
      </c>
      <c r="F3239" s="13" t="s">
        <v>8867</v>
      </c>
      <c r="G3239" s="13" t="s">
        <v>2</v>
      </c>
      <c r="H3239" s="13" t="s">
        <v>3</v>
      </c>
      <c r="I3239" s="13" t="s">
        <v>228</v>
      </c>
      <c r="J3239" s="13" t="s">
        <v>8890</v>
      </c>
      <c r="K3239" s="13" t="s">
        <v>8418</v>
      </c>
      <c r="L3239" s="13" t="s">
        <v>158</v>
      </c>
      <c r="M3239" t="s">
        <v>3</v>
      </c>
    </row>
    <row r="3240" spans="1:13" x14ac:dyDescent="0.25">
      <c r="A3240" s="13" t="s">
        <v>11444</v>
      </c>
      <c r="B3240" s="13" t="s">
        <v>11444</v>
      </c>
      <c r="C3240" s="13" t="s">
        <v>11444</v>
      </c>
      <c r="D3240" s="13">
        <v>6</v>
      </c>
      <c r="E3240" s="13" t="s">
        <v>11445</v>
      </c>
      <c r="F3240" s="13" t="s">
        <v>8867</v>
      </c>
      <c r="G3240" s="13" t="s">
        <v>2</v>
      </c>
      <c r="H3240" s="13" t="s">
        <v>3</v>
      </c>
      <c r="I3240" s="13" t="s">
        <v>228</v>
      </c>
      <c r="J3240" s="13" t="s">
        <v>8890</v>
      </c>
      <c r="K3240" s="13" t="s">
        <v>8418</v>
      </c>
      <c r="L3240" s="13" t="s">
        <v>158</v>
      </c>
      <c r="M3240" t="s">
        <v>3</v>
      </c>
    </row>
    <row r="3241" spans="1:13" x14ac:dyDescent="0.25">
      <c r="A3241" s="13" t="s">
        <v>9498</v>
      </c>
      <c r="B3241" s="13" t="s">
        <v>9499</v>
      </c>
      <c r="C3241" s="13" t="s">
        <v>9500</v>
      </c>
      <c r="D3241" s="13">
        <v>30</v>
      </c>
      <c r="E3241" s="13" t="s">
        <v>9501</v>
      </c>
      <c r="F3241" s="13" t="s">
        <v>8867</v>
      </c>
      <c r="G3241" s="13" t="s">
        <v>2</v>
      </c>
      <c r="H3241" s="13" t="s">
        <v>8958</v>
      </c>
      <c r="I3241" s="13" t="s">
        <v>516</v>
      </c>
      <c r="J3241" s="13" t="s">
        <v>8890</v>
      </c>
      <c r="K3241" s="13" t="s">
        <v>516</v>
      </c>
      <c r="L3241" s="13" t="s">
        <v>158</v>
      </c>
      <c r="M3241" t="s">
        <v>8958</v>
      </c>
    </row>
    <row r="3242" spans="1:13" ht="26.25" x14ac:dyDescent="0.25">
      <c r="A3242" s="13" t="s">
        <v>7951</v>
      </c>
      <c r="B3242" s="13" t="s">
        <v>7952</v>
      </c>
      <c r="C3242" s="13" t="s">
        <v>7952</v>
      </c>
      <c r="D3242" s="13">
        <v>6.6</v>
      </c>
      <c r="E3242" s="13" t="s">
        <v>7953</v>
      </c>
      <c r="F3242" s="13" t="s">
        <v>8865</v>
      </c>
      <c r="G3242" s="13" t="s">
        <v>2</v>
      </c>
      <c r="H3242" s="13" t="s">
        <v>516</v>
      </c>
      <c r="I3242" s="13" t="s">
        <v>516</v>
      </c>
      <c r="J3242" s="13" t="s">
        <v>8890</v>
      </c>
      <c r="K3242" s="13" t="s">
        <v>516</v>
      </c>
      <c r="L3242" s="13" t="s">
        <v>8901</v>
      </c>
      <c r="M3242" t="s">
        <v>10700</v>
      </c>
    </row>
    <row r="3243" spans="1:13" x14ac:dyDescent="0.25">
      <c r="A3243" s="13" t="s">
        <v>7954</v>
      </c>
      <c r="B3243" s="13" t="s">
        <v>7955</v>
      </c>
      <c r="C3243" s="13" t="s">
        <v>7956</v>
      </c>
      <c r="D3243" s="13">
        <v>4.8</v>
      </c>
      <c r="E3243" s="13" t="s">
        <v>7957</v>
      </c>
      <c r="F3243" s="13" t="s">
        <v>8865</v>
      </c>
      <c r="G3243" s="13" t="s">
        <v>2</v>
      </c>
      <c r="H3243" s="13" t="s">
        <v>3</v>
      </c>
      <c r="I3243" s="13" t="s">
        <v>516</v>
      </c>
      <c r="J3243" s="13" t="s">
        <v>8890</v>
      </c>
      <c r="K3243" s="13" t="s">
        <v>516</v>
      </c>
      <c r="L3243" s="13" t="s">
        <v>8901</v>
      </c>
      <c r="M3243" t="s">
        <v>3</v>
      </c>
    </row>
    <row r="3244" spans="1:13" x14ac:dyDescent="0.25">
      <c r="A3244" s="13" t="s">
        <v>12105</v>
      </c>
      <c r="B3244" s="13" t="s">
        <v>12105</v>
      </c>
      <c r="C3244" s="13" t="s">
        <v>12105</v>
      </c>
      <c r="D3244" s="13">
        <v>25</v>
      </c>
      <c r="E3244" s="13" t="s">
        <v>12106</v>
      </c>
      <c r="F3244" s="13" t="s">
        <v>8869</v>
      </c>
      <c r="G3244" s="13" t="s">
        <v>2</v>
      </c>
      <c r="H3244" s="13" t="s">
        <v>3</v>
      </c>
      <c r="I3244" s="13" t="s">
        <v>228</v>
      </c>
      <c r="J3244" s="13" t="s">
        <v>8890</v>
      </c>
      <c r="K3244" s="13" t="s">
        <v>8418</v>
      </c>
      <c r="L3244" s="13" t="s">
        <v>8918</v>
      </c>
      <c r="M3244" t="s">
        <v>3</v>
      </c>
    </row>
    <row r="3245" spans="1:13" x14ac:dyDescent="0.25">
      <c r="A3245" s="13" t="s">
        <v>12107</v>
      </c>
      <c r="B3245" s="13" t="s">
        <v>12108</v>
      </c>
      <c r="C3245" s="13" t="s">
        <v>12109</v>
      </c>
      <c r="D3245" s="13">
        <v>41.6</v>
      </c>
      <c r="E3245" s="13" t="s">
        <v>12110</v>
      </c>
      <c r="F3245" s="13" t="s">
        <v>8867</v>
      </c>
      <c r="G3245" s="13" t="s">
        <v>2</v>
      </c>
      <c r="H3245" s="13" t="s">
        <v>3</v>
      </c>
      <c r="I3245" s="13" t="s">
        <v>516</v>
      </c>
      <c r="J3245" s="13" t="s">
        <v>8890</v>
      </c>
      <c r="K3245" s="13" t="s">
        <v>516</v>
      </c>
      <c r="L3245" s="13" t="s">
        <v>158</v>
      </c>
      <c r="M3245" t="s">
        <v>3</v>
      </c>
    </row>
    <row r="3246" spans="1:13" ht="26.25" x14ac:dyDescent="0.25">
      <c r="A3246" s="13" t="s">
        <v>11446</v>
      </c>
      <c r="B3246" s="13" t="s">
        <v>11447</v>
      </c>
      <c r="C3246" s="13" t="s">
        <v>11448</v>
      </c>
      <c r="D3246" s="13">
        <v>41.6</v>
      </c>
      <c r="E3246" s="13" t="s">
        <v>11449</v>
      </c>
      <c r="F3246" s="13" t="s">
        <v>8867</v>
      </c>
      <c r="G3246" s="13" t="s">
        <v>2</v>
      </c>
      <c r="H3246" s="13" t="s">
        <v>3</v>
      </c>
      <c r="I3246" s="13" t="s">
        <v>516</v>
      </c>
      <c r="J3246" s="13" t="s">
        <v>8890</v>
      </c>
      <c r="K3246" s="13" t="s">
        <v>516</v>
      </c>
      <c r="L3246" s="13" t="s">
        <v>158</v>
      </c>
      <c r="M3246" t="s">
        <v>3</v>
      </c>
    </row>
    <row r="3247" spans="1:13" ht="26.25" x14ac:dyDescent="0.25">
      <c r="A3247" s="13" t="s">
        <v>12111</v>
      </c>
      <c r="B3247" s="13" t="s">
        <v>12112</v>
      </c>
      <c r="C3247" s="13" t="s">
        <v>12113</v>
      </c>
      <c r="D3247" s="13">
        <v>41.6</v>
      </c>
      <c r="E3247" s="13" t="s">
        <v>12114</v>
      </c>
      <c r="F3247" s="13" t="s">
        <v>8867</v>
      </c>
      <c r="G3247" s="13" t="s">
        <v>2</v>
      </c>
      <c r="H3247" s="13" t="s">
        <v>3</v>
      </c>
      <c r="I3247" s="13" t="s">
        <v>516</v>
      </c>
      <c r="J3247" s="13" t="s">
        <v>8890</v>
      </c>
      <c r="K3247" s="13" t="s">
        <v>516</v>
      </c>
      <c r="L3247" s="13" t="s">
        <v>158</v>
      </c>
      <c r="M3247" t="s">
        <v>3</v>
      </c>
    </row>
    <row r="3248" spans="1:13" x14ac:dyDescent="0.25">
      <c r="A3248" s="13" t="s">
        <v>11450</v>
      </c>
      <c r="B3248" s="13" t="s">
        <v>11451</v>
      </c>
      <c r="C3248" s="13" t="s">
        <v>11452</v>
      </c>
      <c r="D3248" s="13">
        <v>41.6</v>
      </c>
      <c r="E3248" s="13" t="s">
        <v>11453</v>
      </c>
      <c r="F3248" s="13" t="s">
        <v>8867</v>
      </c>
      <c r="G3248" s="13" t="s">
        <v>2</v>
      </c>
      <c r="H3248" s="13" t="s">
        <v>3</v>
      </c>
      <c r="I3248" s="13" t="s">
        <v>516</v>
      </c>
      <c r="J3248" s="13" t="s">
        <v>8890</v>
      </c>
      <c r="K3248" s="13" t="s">
        <v>516</v>
      </c>
      <c r="L3248" s="13" t="s">
        <v>158</v>
      </c>
      <c r="M3248" t="s">
        <v>3</v>
      </c>
    </row>
    <row r="3249" spans="1:13" x14ac:dyDescent="0.25">
      <c r="A3249" s="13" t="s">
        <v>12115</v>
      </c>
      <c r="B3249" s="13" t="s">
        <v>12116</v>
      </c>
      <c r="C3249" s="13" t="s">
        <v>12117</v>
      </c>
      <c r="D3249" s="13">
        <v>41.6</v>
      </c>
      <c r="E3249" s="13" t="s">
        <v>12118</v>
      </c>
      <c r="F3249" s="13" t="s">
        <v>8867</v>
      </c>
      <c r="G3249" s="13" t="s">
        <v>2</v>
      </c>
      <c r="H3249" s="13" t="s">
        <v>3</v>
      </c>
      <c r="I3249" s="13" t="s">
        <v>516</v>
      </c>
      <c r="J3249" s="13" t="s">
        <v>8890</v>
      </c>
      <c r="K3249" s="13" t="s">
        <v>516</v>
      </c>
      <c r="L3249" s="13" t="s">
        <v>158</v>
      </c>
      <c r="M3249" t="s">
        <v>3</v>
      </c>
    </row>
    <row r="3250" spans="1:13" x14ac:dyDescent="0.25">
      <c r="A3250" s="13" t="s">
        <v>12119</v>
      </c>
      <c r="B3250" s="13" t="s">
        <v>12120</v>
      </c>
      <c r="C3250" s="13" t="s">
        <v>12121</v>
      </c>
      <c r="D3250" s="13">
        <v>41.6</v>
      </c>
      <c r="E3250" s="13" t="s">
        <v>12122</v>
      </c>
      <c r="F3250" s="13" t="s">
        <v>8867</v>
      </c>
      <c r="G3250" s="13" t="s">
        <v>2</v>
      </c>
      <c r="H3250" s="13" t="s">
        <v>3</v>
      </c>
      <c r="I3250" s="13" t="s">
        <v>516</v>
      </c>
      <c r="J3250" s="13" t="s">
        <v>8890</v>
      </c>
      <c r="K3250" s="13" t="s">
        <v>516</v>
      </c>
      <c r="L3250" s="13" t="s">
        <v>158</v>
      </c>
      <c r="M3250" t="s">
        <v>3</v>
      </c>
    </row>
    <row r="3251" spans="1:13" x14ac:dyDescent="0.25">
      <c r="A3251" s="13" t="s">
        <v>11131</v>
      </c>
      <c r="B3251" s="13" t="s">
        <v>11132</v>
      </c>
      <c r="C3251" s="13" t="s">
        <v>11133</v>
      </c>
      <c r="D3251" s="13">
        <v>24.9</v>
      </c>
      <c r="E3251" s="13" t="s">
        <v>11134</v>
      </c>
      <c r="F3251" s="13" t="s">
        <v>8867</v>
      </c>
      <c r="G3251" s="13" t="s">
        <v>2</v>
      </c>
      <c r="H3251" s="13" t="s">
        <v>3</v>
      </c>
      <c r="I3251" s="13" t="s">
        <v>516</v>
      </c>
      <c r="J3251" s="13" t="s">
        <v>8890</v>
      </c>
      <c r="K3251" s="13" t="s">
        <v>516</v>
      </c>
      <c r="L3251" s="13" t="s">
        <v>158</v>
      </c>
      <c r="M3251" t="s">
        <v>3</v>
      </c>
    </row>
    <row r="3252" spans="1:13" x14ac:dyDescent="0.25">
      <c r="A3252" s="13" t="s">
        <v>10971</v>
      </c>
      <c r="B3252" s="13" t="s">
        <v>10972</v>
      </c>
      <c r="C3252" s="13" t="s">
        <v>10973</v>
      </c>
      <c r="D3252" s="13">
        <v>81.2</v>
      </c>
      <c r="E3252" s="13" t="s">
        <v>10974</v>
      </c>
      <c r="F3252" s="13" t="s">
        <v>8867</v>
      </c>
      <c r="G3252" s="13" t="s">
        <v>2</v>
      </c>
      <c r="H3252" s="13" t="s">
        <v>8958</v>
      </c>
      <c r="I3252" s="13" t="s">
        <v>516</v>
      </c>
      <c r="J3252" s="13" t="s">
        <v>8890</v>
      </c>
      <c r="K3252" s="13" t="s">
        <v>516</v>
      </c>
      <c r="L3252" s="13" t="s">
        <v>158</v>
      </c>
      <c r="M3252" t="s">
        <v>8958</v>
      </c>
    </row>
    <row r="3253" spans="1:13" x14ac:dyDescent="0.25">
      <c r="A3253" s="13" t="s">
        <v>10786</v>
      </c>
      <c r="B3253" s="13" t="s">
        <v>10787</v>
      </c>
      <c r="C3253" s="13" t="s">
        <v>10788</v>
      </c>
      <c r="D3253" s="13">
        <v>40</v>
      </c>
      <c r="E3253" s="13" t="s">
        <v>10789</v>
      </c>
      <c r="F3253" s="13" t="s">
        <v>8867</v>
      </c>
      <c r="G3253" s="13" t="s">
        <v>2</v>
      </c>
      <c r="H3253" s="13" t="s">
        <v>8958</v>
      </c>
      <c r="I3253" s="13" t="s">
        <v>516</v>
      </c>
      <c r="J3253" s="13" t="s">
        <v>8890</v>
      </c>
      <c r="K3253" s="13" t="s">
        <v>516</v>
      </c>
      <c r="L3253" s="13" t="s">
        <v>158</v>
      </c>
      <c r="M3253" t="s">
        <v>8958</v>
      </c>
    </row>
    <row r="3254" spans="1:13" x14ac:dyDescent="0.25">
      <c r="A3254" s="13" t="s">
        <v>9502</v>
      </c>
      <c r="B3254" s="13" t="s">
        <v>9503</v>
      </c>
      <c r="C3254" s="13" t="s">
        <v>9504</v>
      </c>
      <c r="D3254" s="13">
        <v>4</v>
      </c>
      <c r="E3254" s="13" t="s">
        <v>9505</v>
      </c>
      <c r="F3254" s="13" t="s">
        <v>8867</v>
      </c>
      <c r="G3254" s="13" t="s">
        <v>2</v>
      </c>
      <c r="H3254" s="13" t="s">
        <v>3</v>
      </c>
      <c r="I3254" s="13" t="s">
        <v>516</v>
      </c>
      <c r="J3254" s="13" t="s">
        <v>8890</v>
      </c>
      <c r="K3254" s="13" t="s">
        <v>516</v>
      </c>
      <c r="L3254" s="13" t="s">
        <v>158</v>
      </c>
      <c r="M3254" t="s">
        <v>3</v>
      </c>
    </row>
    <row r="3255" spans="1:13" x14ac:dyDescent="0.25">
      <c r="A3255" s="13" t="s">
        <v>9506</v>
      </c>
      <c r="B3255" s="13" t="s">
        <v>9507</v>
      </c>
      <c r="C3255" s="13" t="s">
        <v>9508</v>
      </c>
      <c r="D3255" s="13">
        <v>41.2</v>
      </c>
      <c r="E3255" s="13" t="s">
        <v>9509</v>
      </c>
      <c r="F3255" s="13" t="s">
        <v>8867</v>
      </c>
      <c r="G3255" s="13" t="s">
        <v>2</v>
      </c>
      <c r="H3255" s="13" t="s">
        <v>8958</v>
      </c>
      <c r="I3255" s="13" t="s">
        <v>516</v>
      </c>
      <c r="J3255" s="13" t="s">
        <v>8890</v>
      </c>
      <c r="K3255" s="13" t="s">
        <v>516</v>
      </c>
      <c r="L3255" s="13" t="s">
        <v>158</v>
      </c>
      <c r="M3255" t="s">
        <v>8958</v>
      </c>
    </row>
    <row r="3256" spans="1:13" x14ac:dyDescent="0.25">
      <c r="A3256" s="13" t="s">
        <v>9510</v>
      </c>
      <c r="B3256" s="13" t="s">
        <v>9511</v>
      </c>
      <c r="C3256" s="13" t="s">
        <v>9512</v>
      </c>
      <c r="D3256" s="13">
        <v>41.2</v>
      </c>
      <c r="E3256" s="13" t="s">
        <v>9513</v>
      </c>
      <c r="F3256" s="13" t="s">
        <v>8867</v>
      </c>
      <c r="G3256" s="13" t="s">
        <v>2</v>
      </c>
      <c r="H3256" s="13" t="s">
        <v>8958</v>
      </c>
      <c r="I3256" s="13" t="s">
        <v>516</v>
      </c>
      <c r="J3256" s="13" t="s">
        <v>8890</v>
      </c>
      <c r="K3256" s="13" t="s">
        <v>516</v>
      </c>
      <c r="L3256" s="13" t="s">
        <v>158</v>
      </c>
      <c r="M3256" t="s">
        <v>8958</v>
      </c>
    </row>
    <row r="3257" spans="1:13" x14ac:dyDescent="0.25">
      <c r="A3257" s="13" t="s">
        <v>7958</v>
      </c>
      <c r="B3257" s="13" t="s">
        <v>7959</v>
      </c>
      <c r="C3257" s="13" t="s">
        <v>7960</v>
      </c>
      <c r="D3257" s="13">
        <v>19.7</v>
      </c>
      <c r="E3257" s="13" t="s">
        <v>7961</v>
      </c>
      <c r="F3257" s="13" t="s">
        <v>8861</v>
      </c>
      <c r="G3257" s="13" t="s">
        <v>2</v>
      </c>
      <c r="H3257" s="13" t="s">
        <v>3</v>
      </c>
      <c r="I3257" s="13" t="s">
        <v>516</v>
      </c>
      <c r="J3257" s="13" t="s">
        <v>8890</v>
      </c>
      <c r="K3257" s="13" t="s">
        <v>516</v>
      </c>
      <c r="L3257" s="13" t="s">
        <v>8891</v>
      </c>
      <c r="M3257" t="s">
        <v>3</v>
      </c>
    </row>
    <row r="3258" spans="1:13" ht="26.25" x14ac:dyDescent="0.25">
      <c r="A3258" s="13" t="s">
        <v>7962</v>
      </c>
      <c r="B3258" s="13" t="s">
        <v>7963</v>
      </c>
      <c r="C3258" s="13" t="s">
        <v>7964</v>
      </c>
      <c r="D3258" s="13">
        <v>44.1</v>
      </c>
      <c r="E3258" s="13" t="s">
        <v>7965</v>
      </c>
      <c r="F3258" s="13" t="s">
        <v>8867</v>
      </c>
      <c r="G3258" s="13" t="s">
        <v>2</v>
      </c>
      <c r="H3258" s="13" t="s">
        <v>8958</v>
      </c>
      <c r="I3258" s="13" t="s">
        <v>516</v>
      </c>
      <c r="J3258" s="13" t="s">
        <v>8890</v>
      </c>
      <c r="K3258" s="13" t="s">
        <v>516</v>
      </c>
      <c r="L3258" s="13" t="s">
        <v>158</v>
      </c>
      <c r="M3258" t="s">
        <v>8958</v>
      </c>
    </row>
    <row r="3259" spans="1:13" x14ac:dyDescent="0.25">
      <c r="A3259" s="13" t="s">
        <v>10975</v>
      </c>
      <c r="B3259" s="13" t="s">
        <v>10975</v>
      </c>
      <c r="C3259" s="13" t="s">
        <v>10975</v>
      </c>
      <c r="D3259" s="13">
        <v>6</v>
      </c>
      <c r="E3259" s="13" t="s">
        <v>10976</v>
      </c>
      <c r="F3259" s="13" t="s">
        <v>8867</v>
      </c>
      <c r="G3259" s="13" t="s">
        <v>2</v>
      </c>
      <c r="H3259" s="13" t="s">
        <v>3</v>
      </c>
      <c r="I3259" s="13" t="s">
        <v>228</v>
      </c>
      <c r="J3259" s="13" t="s">
        <v>8890</v>
      </c>
      <c r="K3259" s="13" t="s">
        <v>8418</v>
      </c>
      <c r="L3259" s="13" t="s">
        <v>158</v>
      </c>
      <c r="M3259" t="s">
        <v>3</v>
      </c>
    </row>
    <row r="3260" spans="1:13" x14ac:dyDescent="0.25">
      <c r="A3260" s="13" t="s">
        <v>7966</v>
      </c>
      <c r="B3260" s="13" t="s">
        <v>7966</v>
      </c>
      <c r="C3260" s="13" t="s">
        <v>7966</v>
      </c>
      <c r="D3260" s="13">
        <v>39.6</v>
      </c>
      <c r="E3260" s="13" t="s">
        <v>7967</v>
      </c>
      <c r="F3260" s="13" t="s">
        <v>8867</v>
      </c>
      <c r="G3260" s="13" t="s">
        <v>2</v>
      </c>
      <c r="H3260" s="13" t="s">
        <v>9224</v>
      </c>
      <c r="I3260" s="13" t="s">
        <v>228</v>
      </c>
      <c r="J3260" s="13" t="s">
        <v>8890</v>
      </c>
      <c r="K3260" s="13" t="s">
        <v>8418</v>
      </c>
      <c r="L3260" s="13" t="s">
        <v>158</v>
      </c>
      <c r="M3260" t="s">
        <v>10685</v>
      </c>
    </row>
    <row r="3261" spans="1:13" x14ac:dyDescent="0.25">
      <c r="A3261" s="13" t="s">
        <v>7968</v>
      </c>
      <c r="B3261" s="13" t="s">
        <v>7968</v>
      </c>
      <c r="C3261" s="13" t="s">
        <v>7968</v>
      </c>
      <c r="D3261" s="13">
        <v>36.700000000000003</v>
      </c>
      <c r="E3261" s="13" t="s">
        <v>7969</v>
      </c>
      <c r="F3261" s="13" t="s">
        <v>8867</v>
      </c>
      <c r="G3261" s="13" t="s">
        <v>2</v>
      </c>
      <c r="H3261" s="13" t="s">
        <v>9224</v>
      </c>
      <c r="I3261" s="13" t="s">
        <v>228</v>
      </c>
      <c r="J3261" s="13" t="s">
        <v>8890</v>
      </c>
      <c r="K3261" s="13" t="s">
        <v>8418</v>
      </c>
      <c r="L3261" s="13" t="s">
        <v>158</v>
      </c>
      <c r="M3261" t="s">
        <v>10685</v>
      </c>
    </row>
    <row r="3262" spans="1:13" ht="26.25" x14ac:dyDescent="0.25">
      <c r="A3262" s="13" t="s">
        <v>7970</v>
      </c>
      <c r="B3262" s="13" t="s">
        <v>7970</v>
      </c>
      <c r="C3262" s="13" t="s">
        <v>7970</v>
      </c>
      <c r="D3262" s="13">
        <v>39.6</v>
      </c>
      <c r="E3262" s="13" t="s">
        <v>7971</v>
      </c>
      <c r="F3262" s="13" t="s">
        <v>8867</v>
      </c>
      <c r="G3262" s="13" t="s">
        <v>2</v>
      </c>
      <c r="H3262" s="13" t="s">
        <v>10910</v>
      </c>
      <c r="I3262" s="13" t="s">
        <v>228</v>
      </c>
      <c r="J3262" s="13" t="s">
        <v>8890</v>
      </c>
      <c r="K3262" s="13" t="s">
        <v>8418</v>
      </c>
      <c r="L3262" s="13" t="s">
        <v>158</v>
      </c>
      <c r="M3262" t="s">
        <v>10910</v>
      </c>
    </row>
    <row r="3263" spans="1:13" ht="26.25" x14ac:dyDescent="0.25">
      <c r="A3263" s="13" t="s">
        <v>11922</v>
      </c>
      <c r="B3263" s="13" t="s">
        <v>11922</v>
      </c>
      <c r="C3263" s="13" t="s">
        <v>11922</v>
      </c>
      <c r="D3263" s="13">
        <v>2</v>
      </c>
      <c r="E3263" s="13" t="s">
        <v>11923</v>
      </c>
      <c r="F3263" s="13" t="s">
        <v>8860</v>
      </c>
      <c r="G3263" s="13" t="s">
        <v>19</v>
      </c>
      <c r="H3263" s="13" t="s">
        <v>3</v>
      </c>
      <c r="I3263" s="13" t="s">
        <v>573</v>
      </c>
      <c r="J3263" s="13" t="s">
        <v>21</v>
      </c>
      <c r="K3263" s="13" t="s">
        <v>8484</v>
      </c>
      <c r="L3263" s="13" t="s">
        <v>18</v>
      </c>
      <c r="M3263" t="s">
        <v>3</v>
      </c>
    </row>
    <row r="3264" spans="1:13" ht="26.25" x14ac:dyDescent="0.25">
      <c r="A3264" s="13" t="s">
        <v>10371</v>
      </c>
      <c r="B3264" s="13" t="s">
        <v>10372</v>
      </c>
      <c r="C3264" s="13" t="s">
        <v>10373</v>
      </c>
      <c r="D3264" s="13">
        <v>44.1</v>
      </c>
      <c r="E3264" s="13" t="s">
        <v>10374</v>
      </c>
      <c r="F3264" s="13" t="s">
        <v>8867</v>
      </c>
      <c r="G3264" s="13" t="s">
        <v>2</v>
      </c>
      <c r="H3264" s="13" t="s">
        <v>3</v>
      </c>
      <c r="I3264" s="13" t="s">
        <v>516</v>
      </c>
      <c r="J3264" s="13" t="s">
        <v>8890</v>
      </c>
      <c r="K3264" s="13" t="s">
        <v>516</v>
      </c>
      <c r="L3264" s="13" t="s">
        <v>158</v>
      </c>
      <c r="M3264" t="s">
        <v>3</v>
      </c>
    </row>
    <row r="3265" spans="1:13" x14ac:dyDescent="0.25">
      <c r="A3265" s="13" t="s">
        <v>9978</v>
      </c>
      <c r="B3265" s="13" t="s">
        <v>9979</v>
      </c>
      <c r="C3265" s="13" t="s">
        <v>9980</v>
      </c>
      <c r="D3265" s="13">
        <v>30</v>
      </c>
      <c r="E3265" s="13" t="s">
        <v>9981</v>
      </c>
      <c r="F3265" s="13" t="s">
        <v>8867</v>
      </c>
      <c r="G3265" s="13" t="s">
        <v>2</v>
      </c>
      <c r="H3265" s="13" t="s">
        <v>8958</v>
      </c>
      <c r="I3265" s="13" t="s">
        <v>516</v>
      </c>
      <c r="J3265" s="13" t="s">
        <v>8890</v>
      </c>
      <c r="K3265" s="13" t="s">
        <v>516</v>
      </c>
      <c r="L3265" s="13" t="s">
        <v>158</v>
      </c>
      <c r="M3265" t="s">
        <v>8958</v>
      </c>
    </row>
    <row r="3266" spans="1:13" ht="26.25" x14ac:dyDescent="0.25">
      <c r="A3266" s="13" t="s">
        <v>7972</v>
      </c>
      <c r="B3266" s="13" t="s">
        <v>7973</v>
      </c>
      <c r="C3266" s="13" t="s">
        <v>7974</v>
      </c>
      <c r="D3266" s="13">
        <v>24.7</v>
      </c>
      <c r="E3266" s="13" t="s">
        <v>7975</v>
      </c>
      <c r="F3266" s="13" t="s">
        <v>8865</v>
      </c>
      <c r="G3266" s="13" t="s">
        <v>2</v>
      </c>
      <c r="H3266" s="13" t="s">
        <v>3</v>
      </c>
      <c r="I3266" s="13" t="s">
        <v>516</v>
      </c>
      <c r="J3266" s="13" t="s">
        <v>8890</v>
      </c>
      <c r="K3266" s="13" t="s">
        <v>516</v>
      </c>
      <c r="L3266" s="13" t="s">
        <v>8901</v>
      </c>
      <c r="M3266" t="s">
        <v>3</v>
      </c>
    </row>
    <row r="3267" spans="1:13" x14ac:dyDescent="0.25">
      <c r="A3267" s="13" t="s">
        <v>11454</v>
      </c>
      <c r="B3267" s="13" t="s">
        <v>11454</v>
      </c>
      <c r="C3267" s="13" t="s">
        <v>11454</v>
      </c>
      <c r="D3267" s="13">
        <v>50</v>
      </c>
      <c r="E3267" s="13" t="s">
        <v>11455</v>
      </c>
      <c r="F3267" s="13" t="s">
        <v>8869</v>
      </c>
      <c r="G3267" s="13" t="s">
        <v>2</v>
      </c>
      <c r="H3267" s="13" t="s">
        <v>3</v>
      </c>
      <c r="I3267" s="13" t="s">
        <v>228</v>
      </c>
      <c r="J3267" s="13" t="s">
        <v>8890</v>
      </c>
      <c r="K3267" s="13" t="s">
        <v>8418</v>
      </c>
      <c r="L3267" s="13" t="s">
        <v>8918</v>
      </c>
      <c r="M3267" t="s">
        <v>3</v>
      </c>
    </row>
    <row r="3268" spans="1:13" x14ac:dyDescent="0.25">
      <c r="A3268" s="13" t="s">
        <v>9514</v>
      </c>
      <c r="B3268" s="13" t="s">
        <v>9515</v>
      </c>
      <c r="C3268" s="13" t="s">
        <v>9515</v>
      </c>
      <c r="D3268" s="13">
        <v>49.4</v>
      </c>
      <c r="E3268" s="13" t="s">
        <v>9516</v>
      </c>
      <c r="F3268" s="13" t="s">
        <v>8869</v>
      </c>
      <c r="G3268" s="13" t="s">
        <v>2</v>
      </c>
      <c r="H3268" s="13" t="s">
        <v>9982</v>
      </c>
      <c r="I3268" s="13" t="s">
        <v>516</v>
      </c>
      <c r="J3268" s="13" t="s">
        <v>8890</v>
      </c>
      <c r="K3268" s="13" t="s">
        <v>516</v>
      </c>
      <c r="L3268" s="13" t="s">
        <v>8918</v>
      </c>
      <c r="M3268" t="s">
        <v>9982</v>
      </c>
    </row>
    <row r="3269" spans="1:13" x14ac:dyDescent="0.25">
      <c r="A3269" s="13" t="s">
        <v>10621</v>
      </c>
      <c r="B3269" s="13" t="s">
        <v>10621</v>
      </c>
      <c r="C3269" s="13" t="s">
        <v>10621</v>
      </c>
      <c r="D3269" s="13">
        <v>50</v>
      </c>
      <c r="E3269" s="13" t="s">
        <v>10622</v>
      </c>
      <c r="F3269" s="13" t="s">
        <v>8867</v>
      </c>
      <c r="G3269" s="13" t="s">
        <v>2</v>
      </c>
      <c r="H3269" s="13" t="s">
        <v>3</v>
      </c>
      <c r="I3269" s="13" t="s">
        <v>228</v>
      </c>
      <c r="J3269" s="13" t="s">
        <v>8890</v>
      </c>
      <c r="K3269" s="13" t="s">
        <v>8418</v>
      </c>
      <c r="L3269" s="13" t="s">
        <v>158</v>
      </c>
      <c r="M3269" t="s">
        <v>3</v>
      </c>
    </row>
    <row r="3270" spans="1:13" x14ac:dyDescent="0.25">
      <c r="A3270" s="13" t="s">
        <v>10623</v>
      </c>
      <c r="B3270" s="13" t="s">
        <v>10623</v>
      </c>
      <c r="C3270" s="13" t="s">
        <v>10623</v>
      </c>
      <c r="D3270" s="13">
        <v>50</v>
      </c>
      <c r="E3270" s="13" t="s">
        <v>10624</v>
      </c>
      <c r="F3270" s="13" t="s">
        <v>8867</v>
      </c>
      <c r="G3270" s="13" t="s">
        <v>2</v>
      </c>
      <c r="H3270" s="13" t="s">
        <v>3</v>
      </c>
      <c r="I3270" s="13" t="s">
        <v>228</v>
      </c>
      <c r="J3270" s="13" t="s">
        <v>8890</v>
      </c>
      <c r="K3270" s="13" t="s">
        <v>8418</v>
      </c>
      <c r="L3270" s="13" t="s">
        <v>158</v>
      </c>
      <c r="M3270" t="s">
        <v>3</v>
      </c>
    </row>
    <row r="3271" spans="1:13" x14ac:dyDescent="0.25">
      <c r="A3271" s="13" t="s">
        <v>10790</v>
      </c>
      <c r="B3271" s="13" t="s">
        <v>10791</v>
      </c>
      <c r="C3271" s="13" t="s">
        <v>10792</v>
      </c>
      <c r="D3271" s="13">
        <v>112.8</v>
      </c>
      <c r="E3271" s="13" t="s">
        <v>10793</v>
      </c>
      <c r="F3271" s="13" t="s">
        <v>8867</v>
      </c>
      <c r="G3271" s="13" t="s">
        <v>2</v>
      </c>
      <c r="H3271" s="13" t="s">
        <v>8958</v>
      </c>
      <c r="I3271" s="13" t="s">
        <v>516</v>
      </c>
      <c r="J3271" s="13" t="s">
        <v>8890</v>
      </c>
      <c r="K3271" s="13" t="s">
        <v>516</v>
      </c>
      <c r="L3271" s="13" t="s">
        <v>158</v>
      </c>
      <c r="M3271" t="s">
        <v>8958</v>
      </c>
    </row>
    <row r="3272" spans="1:13" x14ac:dyDescent="0.25">
      <c r="A3272" s="13" t="s">
        <v>11924</v>
      </c>
      <c r="B3272" s="13" t="s">
        <v>11924</v>
      </c>
      <c r="C3272" s="13" t="s">
        <v>11924</v>
      </c>
      <c r="D3272" s="13">
        <v>4.9000000000000004</v>
      </c>
      <c r="E3272" s="13" t="s">
        <v>11925</v>
      </c>
      <c r="F3272" s="13" t="s">
        <v>8867</v>
      </c>
      <c r="G3272" s="13" t="s">
        <v>2</v>
      </c>
      <c r="H3272" s="13" t="s">
        <v>3</v>
      </c>
      <c r="I3272" s="13" t="s">
        <v>228</v>
      </c>
      <c r="J3272" s="13" t="s">
        <v>8890</v>
      </c>
      <c r="K3272" s="13" t="s">
        <v>8418</v>
      </c>
      <c r="L3272" s="13" t="s">
        <v>158</v>
      </c>
      <c r="M3272" t="s">
        <v>3</v>
      </c>
    </row>
    <row r="3273" spans="1:13" x14ac:dyDescent="0.25">
      <c r="A3273" s="13" t="s">
        <v>11135</v>
      </c>
      <c r="B3273" s="13" t="s">
        <v>11136</v>
      </c>
      <c r="C3273" s="13" t="s">
        <v>11137</v>
      </c>
      <c r="D3273" s="13">
        <v>45</v>
      </c>
      <c r="E3273" s="13" t="s">
        <v>11138</v>
      </c>
      <c r="F3273" s="13" t="s">
        <v>8869</v>
      </c>
      <c r="G3273" s="13" t="s">
        <v>2</v>
      </c>
      <c r="H3273" s="13" t="s">
        <v>3</v>
      </c>
      <c r="I3273" s="13" t="s">
        <v>516</v>
      </c>
      <c r="J3273" s="13" t="s">
        <v>8890</v>
      </c>
      <c r="K3273" s="13" t="s">
        <v>516</v>
      </c>
      <c r="L3273" s="13" t="s">
        <v>8918</v>
      </c>
      <c r="M3273" t="s">
        <v>3</v>
      </c>
    </row>
    <row r="3274" spans="1:13" x14ac:dyDescent="0.25">
      <c r="A3274" s="13" t="s">
        <v>10625</v>
      </c>
      <c r="B3274" s="13" t="s">
        <v>10626</v>
      </c>
      <c r="C3274" s="13" t="s">
        <v>10627</v>
      </c>
      <c r="D3274" s="13">
        <v>40.299999999999997</v>
      </c>
      <c r="E3274" s="13" t="s">
        <v>10628</v>
      </c>
      <c r="F3274" s="13" t="s">
        <v>8867</v>
      </c>
      <c r="G3274" s="13" t="s">
        <v>2</v>
      </c>
      <c r="H3274" s="13" t="s">
        <v>8958</v>
      </c>
      <c r="I3274" s="13" t="s">
        <v>516</v>
      </c>
      <c r="J3274" s="13" t="s">
        <v>8890</v>
      </c>
      <c r="K3274" s="13" t="s">
        <v>516</v>
      </c>
      <c r="L3274" s="13" t="s">
        <v>158</v>
      </c>
      <c r="M3274" t="s">
        <v>8958</v>
      </c>
    </row>
    <row r="3275" spans="1:13" x14ac:dyDescent="0.25">
      <c r="A3275" s="13" t="s">
        <v>11456</v>
      </c>
      <c r="B3275" s="13" t="s">
        <v>11457</v>
      </c>
      <c r="C3275" s="13" t="s">
        <v>11458</v>
      </c>
      <c r="D3275" s="13">
        <v>8</v>
      </c>
      <c r="E3275" s="13" t="s">
        <v>11459</v>
      </c>
      <c r="F3275" s="13" t="s">
        <v>8867</v>
      </c>
      <c r="G3275" s="13" t="s">
        <v>2</v>
      </c>
      <c r="H3275" s="13" t="s">
        <v>3</v>
      </c>
      <c r="I3275" s="13" t="s">
        <v>516</v>
      </c>
      <c r="J3275" s="13" t="s">
        <v>8890</v>
      </c>
      <c r="K3275" s="13" t="s">
        <v>516</v>
      </c>
      <c r="L3275" s="13" t="s">
        <v>158</v>
      </c>
      <c r="M3275" t="s">
        <v>3</v>
      </c>
    </row>
    <row r="3276" spans="1:13" x14ac:dyDescent="0.25">
      <c r="A3276" s="13" t="s">
        <v>10083</v>
      </c>
      <c r="B3276" s="13" t="s">
        <v>10084</v>
      </c>
      <c r="C3276" s="13" t="s">
        <v>10085</v>
      </c>
      <c r="D3276" s="13">
        <v>20</v>
      </c>
      <c r="E3276" s="13" t="s">
        <v>10086</v>
      </c>
      <c r="F3276" s="13" t="s">
        <v>8867</v>
      </c>
      <c r="G3276" s="13" t="s">
        <v>2</v>
      </c>
      <c r="H3276" s="13" t="s">
        <v>8958</v>
      </c>
      <c r="I3276" s="13" t="s">
        <v>516</v>
      </c>
      <c r="J3276" s="13" t="s">
        <v>8890</v>
      </c>
      <c r="K3276" s="13" t="s">
        <v>516</v>
      </c>
      <c r="L3276" s="13" t="s">
        <v>158</v>
      </c>
      <c r="M3276" t="s">
        <v>8958</v>
      </c>
    </row>
    <row r="3277" spans="1:13" x14ac:dyDescent="0.25">
      <c r="A3277" s="13" t="s">
        <v>10432</v>
      </c>
      <c r="B3277" s="13" t="s">
        <v>10433</v>
      </c>
      <c r="C3277" s="13" t="s">
        <v>10434</v>
      </c>
      <c r="D3277" s="13">
        <v>40</v>
      </c>
      <c r="E3277" s="13" t="s">
        <v>10435</v>
      </c>
      <c r="F3277" s="13" t="s">
        <v>8867</v>
      </c>
      <c r="G3277" s="13" t="s">
        <v>2</v>
      </c>
      <c r="H3277" s="13" t="s">
        <v>8958</v>
      </c>
      <c r="I3277" s="13" t="s">
        <v>516</v>
      </c>
      <c r="J3277" s="13" t="s">
        <v>8890</v>
      </c>
      <c r="K3277" s="13" t="s">
        <v>516</v>
      </c>
      <c r="L3277" s="13" t="s">
        <v>158</v>
      </c>
      <c r="M3277" t="s">
        <v>8958</v>
      </c>
    </row>
    <row r="3278" spans="1:13" x14ac:dyDescent="0.25">
      <c r="A3278" s="13" t="s">
        <v>7976</v>
      </c>
      <c r="B3278" s="13" t="s">
        <v>7977</v>
      </c>
      <c r="C3278" s="13" t="s">
        <v>7978</v>
      </c>
      <c r="D3278" s="13">
        <v>5.0999999999999996</v>
      </c>
      <c r="E3278" s="13" t="s">
        <v>7979</v>
      </c>
      <c r="F3278" s="13" t="s">
        <v>8865</v>
      </c>
      <c r="G3278" s="13" t="s">
        <v>2</v>
      </c>
      <c r="H3278" s="13" t="s">
        <v>3</v>
      </c>
      <c r="I3278" s="13" t="s">
        <v>516</v>
      </c>
      <c r="J3278" s="13" t="s">
        <v>8890</v>
      </c>
      <c r="K3278" s="13" t="s">
        <v>516</v>
      </c>
      <c r="L3278" s="13" t="s">
        <v>8901</v>
      </c>
      <c r="M3278" t="s">
        <v>3</v>
      </c>
    </row>
    <row r="3279" spans="1:13" x14ac:dyDescent="0.25">
      <c r="A3279" s="13" t="s">
        <v>10375</v>
      </c>
      <c r="B3279" s="13" t="s">
        <v>10376</v>
      </c>
      <c r="C3279" s="13" t="s">
        <v>10377</v>
      </c>
      <c r="D3279" s="13">
        <v>40</v>
      </c>
      <c r="E3279" s="13" t="s">
        <v>10378</v>
      </c>
      <c r="F3279" s="13" t="s">
        <v>8867</v>
      </c>
      <c r="G3279" s="13" t="s">
        <v>2</v>
      </c>
      <c r="H3279" s="13" t="s">
        <v>8958</v>
      </c>
      <c r="I3279" s="13" t="s">
        <v>516</v>
      </c>
      <c r="J3279" s="13" t="s">
        <v>8890</v>
      </c>
      <c r="K3279" s="13" t="s">
        <v>516</v>
      </c>
      <c r="L3279" s="13" t="s">
        <v>158</v>
      </c>
      <c r="M3279" t="s">
        <v>8958</v>
      </c>
    </row>
    <row r="3280" spans="1:13" x14ac:dyDescent="0.25">
      <c r="A3280" s="13" t="s">
        <v>10629</v>
      </c>
      <c r="B3280" s="13" t="s">
        <v>10629</v>
      </c>
      <c r="C3280" s="13" t="s">
        <v>10629</v>
      </c>
      <c r="D3280" s="13">
        <v>41.7</v>
      </c>
      <c r="E3280" s="13" t="s">
        <v>10630</v>
      </c>
      <c r="F3280" s="13" t="s">
        <v>8867</v>
      </c>
      <c r="G3280" s="13" t="s">
        <v>2</v>
      </c>
      <c r="H3280" s="13" t="s">
        <v>10910</v>
      </c>
      <c r="I3280" s="13" t="s">
        <v>228</v>
      </c>
      <c r="J3280" s="13" t="s">
        <v>8890</v>
      </c>
      <c r="K3280" s="13" t="s">
        <v>8418</v>
      </c>
      <c r="L3280" s="13" t="s">
        <v>158</v>
      </c>
      <c r="M3280" t="s">
        <v>10910</v>
      </c>
    </row>
    <row r="3281" spans="1:13" x14ac:dyDescent="0.25">
      <c r="A3281" s="13" t="s">
        <v>10977</v>
      </c>
      <c r="B3281" s="13" t="s">
        <v>10978</v>
      </c>
      <c r="C3281" s="13" t="s">
        <v>10979</v>
      </c>
      <c r="D3281" s="13">
        <v>41.7</v>
      </c>
      <c r="E3281" s="13" t="s">
        <v>10980</v>
      </c>
      <c r="F3281" s="13" t="s">
        <v>8867</v>
      </c>
      <c r="G3281" s="13" t="s">
        <v>2</v>
      </c>
      <c r="H3281" s="13" t="s">
        <v>3</v>
      </c>
      <c r="I3281" s="13" t="s">
        <v>516</v>
      </c>
      <c r="J3281" s="13" t="s">
        <v>8890</v>
      </c>
      <c r="K3281" s="13" t="s">
        <v>516</v>
      </c>
      <c r="L3281" s="13" t="s">
        <v>158</v>
      </c>
      <c r="M3281" t="s">
        <v>3</v>
      </c>
    </row>
    <row r="3282" spans="1:13" x14ac:dyDescent="0.25">
      <c r="A3282" s="13" t="s">
        <v>10981</v>
      </c>
      <c r="B3282" s="13" t="s">
        <v>10982</v>
      </c>
      <c r="C3282" s="13" t="s">
        <v>10983</v>
      </c>
      <c r="D3282" s="13">
        <v>41.7</v>
      </c>
      <c r="E3282" s="13" t="s">
        <v>10984</v>
      </c>
      <c r="F3282" s="13" t="s">
        <v>8867</v>
      </c>
      <c r="G3282" s="13" t="s">
        <v>2</v>
      </c>
      <c r="H3282" s="13" t="s">
        <v>3</v>
      </c>
      <c r="I3282" s="13" t="s">
        <v>516</v>
      </c>
      <c r="J3282" s="13" t="s">
        <v>8890</v>
      </c>
      <c r="K3282" s="13" t="s">
        <v>516</v>
      </c>
      <c r="L3282" s="13" t="s">
        <v>158</v>
      </c>
      <c r="M3282" t="s">
        <v>3</v>
      </c>
    </row>
    <row r="3283" spans="1:13" x14ac:dyDescent="0.25">
      <c r="A3283" s="13" t="s">
        <v>10985</v>
      </c>
      <c r="B3283" s="13" t="s">
        <v>10986</v>
      </c>
      <c r="C3283" s="13" t="s">
        <v>10987</v>
      </c>
      <c r="D3283" s="13">
        <v>41.7</v>
      </c>
      <c r="E3283" s="13" t="s">
        <v>10988</v>
      </c>
      <c r="F3283" s="13" t="s">
        <v>8867</v>
      </c>
      <c r="G3283" s="13" t="s">
        <v>2</v>
      </c>
      <c r="H3283" s="13" t="s">
        <v>3</v>
      </c>
      <c r="I3283" s="13" t="s">
        <v>516</v>
      </c>
      <c r="J3283" s="13" t="s">
        <v>8890</v>
      </c>
      <c r="K3283" s="13" t="s">
        <v>516</v>
      </c>
      <c r="L3283" s="13" t="s">
        <v>158</v>
      </c>
      <c r="M3283" t="s">
        <v>3</v>
      </c>
    </row>
    <row r="3284" spans="1:13" x14ac:dyDescent="0.25">
      <c r="A3284" s="13" t="s">
        <v>10631</v>
      </c>
      <c r="B3284" s="13" t="s">
        <v>10631</v>
      </c>
      <c r="C3284" s="13" t="s">
        <v>10631</v>
      </c>
      <c r="D3284" s="13">
        <v>41.7</v>
      </c>
      <c r="E3284" s="13" t="s">
        <v>10632</v>
      </c>
      <c r="F3284" s="13" t="s">
        <v>8867</v>
      </c>
      <c r="G3284" s="13" t="s">
        <v>2</v>
      </c>
      <c r="H3284" s="13" t="s">
        <v>10910</v>
      </c>
      <c r="I3284" s="13" t="s">
        <v>228</v>
      </c>
      <c r="J3284" s="13" t="s">
        <v>8890</v>
      </c>
      <c r="K3284" s="13" t="s">
        <v>8418</v>
      </c>
      <c r="L3284" s="13" t="s">
        <v>158</v>
      </c>
      <c r="M3284" t="s">
        <v>10910</v>
      </c>
    </row>
    <row r="3285" spans="1:13" x14ac:dyDescent="0.25">
      <c r="A3285" s="13" t="s">
        <v>10633</v>
      </c>
      <c r="B3285" s="13" t="s">
        <v>10633</v>
      </c>
      <c r="C3285" s="13" t="s">
        <v>10633</v>
      </c>
      <c r="D3285" s="13">
        <v>41.7</v>
      </c>
      <c r="E3285" s="13" t="s">
        <v>10634</v>
      </c>
      <c r="F3285" s="13" t="s">
        <v>8867</v>
      </c>
      <c r="G3285" s="13" t="s">
        <v>2</v>
      </c>
      <c r="H3285" s="13" t="s">
        <v>10910</v>
      </c>
      <c r="I3285" s="13" t="s">
        <v>228</v>
      </c>
      <c r="J3285" s="13" t="s">
        <v>8890</v>
      </c>
      <c r="K3285" s="13" t="s">
        <v>8418</v>
      </c>
      <c r="L3285" s="13" t="s">
        <v>158</v>
      </c>
      <c r="M3285" t="s">
        <v>10910</v>
      </c>
    </row>
    <row r="3286" spans="1:13" x14ac:dyDescent="0.25">
      <c r="A3286" s="13" t="s">
        <v>9983</v>
      </c>
      <c r="B3286" s="13" t="s">
        <v>9984</v>
      </c>
      <c r="C3286" s="13" t="s">
        <v>9985</v>
      </c>
      <c r="D3286" s="13">
        <v>32</v>
      </c>
      <c r="E3286" s="13" t="s">
        <v>9986</v>
      </c>
      <c r="F3286" s="13" t="s">
        <v>8867</v>
      </c>
      <c r="G3286" s="13" t="s">
        <v>2</v>
      </c>
      <c r="H3286" s="13" t="s">
        <v>8958</v>
      </c>
      <c r="I3286" s="13" t="s">
        <v>516</v>
      </c>
      <c r="J3286" s="13" t="s">
        <v>8890</v>
      </c>
      <c r="K3286" s="13" t="s">
        <v>516</v>
      </c>
      <c r="L3286" s="13" t="s">
        <v>158</v>
      </c>
      <c r="M3286" t="s">
        <v>8958</v>
      </c>
    </row>
    <row r="3287" spans="1:13" x14ac:dyDescent="0.25">
      <c r="A3287" s="13" t="s">
        <v>10635</v>
      </c>
      <c r="B3287" s="13" t="s">
        <v>10635</v>
      </c>
      <c r="C3287" s="13" t="s">
        <v>10635</v>
      </c>
      <c r="D3287" s="13">
        <v>10</v>
      </c>
      <c r="E3287" s="13" t="s">
        <v>10636</v>
      </c>
      <c r="F3287" s="13" t="s">
        <v>8867</v>
      </c>
      <c r="G3287" s="13" t="s">
        <v>2</v>
      </c>
      <c r="H3287" s="13" t="s">
        <v>3</v>
      </c>
      <c r="I3287" s="13" t="s">
        <v>228</v>
      </c>
      <c r="J3287" s="13" t="s">
        <v>8890</v>
      </c>
      <c r="K3287" s="13" t="s">
        <v>8418</v>
      </c>
      <c r="L3287" s="13" t="s">
        <v>158</v>
      </c>
      <c r="M3287" t="s">
        <v>3</v>
      </c>
    </row>
    <row r="3288" spans="1:13" x14ac:dyDescent="0.25">
      <c r="A3288" s="13" t="s">
        <v>9987</v>
      </c>
      <c r="B3288" s="13" t="s">
        <v>9988</v>
      </c>
      <c r="C3288" s="13" t="s">
        <v>9989</v>
      </c>
      <c r="D3288" s="13">
        <v>12.9</v>
      </c>
      <c r="E3288" s="13" t="s">
        <v>9990</v>
      </c>
      <c r="F3288" s="13" t="s">
        <v>8869</v>
      </c>
      <c r="G3288" s="13" t="s">
        <v>2</v>
      </c>
      <c r="H3288" s="13" t="s">
        <v>3</v>
      </c>
      <c r="I3288" s="13" t="s">
        <v>516</v>
      </c>
      <c r="J3288" s="13" t="s">
        <v>8890</v>
      </c>
      <c r="K3288" s="13" t="s">
        <v>516</v>
      </c>
      <c r="L3288" s="13" t="s">
        <v>8918</v>
      </c>
      <c r="M3288" t="s">
        <v>3</v>
      </c>
    </row>
    <row r="3289" spans="1:13" x14ac:dyDescent="0.25">
      <c r="A3289" s="13" t="s">
        <v>9683</v>
      </c>
      <c r="B3289" s="13" t="s">
        <v>9683</v>
      </c>
      <c r="C3289" s="13" t="s">
        <v>9683</v>
      </c>
      <c r="D3289" s="13">
        <v>25</v>
      </c>
      <c r="E3289" s="13" t="s">
        <v>9684</v>
      </c>
      <c r="F3289" s="13" t="s">
        <v>8867</v>
      </c>
      <c r="G3289" s="13" t="s">
        <v>2</v>
      </c>
      <c r="H3289" s="13" t="s">
        <v>9224</v>
      </c>
      <c r="I3289" s="13" t="s">
        <v>228</v>
      </c>
      <c r="J3289" s="13" t="s">
        <v>8890</v>
      </c>
      <c r="K3289" s="13" t="s">
        <v>8418</v>
      </c>
      <c r="L3289" s="13" t="s">
        <v>158</v>
      </c>
      <c r="M3289" t="s">
        <v>10685</v>
      </c>
    </row>
    <row r="3290" spans="1:13" x14ac:dyDescent="0.25">
      <c r="A3290" s="13" t="s">
        <v>7980</v>
      </c>
      <c r="B3290" s="13" t="s">
        <v>7980</v>
      </c>
      <c r="C3290" s="13" t="s">
        <v>7980</v>
      </c>
      <c r="D3290" s="13">
        <v>25</v>
      </c>
      <c r="E3290" s="13" t="s">
        <v>7981</v>
      </c>
      <c r="F3290" s="13" t="s">
        <v>8867</v>
      </c>
      <c r="G3290" s="13" t="s">
        <v>2</v>
      </c>
      <c r="H3290" s="13" t="s">
        <v>9224</v>
      </c>
      <c r="I3290" s="13" t="s">
        <v>228</v>
      </c>
      <c r="J3290" s="13" t="s">
        <v>8890</v>
      </c>
      <c r="K3290" s="13" t="s">
        <v>8418</v>
      </c>
      <c r="L3290" s="13" t="s">
        <v>158</v>
      </c>
      <c r="M3290" t="s">
        <v>10685</v>
      </c>
    </row>
    <row r="3291" spans="1:13" ht="26.25" x14ac:dyDescent="0.25">
      <c r="A3291" s="13" t="s">
        <v>7982</v>
      </c>
      <c r="B3291" s="13" t="s">
        <v>7983</v>
      </c>
      <c r="C3291" s="13" t="s">
        <v>7984</v>
      </c>
      <c r="D3291" s="13">
        <v>28.5</v>
      </c>
      <c r="E3291" s="13" t="s">
        <v>7985</v>
      </c>
      <c r="F3291" s="13" t="s">
        <v>8869</v>
      </c>
      <c r="G3291" s="13" t="s">
        <v>2</v>
      </c>
      <c r="H3291" s="13" t="s">
        <v>10022</v>
      </c>
      <c r="I3291" s="13" t="s">
        <v>516</v>
      </c>
      <c r="J3291" s="13" t="s">
        <v>8890</v>
      </c>
      <c r="K3291" s="13" t="s">
        <v>516</v>
      </c>
      <c r="L3291" s="13" t="s">
        <v>8918</v>
      </c>
      <c r="M3291" t="s">
        <v>10022</v>
      </c>
    </row>
    <row r="3292" spans="1:13" x14ac:dyDescent="0.25">
      <c r="A3292" s="13" t="s">
        <v>7986</v>
      </c>
      <c r="B3292" s="13" t="s">
        <v>7987</v>
      </c>
      <c r="C3292" s="13" t="s">
        <v>7988</v>
      </c>
      <c r="D3292" s="13">
        <v>328.4</v>
      </c>
      <c r="E3292" s="13" t="s">
        <v>7989</v>
      </c>
      <c r="F3292" s="13" t="s">
        <v>8869</v>
      </c>
      <c r="G3292" s="13" t="s">
        <v>2</v>
      </c>
      <c r="H3292" s="13" t="s">
        <v>3</v>
      </c>
      <c r="I3292" s="13" t="s">
        <v>516</v>
      </c>
      <c r="J3292" s="13" t="s">
        <v>8890</v>
      </c>
      <c r="K3292" s="13" t="s">
        <v>516</v>
      </c>
      <c r="L3292" s="13" t="s">
        <v>8918</v>
      </c>
      <c r="M3292" t="s">
        <v>3</v>
      </c>
    </row>
    <row r="3293" spans="1:13" x14ac:dyDescent="0.25">
      <c r="A3293" s="13" t="s">
        <v>11926</v>
      </c>
      <c r="B3293" s="13" t="s">
        <v>11927</v>
      </c>
      <c r="C3293" s="13" t="s">
        <v>11928</v>
      </c>
      <c r="D3293" s="13">
        <v>50</v>
      </c>
      <c r="E3293" s="13" t="s">
        <v>11929</v>
      </c>
      <c r="F3293" s="13" t="s">
        <v>9717</v>
      </c>
      <c r="G3293" s="13" t="s">
        <v>2</v>
      </c>
      <c r="H3293" s="13" t="s">
        <v>3</v>
      </c>
      <c r="I3293" s="13" t="s">
        <v>516</v>
      </c>
      <c r="J3293" s="13" t="s">
        <v>9004</v>
      </c>
      <c r="K3293" s="13" t="s">
        <v>516</v>
      </c>
      <c r="L3293" s="13" t="s">
        <v>10023</v>
      </c>
      <c r="M3293" t="s">
        <v>3</v>
      </c>
    </row>
    <row r="3294" spans="1:13" x14ac:dyDescent="0.25">
      <c r="A3294" s="13" t="s">
        <v>11460</v>
      </c>
      <c r="B3294" s="13" t="s">
        <v>11460</v>
      </c>
      <c r="C3294" s="13" t="s">
        <v>11460</v>
      </c>
      <c r="D3294" s="13">
        <v>8</v>
      </c>
      <c r="E3294" s="13" t="s">
        <v>11461</v>
      </c>
      <c r="F3294" s="13" t="s">
        <v>8867</v>
      </c>
      <c r="G3294" s="13" t="s">
        <v>2</v>
      </c>
      <c r="H3294" s="13" t="s">
        <v>3</v>
      </c>
      <c r="I3294" s="13" t="s">
        <v>228</v>
      </c>
      <c r="J3294" s="13" t="s">
        <v>8890</v>
      </c>
      <c r="K3294" s="13" t="s">
        <v>8418</v>
      </c>
      <c r="L3294" s="13" t="s">
        <v>158</v>
      </c>
      <c r="M3294" t="s">
        <v>3</v>
      </c>
    </row>
    <row r="3295" spans="1:13" ht="26.25" x14ac:dyDescent="0.25">
      <c r="A3295" s="13" t="s">
        <v>7990</v>
      </c>
      <c r="B3295" s="13" t="s">
        <v>7991</v>
      </c>
      <c r="C3295" s="13" t="s">
        <v>7992</v>
      </c>
      <c r="D3295" s="13">
        <v>40.799999999999997</v>
      </c>
      <c r="E3295" s="13" t="s">
        <v>7993</v>
      </c>
      <c r="F3295" s="13" t="s">
        <v>8867</v>
      </c>
      <c r="G3295" s="13" t="s">
        <v>2</v>
      </c>
      <c r="H3295" s="13" t="s">
        <v>8958</v>
      </c>
      <c r="I3295" s="13" t="s">
        <v>516</v>
      </c>
      <c r="J3295" s="13" t="s">
        <v>8890</v>
      </c>
      <c r="K3295" s="13" t="s">
        <v>516</v>
      </c>
      <c r="L3295" s="13" t="s">
        <v>158</v>
      </c>
      <c r="M3295" t="s">
        <v>8958</v>
      </c>
    </row>
    <row r="3296" spans="1:13" x14ac:dyDescent="0.25">
      <c r="A3296" s="13" t="s">
        <v>10379</v>
      </c>
      <c r="B3296" s="13" t="s">
        <v>10380</v>
      </c>
      <c r="C3296" s="13" t="s">
        <v>10380</v>
      </c>
      <c r="D3296" s="13">
        <v>4.8</v>
      </c>
      <c r="E3296" s="13" t="s">
        <v>10381</v>
      </c>
      <c r="F3296" s="13" t="s">
        <v>8867</v>
      </c>
      <c r="G3296" s="13" t="s">
        <v>2</v>
      </c>
      <c r="H3296" s="13" t="s">
        <v>3</v>
      </c>
      <c r="I3296" s="13" t="s">
        <v>159</v>
      </c>
      <c r="J3296" s="13" t="s">
        <v>8890</v>
      </c>
      <c r="K3296" s="13" t="s">
        <v>8442</v>
      </c>
      <c r="L3296" s="13" t="s">
        <v>158</v>
      </c>
      <c r="M3296" t="s">
        <v>3</v>
      </c>
    </row>
    <row r="3297" spans="1:13" x14ac:dyDescent="0.25">
      <c r="A3297" s="13" t="s">
        <v>10382</v>
      </c>
      <c r="B3297" s="13" t="s">
        <v>10383</v>
      </c>
      <c r="C3297" s="13" t="s">
        <v>10383</v>
      </c>
      <c r="D3297" s="13">
        <v>4.8</v>
      </c>
      <c r="E3297" s="13" t="s">
        <v>10384</v>
      </c>
      <c r="F3297" s="13" t="s">
        <v>8867</v>
      </c>
      <c r="G3297" s="13" t="s">
        <v>2</v>
      </c>
      <c r="H3297" s="13" t="s">
        <v>3</v>
      </c>
      <c r="I3297" s="13" t="s">
        <v>159</v>
      </c>
      <c r="J3297" s="13" t="s">
        <v>8890</v>
      </c>
      <c r="K3297" s="13" t="s">
        <v>8442</v>
      </c>
      <c r="L3297" s="13" t="s">
        <v>158</v>
      </c>
      <c r="M3297" t="s">
        <v>3</v>
      </c>
    </row>
    <row r="3298" spans="1:13" x14ac:dyDescent="0.25">
      <c r="A3298" s="13" t="s">
        <v>10794</v>
      </c>
      <c r="B3298" s="13" t="s">
        <v>10794</v>
      </c>
      <c r="C3298" s="13" t="s">
        <v>10795</v>
      </c>
      <c r="D3298" s="13">
        <v>4.0999999999999996</v>
      </c>
      <c r="E3298" s="13" t="s">
        <v>10796</v>
      </c>
      <c r="F3298" s="13" t="s">
        <v>8867</v>
      </c>
      <c r="G3298" s="13" t="s">
        <v>2</v>
      </c>
      <c r="H3298" s="13" t="s">
        <v>3</v>
      </c>
      <c r="I3298" s="13" t="s">
        <v>159</v>
      </c>
      <c r="J3298" s="13" t="s">
        <v>8890</v>
      </c>
      <c r="K3298" s="13" t="s">
        <v>8442</v>
      </c>
      <c r="L3298" s="13" t="s">
        <v>158</v>
      </c>
      <c r="M3298" t="s">
        <v>3</v>
      </c>
    </row>
    <row r="3299" spans="1:13" x14ac:dyDescent="0.25">
      <c r="A3299" s="13" t="s">
        <v>11462</v>
      </c>
      <c r="B3299" s="13" t="s">
        <v>11463</v>
      </c>
      <c r="C3299" s="13" t="s">
        <v>11464</v>
      </c>
      <c r="D3299" s="13">
        <v>44</v>
      </c>
      <c r="E3299" s="13" t="s">
        <v>11465</v>
      </c>
      <c r="F3299" s="13" t="s">
        <v>8867</v>
      </c>
      <c r="G3299" s="13" t="s">
        <v>2</v>
      </c>
      <c r="H3299" s="13" t="s">
        <v>3</v>
      </c>
      <c r="I3299" s="13" t="s">
        <v>516</v>
      </c>
      <c r="J3299" s="13" t="s">
        <v>8890</v>
      </c>
      <c r="K3299" s="13" t="s">
        <v>516</v>
      </c>
      <c r="L3299" s="13" t="s">
        <v>158</v>
      </c>
      <c r="M3299" t="s">
        <v>3</v>
      </c>
    </row>
    <row r="3300" spans="1:13" x14ac:dyDescent="0.25">
      <c r="A3300" s="13" t="s">
        <v>10385</v>
      </c>
      <c r="B3300" s="13" t="s">
        <v>10385</v>
      </c>
      <c r="C3300" s="13" t="s">
        <v>10385</v>
      </c>
      <c r="D3300" s="13">
        <v>5</v>
      </c>
      <c r="E3300" s="13" t="s">
        <v>10386</v>
      </c>
      <c r="F3300" s="13" t="s">
        <v>8867</v>
      </c>
      <c r="G3300" s="13" t="s">
        <v>2</v>
      </c>
      <c r="H3300" s="13" t="s">
        <v>3</v>
      </c>
      <c r="I3300" s="13" t="s">
        <v>228</v>
      </c>
      <c r="J3300" s="13" t="s">
        <v>8890</v>
      </c>
      <c r="K3300" s="13" t="s">
        <v>8418</v>
      </c>
      <c r="L3300" s="13" t="s">
        <v>158</v>
      </c>
      <c r="M3300" t="s">
        <v>3</v>
      </c>
    </row>
    <row r="3301" spans="1:13" x14ac:dyDescent="0.25">
      <c r="A3301" s="13" t="s">
        <v>9517</v>
      </c>
      <c r="B3301" s="13" t="s">
        <v>9518</v>
      </c>
      <c r="C3301" s="13" t="s">
        <v>9519</v>
      </c>
      <c r="D3301" s="13">
        <v>44.3</v>
      </c>
      <c r="E3301" s="13" t="s">
        <v>9520</v>
      </c>
      <c r="F3301" s="13" t="s">
        <v>8867</v>
      </c>
      <c r="G3301" s="13" t="s">
        <v>2</v>
      </c>
      <c r="H3301" s="13" t="s">
        <v>3</v>
      </c>
      <c r="I3301" s="13" t="s">
        <v>516</v>
      </c>
      <c r="J3301" s="13" t="s">
        <v>8890</v>
      </c>
      <c r="K3301" s="13" t="s">
        <v>516</v>
      </c>
      <c r="L3301" s="13" t="s">
        <v>158</v>
      </c>
      <c r="M3301" t="s">
        <v>3</v>
      </c>
    </row>
    <row r="3302" spans="1:13" x14ac:dyDescent="0.25">
      <c r="A3302" s="13" t="s">
        <v>9521</v>
      </c>
      <c r="B3302" s="13" t="s">
        <v>9522</v>
      </c>
      <c r="C3302" s="13" t="s">
        <v>9523</v>
      </c>
      <c r="D3302" s="13">
        <v>43.3</v>
      </c>
      <c r="E3302" s="13" t="s">
        <v>9524</v>
      </c>
      <c r="F3302" s="13" t="s">
        <v>8867</v>
      </c>
      <c r="G3302" s="13" t="s">
        <v>2</v>
      </c>
      <c r="H3302" s="13" t="s">
        <v>3</v>
      </c>
      <c r="I3302" s="13" t="s">
        <v>516</v>
      </c>
      <c r="J3302" s="13" t="s">
        <v>8890</v>
      </c>
      <c r="K3302" s="13" t="s">
        <v>516</v>
      </c>
      <c r="L3302" s="13" t="s">
        <v>158</v>
      </c>
      <c r="M3302" t="s">
        <v>3</v>
      </c>
    </row>
    <row r="3303" spans="1:13" ht="26.25" x14ac:dyDescent="0.25">
      <c r="A3303" s="13" t="s">
        <v>9525</v>
      </c>
      <c r="B3303" s="13" t="s">
        <v>9526</v>
      </c>
      <c r="C3303" s="13" t="s">
        <v>9527</v>
      </c>
      <c r="D3303" s="13">
        <v>44.3</v>
      </c>
      <c r="E3303" s="13" t="s">
        <v>9528</v>
      </c>
      <c r="F3303" s="13" t="s">
        <v>8867</v>
      </c>
      <c r="G3303" s="13" t="s">
        <v>2</v>
      </c>
      <c r="H3303" s="13" t="s">
        <v>3</v>
      </c>
      <c r="I3303" s="13" t="s">
        <v>516</v>
      </c>
      <c r="J3303" s="13" t="s">
        <v>8890</v>
      </c>
      <c r="K3303" s="13" t="s">
        <v>516</v>
      </c>
      <c r="L3303" s="13" t="s">
        <v>158</v>
      </c>
      <c r="M3303" t="s">
        <v>3</v>
      </c>
    </row>
    <row r="3304" spans="1:13" ht="26.25" x14ac:dyDescent="0.25">
      <c r="A3304" s="13" t="s">
        <v>9529</v>
      </c>
      <c r="B3304" s="13" t="s">
        <v>9526</v>
      </c>
      <c r="C3304" s="13" t="s">
        <v>9530</v>
      </c>
      <c r="D3304" s="13">
        <v>33.6</v>
      </c>
      <c r="E3304" s="13" t="s">
        <v>9531</v>
      </c>
      <c r="F3304" s="13" t="s">
        <v>8867</v>
      </c>
      <c r="G3304" s="13" t="s">
        <v>2</v>
      </c>
      <c r="H3304" s="13" t="s">
        <v>3</v>
      </c>
      <c r="I3304" s="13" t="s">
        <v>516</v>
      </c>
      <c r="J3304" s="13" t="s">
        <v>8890</v>
      </c>
      <c r="K3304" s="13" t="s">
        <v>516</v>
      </c>
      <c r="L3304" s="13" t="s">
        <v>158</v>
      </c>
      <c r="M3304" t="s">
        <v>3</v>
      </c>
    </row>
    <row r="3305" spans="1:13" x14ac:dyDescent="0.25">
      <c r="A3305" s="13" t="s">
        <v>7994</v>
      </c>
      <c r="B3305" s="13" t="s">
        <v>7995</v>
      </c>
      <c r="C3305" s="13" t="s">
        <v>7996</v>
      </c>
      <c r="D3305" s="13">
        <v>12.5</v>
      </c>
      <c r="E3305" s="13" t="s">
        <v>7997</v>
      </c>
      <c r="F3305" s="13" t="s">
        <v>8867</v>
      </c>
      <c r="G3305" s="13" t="s">
        <v>2</v>
      </c>
      <c r="H3305" s="13" t="s">
        <v>8958</v>
      </c>
      <c r="I3305" s="13" t="s">
        <v>516</v>
      </c>
      <c r="J3305" s="13" t="s">
        <v>8890</v>
      </c>
      <c r="K3305" s="13" t="s">
        <v>516</v>
      </c>
      <c r="L3305" s="13" t="s">
        <v>158</v>
      </c>
      <c r="M3305" t="s">
        <v>8958</v>
      </c>
    </row>
    <row r="3306" spans="1:13" x14ac:dyDescent="0.25">
      <c r="A3306" s="13" t="s">
        <v>11466</v>
      </c>
      <c r="B3306" s="13" t="s">
        <v>11466</v>
      </c>
      <c r="C3306" s="13" t="s">
        <v>11466</v>
      </c>
      <c r="D3306" s="13">
        <v>5.5</v>
      </c>
      <c r="E3306" s="13" t="s">
        <v>11467</v>
      </c>
      <c r="F3306" s="13" t="s">
        <v>8867</v>
      </c>
      <c r="G3306" s="13" t="s">
        <v>2</v>
      </c>
      <c r="H3306" s="13" t="s">
        <v>3</v>
      </c>
      <c r="I3306" s="13" t="s">
        <v>228</v>
      </c>
      <c r="J3306" s="13" t="s">
        <v>8890</v>
      </c>
      <c r="K3306" s="13" t="s">
        <v>8418</v>
      </c>
      <c r="L3306" s="13" t="s">
        <v>158</v>
      </c>
      <c r="M3306" t="s">
        <v>3</v>
      </c>
    </row>
    <row r="3307" spans="1:13" x14ac:dyDescent="0.25">
      <c r="A3307" s="13" t="s">
        <v>9991</v>
      </c>
      <c r="B3307" s="13" t="s">
        <v>9991</v>
      </c>
      <c r="C3307" s="13" t="s">
        <v>9992</v>
      </c>
      <c r="D3307" s="13">
        <v>116.5</v>
      </c>
      <c r="E3307" s="13" t="s">
        <v>9993</v>
      </c>
      <c r="F3307" s="13" t="s">
        <v>8867</v>
      </c>
      <c r="G3307" s="13" t="s">
        <v>2</v>
      </c>
      <c r="H3307" s="13" t="s">
        <v>3</v>
      </c>
      <c r="I3307" s="13" t="s">
        <v>1514</v>
      </c>
      <c r="J3307" s="13" t="s">
        <v>8890</v>
      </c>
      <c r="K3307" s="13" t="s">
        <v>8423</v>
      </c>
      <c r="L3307" s="13" t="s">
        <v>158</v>
      </c>
      <c r="M3307" t="s">
        <v>3</v>
      </c>
    </row>
    <row r="3308" spans="1:13" ht="26.25" x14ac:dyDescent="0.25">
      <c r="A3308" s="13" t="s">
        <v>11468</v>
      </c>
      <c r="B3308" s="13" t="s">
        <v>11468</v>
      </c>
      <c r="C3308" s="13" t="s">
        <v>11468</v>
      </c>
      <c r="D3308" s="13">
        <v>5</v>
      </c>
      <c r="E3308" s="13" t="s">
        <v>11469</v>
      </c>
      <c r="F3308" s="13" t="s">
        <v>8867</v>
      </c>
      <c r="G3308" s="13" t="s">
        <v>2</v>
      </c>
      <c r="H3308" s="13" t="s">
        <v>3</v>
      </c>
      <c r="I3308" s="13" t="s">
        <v>228</v>
      </c>
      <c r="J3308" s="13" t="s">
        <v>8890</v>
      </c>
      <c r="K3308" s="13" t="s">
        <v>8418</v>
      </c>
      <c r="L3308" s="13" t="s">
        <v>158</v>
      </c>
      <c r="M3308" t="s">
        <v>3</v>
      </c>
    </row>
    <row r="3309" spans="1:13" x14ac:dyDescent="0.25">
      <c r="A3309" s="13" t="s">
        <v>7998</v>
      </c>
      <c r="B3309" s="13" t="s">
        <v>7998</v>
      </c>
      <c r="C3309" s="13" t="s">
        <v>7998</v>
      </c>
      <c r="D3309" s="13">
        <v>25</v>
      </c>
      <c r="E3309" s="13" t="s">
        <v>7999</v>
      </c>
      <c r="F3309" s="13" t="s">
        <v>8867</v>
      </c>
      <c r="G3309" s="13" t="s">
        <v>2</v>
      </c>
      <c r="H3309" s="13" t="s">
        <v>9224</v>
      </c>
      <c r="I3309" s="13" t="s">
        <v>228</v>
      </c>
      <c r="J3309" s="13" t="s">
        <v>8890</v>
      </c>
      <c r="K3309" s="13" t="s">
        <v>8418</v>
      </c>
      <c r="L3309" s="13" t="s">
        <v>158</v>
      </c>
      <c r="M3309" t="s">
        <v>10685</v>
      </c>
    </row>
    <row r="3310" spans="1:13" ht="26.25" x14ac:dyDescent="0.25">
      <c r="A3310" s="13" t="s">
        <v>8000</v>
      </c>
      <c r="B3310" s="13" t="s">
        <v>8001</v>
      </c>
      <c r="C3310" s="13" t="s">
        <v>8002</v>
      </c>
      <c r="D3310" s="13">
        <v>99.8</v>
      </c>
      <c r="E3310" s="13" t="s">
        <v>8003</v>
      </c>
      <c r="F3310" s="13" t="s">
        <v>8876</v>
      </c>
      <c r="G3310" s="13" t="s">
        <v>2</v>
      </c>
      <c r="H3310" s="13" t="s">
        <v>3</v>
      </c>
      <c r="I3310" s="13" t="s">
        <v>516</v>
      </c>
      <c r="J3310" s="13" t="s">
        <v>8890</v>
      </c>
      <c r="K3310" s="13" t="s">
        <v>516</v>
      </c>
      <c r="L3310" s="13" t="s">
        <v>9244</v>
      </c>
      <c r="M3310" t="s">
        <v>3</v>
      </c>
    </row>
    <row r="3311" spans="1:13" x14ac:dyDescent="0.25">
      <c r="A3311" s="13" t="s">
        <v>9532</v>
      </c>
      <c r="B3311" s="13" t="s">
        <v>9532</v>
      </c>
      <c r="C3311" s="13" t="s">
        <v>9532</v>
      </c>
      <c r="D3311" s="13">
        <v>30</v>
      </c>
      <c r="E3311" s="13" t="s">
        <v>9533</v>
      </c>
      <c r="F3311" s="13" t="s">
        <v>8867</v>
      </c>
      <c r="G3311" s="13" t="s">
        <v>2</v>
      </c>
      <c r="H3311" s="13" t="s">
        <v>10910</v>
      </c>
      <c r="I3311" s="13" t="s">
        <v>228</v>
      </c>
      <c r="J3311" s="13" t="s">
        <v>8890</v>
      </c>
      <c r="K3311" s="13" t="s">
        <v>8418</v>
      </c>
      <c r="L3311" s="13" t="s">
        <v>158</v>
      </c>
      <c r="M3311" t="s">
        <v>10910</v>
      </c>
    </row>
    <row r="3312" spans="1:13" x14ac:dyDescent="0.25">
      <c r="A3312" s="13" t="s">
        <v>9534</v>
      </c>
      <c r="B3312" s="13" t="s">
        <v>9535</v>
      </c>
      <c r="C3312" s="13" t="s">
        <v>9536</v>
      </c>
      <c r="D3312" s="13">
        <v>0</v>
      </c>
      <c r="E3312" s="13" t="s">
        <v>9537</v>
      </c>
      <c r="F3312" s="13" t="s">
        <v>8867</v>
      </c>
      <c r="G3312" s="13" t="s">
        <v>2</v>
      </c>
      <c r="H3312" s="13" t="s">
        <v>3</v>
      </c>
      <c r="I3312" s="13" t="s">
        <v>5495</v>
      </c>
      <c r="J3312" s="13" t="s">
        <v>8890</v>
      </c>
      <c r="K3312" s="13" t="s">
        <v>8714</v>
      </c>
      <c r="L3312" s="13" t="s">
        <v>158</v>
      </c>
      <c r="M3312" t="s">
        <v>3</v>
      </c>
    </row>
    <row r="3313" spans="1:13" x14ac:dyDescent="0.25">
      <c r="A3313" s="13" t="s">
        <v>9538</v>
      </c>
      <c r="B3313" s="13" t="s">
        <v>9538</v>
      </c>
      <c r="C3313" s="13" t="s">
        <v>9538</v>
      </c>
      <c r="D3313" s="13">
        <v>30</v>
      </c>
      <c r="E3313" s="13" t="s">
        <v>9539</v>
      </c>
      <c r="F3313" s="13" t="s">
        <v>8867</v>
      </c>
      <c r="G3313" s="13" t="s">
        <v>2</v>
      </c>
      <c r="H3313" s="13" t="s">
        <v>9224</v>
      </c>
      <c r="I3313" s="13" t="s">
        <v>228</v>
      </c>
      <c r="J3313" s="13" t="s">
        <v>8890</v>
      </c>
      <c r="K3313" s="13" t="s">
        <v>8418</v>
      </c>
      <c r="L3313" s="13" t="s">
        <v>158</v>
      </c>
      <c r="M3313" t="s">
        <v>10685</v>
      </c>
    </row>
    <row r="3314" spans="1:13" x14ac:dyDescent="0.25">
      <c r="A3314" s="13" t="s">
        <v>10387</v>
      </c>
      <c r="B3314" s="13" t="s">
        <v>10388</v>
      </c>
      <c r="C3314" s="13" t="s">
        <v>10389</v>
      </c>
      <c r="D3314" s="13">
        <v>114.4</v>
      </c>
      <c r="E3314" s="13" t="s">
        <v>10390</v>
      </c>
      <c r="F3314" s="13" t="s">
        <v>8867</v>
      </c>
      <c r="G3314" s="13" t="s">
        <v>2</v>
      </c>
      <c r="H3314" s="13" t="s">
        <v>3</v>
      </c>
      <c r="I3314" s="13" t="s">
        <v>516</v>
      </c>
      <c r="J3314" s="13" t="s">
        <v>8890</v>
      </c>
      <c r="K3314" s="13" t="s">
        <v>516</v>
      </c>
      <c r="L3314" s="13" t="s">
        <v>158</v>
      </c>
      <c r="M3314" t="s">
        <v>3</v>
      </c>
    </row>
    <row r="3315" spans="1:13" x14ac:dyDescent="0.25">
      <c r="A3315" s="13" t="s">
        <v>10989</v>
      </c>
      <c r="B3315" s="13" t="s">
        <v>10990</v>
      </c>
      <c r="C3315" s="13" t="s">
        <v>10991</v>
      </c>
      <c r="D3315" s="13">
        <v>45.8</v>
      </c>
      <c r="E3315" s="13" t="s">
        <v>10992</v>
      </c>
      <c r="F3315" s="13" t="s">
        <v>8867</v>
      </c>
      <c r="G3315" s="13" t="s">
        <v>2</v>
      </c>
      <c r="H3315" s="13" t="s">
        <v>8958</v>
      </c>
      <c r="I3315" s="13" t="s">
        <v>516</v>
      </c>
      <c r="J3315" s="13" t="s">
        <v>8890</v>
      </c>
      <c r="K3315" s="13" t="s">
        <v>516</v>
      </c>
      <c r="L3315" s="13" t="s">
        <v>158</v>
      </c>
      <c r="M3315" t="s">
        <v>8958</v>
      </c>
    </row>
    <row r="3316" spans="1:13" x14ac:dyDescent="0.25">
      <c r="A3316" s="13" t="s">
        <v>10993</v>
      </c>
      <c r="B3316" s="13" t="s">
        <v>10994</v>
      </c>
      <c r="C3316" s="13" t="s">
        <v>10995</v>
      </c>
      <c r="D3316" s="13">
        <v>45.8</v>
      </c>
      <c r="E3316" s="13" t="s">
        <v>10996</v>
      </c>
      <c r="F3316" s="13" t="s">
        <v>8867</v>
      </c>
      <c r="G3316" s="13" t="s">
        <v>2</v>
      </c>
      <c r="H3316" s="13" t="s">
        <v>8958</v>
      </c>
      <c r="I3316" s="13" t="s">
        <v>516</v>
      </c>
      <c r="J3316" s="13" t="s">
        <v>8890</v>
      </c>
      <c r="K3316" s="13" t="s">
        <v>516</v>
      </c>
      <c r="L3316" s="13" t="s">
        <v>158</v>
      </c>
      <c r="M3316" t="s">
        <v>8958</v>
      </c>
    </row>
    <row r="3317" spans="1:13" x14ac:dyDescent="0.25">
      <c r="A3317" s="13" t="s">
        <v>11470</v>
      </c>
      <c r="B3317" s="13" t="s">
        <v>11471</v>
      </c>
      <c r="C3317" s="13" t="s">
        <v>11472</v>
      </c>
      <c r="D3317" s="13">
        <v>43.4</v>
      </c>
      <c r="E3317" s="13" t="s">
        <v>11473</v>
      </c>
      <c r="F3317" s="13" t="s">
        <v>8867</v>
      </c>
      <c r="G3317" s="13" t="s">
        <v>2</v>
      </c>
      <c r="H3317" s="13" t="s">
        <v>3</v>
      </c>
      <c r="I3317" s="13" t="s">
        <v>516</v>
      </c>
      <c r="J3317" s="13" t="s">
        <v>8890</v>
      </c>
      <c r="K3317" s="13" t="s">
        <v>516</v>
      </c>
      <c r="L3317" s="13" t="s">
        <v>158</v>
      </c>
      <c r="M3317" t="s">
        <v>3</v>
      </c>
    </row>
    <row r="3318" spans="1:13" x14ac:dyDescent="0.25">
      <c r="A3318" s="13" t="s">
        <v>8004</v>
      </c>
      <c r="B3318" s="13" t="s">
        <v>8004</v>
      </c>
      <c r="C3318" s="13" t="s">
        <v>8004</v>
      </c>
      <c r="D3318" s="13">
        <v>41.3</v>
      </c>
      <c r="E3318" s="13" t="s">
        <v>8005</v>
      </c>
      <c r="F3318" s="13" t="s">
        <v>8865</v>
      </c>
      <c r="G3318" s="13" t="s">
        <v>2</v>
      </c>
      <c r="H3318" s="13" t="s">
        <v>3</v>
      </c>
      <c r="I3318" s="13" t="s">
        <v>649</v>
      </c>
      <c r="J3318" s="13" t="s">
        <v>8890</v>
      </c>
      <c r="K3318" s="13" t="s">
        <v>6051</v>
      </c>
      <c r="L3318" s="13" t="s">
        <v>8901</v>
      </c>
      <c r="M3318" t="s">
        <v>3</v>
      </c>
    </row>
    <row r="3319" spans="1:13" ht="26.25" x14ac:dyDescent="0.25">
      <c r="A3319" s="13" t="s">
        <v>9540</v>
      </c>
      <c r="B3319" s="13" t="s">
        <v>9541</v>
      </c>
      <c r="C3319" s="13" t="s">
        <v>9542</v>
      </c>
      <c r="D3319" s="13">
        <v>48</v>
      </c>
      <c r="E3319" s="13" t="s">
        <v>9543</v>
      </c>
      <c r="F3319" s="13" t="s">
        <v>8869</v>
      </c>
      <c r="G3319" s="13" t="s">
        <v>2</v>
      </c>
      <c r="H3319" s="13" t="s">
        <v>9982</v>
      </c>
      <c r="I3319" s="13" t="s">
        <v>516</v>
      </c>
      <c r="J3319" s="13" t="s">
        <v>8890</v>
      </c>
      <c r="K3319" s="13" t="s">
        <v>516</v>
      </c>
      <c r="L3319" s="13" t="s">
        <v>8918</v>
      </c>
      <c r="M3319" t="s">
        <v>9982</v>
      </c>
    </row>
    <row r="3320" spans="1:13" ht="26.25" x14ac:dyDescent="0.25">
      <c r="A3320" s="13" t="s">
        <v>8006</v>
      </c>
      <c r="B3320" s="13" t="s">
        <v>8006</v>
      </c>
      <c r="C3320" s="13" t="s">
        <v>8006</v>
      </c>
      <c r="D3320" s="13">
        <v>10</v>
      </c>
      <c r="E3320" s="13" t="s">
        <v>8007</v>
      </c>
      <c r="F3320" s="13" t="s">
        <v>8867</v>
      </c>
      <c r="G3320" s="13" t="s">
        <v>2</v>
      </c>
      <c r="H3320" s="13" t="s">
        <v>3</v>
      </c>
      <c r="I3320" s="13" t="s">
        <v>159</v>
      </c>
      <c r="J3320" s="13" t="s">
        <v>8890</v>
      </c>
      <c r="K3320" s="13" t="s">
        <v>8442</v>
      </c>
      <c r="L3320" s="13" t="s">
        <v>158</v>
      </c>
      <c r="M3320" t="s">
        <v>3</v>
      </c>
    </row>
    <row r="3321" spans="1:13" ht="26.25" x14ac:dyDescent="0.25">
      <c r="A3321" s="13" t="s">
        <v>8008</v>
      </c>
      <c r="B3321" s="13" t="s">
        <v>8008</v>
      </c>
      <c r="C3321" s="13" t="s">
        <v>8008</v>
      </c>
      <c r="D3321" s="13">
        <v>10</v>
      </c>
      <c r="E3321" s="13" t="s">
        <v>8009</v>
      </c>
      <c r="F3321" s="13" t="s">
        <v>8867</v>
      </c>
      <c r="G3321" s="13" t="s">
        <v>2</v>
      </c>
      <c r="H3321" s="13" t="s">
        <v>3</v>
      </c>
      <c r="I3321" s="13" t="s">
        <v>159</v>
      </c>
      <c r="J3321" s="13" t="s">
        <v>8890</v>
      </c>
      <c r="K3321" s="13" t="s">
        <v>8442</v>
      </c>
      <c r="L3321" s="13" t="s">
        <v>158</v>
      </c>
      <c r="M3321" t="s">
        <v>3</v>
      </c>
    </row>
    <row r="3322" spans="1:13" ht="26.25" x14ac:dyDescent="0.25">
      <c r="A3322" s="13" t="s">
        <v>8010</v>
      </c>
      <c r="B3322" s="13" t="s">
        <v>8010</v>
      </c>
      <c r="C3322" s="13" t="s">
        <v>8010</v>
      </c>
      <c r="D3322" s="13">
        <v>7.2</v>
      </c>
      <c r="E3322" s="13" t="s">
        <v>8011</v>
      </c>
      <c r="F3322" s="13" t="s">
        <v>8867</v>
      </c>
      <c r="G3322" s="13" t="s">
        <v>2</v>
      </c>
      <c r="H3322" s="13" t="s">
        <v>3</v>
      </c>
      <c r="I3322" s="13" t="s">
        <v>159</v>
      </c>
      <c r="J3322" s="13" t="s">
        <v>8890</v>
      </c>
      <c r="K3322" s="13" t="s">
        <v>8442</v>
      </c>
      <c r="L3322" s="13" t="s">
        <v>158</v>
      </c>
      <c r="M3322" t="s">
        <v>3</v>
      </c>
    </row>
    <row r="3323" spans="1:13" x14ac:dyDescent="0.25">
      <c r="A3323" s="13" t="s">
        <v>8012</v>
      </c>
      <c r="B3323" s="13" t="s">
        <v>8012</v>
      </c>
      <c r="C3323" s="13" t="s">
        <v>8012</v>
      </c>
      <c r="D3323" s="13">
        <v>6.6</v>
      </c>
      <c r="E3323" s="13" t="s">
        <v>8013</v>
      </c>
      <c r="F3323" s="13" t="s">
        <v>8867</v>
      </c>
      <c r="G3323" s="13" t="s">
        <v>2</v>
      </c>
      <c r="H3323" s="13" t="s">
        <v>3</v>
      </c>
      <c r="I3323" s="13" t="s">
        <v>159</v>
      </c>
      <c r="J3323" s="13" t="s">
        <v>8890</v>
      </c>
      <c r="K3323" s="13" t="s">
        <v>8442</v>
      </c>
      <c r="L3323" s="13" t="s">
        <v>158</v>
      </c>
      <c r="M3323" t="s">
        <v>3</v>
      </c>
    </row>
    <row r="3324" spans="1:13" x14ac:dyDescent="0.25">
      <c r="A3324" s="13" t="s">
        <v>8014</v>
      </c>
      <c r="B3324" s="13" t="s">
        <v>8014</v>
      </c>
      <c r="C3324" s="13" t="s">
        <v>8014</v>
      </c>
      <c r="D3324" s="13">
        <v>3.4</v>
      </c>
      <c r="E3324" s="13" t="s">
        <v>8015</v>
      </c>
      <c r="F3324" s="13" t="s">
        <v>8867</v>
      </c>
      <c r="G3324" s="13" t="s">
        <v>2</v>
      </c>
      <c r="H3324" s="13" t="s">
        <v>3</v>
      </c>
      <c r="I3324" s="13" t="s">
        <v>159</v>
      </c>
      <c r="J3324" s="13" t="s">
        <v>8890</v>
      </c>
      <c r="K3324" s="13" t="s">
        <v>8442</v>
      </c>
      <c r="L3324" s="13" t="s">
        <v>158</v>
      </c>
      <c r="M3324" t="s">
        <v>3</v>
      </c>
    </row>
    <row r="3325" spans="1:13" x14ac:dyDescent="0.25">
      <c r="A3325" s="13" t="s">
        <v>11474</v>
      </c>
      <c r="B3325" s="13" t="s">
        <v>11474</v>
      </c>
      <c r="C3325" s="13" t="s">
        <v>11474</v>
      </c>
      <c r="D3325" s="13">
        <v>7.9</v>
      </c>
      <c r="E3325" s="13" t="s">
        <v>11475</v>
      </c>
      <c r="F3325" s="13" t="s">
        <v>8867</v>
      </c>
      <c r="G3325" s="13" t="s">
        <v>2</v>
      </c>
      <c r="H3325" s="13" t="s">
        <v>3</v>
      </c>
      <c r="I3325" s="13" t="s">
        <v>159</v>
      </c>
      <c r="J3325" s="13" t="s">
        <v>8890</v>
      </c>
      <c r="K3325" s="13" t="s">
        <v>8442</v>
      </c>
      <c r="L3325" s="13" t="s">
        <v>158</v>
      </c>
      <c r="M3325" t="s">
        <v>3</v>
      </c>
    </row>
    <row r="3326" spans="1:13" x14ac:dyDescent="0.25">
      <c r="A3326" s="13" t="s">
        <v>11476</v>
      </c>
      <c r="B3326" s="13" t="s">
        <v>11476</v>
      </c>
      <c r="C3326" s="13" t="s">
        <v>11476</v>
      </c>
      <c r="D3326" s="13">
        <v>4.5</v>
      </c>
      <c r="E3326" s="13" t="s">
        <v>11477</v>
      </c>
      <c r="F3326" s="13" t="s">
        <v>8867</v>
      </c>
      <c r="G3326" s="13" t="s">
        <v>2</v>
      </c>
      <c r="H3326" s="13" t="s">
        <v>3</v>
      </c>
      <c r="I3326" s="13" t="s">
        <v>159</v>
      </c>
      <c r="J3326" s="13" t="s">
        <v>8890</v>
      </c>
      <c r="K3326" s="13" t="s">
        <v>8442</v>
      </c>
      <c r="L3326" s="13" t="s">
        <v>158</v>
      </c>
      <c r="M3326" t="s">
        <v>3</v>
      </c>
    </row>
    <row r="3327" spans="1:13" x14ac:dyDescent="0.25">
      <c r="A3327" s="13" t="s">
        <v>11478</v>
      </c>
      <c r="B3327" s="13" t="s">
        <v>11478</v>
      </c>
      <c r="C3327" s="13" t="s">
        <v>11478</v>
      </c>
      <c r="D3327" s="13">
        <v>2.2999999999999998</v>
      </c>
      <c r="E3327" s="13" t="s">
        <v>11479</v>
      </c>
      <c r="F3327" s="13" t="s">
        <v>8867</v>
      </c>
      <c r="G3327" s="13" t="s">
        <v>2</v>
      </c>
      <c r="H3327" s="13" t="s">
        <v>3</v>
      </c>
      <c r="I3327" s="13" t="s">
        <v>159</v>
      </c>
      <c r="J3327" s="13" t="s">
        <v>8890</v>
      </c>
      <c r="K3327" s="13" t="s">
        <v>8442</v>
      </c>
      <c r="L3327" s="13" t="s">
        <v>158</v>
      </c>
      <c r="M3327" t="s">
        <v>3</v>
      </c>
    </row>
    <row r="3328" spans="1:13" x14ac:dyDescent="0.25">
      <c r="A3328" s="13" t="s">
        <v>11727</v>
      </c>
      <c r="B3328" s="13" t="s">
        <v>11727</v>
      </c>
      <c r="C3328" s="13" t="s">
        <v>11727</v>
      </c>
      <c r="D3328" s="13">
        <v>44</v>
      </c>
      <c r="E3328" s="13" t="s">
        <v>11728</v>
      </c>
      <c r="F3328" s="13" t="s">
        <v>8867</v>
      </c>
      <c r="G3328" s="13" t="s">
        <v>2</v>
      </c>
      <c r="H3328" s="13" t="s">
        <v>3</v>
      </c>
      <c r="I3328" s="13" t="s">
        <v>228</v>
      </c>
      <c r="J3328" s="13" t="s">
        <v>8890</v>
      </c>
      <c r="K3328" s="13" t="s">
        <v>8418</v>
      </c>
      <c r="L3328" s="13" t="s">
        <v>158</v>
      </c>
      <c r="M3328" t="s">
        <v>3</v>
      </c>
    </row>
    <row r="3329" spans="1:13" x14ac:dyDescent="0.25">
      <c r="A3329" s="13" t="s">
        <v>11729</v>
      </c>
      <c r="B3329" s="13" t="s">
        <v>11729</v>
      </c>
      <c r="C3329" s="13" t="s">
        <v>11729</v>
      </c>
      <c r="D3329" s="13">
        <v>44</v>
      </c>
      <c r="E3329" s="13" t="s">
        <v>11730</v>
      </c>
      <c r="F3329" s="13" t="s">
        <v>8867</v>
      </c>
      <c r="G3329" s="13" t="s">
        <v>2</v>
      </c>
      <c r="H3329" s="13" t="s">
        <v>3</v>
      </c>
      <c r="I3329" s="13" t="s">
        <v>228</v>
      </c>
      <c r="J3329" s="13" t="s">
        <v>8890</v>
      </c>
      <c r="K3329" s="13" t="s">
        <v>8418</v>
      </c>
      <c r="L3329" s="13" t="s">
        <v>158</v>
      </c>
      <c r="M3329" t="s">
        <v>3</v>
      </c>
    </row>
    <row r="3330" spans="1:13" x14ac:dyDescent="0.25">
      <c r="A3330" s="13" t="s">
        <v>10087</v>
      </c>
      <c r="B3330" s="13" t="s">
        <v>10088</v>
      </c>
      <c r="C3330" s="13" t="s">
        <v>10089</v>
      </c>
      <c r="D3330" s="13">
        <v>32</v>
      </c>
      <c r="E3330" s="13" t="s">
        <v>10090</v>
      </c>
      <c r="F3330" s="13" t="s">
        <v>8867</v>
      </c>
      <c r="G3330" s="13" t="s">
        <v>2</v>
      </c>
      <c r="H3330" s="13" t="s">
        <v>8958</v>
      </c>
      <c r="I3330" s="13" t="s">
        <v>516</v>
      </c>
      <c r="J3330" s="13" t="s">
        <v>8890</v>
      </c>
      <c r="K3330" s="13" t="s">
        <v>516</v>
      </c>
      <c r="L3330" s="13" t="s">
        <v>158</v>
      </c>
      <c r="M3330" t="s">
        <v>8958</v>
      </c>
    </row>
    <row r="3331" spans="1:13" x14ac:dyDescent="0.25">
      <c r="A3331" s="13" t="s">
        <v>9544</v>
      </c>
      <c r="B3331" s="13" t="s">
        <v>9544</v>
      </c>
      <c r="C3331" s="13" t="s">
        <v>9544</v>
      </c>
      <c r="D3331" s="13">
        <v>5.5</v>
      </c>
      <c r="E3331" s="13" t="s">
        <v>9545</v>
      </c>
      <c r="F3331" s="13" t="s">
        <v>8867</v>
      </c>
      <c r="G3331" s="13" t="s">
        <v>2</v>
      </c>
      <c r="H3331" s="13" t="s">
        <v>3</v>
      </c>
      <c r="I3331" s="13" t="s">
        <v>228</v>
      </c>
      <c r="J3331" s="13" t="s">
        <v>8890</v>
      </c>
      <c r="K3331" s="13" t="s">
        <v>8418</v>
      </c>
      <c r="L3331" s="13" t="s">
        <v>158</v>
      </c>
      <c r="M3331" t="s">
        <v>3</v>
      </c>
    </row>
    <row r="3332" spans="1:13" ht="26.25" x14ac:dyDescent="0.25">
      <c r="A3332" s="13" t="s">
        <v>8016</v>
      </c>
      <c r="B3332" s="13" t="s">
        <v>9546</v>
      </c>
      <c r="C3332" s="13" t="s">
        <v>8017</v>
      </c>
      <c r="D3332" s="13">
        <v>43.5</v>
      </c>
      <c r="E3332" s="13" t="s">
        <v>8018</v>
      </c>
      <c r="F3332" s="13" t="s">
        <v>8867</v>
      </c>
      <c r="G3332" s="13" t="s">
        <v>2</v>
      </c>
      <c r="H3332" s="13" t="s">
        <v>8958</v>
      </c>
      <c r="I3332" s="13" t="s">
        <v>516</v>
      </c>
      <c r="J3332" s="13" t="s">
        <v>8890</v>
      </c>
      <c r="K3332" s="13" t="s">
        <v>516</v>
      </c>
      <c r="L3332" s="13" t="s">
        <v>158</v>
      </c>
      <c r="M3332" t="s">
        <v>8958</v>
      </c>
    </row>
    <row r="3333" spans="1:13" ht="26.25" x14ac:dyDescent="0.25">
      <c r="A3333" s="13" t="s">
        <v>11480</v>
      </c>
      <c r="B3333" s="13" t="s">
        <v>11480</v>
      </c>
      <c r="C3333" s="13" t="s">
        <v>11480</v>
      </c>
      <c r="D3333" s="13">
        <v>20</v>
      </c>
      <c r="E3333" s="13" t="s">
        <v>11481</v>
      </c>
      <c r="F3333" s="13" t="s">
        <v>8867</v>
      </c>
      <c r="G3333" s="13" t="s">
        <v>2</v>
      </c>
      <c r="H3333" s="13" t="s">
        <v>3</v>
      </c>
      <c r="I3333" s="13" t="s">
        <v>228</v>
      </c>
      <c r="J3333" s="13" t="s">
        <v>8890</v>
      </c>
      <c r="K3333" s="13" t="s">
        <v>8418</v>
      </c>
      <c r="L3333" s="13" t="s">
        <v>158</v>
      </c>
      <c r="M3333" t="s">
        <v>3</v>
      </c>
    </row>
    <row r="3334" spans="1:13" x14ac:dyDescent="0.25">
      <c r="A3334" s="13" t="s">
        <v>10637</v>
      </c>
      <c r="B3334" s="13" t="s">
        <v>10637</v>
      </c>
      <c r="C3334" s="13" t="s">
        <v>10637</v>
      </c>
      <c r="D3334" s="13">
        <v>13</v>
      </c>
      <c r="E3334" s="13" t="s">
        <v>10638</v>
      </c>
      <c r="F3334" s="13" t="s">
        <v>8867</v>
      </c>
      <c r="G3334" s="13" t="s">
        <v>2</v>
      </c>
      <c r="H3334" s="13" t="s">
        <v>3</v>
      </c>
      <c r="I3334" s="13" t="s">
        <v>228</v>
      </c>
      <c r="J3334" s="13" t="s">
        <v>8890</v>
      </c>
      <c r="K3334" s="13" t="s">
        <v>8418</v>
      </c>
      <c r="L3334" s="13" t="s">
        <v>158</v>
      </c>
      <c r="M3334" t="s">
        <v>3</v>
      </c>
    </row>
    <row r="3335" spans="1:13" x14ac:dyDescent="0.25">
      <c r="A3335" s="13" t="s">
        <v>10639</v>
      </c>
      <c r="B3335" s="13" t="s">
        <v>10639</v>
      </c>
      <c r="C3335" s="13" t="s">
        <v>10639</v>
      </c>
      <c r="D3335" s="13">
        <v>2</v>
      </c>
      <c r="E3335" s="13" t="s">
        <v>10640</v>
      </c>
      <c r="F3335" s="13" t="s">
        <v>8867</v>
      </c>
      <c r="G3335" s="13" t="s">
        <v>2</v>
      </c>
      <c r="H3335" s="13" t="s">
        <v>3</v>
      </c>
      <c r="I3335" s="13" t="s">
        <v>228</v>
      </c>
      <c r="J3335" s="13" t="s">
        <v>8890</v>
      </c>
      <c r="K3335" s="13" t="s">
        <v>8418</v>
      </c>
      <c r="L3335" s="13" t="s">
        <v>158</v>
      </c>
      <c r="M3335" t="s">
        <v>3</v>
      </c>
    </row>
    <row r="3336" spans="1:13" ht="26.25" x14ac:dyDescent="0.25">
      <c r="A3336" s="13" t="s">
        <v>8019</v>
      </c>
      <c r="B3336" s="13" t="s">
        <v>8020</v>
      </c>
      <c r="C3336" s="13" t="s">
        <v>9547</v>
      </c>
      <c r="D3336" s="13">
        <v>13.3</v>
      </c>
      <c r="E3336" s="13" t="s">
        <v>8021</v>
      </c>
      <c r="F3336" s="13" t="s">
        <v>8865</v>
      </c>
      <c r="G3336" s="13" t="s">
        <v>2</v>
      </c>
      <c r="H3336" s="13" t="s">
        <v>516</v>
      </c>
      <c r="I3336" s="13" t="s">
        <v>516</v>
      </c>
      <c r="J3336" s="13" t="s">
        <v>8890</v>
      </c>
      <c r="K3336" s="13" t="s">
        <v>516</v>
      </c>
      <c r="L3336" s="13" t="s">
        <v>8901</v>
      </c>
      <c r="M3336" t="s">
        <v>10700</v>
      </c>
    </row>
    <row r="3337" spans="1:13" x14ac:dyDescent="0.25">
      <c r="A3337" s="13" t="s">
        <v>11482</v>
      </c>
      <c r="B3337" s="13" t="s">
        <v>11482</v>
      </c>
      <c r="C3337" s="13" t="s">
        <v>11482</v>
      </c>
      <c r="D3337" s="13">
        <v>1</v>
      </c>
      <c r="E3337" s="13" t="s">
        <v>11483</v>
      </c>
      <c r="F3337" s="13" t="s">
        <v>8867</v>
      </c>
      <c r="G3337" s="13" t="s">
        <v>2</v>
      </c>
      <c r="H3337" s="13" t="s">
        <v>3</v>
      </c>
      <c r="I3337" s="13" t="s">
        <v>228</v>
      </c>
      <c r="J3337" s="13" t="s">
        <v>8890</v>
      </c>
      <c r="K3337" s="13" t="s">
        <v>8418</v>
      </c>
      <c r="L3337" s="13" t="s">
        <v>158</v>
      </c>
      <c r="M3337" t="s">
        <v>3</v>
      </c>
    </row>
    <row r="3338" spans="1:13" ht="26.25" x14ac:dyDescent="0.25">
      <c r="A3338" s="13" t="s">
        <v>8022</v>
      </c>
      <c r="B3338" s="13" t="s">
        <v>8023</v>
      </c>
      <c r="C3338" s="13" t="s">
        <v>8024</v>
      </c>
      <c r="D3338" s="13">
        <v>49.5</v>
      </c>
      <c r="E3338" s="13" t="s">
        <v>8025</v>
      </c>
      <c r="F3338" s="13" t="s">
        <v>8869</v>
      </c>
      <c r="G3338" s="13" t="s">
        <v>2</v>
      </c>
      <c r="H3338" s="13" t="s">
        <v>10022</v>
      </c>
      <c r="I3338" s="13" t="s">
        <v>516</v>
      </c>
      <c r="J3338" s="13" t="s">
        <v>8890</v>
      </c>
      <c r="K3338" s="13" t="s">
        <v>516</v>
      </c>
      <c r="L3338" s="13" t="s">
        <v>8918</v>
      </c>
      <c r="M3338" t="s">
        <v>10022</v>
      </c>
    </row>
    <row r="3339" spans="1:13" x14ac:dyDescent="0.25">
      <c r="A3339" s="13" t="s">
        <v>8026</v>
      </c>
      <c r="B3339" s="13" t="s">
        <v>8027</v>
      </c>
      <c r="C3339" s="13" t="s">
        <v>8028</v>
      </c>
      <c r="D3339" s="13">
        <v>52.1</v>
      </c>
      <c r="E3339" s="13" t="s">
        <v>8029</v>
      </c>
      <c r="F3339" s="13" t="s">
        <v>8869</v>
      </c>
      <c r="G3339" s="13" t="s">
        <v>2</v>
      </c>
      <c r="H3339" s="13" t="s">
        <v>10022</v>
      </c>
      <c r="I3339" s="13" t="s">
        <v>516</v>
      </c>
      <c r="J3339" s="13" t="s">
        <v>8890</v>
      </c>
      <c r="K3339" s="13" t="s">
        <v>516</v>
      </c>
      <c r="L3339" s="13" t="s">
        <v>8918</v>
      </c>
      <c r="M3339" t="s">
        <v>10022</v>
      </c>
    </row>
    <row r="3340" spans="1:13" x14ac:dyDescent="0.25">
      <c r="A3340" s="13" t="s">
        <v>8030</v>
      </c>
      <c r="B3340" s="13" t="s">
        <v>8031</v>
      </c>
      <c r="C3340" s="13" t="s">
        <v>8032</v>
      </c>
      <c r="D3340" s="13">
        <v>17.3</v>
      </c>
      <c r="E3340" s="13" t="s">
        <v>8033</v>
      </c>
      <c r="F3340" s="13" t="s">
        <v>8867</v>
      </c>
      <c r="G3340" s="13" t="s">
        <v>2</v>
      </c>
      <c r="H3340" s="13" t="s">
        <v>8958</v>
      </c>
      <c r="I3340" s="13" t="s">
        <v>516</v>
      </c>
      <c r="J3340" s="13" t="s">
        <v>8890</v>
      </c>
      <c r="K3340" s="13" t="s">
        <v>516</v>
      </c>
      <c r="L3340" s="13" t="s">
        <v>158</v>
      </c>
      <c r="M3340" t="s">
        <v>8958</v>
      </c>
    </row>
    <row r="3341" spans="1:13" x14ac:dyDescent="0.25">
      <c r="A3341" s="13" t="s">
        <v>12123</v>
      </c>
      <c r="B3341" s="13" t="s">
        <v>12124</v>
      </c>
      <c r="C3341" s="13" t="s">
        <v>12125</v>
      </c>
      <c r="D3341" s="13">
        <v>34.700000000000003</v>
      </c>
      <c r="E3341" s="13" t="s">
        <v>12126</v>
      </c>
      <c r="F3341" s="13" t="s">
        <v>8867</v>
      </c>
      <c r="G3341" s="13" t="s">
        <v>2</v>
      </c>
      <c r="H3341" s="13" t="s">
        <v>3</v>
      </c>
      <c r="I3341" s="13" t="s">
        <v>516</v>
      </c>
      <c r="J3341" s="13" t="s">
        <v>8890</v>
      </c>
      <c r="K3341" s="13" t="s">
        <v>516</v>
      </c>
      <c r="L3341" s="13" t="s">
        <v>158</v>
      </c>
      <c r="M3341" t="s">
        <v>3</v>
      </c>
    </row>
    <row r="3342" spans="1:13" ht="26.25" x14ac:dyDescent="0.25">
      <c r="A3342" s="13" t="s">
        <v>12127</v>
      </c>
      <c r="B3342" s="13" t="s">
        <v>12128</v>
      </c>
      <c r="C3342" s="13" t="s">
        <v>12129</v>
      </c>
      <c r="D3342" s="13">
        <v>34.700000000000003</v>
      </c>
      <c r="E3342" s="13" t="s">
        <v>12130</v>
      </c>
      <c r="F3342" s="13" t="s">
        <v>8867</v>
      </c>
      <c r="G3342" s="13" t="s">
        <v>2</v>
      </c>
      <c r="H3342" s="13" t="s">
        <v>3</v>
      </c>
      <c r="I3342" s="13" t="s">
        <v>516</v>
      </c>
      <c r="J3342" s="13" t="s">
        <v>8890</v>
      </c>
      <c r="K3342" s="13" t="s">
        <v>516</v>
      </c>
      <c r="L3342" s="13" t="s">
        <v>158</v>
      </c>
      <c r="M3342" t="s">
        <v>3</v>
      </c>
    </row>
    <row r="3343" spans="1:13" x14ac:dyDescent="0.25">
      <c r="A3343" s="13" t="s">
        <v>12131</v>
      </c>
      <c r="B3343" s="13" t="s">
        <v>12132</v>
      </c>
      <c r="C3343" s="13" t="s">
        <v>12133</v>
      </c>
      <c r="D3343" s="13">
        <v>34.700000000000003</v>
      </c>
      <c r="E3343" s="13" t="s">
        <v>12134</v>
      </c>
      <c r="F3343" s="13" t="s">
        <v>8867</v>
      </c>
      <c r="G3343" s="13" t="s">
        <v>2</v>
      </c>
      <c r="H3343" s="13" t="s">
        <v>3</v>
      </c>
      <c r="I3343" s="13" t="s">
        <v>516</v>
      </c>
      <c r="J3343" s="13" t="s">
        <v>8890</v>
      </c>
      <c r="K3343" s="13" t="s">
        <v>516</v>
      </c>
      <c r="L3343" s="13" t="s">
        <v>158</v>
      </c>
      <c r="M3343" t="s">
        <v>3</v>
      </c>
    </row>
    <row r="3344" spans="1:13" x14ac:dyDescent="0.25">
      <c r="A3344" s="13" t="s">
        <v>11731</v>
      </c>
      <c r="B3344" s="13" t="s">
        <v>11732</v>
      </c>
      <c r="C3344" s="13" t="s">
        <v>11733</v>
      </c>
      <c r="D3344" s="13">
        <v>40</v>
      </c>
      <c r="E3344" s="13" t="s">
        <v>11734</v>
      </c>
      <c r="F3344" s="13" t="s">
        <v>8867</v>
      </c>
      <c r="G3344" s="13" t="s">
        <v>2</v>
      </c>
      <c r="H3344" s="13" t="s">
        <v>3</v>
      </c>
      <c r="I3344" s="13" t="s">
        <v>516</v>
      </c>
      <c r="J3344" s="13" t="s">
        <v>8890</v>
      </c>
      <c r="K3344" s="13" t="s">
        <v>516</v>
      </c>
      <c r="L3344" s="13" t="s">
        <v>158</v>
      </c>
      <c r="M3344" t="s">
        <v>3</v>
      </c>
    </row>
    <row r="3345" spans="1:13" x14ac:dyDescent="0.25">
      <c r="A3345" s="13" t="s">
        <v>11484</v>
      </c>
      <c r="B3345" s="13" t="s">
        <v>11484</v>
      </c>
      <c r="C3345" s="13" t="s">
        <v>11484</v>
      </c>
      <c r="D3345" s="13">
        <v>10</v>
      </c>
      <c r="E3345" s="13" t="s">
        <v>11485</v>
      </c>
      <c r="F3345" s="13" t="s">
        <v>8867</v>
      </c>
      <c r="G3345" s="13" t="s">
        <v>2</v>
      </c>
      <c r="H3345" s="13" t="s">
        <v>3</v>
      </c>
      <c r="I3345" s="13" t="s">
        <v>228</v>
      </c>
      <c r="J3345" s="13" t="s">
        <v>8890</v>
      </c>
      <c r="K3345" s="13" t="s">
        <v>8418</v>
      </c>
      <c r="L3345" s="13" t="s">
        <v>158</v>
      </c>
      <c r="M3345" t="s">
        <v>3</v>
      </c>
    </row>
    <row r="3346" spans="1:13" x14ac:dyDescent="0.25">
      <c r="A3346" s="13" t="s">
        <v>11139</v>
      </c>
      <c r="B3346" s="13" t="s">
        <v>11139</v>
      </c>
      <c r="C3346" s="13" t="s">
        <v>11139</v>
      </c>
      <c r="D3346" s="13">
        <v>3.2</v>
      </c>
      <c r="E3346" s="13" t="s">
        <v>11140</v>
      </c>
      <c r="F3346" s="13" t="s">
        <v>8867</v>
      </c>
      <c r="G3346" s="13" t="s">
        <v>2</v>
      </c>
      <c r="H3346" s="13" t="s">
        <v>3</v>
      </c>
      <c r="I3346" s="13" t="s">
        <v>228</v>
      </c>
      <c r="J3346" s="13" t="s">
        <v>8890</v>
      </c>
      <c r="K3346" s="13" t="s">
        <v>8418</v>
      </c>
      <c r="L3346" s="13" t="s">
        <v>158</v>
      </c>
      <c r="M3346" t="s">
        <v>3</v>
      </c>
    </row>
    <row r="3347" spans="1:13" x14ac:dyDescent="0.25">
      <c r="A3347" s="13" t="s">
        <v>11486</v>
      </c>
      <c r="B3347" s="13" t="s">
        <v>11486</v>
      </c>
      <c r="C3347" s="13" t="s">
        <v>11486</v>
      </c>
      <c r="D3347" s="13">
        <v>38.5</v>
      </c>
      <c r="E3347" s="13" t="s">
        <v>11487</v>
      </c>
      <c r="F3347" s="13" t="s">
        <v>8869</v>
      </c>
      <c r="G3347" s="13" t="s">
        <v>2</v>
      </c>
      <c r="H3347" s="13" t="s">
        <v>3</v>
      </c>
      <c r="I3347" s="13" t="s">
        <v>228</v>
      </c>
      <c r="J3347" s="13" t="s">
        <v>8890</v>
      </c>
      <c r="K3347" s="13" t="s">
        <v>8418</v>
      </c>
      <c r="L3347" s="13" t="s">
        <v>8918</v>
      </c>
      <c r="M3347" t="s">
        <v>3</v>
      </c>
    </row>
    <row r="3348" spans="1:13" x14ac:dyDescent="0.25">
      <c r="A3348" s="13" t="s">
        <v>8034</v>
      </c>
      <c r="B3348" s="13" t="s">
        <v>8035</v>
      </c>
      <c r="C3348" s="13" t="s">
        <v>8036</v>
      </c>
      <c r="D3348" s="13">
        <v>4.2</v>
      </c>
      <c r="E3348" s="13" t="s">
        <v>8037</v>
      </c>
      <c r="F3348" s="13" t="s">
        <v>8872</v>
      </c>
      <c r="G3348" s="13" t="s">
        <v>2</v>
      </c>
      <c r="H3348" s="13" t="s">
        <v>3</v>
      </c>
      <c r="I3348" s="13" t="s">
        <v>516</v>
      </c>
      <c r="J3348" s="13" t="s">
        <v>8890</v>
      </c>
      <c r="K3348" s="13" t="s">
        <v>516</v>
      </c>
      <c r="L3348" s="13" t="s">
        <v>556</v>
      </c>
      <c r="M3348" t="s">
        <v>3</v>
      </c>
    </row>
    <row r="3349" spans="1:13" x14ac:dyDescent="0.25">
      <c r="A3349" s="13" t="s">
        <v>9548</v>
      </c>
      <c r="B3349" s="13" t="s">
        <v>9549</v>
      </c>
      <c r="C3349" s="13" t="s">
        <v>9550</v>
      </c>
      <c r="D3349" s="13">
        <v>14.6</v>
      </c>
      <c r="E3349" s="13" t="s">
        <v>9551</v>
      </c>
      <c r="F3349" s="13" t="s">
        <v>8867</v>
      </c>
      <c r="G3349" s="13" t="s">
        <v>2</v>
      </c>
      <c r="H3349" s="13" t="s">
        <v>8958</v>
      </c>
      <c r="I3349" s="13" t="s">
        <v>516</v>
      </c>
      <c r="J3349" s="13" t="s">
        <v>8890</v>
      </c>
      <c r="K3349" s="13" t="s">
        <v>516</v>
      </c>
      <c r="L3349" s="13" t="s">
        <v>158</v>
      </c>
      <c r="M3349" t="s">
        <v>8958</v>
      </c>
    </row>
    <row r="3350" spans="1:13" x14ac:dyDescent="0.25">
      <c r="A3350" s="13" t="s">
        <v>10641</v>
      </c>
      <c r="B3350" s="13" t="s">
        <v>10642</v>
      </c>
      <c r="C3350" s="13" t="s">
        <v>10643</v>
      </c>
      <c r="D3350" s="13">
        <v>49.9</v>
      </c>
      <c r="E3350" s="13" t="s">
        <v>10644</v>
      </c>
      <c r="F3350" s="13" t="s">
        <v>8867</v>
      </c>
      <c r="G3350" s="13" t="s">
        <v>2</v>
      </c>
      <c r="H3350" s="13" t="s">
        <v>8958</v>
      </c>
      <c r="I3350" s="13" t="s">
        <v>516</v>
      </c>
      <c r="J3350" s="13" t="s">
        <v>8890</v>
      </c>
      <c r="K3350" s="13" t="s">
        <v>516</v>
      </c>
      <c r="L3350" s="13" t="s">
        <v>158</v>
      </c>
      <c r="M3350" t="s">
        <v>8958</v>
      </c>
    </row>
    <row r="3351" spans="1:13" ht="26.25" x14ac:dyDescent="0.25">
      <c r="A3351" s="13" t="s">
        <v>10645</v>
      </c>
      <c r="B3351" s="13" t="s">
        <v>10646</v>
      </c>
      <c r="C3351" s="13" t="s">
        <v>10647</v>
      </c>
      <c r="D3351" s="13">
        <v>49.8</v>
      </c>
      <c r="E3351" s="13" t="s">
        <v>10648</v>
      </c>
      <c r="F3351" s="13" t="s">
        <v>8867</v>
      </c>
      <c r="G3351" s="13" t="s">
        <v>2</v>
      </c>
      <c r="H3351" s="13" t="s">
        <v>8958</v>
      </c>
      <c r="I3351" s="13" t="s">
        <v>516</v>
      </c>
      <c r="J3351" s="13" t="s">
        <v>8890</v>
      </c>
      <c r="K3351" s="13" t="s">
        <v>516</v>
      </c>
      <c r="L3351" s="13" t="s">
        <v>158</v>
      </c>
      <c r="M3351" t="s">
        <v>8958</v>
      </c>
    </row>
    <row r="3352" spans="1:13" x14ac:dyDescent="0.25">
      <c r="A3352" s="13" t="s">
        <v>10649</v>
      </c>
      <c r="B3352" s="13" t="s">
        <v>10650</v>
      </c>
      <c r="C3352" s="13" t="s">
        <v>10651</v>
      </c>
      <c r="D3352" s="13">
        <v>17.7</v>
      </c>
      <c r="E3352" s="13" t="s">
        <v>10652</v>
      </c>
      <c r="F3352" s="13" t="s">
        <v>8867</v>
      </c>
      <c r="G3352" s="13" t="s">
        <v>2</v>
      </c>
      <c r="H3352" s="13" t="s">
        <v>8958</v>
      </c>
      <c r="I3352" s="13" t="s">
        <v>516</v>
      </c>
      <c r="J3352" s="13" t="s">
        <v>8890</v>
      </c>
      <c r="K3352" s="13" t="s">
        <v>516</v>
      </c>
      <c r="L3352" s="13" t="s">
        <v>158</v>
      </c>
      <c r="M3352" t="s">
        <v>8958</v>
      </c>
    </row>
    <row r="3353" spans="1:13" x14ac:dyDescent="0.25">
      <c r="A3353" s="13" t="s">
        <v>10653</v>
      </c>
      <c r="B3353" s="13" t="s">
        <v>10654</v>
      </c>
      <c r="C3353" s="13" t="s">
        <v>10655</v>
      </c>
      <c r="D3353" s="13">
        <v>17.7</v>
      </c>
      <c r="E3353" s="13" t="s">
        <v>10656</v>
      </c>
      <c r="F3353" s="13" t="s">
        <v>8867</v>
      </c>
      <c r="G3353" s="13" t="s">
        <v>2</v>
      </c>
      <c r="H3353" s="13" t="s">
        <v>8958</v>
      </c>
      <c r="I3353" s="13" t="s">
        <v>516</v>
      </c>
      <c r="J3353" s="13" t="s">
        <v>8890</v>
      </c>
      <c r="K3353" s="13" t="s">
        <v>516</v>
      </c>
      <c r="L3353" s="13" t="s">
        <v>158</v>
      </c>
      <c r="M3353" t="s">
        <v>8958</v>
      </c>
    </row>
    <row r="3354" spans="1:13" x14ac:dyDescent="0.25">
      <c r="A3354" s="13" t="s">
        <v>10657</v>
      </c>
      <c r="B3354" s="13" t="s">
        <v>10658</v>
      </c>
      <c r="C3354" s="13" t="s">
        <v>10659</v>
      </c>
      <c r="D3354" s="13">
        <v>17.7</v>
      </c>
      <c r="E3354" s="13" t="s">
        <v>10660</v>
      </c>
      <c r="F3354" s="13" t="s">
        <v>8867</v>
      </c>
      <c r="G3354" s="13" t="s">
        <v>2</v>
      </c>
      <c r="H3354" s="13" t="s">
        <v>8958</v>
      </c>
      <c r="I3354" s="13" t="s">
        <v>516</v>
      </c>
      <c r="J3354" s="13" t="s">
        <v>8890</v>
      </c>
      <c r="K3354" s="13" t="s">
        <v>516</v>
      </c>
      <c r="L3354" s="13" t="s">
        <v>158</v>
      </c>
      <c r="M3354" t="s">
        <v>8958</v>
      </c>
    </row>
    <row r="3355" spans="1:13" x14ac:dyDescent="0.25">
      <c r="A3355" s="13" t="s">
        <v>10661</v>
      </c>
      <c r="B3355" s="13" t="s">
        <v>10662</v>
      </c>
      <c r="C3355" s="13" t="s">
        <v>10663</v>
      </c>
      <c r="D3355" s="13">
        <v>19.2</v>
      </c>
      <c r="E3355" s="13" t="s">
        <v>10664</v>
      </c>
      <c r="F3355" s="13" t="s">
        <v>8867</v>
      </c>
      <c r="G3355" s="13" t="s">
        <v>2</v>
      </c>
      <c r="H3355" s="13" t="s">
        <v>8958</v>
      </c>
      <c r="I3355" s="13" t="s">
        <v>516</v>
      </c>
      <c r="J3355" s="13" t="s">
        <v>8890</v>
      </c>
      <c r="K3355" s="13" t="s">
        <v>516</v>
      </c>
      <c r="L3355" s="13" t="s">
        <v>158</v>
      </c>
      <c r="M3355" t="s">
        <v>8958</v>
      </c>
    </row>
    <row r="3356" spans="1:13" x14ac:dyDescent="0.25">
      <c r="A3356" s="13" t="s">
        <v>10665</v>
      </c>
      <c r="B3356" s="13" t="s">
        <v>10666</v>
      </c>
      <c r="C3356" s="13" t="s">
        <v>10667</v>
      </c>
      <c r="D3356" s="13">
        <v>19.2</v>
      </c>
      <c r="E3356" s="13" t="s">
        <v>10668</v>
      </c>
      <c r="F3356" s="13" t="s">
        <v>8867</v>
      </c>
      <c r="G3356" s="13" t="s">
        <v>2</v>
      </c>
      <c r="H3356" s="13" t="s">
        <v>8958</v>
      </c>
      <c r="I3356" s="13" t="s">
        <v>516</v>
      </c>
      <c r="J3356" s="13" t="s">
        <v>8890</v>
      </c>
      <c r="K3356" s="13" t="s">
        <v>516</v>
      </c>
      <c r="L3356" s="13" t="s">
        <v>158</v>
      </c>
      <c r="M3356" t="s">
        <v>8958</v>
      </c>
    </row>
    <row r="3357" spans="1:13" x14ac:dyDescent="0.25">
      <c r="A3357" s="13" t="s">
        <v>10669</v>
      </c>
      <c r="B3357" s="13" t="s">
        <v>10670</v>
      </c>
      <c r="C3357" s="13" t="s">
        <v>10671</v>
      </c>
      <c r="D3357" s="13">
        <v>3.3</v>
      </c>
      <c r="E3357" s="13" t="s">
        <v>10672</v>
      </c>
      <c r="F3357" s="13" t="s">
        <v>8867</v>
      </c>
      <c r="G3357" s="13" t="s">
        <v>2</v>
      </c>
      <c r="H3357" s="13" t="s">
        <v>8958</v>
      </c>
      <c r="I3357" s="13" t="s">
        <v>516</v>
      </c>
      <c r="J3357" s="13" t="s">
        <v>8890</v>
      </c>
      <c r="K3357" s="13" t="s">
        <v>516</v>
      </c>
      <c r="L3357" s="13" t="s">
        <v>158</v>
      </c>
      <c r="M3357" t="s">
        <v>8958</v>
      </c>
    </row>
    <row r="3358" spans="1:13" x14ac:dyDescent="0.25">
      <c r="A3358" s="13" t="s">
        <v>9994</v>
      </c>
      <c r="B3358" s="13" t="s">
        <v>9995</v>
      </c>
      <c r="C3358" s="13" t="s">
        <v>9996</v>
      </c>
      <c r="D3358" s="13">
        <v>44</v>
      </c>
      <c r="E3358" s="13" t="s">
        <v>9997</v>
      </c>
      <c r="F3358" s="13" t="s">
        <v>8867</v>
      </c>
      <c r="G3358" s="13" t="s">
        <v>2</v>
      </c>
      <c r="H3358" s="13" t="s">
        <v>8958</v>
      </c>
      <c r="I3358" s="13" t="s">
        <v>516</v>
      </c>
      <c r="J3358" s="13" t="s">
        <v>8890</v>
      </c>
      <c r="K3358" s="13" t="s">
        <v>516</v>
      </c>
      <c r="L3358" s="13" t="s">
        <v>158</v>
      </c>
      <c r="M3358" t="s">
        <v>8958</v>
      </c>
    </row>
    <row r="3359" spans="1:13" x14ac:dyDescent="0.25">
      <c r="A3359" s="13" t="s">
        <v>8038</v>
      </c>
      <c r="B3359" s="13" t="s">
        <v>9552</v>
      </c>
      <c r="C3359" s="13" t="s">
        <v>8039</v>
      </c>
      <c r="D3359" s="13">
        <v>1.2</v>
      </c>
      <c r="E3359" s="13" t="s">
        <v>8040</v>
      </c>
      <c r="F3359" s="13" t="s">
        <v>8861</v>
      </c>
      <c r="G3359" s="13" t="s">
        <v>2</v>
      </c>
      <c r="H3359" s="13" t="s">
        <v>3</v>
      </c>
      <c r="I3359" s="13" t="s">
        <v>516</v>
      </c>
      <c r="J3359" s="13" t="s">
        <v>8890</v>
      </c>
      <c r="K3359" s="13" t="s">
        <v>516</v>
      </c>
      <c r="L3359" s="13" t="s">
        <v>8891</v>
      </c>
      <c r="M3359" t="s">
        <v>3</v>
      </c>
    </row>
    <row r="3360" spans="1:13" x14ac:dyDescent="0.25">
      <c r="A3360" s="13" t="s">
        <v>9553</v>
      </c>
      <c r="B3360" s="13" t="s">
        <v>9554</v>
      </c>
      <c r="C3360" s="13" t="s">
        <v>9555</v>
      </c>
      <c r="D3360" s="13">
        <v>113.3</v>
      </c>
      <c r="E3360" s="13" t="s">
        <v>9556</v>
      </c>
      <c r="F3360" s="13" t="s">
        <v>8869</v>
      </c>
      <c r="G3360" s="13" t="s">
        <v>2</v>
      </c>
      <c r="H3360" s="13" t="s">
        <v>9982</v>
      </c>
      <c r="I3360" s="13" t="s">
        <v>516</v>
      </c>
      <c r="J3360" s="13" t="s">
        <v>8890</v>
      </c>
      <c r="K3360" s="13" t="s">
        <v>516</v>
      </c>
      <c r="L3360" s="13" t="s">
        <v>8918</v>
      </c>
      <c r="M3360" t="s">
        <v>9982</v>
      </c>
    </row>
    <row r="3361" spans="1:13" x14ac:dyDescent="0.25">
      <c r="A3361" s="13" t="s">
        <v>8041</v>
      </c>
      <c r="B3361" s="13" t="s">
        <v>9557</v>
      </c>
      <c r="C3361" s="13" t="s">
        <v>8042</v>
      </c>
      <c r="D3361" s="13">
        <v>43.5</v>
      </c>
      <c r="E3361" s="13" t="s">
        <v>8043</v>
      </c>
      <c r="F3361" s="13" t="s">
        <v>8867</v>
      </c>
      <c r="G3361" s="13" t="s">
        <v>2</v>
      </c>
      <c r="H3361" s="13" t="s">
        <v>8958</v>
      </c>
      <c r="I3361" s="13" t="s">
        <v>516</v>
      </c>
      <c r="J3361" s="13" t="s">
        <v>8890</v>
      </c>
      <c r="K3361" s="13" t="s">
        <v>516</v>
      </c>
      <c r="L3361" s="13" t="s">
        <v>158</v>
      </c>
      <c r="M3361" t="s">
        <v>8958</v>
      </c>
    </row>
    <row r="3362" spans="1:13" x14ac:dyDescent="0.25">
      <c r="A3362" s="13" t="s">
        <v>9558</v>
      </c>
      <c r="B3362" s="13" t="s">
        <v>5539</v>
      </c>
      <c r="C3362" s="13" t="s">
        <v>9559</v>
      </c>
      <c r="D3362" s="13">
        <v>31.5</v>
      </c>
      <c r="E3362" s="13" t="s">
        <v>9560</v>
      </c>
      <c r="F3362" s="13" t="s">
        <v>8867</v>
      </c>
      <c r="G3362" s="13" t="s">
        <v>2</v>
      </c>
      <c r="H3362" s="13" t="s">
        <v>3</v>
      </c>
      <c r="I3362" s="13" t="s">
        <v>516</v>
      </c>
      <c r="J3362" s="13" t="s">
        <v>8890</v>
      </c>
      <c r="K3362" s="13" t="s">
        <v>516</v>
      </c>
      <c r="L3362" s="13" t="s">
        <v>158</v>
      </c>
      <c r="M3362" t="s">
        <v>3</v>
      </c>
    </row>
    <row r="3363" spans="1:13" x14ac:dyDescent="0.25">
      <c r="A3363" s="13" t="s">
        <v>9998</v>
      </c>
      <c r="B3363" s="13" t="s">
        <v>9999</v>
      </c>
      <c r="C3363" s="13" t="s">
        <v>10000</v>
      </c>
      <c r="D3363" s="13">
        <v>30</v>
      </c>
      <c r="E3363" s="13" t="s">
        <v>10001</v>
      </c>
      <c r="F3363" s="13" t="s">
        <v>8867</v>
      </c>
      <c r="G3363" s="13" t="s">
        <v>2</v>
      </c>
      <c r="H3363" s="13" t="s">
        <v>8958</v>
      </c>
      <c r="I3363" s="13" t="s">
        <v>516</v>
      </c>
      <c r="J3363" s="13" t="s">
        <v>8890</v>
      </c>
      <c r="K3363" s="13" t="s">
        <v>516</v>
      </c>
      <c r="L3363" s="13" t="s">
        <v>158</v>
      </c>
      <c r="M3363" t="s">
        <v>8958</v>
      </c>
    </row>
    <row r="3364" spans="1:13" x14ac:dyDescent="0.25">
      <c r="A3364" s="13" t="s">
        <v>11930</v>
      </c>
      <c r="B3364" s="13" t="s">
        <v>11930</v>
      </c>
      <c r="C3364" s="13" t="s">
        <v>11930</v>
      </c>
      <c r="D3364" s="13">
        <v>5.8</v>
      </c>
      <c r="E3364" s="13" t="s">
        <v>11931</v>
      </c>
      <c r="F3364" s="13" t="s">
        <v>8867</v>
      </c>
      <c r="G3364" s="13" t="s">
        <v>2</v>
      </c>
      <c r="H3364" s="13" t="s">
        <v>3</v>
      </c>
      <c r="I3364" s="13" t="s">
        <v>228</v>
      </c>
      <c r="J3364" s="13" t="s">
        <v>8890</v>
      </c>
      <c r="K3364" s="13" t="s">
        <v>8418</v>
      </c>
      <c r="L3364" s="13" t="s">
        <v>158</v>
      </c>
      <c r="M3364" t="s">
        <v>3</v>
      </c>
    </row>
    <row r="3365" spans="1:13" x14ac:dyDescent="0.25">
      <c r="A3365" s="13" t="s">
        <v>8044</v>
      </c>
      <c r="B3365" s="13" t="s">
        <v>8045</v>
      </c>
      <c r="C3365" s="13" t="s">
        <v>8046</v>
      </c>
      <c r="D3365" s="13">
        <v>40</v>
      </c>
      <c r="E3365" s="13" t="s">
        <v>8047</v>
      </c>
      <c r="F3365" s="13" t="s">
        <v>8867</v>
      </c>
      <c r="G3365" s="13" t="s">
        <v>2</v>
      </c>
      <c r="H3365" s="13" t="s">
        <v>9224</v>
      </c>
      <c r="I3365" s="13" t="s">
        <v>228</v>
      </c>
      <c r="J3365" s="13" t="s">
        <v>8890</v>
      </c>
      <c r="K3365" s="13" t="s">
        <v>8418</v>
      </c>
      <c r="L3365" s="13" t="s">
        <v>158</v>
      </c>
      <c r="M3365" t="s">
        <v>10685</v>
      </c>
    </row>
    <row r="3366" spans="1:13" x14ac:dyDescent="0.25">
      <c r="A3366" s="13" t="s">
        <v>8048</v>
      </c>
      <c r="B3366" s="13" t="s">
        <v>8049</v>
      </c>
      <c r="C3366" s="13" t="s">
        <v>8050</v>
      </c>
      <c r="D3366" s="13">
        <v>96</v>
      </c>
      <c r="E3366" s="13" t="s">
        <v>8051</v>
      </c>
      <c r="F3366" s="13" t="s">
        <v>8869</v>
      </c>
      <c r="G3366" s="13" t="s">
        <v>2</v>
      </c>
      <c r="H3366" s="13" t="s">
        <v>3</v>
      </c>
      <c r="I3366" s="13" t="s">
        <v>516</v>
      </c>
      <c r="J3366" s="13" t="s">
        <v>8890</v>
      </c>
      <c r="K3366" s="13" t="s">
        <v>516</v>
      </c>
      <c r="L3366" s="13" t="s">
        <v>8918</v>
      </c>
      <c r="M3366" t="s">
        <v>3</v>
      </c>
    </row>
    <row r="3367" spans="1:13" ht="26.25" x14ac:dyDescent="0.25">
      <c r="A3367" s="13" t="s">
        <v>8052</v>
      </c>
      <c r="B3367" s="13" t="s">
        <v>8053</v>
      </c>
      <c r="C3367" s="13" t="s">
        <v>8054</v>
      </c>
      <c r="D3367" s="13">
        <v>46.1</v>
      </c>
      <c r="E3367" s="13" t="s">
        <v>8055</v>
      </c>
      <c r="F3367" s="13" t="s">
        <v>8867</v>
      </c>
      <c r="G3367" s="13" t="s">
        <v>2</v>
      </c>
      <c r="H3367" s="13" t="s">
        <v>8958</v>
      </c>
      <c r="I3367" s="13" t="s">
        <v>516</v>
      </c>
      <c r="J3367" s="13" t="s">
        <v>8890</v>
      </c>
      <c r="K3367" s="13" t="s">
        <v>516</v>
      </c>
      <c r="L3367" s="13" t="s">
        <v>158</v>
      </c>
      <c r="M3367" t="s">
        <v>8958</v>
      </c>
    </row>
    <row r="3368" spans="1:13" ht="26.25" x14ac:dyDescent="0.25">
      <c r="A3368" s="13" t="s">
        <v>10391</v>
      </c>
      <c r="B3368" s="13" t="s">
        <v>10391</v>
      </c>
      <c r="C3368" s="13" t="s">
        <v>10391</v>
      </c>
      <c r="D3368" s="13">
        <v>9.3000000000000007</v>
      </c>
      <c r="E3368" s="13" t="s">
        <v>10392</v>
      </c>
      <c r="F3368" s="13" t="s">
        <v>8869</v>
      </c>
      <c r="G3368" s="13" t="s">
        <v>2</v>
      </c>
      <c r="H3368" s="13" t="s">
        <v>3</v>
      </c>
      <c r="I3368" s="13" t="s">
        <v>228</v>
      </c>
      <c r="J3368" s="13" t="s">
        <v>8890</v>
      </c>
      <c r="K3368" s="13" t="s">
        <v>8418</v>
      </c>
      <c r="L3368" s="13" t="s">
        <v>8918</v>
      </c>
      <c r="M3368" t="s">
        <v>3</v>
      </c>
    </row>
    <row r="3369" spans="1:13" x14ac:dyDescent="0.25">
      <c r="A3369" s="13" t="s">
        <v>9561</v>
      </c>
      <c r="B3369" s="13" t="s">
        <v>9562</v>
      </c>
      <c r="C3369" s="13" t="s">
        <v>9563</v>
      </c>
      <c r="D3369" s="13">
        <v>49.4</v>
      </c>
      <c r="E3369" s="13" t="s">
        <v>9564</v>
      </c>
      <c r="F3369" s="13" t="s">
        <v>8869</v>
      </c>
      <c r="G3369" s="13" t="s">
        <v>2</v>
      </c>
      <c r="H3369" s="13" t="s">
        <v>9982</v>
      </c>
      <c r="I3369" s="13" t="s">
        <v>516</v>
      </c>
      <c r="J3369" s="13" t="s">
        <v>8890</v>
      </c>
      <c r="K3369" s="13" t="s">
        <v>516</v>
      </c>
      <c r="L3369" s="13" t="s">
        <v>8918</v>
      </c>
      <c r="M3369" t="s">
        <v>9982</v>
      </c>
    </row>
    <row r="3370" spans="1:13" x14ac:dyDescent="0.25">
      <c r="A3370" s="13" t="s">
        <v>9565</v>
      </c>
      <c r="B3370" s="13" t="s">
        <v>9566</v>
      </c>
      <c r="C3370" s="13" t="s">
        <v>9567</v>
      </c>
      <c r="D3370" s="13">
        <v>30.4</v>
      </c>
      <c r="E3370" s="13" t="s">
        <v>9568</v>
      </c>
      <c r="F3370" s="13" t="s">
        <v>8869</v>
      </c>
      <c r="G3370" s="13" t="s">
        <v>2</v>
      </c>
      <c r="H3370" s="13" t="s">
        <v>9982</v>
      </c>
      <c r="I3370" s="13" t="s">
        <v>516</v>
      </c>
      <c r="J3370" s="13" t="s">
        <v>8890</v>
      </c>
      <c r="K3370" s="13" t="s">
        <v>516</v>
      </c>
      <c r="L3370" s="13" t="s">
        <v>8918</v>
      </c>
      <c r="M3370" t="s">
        <v>9982</v>
      </c>
    </row>
    <row r="3371" spans="1:13" x14ac:dyDescent="0.25">
      <c r="A3371" s="13" t="s">
        <v>9569</v>
      </c>
      <c r="B3371" s="13" t="s">
        <v>9570</v>
      </c>
      <c r="C3371" s="13" t="s">
        <v>9571</v>
      </c>
      <c r="D3371" s="13">
        <v>15</v>
      </c>
      <c r="E3371" s="13" t="s">
        <v>9572</v>
      </c>
      <c r="F3371" s="13" t="s">
        <v>8869</v>
      </c>
      <c r="G3371" s="13" t="s">
        <v>2</v>
      </c>
      <c r="H3371" s="13" t="s">
        <v>9982</v>
      </c>
      <c r="I3371" s="13" t="s">
        <v>516</v>
      </c>
      <c r="J3371" s="13" t="s">
        <v>8890</v>
      </c>
      <c r="K3371" s="13" t="s">
        <v>516</v>
      </c>
      <c r="L3371" s="13" t="s">
        <v>8918</v>
      </c>
      <c r="M3371" t="s">
        <v>9982</v>
      </c>
    </row>
    <row r="3372" spans="1:13" x14ac:dyDescent="0.25">
      <c r="A3372" s="13" t="s">
        <v>8056</v>
      </c>
      <c r="B3372" s="13" t="s">
        <v>8057</v>
      </c>
      <c r="C3372" s="13" t="s">
        <v>8058</v>
      </c>
      <c r="D3372" s="13">
        <v>30</v>
      </c>
      <c r="E3372" s="13" t="s">
        <v>8059</v>
      </c>
      <c r="F3372" s="13" t="s">
        <v>8869</v>
      </c>
      <c r="G3372" s="13" t="s">
        <v>2</v>
      </c>
      <c r="H3372" s="13" t="s">
        <v>10022</v>
      </c>
      <c r="I3372" s="13" t="s">
        <v>516</v>
      </c>
      <c r="J3372" s="13" t="s">
        <v>8890</v>
      </c>
      <c r="K3372" s="13" t="s">
        <v>516</v>
      </c>
      <c r="L3372" s="13" t="s">
        <v>8918</v>
      </c>
      <c r="M3372" t="s">
        <v>10022</v>
      </c>
    </row>
    <row r="3373" spans="1:13" x14ac:dyDescent="0.25">
      <c r="A3373" s="13" t="s">
        <v>12135</v>
      </c>
      <c r="B3373" s="13" t="s">
        <v>12135</v>
      </c>
      <c r="C3373" s="13" t="s">
        <v>12135</v>
      </c>
      <c r="D3373" s="13">
        <v>42</v>
      </c>
      <c r="E3373" s="13" t="s">
        <v>12136</v>
      </c>
      <c r="F3373" s="13" t="s">
        <v>8867</v>
      </c>
      <c r="G3373" s="13" t="s">
        <v>2</v>
      </c>
      <c r="H3373" s="13" t="s">
        <v>3</v>
      </c>
      <c r="I3373" s="13" t="s">
        <v>228</v>
      </c>
      <c r="J3373" s="13" t="s">
        <v>8890</v>
      </c>
      <c r="K3373" s="13" t="s">
        <v>8418</v>
      </c>
      <c r="L3373" s="13" t="s">
        <v>158</v>
      </c>
      <c r="M3373" t="s">
        <v>3</v>
      </c>
    </row>
    <row r="3374" spans="1:13" x14ac:dyDescent="0.25">
      <c r="A3374" s="13" t="s">
        <v>10002</v>
      </c>
      <c r="B3374" s="13" t="s">
        <v>10003</v>
      </c>
      <c r="C3374" s="13" t="s">
        <v>10004</v>
      </c>
      <c r="D3374" s="13">
        <v>50</v>
      </c>
      <c r="E3374" s="13" t="s">
        <v>10005</v>
      </c>
      <c r="F3374" s="13" t="s">
        <v>8869</v>
      </c>
      <c r="G3374" s="13" t="s">
        <v>2</v>
      </c>
      <c r="H3374" s="13" t="s">
        <v>10022</v>
      </c>
      <c r="I3374" s="13" t="s">
        <v>516</v>
      </c>
      <c r="J3374" s="13" t="s">
        <v>8890</v>
      </c>
      <c r="K3374" s="13" t="s">
        <v>516</v>
      </c>
      <c r="L3374" s="13" t="s">
        <v>8918</v>
      </c>
      <c r="M3374" t="s">
        <v>10022</v>
      </c>
    </row>
    <row r="3375" spans="1:13" ht="26.25" x14ac:dyDescent="0.25">
      <c r="A3375" s="13" t="s">
        <v>8060</v>
      </c>
      <c r="B3375" s="13" t="s">
        <v>8061</v>
      </c>
      <c r="C3375" s="13" t="s">
        <v>8062</v>
      </c>
      <c r="D3375" s="13">
        <v>44</v>
      </c>
      <c r="E3375" s="13" t="s">
        <v>8063</v>
      </c>
      <c r="F3375" s="13" t="s">
        <v>8867</v>
      </c>
      <c r="G3375" s="13" t="s">
        <v>2</v>
      </c>
      <c r="H3375" s="13" t="s">
        <v>3</v>
      </c>
      <c r="I3375" s="13" t="s">
        <v>228</v>
      </c>
      <c r="J3375" s="13" t="s">
        <v>8890</v>
      </c>
      <c r="K3375" s="13" t="s">
        <v>8418</v>
      </c>
      <c r="L3375" s="13" t="s">
        <v>158</v>
      </c>
      <c r="M3375" t="s">
        <v>3</v>
      </c>
    </row>
    <row r="3376" spans="1:13" x14ac:dyDescent="0.25">
      <c r="A3376" s="13" t="s">
        <v>8064</v>
      </c>
      <c r="B3376" s="13" t="s">
        <v>8065</v>
      </c>
      <c r="C3376" s="13" t="s">
        <v>8066</v>
      </c>
      <c r="D3376" s="13">
        <v>4.8</v>
      </c>
      <c r="E3376" s="13" t="s">
        <v>8067</v>
      </c>
      <c r="F3376" s="13" t="s">
        <v>8865</v>
      </c>
      <c r="G3376" s="13" t="s">
        <v>2</v>
      </c>
      <c r="H3376" s="13" t="s">
        <v>3</v>
      </c>
      <c r="I3376" s="13" t="s">
        <v>516</v>
      </c>
      <c r="J3376" s="13" t="s">
        <v>8890</v>
      </c>
      <c r="K3376" s="13" t="s">
        <v>516</v>
      </c>
      <c r="L3376" s="13" t="s">
        <v>8901</v>
      </c>
      <c r="M3376" t="s">
        <v>3</v>
      </c>
    </row>
    <row r="3377" spans="1:13" x14ac:dyDescent="0.25">
      <c r="A3377" s="13" t="s">
        <v>8068</v>
      </c>
      <c r="B3377" s="13" t="s">
        <v>8069</v>
      </c>
      <c r="C3377" s="13" t="s">
        <v>8070</v>
      </c>
      <c r="D3377" s="13">
        <v>4.4000000000000004</v>
      </c>
      <c r="E3377" s="13" t="s">
        <v>8071</v>
      </c>
      <c r="F3377" s="13" t="s">
        <v>8865</v>
      </c>
      <c r="G3377" s="13" t="s">
        <v>2</v>
      </c>
      <c r="H3377" s="13" t="s">
        <v>3</v>
      </c>
      <c r="I3377" s="13" t="s">
        <v>516</v>
      </c>
      <c r="J3377" s="13" t="s">
        <v>8890</v>
      </c>
      <c r="K3377" s="13" t="s">
        <v>516</v>
      </c>
      <c r="L3377" s="13" t="s">
        <v>8901</v>
      </c>
      <c r="M3377" t="s">
        <v>3</v>
      </c>
    </row>
    <row r="3378" spans="1:13" ht="26.25" x14ac:dyDescent="0.25">
      <c r="A3378" s="13" t="s">
        <v>8072</v>
      </c>
      <c r="B3378" s="13" t="s">
        <v>8073</v>
      </c>
      <c r="C3378" s="13" t="s">
        <v>8074</v>
      </c>
      <c r="D3378" s="13">
        <v>39.6</v>
      </c>
      <c r="E3378" s="13" t="s">
        <v>8075</v>
      </c>
      <c r="F3378" s="13" t="s">
        <v>8869</v>
      </c>
      <c r="G3378" s="13" t="s">
        <v>2</v>
      </c>
      <c r="H3378" s="13" t="s">
        <v>3</v>
      </c>
      <c r="I3378" s="13" t="s">
        <v>516</v>
      </c>
      <c r="J3378" s="13" t="s">
        <v>8890</v>
      </c>
      <c r="K3378" s="13" t="s">
        <v>516</v>
      </c>
      <c r="L3378" s="13" t="s">
        <v>8918</v>
      </c>
      <c r="M3378" t="s">
        <v>3</v>
      </c>
    </row>
    <row r="3379" spans="1:13" x14ac:dyDescent="0.25">
      <c r="A3379" s="13" t="s">
        <v>10997</v>
      </c>
      <c r="B3379" s="13" t="s">
        <v>10998</v>
      </c>
      <c r="C3379" s="13" t="s">
        <v>10999</v>
      </c>
      <c r="D3379" s="13">
        <v>95.6</v>
      </c>
      <c r="E3379" s="13" t="s">
        <v>11000</v>
      </c>
      <c r="F3379" s="13" t="s">
        <v>8867</v>
      </c>
      <c r="G3379" s="13" t="s">
        <v>2</v>
      </c>
      <c r="H3379" s="13" t="s">
        <v>8958</v>
      </c>
      <c r="I3379" s="13" t="s">
        <v>516</v>
      </c>
      <c r="J3379" s="13" t="s">
        <v>8890</v>
      </c>
      <c r="K3379" s="13" t="s">
        <v>516</v>
      </c>
      <c r="L3379" s="13" t="s">
        <v>158</v>
      </c>
      <c r="M3379" t="s">
        <v>8958</v>
      </c>
    </row>
    <row r="3380" spans="1:13" x14ac:dyDescent="0.25">
      <c r="A3380" s="13" t="s">
        <v>11141</v>
      </c>
      <c r="B3380" s="13" t="s">
        <v>11142</v>
      </c>
      <c r="C3380" s="13" t="s">
        <v>11143</v>
      </c>
      <c r="D3380" s="13">
        <v>3</v>
      </c>
      <c r="E3380" s="13" t="s">
        <v>11144</v>
      </c>
      <c r="F3380" s="13" t="s">
        <v>8867</v>
      </c>
      <c r="G3380" s="13" t="s">
        <v>2</v>
      </c>
      <c r="H3380" s="13" t="s">
        <v>3</v>
      </c>
      <c r="I3380" s="13" t="s">
        <v>516</v>
      </c>
      <c r="J3380" s="13" t="s">
        <v>8890</v>
      </c>
      <c r="K3380" s="13" t="s">
        <v>516</v>
      </c>
      <c r="L3380" s="13" t="s">
        <v>158</v>
      </c>
      <c r="M3380" t="s">
        <v>3</v>
      </c>
    </row>
    <row r="3381" spans="1:13" ht="26.25" x14ac:dyDescent="0.25">
      <c r="A3381" s="13" t="s">
        <v>9685</v>
      </c>
      <c r="B3381" s="13" t="s">
        <v>9686</v>
      </c>
      <c r="C3381" s="13" t="s">
        <v>9687</v>
      </c>
      <c r="D3381" s="13">
        <v>34.299999999999997</v>
      </c>
      <c r="E3381" s="13" t="s">
        <v>9688</v>
      </c>
      <c r="F3381" s="13" t="s">
        <v>8867</v>
      </c>
      <c r="G3381" s="13" t="s">
        <v>2</v>
      </c>
      <c r="H3381" s="13" t="s">
        <v>8958</v>
      </c>
      <c r="I3381" s="13" t="s">
        <v>516</v>
      </c>
      <c r="J3381" s="13" t="s">
        <v>8890</v>
      </c>
      <c r="K3381" s="13" t="s">
        <v>516</v>
      </c>
      <c r="L3381" s="13" t="s">
        <v>158</v>
      </c>
      <c r="M3381" t="s">
        <v>8958</v>
      </c>
    </row>
    <row r="3382" spans="1:13" x14ac:dyDescent="0.25">
      <c r="A3382" s="13" t="s">
        <v>8076</v>
      </c>
      <c r="B3382" s="13" t="s">
        <v>8077</v>
      </c>
      <c r="C3382" s="13" t="s">
        <v>8077</v>
      </c>
      <c r="D3382" s="13">
        <v>4</v>
      </c>
      <c r="E3382" s="13" t="s">
        <v>8078</v>
      </c>
      <c r="F3382" s="13" t="s">
        <v>8872</v>
      </c>
      <c r="G3382" s="13" t="s">
        <v>2</v>
      </c>
      <c r="H3382" s="13" t="s">
        <v>3</v>
      </c>
      <c r="I3382" s="13" t="s">
        <v>516</v>
      </c>
      <c r="J3382" s="13" t="s">
        <v>8890</v>
      </c>
      <c r="K3382" s="13" t="s">
        <v>516</v>
      </c>
      <c r="L3382" s="13" t="s">
        <v>556</v>
      </c>
      <c r="M3382" t="s">
        <v>3</v>
      </c>
    </row>
    <row r="3383" spans="1:13" ht="26.25" x14ac:dyDescent="0.25">
      <c r="A3383" s="13" t="s">
        <v>8079</v>
      </c>
      <c r="B3383" s="13" t="s">
        <v>8080</v>
      </c>
      <c r="C3383" s="13" t="s">
        <v>8081</v>
      </c>
      <c r="D3383" s="13">
        <v>22.9</v>
      </c>
      <c r="E3383" s="13" t="s">
        <v>8082</v>
      </c>
      <c r="F3383" s="13" t="s">
        <v>8865</v>
      </c>
      <c r="G3383" s="13" t="s">
        <v>2</v>
      </c>
      <c r="H3383" s="13" t="s">
        <v>3</v>
      </c>
      <c r="I3383" s="13" t="s">
        <v>516</v>
      </c>
      <c r="J3383" s="13" t="s">
        <v>8890</v>
      </c>
      <c r="K3383" s="13" t="s">
        <v>516</v>
      </c>
      <c r="L3383" s="13" t="s">
        <v>8901</v>
      </c>
      <c r="M3383" t="s">
        <v>3</v>
      </c>
    </row>
    <row r="3384" spans="1:13" x14ac:dyDescent="0.25">
      <c r="A3384" s="13" t="s">
        <v>8083</v>
      </c>
      <c r="B3384" s="13" t="s">
        <v>8084</v>
      </c>
      <c r="C3384" s="13" t="s">
        <v>8085</v>
      </c>
      <c r="D3384" s="13">
        <v>6.1</v>
      </c>
      <c r="E3384" s="13" t="s">
        <v>8086</v>
      </c>
      <c r="F3384" s="13" t="s">
        <v>8861</v>
      </c>
      <c r="G3384" s="13" t="s">
        <v>2</v>
      </c>
      <c r="H3384" s="13" t="s">
        <v>3</v>
      </c>
      <c r="I3384" s="13" t="s">
        <v>516</v>
      </c>
      <c r="J3384" s="13" t="s">
        <v>8890</v>
      </c>
      <c r="K3384" s="13" t="s">
        <v>516</v>
      </c>
      <c r="L3384" s="13" t="s">
        <v>8891</v>
      </c>
      <c r="M3384" t="s">
        <v>3</v>
      </c>
    </row>
    <row r="3385" spans="1:13" x14ac:dyDescent="0.25">
      <c r="A3385" s="13" t="s">
        <v>9573</v>
      </c>
      <c r="B3385" s="13" t="s">
        <v>9574</v>
      </c>
      <c r="C3385" s="13" t="s">
        <v>9575</v>
      </c>
      <c r="D3385" s="13">
        <v>82.8</v>
      </c>
      <c r="E3385" s="13" t="s">
        <v>9576</v>
      </c>
      <c r="F3385" s="13" t="s">
        <v>8869</v>
      </c>
      <c r="G3385" s="13" t="s">
        <v>2</v>
      </c>
      <c r="H3385" s="13" t="s">
        <v>9982</v>
      </c>
      <c r="I3385" s="13" t="s">
        <v>516</v>
      </c>
      <c r="J3385" s="13" t="s">
        <v>8890</v>
      </c>
      <c r="K3385" s="13" t="s">
        <v>516</v>
      </c>
      <c r="L3385" s="13" t="s">
        <v>8918</v>
      </c>
      <c r="M3385" t="s">
        <v>9982</v>
      </c>
    </row>
    <row r="3386" spans="1:13" x14ac:dyDescent="0.25">
      <c r="A3386" s="13" t="s">
        <v>8087</v>
      </c>
      <c r="B3386" s="13" t="s">
        <v>8088</v>
      </c>
      <c r="C3386" s="13" t="s">
        <v>8089</v>
      </c>
      <c r="D3386" s="13">
        <v>3.6</v>
      </c>
      <c r="E3386" s="13" t="s">
        <v>8090</v>
      </c>
      <c r="F3386" s="13" t="s">
        <v>8867</v>
      </c>
      <c r="G3386" s="13" t="s">
        <v>2</v>
      </c>
      <c r="H3386" s="13" t="s">
        <v>3</v>
      </c>
      <c r="I3386" s="13" t="s">
        <v>516</v>
      </c>
      <c r="J3386" s="13" t="s">
        <v>8890</v>
      </c>
      <c r="K3386" s="13" t="s">
        <v>516</v>
      </c>
      <c r="L3386" s="13" t="s">
        <v>158</v>
      </c>
      <c r="M3386" t="s">
        <v>3</v>
      </c>
    </row>
    <row r="3387" spans="1:13" x14ac:dyDescent="0.25">
      <c r="A3387" s="13" t="s">
        <v>8091</v>
      </c>
      <c r="B3387" s="13" t="s">
        <v>8091</v>
      </c>
      <c r="C3387" s="13" t="s">
        <v>8091</v>
      </c>
      <c r="D3387" s="13">
        <v>42</v>
      </c>
      <c r="E3387" s="13" t="s">
        <v>8092</v>
      </c>
      <c r="F3387" s="13" t="s">
        <v>8867</v>
      </c>
      <c r="G3387" s="13" t="s">
        <v>2</v>
      </c>
      <c r="H3387" s="13" t="s">
        <v>9224</v>
      </c>
      <c r="I3387" s="13" t="s">
        <v>228</v>
      </c>
      <c r="J3387" s="13" t="s">
        <v>8890</v>
      </c>
      <c r="K3387" s="13" t="s">
        <v>8418</v>
      </c>
      <c r="L3387" s="13" t="s">
        <v>158</v>
      </c>
      <c r="M3387" t="s">
        <v>10685</v>
      </c>
    </row>
    <row r="3388" spans="1:13" x14ac:dyDescent="0.25">
      <c r="A3388" s="13" t="s">
        <v>8093</v>
      </c>
      <c r="B3388" s="13" t="s">
        <v>8094</v>
      </c>
      <c r="C3388" s="13" t="s">
        <v>8095</v>
      </c>
      <c r="D3388" s="13">
        <v>0.1</v>
      </c>
      <c r="E3388" s="13" t="s">
        <v>8096</v>
      </c>
      <c r="F3388" s="13" t="s">
        <v>8863</v>
      </c>
      <c r="G3388" s="13" t="s">
        <v>2</v>
      </c>
      <c r="H3388" s="13" t="s">
        <v>3</v>
      </c>
      <c r="I3388" s="13" t="s">
        <v>5495</v>
      </c>
      <c r="J3388" s="13" t="s">
        <v>8890</v>
      </c>
      <c r="K3388" s="13" t="s">
        <v>8714</v>
      </c>
      <c r="L3388" s="13" t="s">
        <v>8893</v>
      </c>
      <c r="M3388" t="s">
        <v>3</v>
      </c>
    </row>
    <row r="3389" spans="1:13" x14ac:dyDescent="0.25">
      <c r="A3389" s="13" t="s">
        <v>8097</v>
      </c>
      <c r="B3389" s="13" t="s">
        <v>8098</v>
      </c>
      <c r="C3389" s="13" t="s">
        <v>8099</v>
      </c>
      <c r="D3389" s="13">
        <v>0.5</v>
      </c>
      <c r="E3389" s="13" t="s">
        <v>8100</v>
      </c>
      <c r="F3389" s="13" t="s">
        <v>8863</v>
      </c>
      <c r="G3389" s="13" t="s">
        <v>2</v>
      </c>
      <c r="H3389" s="13" t="s">
        <v>3</v>
      </c>
      <c r="I3389" s="13" t="s">
        <v>5495</v>
      </c>
      <c r="J3389" s="13" t="s">
        <v>8890</v>
      </c>
      <c r="K3389" s="13" t="s">
        <v>8714</v>
      </c>
      <c r="L3389" s="13" t="s">
        <v>8893</v>
      </c>
      <c r="M3389" t="s">
        <v>3</v>
      </c>
    </row>
    <row r="3390" spans="1:13" x14ac:dyDescent="0.25">
      <c r="A3390" s="13" t="s">
        <v>9577</v>
      </c>
      <c r="B3390" s="13" t="s">
        <v>9577</v>
      </c>
      <c r="C3390" s="13" t="s">
        <v>9577</v>
      </c>
      <c r="D3390" s="13">
        <v>50</v>
      </c>
      <c r="E3390" s="13" t="s">
        <v>9578</v>
      </c>
      <c r="F3390" s="13" t="s">
        <v>8867</v>
      </c>
      <c r="G3390" s="13" t="s">
        <v>2</v>
      </c>
      <c r="H3390" s="13" t="s">
        <v>9224</v>
      </c>
      <c r="I3390" s="13" t="s">
        <v>228</v>
      </c>
      <c r="J3390" s="13" t="s">
        <v>8890</v>
      </c>
      <c r="K3390" s="13" t="s">
        <v>8418</v>
      </c>
      <c r="L3390" s="13" t="s">
        <v>158</v>
      </c>
      <c r="M3390" t="s">
        <v>10685</v>
      </c>
    </row>
    <row r="3391" spans="1:13" x14ac:dyDescent="0.25">
      <c r="A3391" s="13" t="s">
        <v>8101</v>
      </c>
      <c r="B3391" s="13" t="s">
        <v>8102</v>
      </c>
      <c r="C3391" s="13" t="s">
        <v>8103</v>
      </c>
      <c r="D3391" s="13">
        <v>39.6</v>
      </c>
      <c r="E3391" s="13" t="s">
        <v>8104</v>
      </c>
      <c r="F3391" s="13" t="s">
        <v>8869</v>
      </c>
      <c r="G3391" s="13" t="s">
        <v>2</v>
      </c>
      <c r="H3391" s="13" t="s">
        <v>3</v>
      </c>
      <c r="I3391" s="13" t="s">
        <v>516</v>
      </c>
      <c r="J3391" s="13" t="s">
        <v>8890</v>
      </c>
      <c r="K3391" s="13" t="s">
        <v>516</v>
      </c>
      <c r="L3391" s="13" t="s">
        <v>8918</v>
      </c>
      <c r="M3391" t="s">
        <v>3</v>
      </c>
    </row>
    <row r="3392" spans="1:13" x14ac:dyDescent="0.25">
      <c r="A3392" s="13" t="s">
        <v>8105</v>
      </c>
      <c r="B3392" s="13" t="s">
        <v>8106</v>
      </c>
      <c r="C3392" s="13" t="s">
        <v>8107</v>
      </c>
      <c r="D3392" s="13">
        <v>40</v>
      </c>
      <c r="E3392" s="13" t="s">
        <v>8108</v>
      </c>
      <c r="F3392" s="13" t="s">
        <v>8869</v>
      </c>
      <c r="G3392" s="13" t="s">
        <v>2</v>
      </c>
      <c r="H3392" s="13" t="s">
        <v>10022</v>
      </c>
      <c r="I3392" s="13" t="s">
        <v>516</v>
      </c>
      <c r="J3392" s="13" t="s">
        <v>8890</v>
      </c>
      <c r="K3392" s="13" t="s">
        <v>516</v>
      </c>
      <c r="L3392" s="13" t="s">
        <v>8918</v>
      </c>
      <c r="M3392" t="s">
        <v>10022</v>
      </c>
    </row>
    <row r="3393" spans="1:13" ht="26.25" x14ac:dyDescent="0.25">
      <c r="A3393" s="13" t="s">
        <v>8109</v>
      </c>
      <c r="B3393" s="13" t="s">
        <v>8109</v>
      </c>
      <c r="C3393" s="13" t="s">
        <v>8110</v>
      </c>
      <c r="D3393" s="13">
        <v>40.5</v>
      </c>
      <c r="E3393" s="13" t="s">
        <v>8111</v>
      </c>
      <c r="F3393" s="13" t="s">
        <v>8869</v>
      </c>
      <c r="G3393" s="13" t="s">
        <v>2</v>
      </c>
      <c r="H3393" s="13" t="s">
        <v>10022</v>
      </c>
      <c r="I3393" s="13" t="s">
        <v>516</v>
      </c>
      <c r="J3393" s="13" t="s">
        <v>8890</v>
      </c>
      <c r="K3393" s="13" t="s">
        <v>516</v>
      </c>
      <c r="L3393" s="13" t="s">
        <v>8918</v>
      </c>
      <c r="M3393" t="s">
        <v>10022</v>
      </c>
    </row>
    <row r="3394" spans="1:13" x14ac:dyDescent="0.25">
      <c r="A3394" s="13" t="s">
        <v>8112</v>
      </c>
      <c r="B3394" s="13" t="s">
        <v>8113</v>
      </c>
      <c r="C3394" s="13" t="s">
        <v>8114</v>
      </c>
      <c r="D3394" s="13">
        <v>134.6</v>
      </c>
      <c r="E3394" s="13" t="s">
        <v>8115</v>
      </c>
      <c r="F3394" s="13" t="s">
        <v>8869</v>
      </c>
      <c r="G3394" s="13" t="s">
        <v>2</v>
      </c>
      <c r="H3394" s="13" t="s">
        <v>10022</v>
      </c>
      <c r="I3394" s="13" t="s">
        <v>516</v>
      </c>
      <c r="J3394" s="13" t="s">
        <v>8890</v>
      </c>
      <c r="K3394" s="13" t="s">
        <v>516</v>
      </c>
      <c r="L3394" s="13" t="s">
        <v>8918</v>
      </c>
      <c r="M3394" t="s">
        <v>10022</v>
      </c>
    </row>
    <row r="3395" spans="1:13" x14ac:dyDescent="0.25">
      <c r="A3395" s="13" t="s">
        <v>8116</v>
      </c>
      <c r="B3395" s="13" t="s">
        <v>8117</v>
      </c>
      <c r="C3395" s="13" t="s">
        <v>8118</v>
      </c>
      <c r="D3395" s="13">
        <v>44</v>
      </c>
      <c r="E3395" s="13" t="s">
        <v>8119</v>
      </c>
      <c r="F3395" s="13" t="s">
        <v>8867</v>
      </c>
      <c r="G3395" s="13" t="s">
        <v>2</v>
      </c>
      <c r="H3395" s="13" t="s">
        <v>8958</v>
      </c>
      <c r="I3395" s="13" t="s">
        <v>516</v>
      </c>
      <c r="J3395" s="13" t="s">
        <v>8890</v>
      </c>
      <c r="K3395" s="13" t="s">
        <v>516</v>
      </c>
      <c r="L3395" s="13" t="s">
        <v>158</v>
      </c>
      <c r="M3395" t="s">
        <v>8958</v>
      </c>
    </row>
    <row r="3396" spans="1:13" x14ac:dyDescent="0.25">
      <c r="A3396" s="13" t="s">
        <v>10797</v>
      </c>
      <c r="B3396" s="13" t="s">
        <v>10798</v>
      </c>
      <c r="C3396" s="13" t="s">
        <v>10798</v>
      </c>
      <c r="D3396" s="13">
        <v>4.3</v>
      </c>
      <c r="E3396" s="13" t="s">
        <v>10799</v>
      </c>
      <c r="F3396" s="13" t="s">
        <v>8867</v>
      </c>
      <c r="G3396" s="13" t="s">
        <v>2</v>
      </c>
      <c r="H3396" s="13" t="s">
        <v>3</v>
      </c>
      <c r="I3396" s="13" t="s">
        <v>516</v>
      </c>
      <c r="J3396" s="13" t="s">
        <v>8890</v>
      </c>
      <c r="K3396" s="13" t="s">
        <v>516</v>
      </c>
      <c r="L3396" s="13" t="s">
        <v>158</v>
      </c>
      <c r="M3396" t="s">
        <v>3</v>
      </c>
    </row>
    <row r="3397" spans="1:13" x14ac:dyDescent="0.25">
      <c r="A3397" s="13" t="s">
        <v>11488</v>
      </c>
      <c r="B3397" s="13" t="s">
        <v>11489</v>
      </c>
      <c r="C3397" s="13" t="s">
        <v>11490</v>
      </c>
      <c r="D3397" s="13">
        <v>46.2</v>
      </c>
      <c r="E3397" s="13" t="s">
        <v>11491</v>
      </c>
      <c r="F3397" s="13" t="s">
        <v>8867</v>
      </c>
      <c r="G3397" s="13" t="s">
        <v>2</v>
      </c>
      <c r="H3397" s="13" t="s">
        <v>3</v>
      </c>
      <c r="I3397" s="13" t="s">
        <v>516</v>
      </c>
      <c r="J3397" s="13" t="s">
        <v>8890</v>
      </c>
      <c r="K3397" s="13" t="s">
        <v>516</v>
      </c>
      <c r="L3397" s="13" t="s">
        <v>158</v>
      </c>
      <c r="M3397" t="s">
        <v>3</v>
      </c>
    </row>
    <row r="3398" spans="1:13" x14ac:dyDescent="0.25">
      <c r="A3398" s="13" t="s">
        <v>8120</v>
      </c>
      <c r="B3398" s="13" t="s">
        <v>8121</v>
      </c>
      <c r="C3398" s="13" t="s">
        <v>8122</v>
      </c>
      <c r="D3398" s="13">
        <v>46</v>
      </c>
      <c r="E3398" s="13" t="s">
        <v>8123</v>
      </c>
      <c r="F3398" s="13" t="s">
        <v>8867</v>
      </c>
      <c r="G3398" s="13" t="s">
        <v>2</v>
      </c>
      <c r="H3398" s="13" t="s">
        <v>8958</v>
      </c>
      <c r="I3398" s="13" t="s">
        <v>516</v>
      </c>
      <c r="J3398" s="13" t="s">
        <v>8890</v>
      </c>
      <c r="K3398" s="13" t="s">
        <v>516</v>
      </c>
      <c r="L3398" s="13" t="s">
        <v>158</v>
      </c>
      <c r="M3398" t="s">
        <v>8958</v>
      </c>
    </row>
    <row r="3399" spans="1:13" x14ac:dyDescent="0.25">
      <c r="A3399" s="13" t="s">
        <v>8124</v>
      </c>
      <c r="B3399" s="13" t="s">
        <v>8125</v>
      </c>
      <c r="C3399" s="13" t="s">
        <v>8126</v>
      </c>
      <c r="D3399" s="13">
        <v>19</v>
      </c>
      <c r="E3399" s="13" t="s">
        <v>8127</v>
      </c>
      <c r="F3399" s="13" t="s">
        <v>8867</v>
      </c>
      <c r="G3399" s="13" t="s">
        <v>2</v>
      </c>
      <c r="H3399" s="13" t="s">
        <v>8958</v>
      </c>
      <c r="I3399" s="13" t="s">
        <v>516</v>
      </c>
      <c r="J3399" s="13" t="s">
        <v>8890</v>
      </c>
      <c r="K3399" s="13" t="s">
        <v>516</v>
      </c>
      <c r="L3399" s="13" t="s">
        <v>158</v>
      </c>
      <c r="M3399" t="s">
        <v>8958</v>
      </c>
    </row>
    <row r="3400" spans="1:13" x14ac:dyDescent="0.25">
      <c r="A3400" s="13" t="s">
        <v>8128</v>
      </c>
      <c r="B3400" s="13" t="s">
        <v>8129</v>
      </c>
      <c r="C3400" s="13" t="s">
        <v>8130</v>
      </c>
      <c r="D3400" s="13">
        <v>40.799999999999997</v>
      </c>
      <c r="E3400" s="13" t="s">
        <v>8131</v>
      </c>
      <c r="F3400" s="13" t="s">
        <v>8867</v>
      </c>
      <c r="G3400" s="13" t="s">
        <v>2</v>
      </c>
      <c r="H3400" s="13" t="s">
        <v>8958</v>
      </c>
      <c r="I3400" s="13" t="s">
        <v>516</v>
      </c>
      <c r="J3400" s="13" t="s">
        <v>8890</v>
      </c>
      <c r="K3400" s="13" t="s">
        <v>516</v>
      </c>
      <c r="L3400" s="13" t="s">
        <v>158</v>
      </c>
      <c r="M3400" t="s">
        <v>8958</v>
      </c>
    </row>
    <row r="3401" spans="1:13" x14ac:dyDescent="0.25">
      <c r="A3401" s="13" t="s">
        <v>9831</v>
      </c>
      <c r="B3401" s="13" t="s">
        <v>9831</v>
      </c>
      <c r="C3401" s="13" t="s">
        <v>9831</v>
      </c>
      <c r="D3401" s="13">
        <v>41.2</v>
      </c>
      <c r="E3401" s="13" t="s">
        <v>9832</v>
      </c>
      <c r="F3401" s="13" t="s">
        <v>8867</v>
      </c>
      <c r="G3401" s="13" t="s">
        <v>2</v>
      </c>
      <c r="H3401" s="13" t="s">
        <v>9224</v>
      </c>
      <c r="I3401" s="13" t="s">
        <v>228</v>
      </c>
      <c r="J3401" s="13" t="s">
        <v>8890</v>
      </c>
      <c r="K3401" s="13" t="s">
        <v>8418</v>
      </c>
      <c r="L3401" s="13" t="s">
        <v>158</v>
      </c>
      <c r="M3401" t="s">
        <v>10685</v>
      </c>
    </row>
    <row r="3402" spans="1:13" x14ac:dyDescent="0.25">
      <c r="A3402" s="13" t="s">
        <v>9833</v>
      </c>
      <c r="B3402" s="13" t="s">
        <v>9833</v>
      </c>
      <c r="C3402" s="13" t="s">
        <v>9833</v>
      </c>
      <c r="D3402" s="13">
        <v>41.2</v>
      </c>
      <c r="E3402" s="13" t="s">
        <v>9834</v>
      </c>
      <c r="F3402" s="13" t="s">
        <v>8867</v>
      </c>
      <c r="G3402" s="13" t="s">
        <v>2</v>
      </c>
      <c r="H3402" s="13" t="s">
        <v>9224</v>
      </c>
      <c r="I3402" s="13" t="s">
        <v>228</v>
      </c>
      <c r="J3402" s="13" t="s">
        <v>8890</v>
      </c>
      <c r="K3402" s="13" t="s">
        <v>8418</v>
      </c>
      <c r="L3402" s="13" t="s">
        <v>158</v>
      </c>
      <c r="M3402" t="s">
        <v>10685</v>
      </c>
    </row>
    <row r="3403" spans="1:13" x14ac:dyDescent="0.25">
      <c r="A3403" s="13" t="s">
        <v>9835</v>
      </c>
      <c r="B3403" s="13" t="s">
        <v>9835</v>
      </c>
      <c r="C3403" s="13" t="s">
        <v>9835</v>
      </c>
      <c r="D3403" s="13">
        <v>41.2</v>
      </c>
      <c r="E3403" s="13" t="s">
        <v>9836</v>
      </c>
      <c r="F3403" s="13" t="s">
        <v>8867</v>
      </c>
      <c r="G3403" s="13" t="s">
        <v>2</v>
      </c>
      <c r="H3403" s="13" t="s">
        <v>9224</v>
      </c>
      <c r="I3403" s="13" t="s">
        <v>228</v>
      </c>
      <c r="J3403" s="13" t="s">
        <v>8890</v>
      </c>
      <c r="K3403" s="13" t="s">
        <v>8418</v>
      </c>
      <c r="L3403" s="13" t="s">
        <v>158</v>
      </c>
      <c r="M3403" t="s">
        <v>10685</v>
      </c>
    </row>
    <row r="3404" spans="1:13" x14ac:dyDescent="0.25">
      <c r="A3404" s="13" t="s">
        <v>10800</v>
      </c>
      <c r="B3404" s="13" t="s">
        <v>10801</v>
      </c>
      <c r="C3404" s="13" t="s">
        <v>10802</v>
      </c>
      <c r="D3404" s="13">
        <v>4.7</v>
      </c>
      <c r="E3404" s="13" t="s">
        <v>10803</v>
      </c>
      <c r="F3404" s="13" t="s">
        <v>8867</v>
      </c>
      <c r="G3404" s="13" t="s">
        <v>2</v>
      </c>
      <c r="H3404" s="13" t="s">
        <v>3</v>
      </c>
      <c r="I3404" s="13" t="s">
        <v>516</v>
      </c>
      <c r="J3404" s="13" t="s">
        <v>8890</v>
      </c>
      <c r="K3404" s="13" t="s">
        <v>516</v>
      </c>
      <c r="L3404" s="13" t="s">
        <v>158</v>
      </c>
      <c r="M3404" t="s">
        <v>3</v>
      </c>
    </row>
    <row r="3405" spans="1:13" x14ac:dyDescent="0.25">
      <c r="A3405" s="13" t="s">
        <v>10804</v>
      </c>
      <c r="B3405" s="13" t="s">
        <v>10805</v>
      </c>
      <c r="C3405" s="13" t="s">
        <v>10806</v>
      </c>
      <c r="D3405" s="13">
        <v>126</v>
      </c>
      <c r="E3405" s="13" t="s">
        <v>10807</v>
      </c>
      <c r="F3405" s="13" t="s">
        <v>8867</v>
      </c>
      <c r="G3405" s="13" t="s">
        <v>2</v>
      </c>
      <c r="H3405" s="13" t="s">
        <v>8958</v>
      </c>
      <c r="I3405" s="13" t="s">
        <v>516</v>
      </c>
      <c r="J3405" s="13" t="s">
        <v>8890</v>
      </c>
      <c r="K3405" s="13" t="s">
        <v>516</v>
      </c>
      <c r="L3405" s="13" t="s">
        <v>158</v>
      </c>
      <c r="M3405" t="s">
        <v>8958</v>
      </c>
    </row>
    <row r="3406" spans="1:13" x14ac:dyDescent="0.25">
      <c r="A3406" s="13" t="s">
        <v>11932</v>
      </c>
      <c r="B3406" s="13" t="s">
        <v>11932</v>
      </c>
      <c r="C3406" s="13" t="s">
        <v>11932</v>
      </c>
      <c r="D3406" s="13">
        <v>6</v>
      </c>
      <c r="E3406" s="13" t="s">
        <v>11933</v>
      </c>
      <c r="F3406" s="13" t="s">
        <v>8867</v>
      </c>
      <c r="G3406" s="13" t="s">
        <v>2</v>
      </c>
      <c r="H3406" s="13" t="s">
        <v>3</v>
      </c>
      <c r="I3406" s="13" t="s">
        <v>228</v>
      </c>
      <c r="J3406" s="13" t="s">
        <v>8890</v>
      </c>
      <c r="K3406" s="13" t="s">
        <v>8418</v>
      </c>
      <c r="L3406" s="13" t="s">
        <v>158</v>
      </c>
      <c r="M3406" t="s">
        <v>3</v>
      </c>
    </row>
    <row r="3407" spans="1:13" x14ac:dyDescent="0.25">
      <c r="A3407" s="13" t="s">
        <v>10393</v>
      </c>
      <c r="B3407" s="13" t="s">
        <v>10393</v>
      </c>
      <c r="C3407" s="13" t="s">
        <v>10393</v>
      </c>
      <c r="D3407" s="13">
        <v>2.5</v>
      </c>
      <c r="E3407" s="13" t="s">
        <v>10394</v>
      </c>
      <c r="F3407" s="13" t="s">
        <v>8867</v>
      </c>
      <c r="G3407" s="13" t="s">
        <v>2</v>
      </c>
      <c r="H3407" s="13" t="s">
        <v>3</v>
      </c>
      <c r="I3407" s="13" t="s">
        <v>228</v>
      </c>
      <c r="J3407" s="13" t="s">
        <v>8890</v>
      </c>
      <c r="K3407" s="13" t="s">
        <v>8418</v>
      </c>
      <c r="L3407" s="13" t="s">
        <v>158</v>
      </c>
      <c r="M3407" t="s">
        <v>3</v>
      </c>
    </row>
    <row r="3408" spans="1:13" x14ac:dyDescent="0.25">
      <c r="A3408" s="13" t="s">
        <v>8132</v>
      </c>
      <c r="B3408" s="13" t="s">
        <v>8133</v>
      </c>
      <c r="C3408" s="13" t="s">
        <v>8134</v>
      </c>
      <c r="D3408" s="13">
        <v>0.5</v>
      </c>
      <c r="E3408" s="13" t="s">
        <v>8135</v>
      </c>
      <c r="F3408" s="13" t="s">
        <v>8863</v>
      </c>
      <c r="G3408" s="13" t="s">
        <v>2</v>
      </c>
      <c r="H3408" s="13" t="s">
        <v>3</v>
      </c>
      <c r="I3408" s="13" t="s">
        <v>8136</v>
      </c>
      <c r="J3408" s="13" t="s">
        <v>8890</v>
      </c>
      <c r="K3408" s="13" t="s">
        <v>8839</v>
      </c>
      <c r="L3408" s="13" t="s">
        <v>8893</v>
      </c>
      <c r="M3408" t="s">
        <v>3</v>
      </c>
    </row>
    <row r="3409" spans="1:13" x14ac:dyDescent="0.25">
      <c r="A3409" s="13" t="s">
        <v>11492</v>
      </c>
      <c r="B3409" s="13" t="s">
        <v>11492</v>
      </c>
      <c r="C3409" s="13" t="s">
        <v>11492</v>
      </c>
      <c r="D3409" s="13">
        <v>17.5</v>
      </c>
      <c r="E3409" s="13" t="s">
        <v>11493</v>
      </c>
      <c r="F3409" s="13" t="s">
        <v>8867</v>
      </c>
      <c r="G3409" s="13" t="s">
        <v>2</v>
      </c>
      <c r="H3409" s="13" t="s">
        <v>3</v>
      </c>
      <c r="I3409" s="13" t="s">
        <v>228</v>
      </c>
      <c r="J3409" s="13" t="s">
        <v>8890</v>
      </c>
      <c r="K3409" s="13" t="s">
        <v>8418</v>
      </c>
      <c r="L3409" s="13" t="s">
        <v>158</v>
      </c>
      <c r="M3409" t="s">
        <v>3</v>
      </c>
    </row>
    <row r="3410" spans="1:13" x14ac:dyDescent="0.25">
      <c r="A3410" s="13" t="s">
        <v>11494</v>
      </c>
      <c r="B3410" s="13" t="s">
        <v>11495</v>
      </c>
      <c r="C3410" s="13" t="s">
        <v>11496</v>
      </c>
      <c r="D3410" s="13">
        <v>19.399999999999999</v>
      </c>
      <c r="E3410" s="13" t="s">
        <v>11497</v>
      </c>
      <c r="F3410" s="13" t="s">
        <v>8867</v>
      </c>
      <c r="G3410" s="13" t="s">
        <v>2</v>
      </c>
      <c r="H3410" s="13" t="s">
        <v>3</v>
      </c>
      <c r="I3410" s="13" t="s">
        <v>516</v>
      </c>
      <c r="J3410" s="13" t="s">
        <v>8890</v>
      </c>
      <c r="K3410" s="13" t="s">
        <v>516</v>
      </c>
      <c r="L3410" s="13" t="s">
        <v>158</v>
      </c>
      <c r="M3410" t="s">
        <v>3</v>
      </c>
    </row>
    <row r="3411" spans="1:13" x14ac:dyDescent="0.25">
      <c r="A3411" s="13" t="s">
        <v>11001</v>
      </c>
      <c r="B3411" s="13" t="s">
        <v>11002</v>
      </c>
      <c r="C3411" s="13" t="s">
        <v>11003</v>
      </c>
      <c r="D3411" s="13">
        <v>21</v>
      </c>
      <c r="E3411" s="13" t="s">
        <v>11004</v>
      </c>
      <c r="F3411" s="13" t="s">
        <v>8869</v>
      </c>
      <c r="G3411" s="13" t="s">
        <v>2</v>
      </c>
      <c r="H3411" s="13" t="s">
        <v>10022</v>
      </c>
      <c r="I3411" s="13" t="s">
        <v>516</v>
      </c>
      <c r="J3411" s="13" t="s">
        <v>8890</v>
      </c>
      <c r="K3411" s="13" t="s">
        <v>516</v>
      </c>
      <c r="L3411" s="13" t="s">
        <v>8918</v>
      </c>
      <c r="M3411" t="s">
        <v>10022</v>
      </c>
    </row>
    <row r="3412" spans="1:13" x14ac:dyDescent="0.25">
      <c r="A3412" s="13" t="s">
        <v>11498</v>
      </c>
      <c r="B3412" s="13" t="s">
        <v>11498</v>
      </c>
      <c r="C3412" s="13" t="s">
        <v>11498</v>
      </c>
      <c r="D3412" s="13">
        <v>10</v>
      </c>
      <c r="E3412" s="13" t="s">
        <v>11499</v>
      </c>
      <c r="F3412" s="13" t="s">
        <v>8867</v>
      </c>
      <c r="G3412" s="13" t="s">
        <v>2</v>
      </c>
      <c r="H3412" s="13" t="s">
        <v>3</v>
      </c>
      <c r="I3412" s="13" t="s">
        <v>228</v>
      </c>
      <c r="J3412" s="13" t="s">
        <v>8890</v>
      </c>
      <c r="K3412" s="13" t="s">
        <v>8418</v>
      </c>
      <c r="L3412" s="13" t="s">
        <v>158</v>
      </c>
      <c r="M3412" t="s">
        <v>3</v>
      </c>
    </row>
    <row r="3413" spans="1:13" x14ac:dyDescent="0.25">
      <c r="A3413" s="13" t="s">
        <v>9689</v>
      </c>
      <c r="B3413" s="13" t="s">
        <v>9690</v>
      </c>
      <c r="C3413" s="13" t="s">
        <v>9691</v>
      </c>
      <c r="D3413" s="13">
        <v>1.6</v>
      </c>
      <c r="E3413" s="13" t="s">
        <v>9692</v>
      </c>
      <c r="F3413" s="13" t="s">
        <v>8865</v>
      </c>
      <c r="G3413" s="13" t="s">
        <v>2</v>
      </c>
      <c r="H3413" s="13" t="s">
        <v>3</v>
      </c>
      <c r="I3413" s="13" t="s">
        <v>497</v>
      </c>
      <c r="J3413" s="13" t="s">
        <v>8890</v>
      </c>
      <c r="K3413" s="13" t="s">
        <v>8475</v>
      </c>
      <c r="L3413" s="13" t="s">
        <v>8901</v>
      </c>
      <c r="M3413" t="s">
        <v>3</v>
      </c>
    </row>
    <row r="3414" spans="1:13" x14ac:dyDescent="0.25">
      <c r="A3414" s="13" t="s">
        <v>8137</v>
      </c>
      <c r="B3414" s="13" t="s">
        <v>8138</v>
      </c>
      <c r="C3414" s="13" t="s">
        <v>8139</v>
      </c>
      <c r="D3414" s="13">
        <v>4</v>
      </c>
      <c r="E3414" s="13" t="s">
        <v>8140</v>
      </c>
      <c r="F3414" s="13" t="s">
        <v>8867</v>
      </c>
      <c r="G3414" s="13" t="s">
        <v>2</v>
      </c>
      <c r="H3414" s="13" t="s">
        <v>3</v>
      </c>
      <c r="I3414" s="13" t="s">
        <v>516</v>
      </c>
      <c r="J3414" s="13" t="s">
        <v>8890</v>
      </c>
      <c r="K3414" s="13" t="s">
        <v>516</v>
      </c>
      <c r="L3414" s="13" t="s">
        <v>158</v>
      </c>
      <c r="M3414" t="s">
        <v>3</v>
      </c>
    </row>
    <row r="3415" spans="1:13" x14ac:dyDescent="0.25">
      <c r="A3415" s="13" t="s">
        <v>10808</v>
      </c>
      <c r="B3415" s="13" t="s">
        <v>10809</v>
      </c>
      <c r="C3415" s="13" t="s">
        <v>10810</v>
      </c>
      <c r="D3415" s="14">
        <v>35</v>
      </c>
      <c r="E3415" s="13" t="s">
        <v>10811</v>
      </c>
      <c r="F3415" s="13" t="s">
        <v>8867</v>
      </c>
      <c r="G3415" s="13" t="s">
        <v>2</v>
      </c>
      <c r="H3415" s="13" t="s">
        <v>8958</v>
      </c>
      <c r="I3415" s="13" t="s">
        <v>516</v>
      </c>
      <c r="J3415" s="13" t="s">
        <v>8890</v>
      </c>
      <c r="K3415" s="13" t="s">
        <v>516</v>
      </c>
      <c r="L3415" s="13" t="s">
        <v>158</v>
      </c>
      <c r="M3415" t="s">
        <v>8958</v>
      </c>
    </row>
    <row r="3416" spans="1:13" ht="26.25" x14ac:dyDescent="0.25">
      <c r="A3416" s="13" t="s">
        <v>9579</v>
      </c>
      <c r="B3416" s="13" t="s">
        <v>9579</v>
      </c>
      <c r="C3416" s="13" t="s">
        <v>9579</v>
      </c>
      <c r="D3416" s="13">
        <v>35</v>
      </c>
      <c r="E3416" s="13" t="s">
        <v>9580</v>
      </c>
      <c r="F3416" s="13" t="s">
        <v>8867</v>
      </c>
      <c r="G3416" s="13" t="s">
        <v>2</v>
      </c>
      <c r="H3416" s="13" t="s">
        <v>10910</v>
      </c>
      <c r="I3416" s="13" t="s">
        <v>228</v>
      </c>
      <c r="J3416" s="13" t="s">
        <v>8890</v>
      </c>
      <c r="K3416" s="13" t="s">
        <v>8418</v>
      </c>
      <c r="L3416" s="13" t="s">
        <v>158</v>
      </c>
      <c r="M3416" t="s">
        <v>10910</v>
      </c>
    </row>
    <row r="3417" spans="1:13" x14ac:dyDescent="0.25">
      <c r="A3417" s="13" t="s">
        <v>9581</v>
      </c>
      <c r="B3417" s="13" t="s">
        <v>9582</v>
      </c>
      <c r="C3417" s="13" t="s">
        <v>9583</v>
      </c>
      <c r="D3417" s="13">
        <v>30</v>
      </c>
      <c r="E3417" s="13" t="s">
        <v>9584</v>
      </c>
      <c r="F3417" s="13" t="s">
        <v>8867</v>
      </c>
      <c r="G3417" s="13" t="s">
        <v>2</v>
      </c>
      <c r="H3417" s="13" t="s">
        <v>8958</v>
      </c>
      <c r="I3417" s="13" t="s">
        <v>516</v>
      </c>
      <c r="J3417" s="13" t="s">
        <v>8890</v>
      </c>
      <c r="K3417" s="13" t="s">
        <v>516</v>
      </c>
      <c r="L3417" s="13" t="s">
        <v>158</v>
      </c>
      <c r="M3417" t="s">
        <v>8958</v>
      </c>
    </row>
    <row r="3418" spans="1:13" x14ac:dyDescent="0.25">
      <c r="A3418" s="13" t="s">
        <v>8141</v>
      </c>
      <c r="B3418" s="13" t="s">
        <v>8142</v>
      </c>
      <c r="C3418" s="13" t="s">
        <v>8143</v>
      </c>
      <c r="D3418" s="13">
        <v>22.9</v>
      </c>
      <c r="E3418" s="13" t="s">
        <v>8144</v>
      </c>
      <c r="F3418" s="13" t="s">
        <v>8865</v>
      </c>
      <c r="G3418" s="13" t="s">
        <v>2</v>
      </c>
      <c r="H3418" s="13" t="s">
        <v>3</v>
      </c>
      <c r="I3418" s="13" t="s">
        <v>516</v>
      </c>
      <c r="J3418" s="13" t="s">
        <v>8890</v>
      </c>
      <c r="K3418" s="13" t="s">
        <v>516</v>
      </c>
      <c r="L3418" s="13" t="s">
        <v>8901</v>
      </c>
      <c r="M3418" t="s">
        <v>3</v>
      </c>
    </row>
    <row r="3419" spans="1:13" x14ac:dyDescent="0.25">
      <c r="A3419" s="13" t="s">
        <v>11500</v>
      </c>
      <c r="B3419" s="13" t="s">
        <v>11501</v>
      </c>
      <c r="C3419" s="13" t="s">
        <v>11502</v>
      </c>
      <c r="D3419" s="13">
        <v>7.1</v>
      </c>
      <c r="E3419" s="13" t="s">
        <v>11503</v>
      </c>
      <c r="F3419" s="13" t="s">
        <v>8867</v>
      </c>
      <c r="G3419" s="13" t="s">
        <v>2</v>
      </c>
      <c r="H3419" s="13" t="s">
        <v>3</v>
      </c>
      <c r="I3419" s="13" t="s">
        <v>516</v>
      </c>
      <c r="J3419" s="13" t="s">
        <v>8890</v>
      </c>
      <c r="K3419" s="13" t="s">
        <v>516</v>
      </c>
      <c r="L3419" s="13" t="s">
        <v>158</v>
      </c>
      <c r="M3419" t="s">
        <v>3</v>
      </c>
    </row>
    <row r="3420" spans="1:13" x14ac:dyDescent="0.25">
      <c r="A3420" s="13" t="s">
        <v>11005</v>
      </c>
      <c r="B3420" s="13" t="s">
        <v>11006</v>
      </c>
      <c r="C3420" s="13" t="s">
        <v>11007</v>
      </c>
      <c r="D3420" s="13">
        <v>40</v>
      </c>
      <c r="E3420" s="13" t="s">
        <v>11008</v>
      </c>
      <c r="F3420" s="13" t="s">
        <v>8867</v>
      </c>
      <c r="G3420" s="13" t="s">
        <v>2</v>
      </c>
      <c r="H3420" s="13" t="s">
        <v>8958</v>
      </c>
      <c r="I3420" s="13" t="s">
        <v>516</v>
      </c>
      <c r="J3420" s="13" t="s">
        <v>8890</v>
      </c>
      <c r="K3420" s="13" t="s">
        <v>516</v>
      </c>
      <c r="L3420" s="13" t="s">
        <v>158</v>
      </c>
      <c r="M3420" t="s">
        <v>8958</v>
      </c>
    </row>
    <row r="3421" spans="1:13" x14ac:dyDescent="0.25">
      <c r="A3421" s="13" t="s">
        <v>8145</v>
      </c>
      <c r="B3421" s="13" t="s">
        <v>8146</v>
      </c>
      <c r="C3421" s="13" t="s">
        <v>8147</v>
      </c>
      <c r="D3421" s="13">
        <v>41.5</v>
      </c>
      <c r="E3421" s="13" t="s">
        <v>8148</v>
      </c>
      <c r="F3421" s="13" t="s">
        <v>8867</v>
      </c>
      <c r="G3421" s="13" t="s">
        <v>2</v>
      </c>
      <c r="H3421" s="13" t="s">
        <v>8958</v>
      </c>
      <c r="I3421" s="13" t="s">
        <v>516</v>
      </c>
      <c r="J3421" s="13" t="s">
        <v>8890</v>
      </c>
      <c r="K3421" s="13" t="s">
        <v>516</v>
      </c>
      <c r="L3421" s="13" t="s">
        <v>158</v>
      </c>
      <c r="M3421" t="s">
        <v>8958</v>
      </c>
    </row>
    <row r="3422" spans="1:13" x14ac:dyDescent="0.25">
      <c r="A3422" s="13" t="s">
        <v>10436</v>
      </c>
      <c r="B3422" s="13" t="s">
        <v>10437</v>
      </c>
      <c r="C3422" s="13" t="s">
        <v>10438</v>
      </c>
      <c r="D3422" s="13">
        <v>30</v>
      </c>
      <c r="E3422" s="13" t="s">
        <v>10439</v>
      </c>
      <c r="F3422" s="13" t="s">
        <v>8867</v>
      </c>
      <c r="G3422" s="13" t="s">
        <v>2</v>
      </c>
      <c r="H3422" s="13" t="s">
        <v>8958</v>
      </c>
      <c r="I3422" s="13" t="s">
        <v>516</v>
      </c>
      <c r="J3422" s="13" t="s">
        <v>8890</v>
      </c>
      <c r="K3422" s="13" t="s">
        <v>516</v>
      </c>
      <c r="L3422" s="13" t="s">
        <v>158</v>
      </c>
      <c r="M3422" t="s">
        <v>8958</v>
      </c>
    </row>
    <row r="3423" spans="1:13" x14ac:dyDescent="0.25">
      <c r="A3423" s="13" t="s">
        <v>10440</v>
      </c>
      <c r="B3423" s="13" t="s">
        <v>10441</v>
      </c>
      <c r="C3423" s="13" t="s">
        <v>10442</v>
      </c>
      <c r="D3423" s="13">
        <v>30</v>
      </c>
      <c r="E3423" s="13" t="s">
        <v>10443</v>
      </c>
      <c r="F3423" s="13" t="s">
        <v>8867</v>
      </c>
      <c r="G3423" s="13" t="s">
        <v>2</v>
      </c>
      <c r="H3423" s="13" t="s">
        <v>8958</v>
      </c>
      <c r="I3423" s="13" t="s">
        <v>516</v>
      </c>
      <c r="J3423" s="13" t="s">
        <v>8890</v>
      </c>
      <c r="K3423" s="13" t="s">
        <v>516</v>
      </c>
      <c r="L3423" s="13" t="s">
        <v>158</v>
      </c>
      <c r="M3423" t="s">
        <v>8958</v>
      </c>
    </row>
    <row r="3424" spans="1:13" x14ac:dyDescent="0.25">
      <c r="A3424" s="13" t="s">
        <v>11504</v>
      </c>
      <c r="B3424" s="13" t="s">
        <v>11504</v>
      </c>
      <c r="C3424" s="13" t="s">
        <v>11504</v>
      </c>
      <c r="D3424" s="13">
        <v>24.5</v>
      </c>
      <c r="E3424" s="13" t="s">
        <v>11505</v>
      </c>
      <c r="F3424" s="13" t="s">
        <v>8867</v>
      </c>
      <c r="G3424" s="13" t="s">
        <v>2</v>
      </c>
      <c r="H3424" s="13" t="s">
        <v>3</v>
      </c>
      <c r="I3424" s="13" t="s">
        <v>228</v>
      </c>
      <c r="J3424" s="13" t="s">
        <v>8890</v>
      </c>
      <c r="K3424" s="13" t="s">
        <v>8418</v>
      </c>
      <c r="L3424" s="13" t="s">
        <v>158</v>
      </c>
      <c r="M3424" t="s">
        <v>3</v>
      </c>
    </row>
    <row r="3425" spans="1:13" x14ac:dyDescent="0.25">
      <c r="A3425" s="13" t="s">
        <v>11506</v>
      </c>
      <c r="B3425" s="13" t="s">
        <v>11506</v>
      </c>
      <c r="C3425" s="13" t="s">
        <v>11506</v>
      </c>
      <c r="D3425" s="13">
        <v>24.5</v>
      </c>
      <c r="E3425" s="13" t="s">
        <v>11507</v>
      </c>
      <c r="F3425" s="13" t="s">
        <v>8867</v>
      </c>
      <c r="G3425" s="13" t="s">
        <v>2</v>
      </c>
      <c r="H3425" s="13" t="s">
        <v>3</v>
      </c>
      <c r="I3425" s="13" t="s">
        <v>228</v>
      </c>
      <c r="J3425" s="13" t="s">
        <v>8890</v>
      </c>
      <c r="K3425" s="13" t="s">
        <v>8418</v>
      </c>
      <c r="L3425" s="13" t="s">
        <v>158</v>
      </c>
      <c r="M3425" t="s">
        <v>3</v>
      </c>
    </row>
    <row r="3426" spans="1:13" x14ac:dyDescent="0.25">
      <c r="A3426" s="13" t="s">
        <v>8149</v>
      </c>
      <c r="B3426" s="13" t="s">
        <v>8150</v>
      </c>
      <c r="C3426" s="13" t="s">
        <v>8151</v>
      </c>
      <c r="D3426" s="13">
        <v>42</v>
      </c>
      <c r="E3426" s="13" t="s">
        <v>8152</v>
      </c>
      <c r="F3426" s="13" t="s">
        <v>8867</v>
      </c>
      <c r="G3426" s="13" t="s">
        <v>2</v>
      </c>
      <c r="H3426" s="13" t="s">
        <v>8958</v>
      </c>
      <c r="I3426" s="13" t="s">
        <v>516</v>
      </c>
      <c r="J3426" s="13" t="s">
        <v>8890</v>
      </c>
      <c r="K3426" s="13" t="s">
        <v>516</v>
      </c>
      <c r="L3426" s="13" t="s">
        <v>158</v>
      </c>
      <c r="M3426" t="s">
        <v>8958</v>
      </c>
    </row>
    <row r="3427" spans="1:13" ht="26.25" x14ac:dyDescent="0.25">
      <c r="A3427" s="13" t="s">
        <v>10006</v>
      </c>
      <c r="B3427" s="13" t="s">
        <v>10006</v>
      </c>
      <c r="C3427" s="13" t="s">
        <v>10006</v>
      </c>
      <c r="D3427" s="13">
        <v>3</v>
      </c>
      <c r="E3427" s="13" t="s">
        <v>10007</v>
      </c>
      <c r="F3427" s="13" t="s">
        <v>8867</v>
      </c>
      <c r="G3427" s="13" t="s">
        <v>2</v>
      </c>
      <c r="H3427" s="13" t="s">
        <v>9224</v>
      </c>
      <c r="I3427" s="13" t="s">
        <v>228</v>
      </c>
      <c r="J3427" s="13" t="s">
        <v>8890</v>
      </c>
      <c r="K3427" s="13" t="s">
        <v>8418</v>
      </c>
      <c r="L3427" s="13" t="s">
        <v>158</v>
      </c>
      <c r="M3427" t="s">
        <v>10685</v>
      </c>
    </row>
    <row r="3428" spans="1:13" x14ac:dyDescent="0.25">
      <c r="A3428" s="13" t="s">
        <v>8153</v>
      </c>
      <c r="B3428" s="13" t="s">
        <v>8154</v>
      </c>
      <c r="C3428" s="13" t="s">
        <v>8155</v>
      </c>
      <c r="D3428" s="13">
        <v>40</v>
      </c>
      <c r="E3428" s="13" t="s">
        <v>8156</v>
      </c>
      <c r="F3428" s="13" t="s">
        <v>8867</v>
      </c>
      <c r="G3428" s="13" t="s">
        <v>2</v>
      </c>
      <c r="H3428" s="13" t="s">
        <v>8958</v>
      </c>
      <c r="I3428" s="13" t="s">
        <v>516</v>
      </c>
      <c r="J3428" s="13" t="s">
        <v>8890</v>
      </c>
      <c r="K3428" s="13" t="s">
        <v>516</v>
      </c>
      <c r="L3428" s="13" t="s">
        <v>158</v>
      </c>
      <c r="M3428" t="s">
        <v>8958</v>
      </c>
    </row>
    <row r="3429" spans="1:13" x14ac:dyDescent="0.25">
      <c r="A3429" s="13" t="s">
        <v>8157</v>
      </c>
      <c r="B3429" s="13" t="s">
        <v>8158</v>
      </c>
      <c r="C3429" s="13" t="s">
        <v>8159</v>
      </c>
      <c r="D3429" s="13">
        <v>40</v>
      </c>
      <c r="E3429" s="13" t="s">
        <v>8160</v>
      </c>
      <c r="F3429" s="13" t="s">
        <v>8867</v>
      </c>
      <c r="G3429" s="13" t="s">
        <v>2</v>
      </c>
      <c r="H3429" s="13" t="s">
        <v>8958</v>
      </c>
      <c r="I3429" s="13" t="s">
        <v>516</v>
      </c>
      <c r="J3429" s="13" t="s">
        <v>8890</v>
      </c>
      <c r="K3429" s="13" t="s">
        <v>516</v>
      </c>
      <c r="L3429" s="13" t="s">
        <v>158</v>
      </c>
      <c r="M3429" t="s">
        <v>8958</v>
      </c>
    </row>
    <row r="3430" spans="1:13" x14ac:dyDescent="0.25">
      <c r="A3430" s="13" t="s">
        <v>8161</v>
      </c>
      <c r="B3430" s="13" t="s">
        <v>8162</v>
      </c>
      <c r="C3430" s="13" t="s">
        <v>8163</v>
      </c>
      <c r="D3430" s="13">
        <v>40</v>
      </c>
      <c r="E3430" s="13" t="s">
        <v>8164</v>
      </c>
      <c r="F3430" s="13" t="s">
        <v>8867</v>
      </c>
      <c r="G3430" s="13" t="s">
        <v>2</v>
      </c>
      <c r="H3430" s="13" t="s">
        <v>8958</v>
      </c>
      <c r="I3430" s="13" t="s">
        <v>516</v>
      </c>
      <c r="J3430" s="13" t="s">
        <v>8890</v>
      </c>
      <c r="K3430" s="13" t="s">
        <v>516</v>
      </c>
      <c r="L3430" s="13" t="s">
        <v>158</v>
      </c>
      <c r="M3430" t="s">
        <v>8958</v>
      </c>
    </row>
    <row r="3431" spans="1:13" ht="26.25" x14ac:dyDescent="0.25">
      <c r="A3431" s="13" t="s">
        <v>8165</v>
      </c>
      <c r="B3431" s="13" t="s">
        <v>8166</v>
      </c>
      <c r="C3431" s="13" t="s">
        <v>8167</v>
      </c>
      <c r="D3431" s="13">
        <v>39.200000000000003</v>
      </c>
      <c r="E3431" s="13" t="s">
        <v>8168</v>
      </c>
      <c r="F3431" s="13" t="s">
        <v>8867</v>
      </c>
      <c r="G3431" s="13" t="s">
        <v>2</v>
      </c>
      <c r="H3431" s="13" t="s">
        <v>8958</v>
      </c>
      <c r="I3431" s="13" t="s">
        <v>516</v>
      </c>
      <c r="J3431" s="13" t="s">
        <v>8890</v>
      </c>
      <c r="K3431" s="13" t="s">
        <v>516</v>
      </c>
      <c r="L3431" s="13" t="s">
        <v>158</v>
      </c>
      <c r="M3431" t="s">
        <v>8958</v>
      </c>
    </row>
    <row r="3432" spans="1:13" x14ac:dyDescent="0.25">
      <c r="A3432" s="13" t="s">
        <v>10812</v>
      </c>
      <c r="B3432" s="13" t="s">
        <v>10812</v>
      </c>
      <c r="C3432" s="13" t="s">
        <v>10813</v>
      </c>
      <c r="D3432" s="13">
        <v>40</v>
      </c>
      <c r="E3432" s="13" t="s">
        <v>10814</v>
      </c>
      <c r="F3432" s="13" t="s">
        <v>8867</v>
      </c>
      <c r="G3432" s="13" t="s">
        <v>2</v>
      </c>
      <c r="H3432" s="13" t="s">
        <v>8958</v>
      </c>
      <c r="I3432" s="13" t="s">
        <v>516</v>
      </c>
      <c r="J3432" s="13" t="s">
        <v>8890</v>
      </c>
      <c r="K3432" s="13" t="s">
        <v>516</v>
      </c>
      <c r="L3432" s="13" t="s">
        <v>158</v>
      </c>
      <c r="M3432" t="s">
        <v>8958</v>
      </c>
    </row>
    <row r="3433" spans="1:13" x14ac:dyDescent="0.25">
      <c r="A3433" s="13" t="s">
        <v>10673</v>
      </c>
      <c r="B3433" s="13" t="s">
        <v>10674</v>
      </c>
      <c r="C3433" s="13" t="s">
        <v>10675</v>
      </c>
      <c r="D3433" s="13">
        <v>10</v>
      </c>
      <c r="E3433" s="13" t="s">
        <v>10676</v>
      </c>
      <c r="F3433" s="13" t="s">
        <v>8865</v>
      </c>
      <c r="G3433" s="13" t="s">
        <v>2</v>
      </c>
      <c r="H3433" s="13" t="s">
        <v>3</v>
      </c>
      <c r="I3433" s="13" t="s">
        <v>516</v>
      </c>
      <c r="J3433" s="13" t="s">
        <v>8890</v>
      </c>
      <c r="K3433" s="13" t="s">
        <v>516</v>
      </c>
      <c r="L3433" s="13" t="s">
        <v>8901</v>
      </c>
      <c r="M3433" t="s">
        <v>3</v>
      </c>
    </row>
    <row r="3434" spans="1:13" x14ac:dyDescent="0.25">
      <c r="A3434" s="13" t="s">
        <v>10395</v>
      </c>
      <c r="B3434" s="13" t="s">
        <v>10395</v>
      </c>
      <c r="C3434" s="13" t="s">
        <v>10395</v>
      </c>
      <c r="D3434" s="13">
        <v>42.2</v>
      </c>
      <c r="E3434" s="13" t="s">
        <v>10396</v>
      </c>
      <c r="F3434" s="13" t="s">
        <v>8867</v>
      </c>
      <c r="G3434" s="13" t="s">
        <v>2</v>
      </c>
      <c r="H3434" s="13" t="s">
        <v>3</v>
      </c>
      <c r="I3434" s="13" t="s">
        <v>228</v>
      </c>
      <c r="J3434" s="13" t="s">
        <v>8890</v>
      </c>
      <c r="K3434" s="13" t="s">
        <v>8418</v>
      </c>
      <c r="L3434" s="13" t="s">
        <v>158</v>
      </c>
      <c r="M3434" t="s">
        <v>3</v>
      </c>
    </row>
    <row r="3435" spans="1:13" ht="26.25" x14ac:dyDescent="0.25">
      <c r="A3435" s="13" t="s">
        <v>9585</v>
      </c>
      <c r="B3435" s="13" t="s">
        <v>9586</v>
      </c>
      <c r="C3435" s="13" t="s">
        <v>9587</v>
      </c>
      <c r="D3435" s="13">
        <v>42.2</v>
      </c>
      <c r="E3435" s="13" t="s">
        <v>9588</v>
      </c>
      <c r="F3435" s="13" t="s">
        <v>8867</v>
      </c>
      <c r="G3435" s="13" t="s">
        <v>2</v>
      </c>
      <c r="H3435" s="13" t="s">
        <v>8958</v>
      </c>
      <c r="I3435" s="13" t="s">
        <v>516</v>
      </c>
      <c r="J3435" s="13" t="s">
        <v>8890</v>
      </c>
      <c r="K3435" s="13" t="s">
        <v>516</v>
      </c>
      <c r="L3435" s="13" t="s">
        <v>158</v>
      </c>
      <c r="M3435" t="s">
        <v>8958</v>
      </c>
    </row>
    <row r="3436" spans="1:13" x14ac:dyDescent="0.25">
      <c r="A3436" s="13" t="s">
        <v>9589</v>
      </c>
      <c r="B3436" s="13" t="s">
        <v>9590</v>
      </c>
      <c r="C3436" s="13" t="s">
        <v>9591</v>
      </c>
      <c r="D3436" s="13">
        <v>49.5</v>
      </c>
      <c r="E3436" s="13" t="s">
        <v>9592</v>
      </c>
      <c r="F3436" s="13" t="s">
        <v>8869</v>
      </c>
      <c r="G3436" s="13" t="s">
        <v>2</v>
      </c>
      <c r="H3436" s="13" t="s">
        <v>9982</v>
      </c>
      <c r="I3436" s="13" t="s">
        <v>516</v>
      </c>
      <c r="J3436" s="13" t="s">
        <v>8890</v>
      </c>
      <c r="K3436" s="13" t="s">
        <v>516</v>
      </c>
      <c r="L3436" s="13" t="s">
        <v>8918</v>
      </c>
      <c r="M3436" t="s">
        <v>9982</v>
      </c>
    </row>
    <row r="3437" spans="1:13" x14ac:dyDescent="0.25">
      <c r="A3437" s="13" t="s">
        <v>9593</v>
      </c>
      <c r="B3437" s="13" t="s">
        <v>9594</v>
      </c>
      <c r="C3437" s="13" t="s">
        <v>9595</v>
      </c>
      <c r="D3437" s="13">
        <v>49.5</v>
      </c>
      <c r="E3437" s="13" t="s">
        <v>9596</v>
      </c>
      <c r="F3437" s="13" t="s">
        <v>8869</v>
      </c>
      <c r="G3437" s="13" t="s">
        <v>2</v>
      </c>
      <c r="H3437" s="13" t="s">
        <v>9982</v>
      </c>
      <c r="I3437" s="13" t="s">
        <v>516</v>
      </c>
      <c r="J3437" s="13" t="s">
        <v>8890</v>
      </c>
      <c r="K3437" s="13" t="s">
        <v>516</v>
      </c>
      <c r="L3437" s="13" t="s">
        <v>8918</v>
      </c>
      <c r="M3437" t="s">
        <v>9982</v>
      </c>
    </row>
    <row r="3438" spans="1:13" x14ac:dyDescent="0.25">
      <c r="A3438" s="13" t="s">
        <v>9597</v>
      </c>
      <c r="B3438" s="13" t="s">
        <v>9598</v>
      </c>
      <c r="C3438" s="13" t="s">
        <v>9599</v>
      </c>
      <c r="D3438" s="13">
        <v>48.2</v>
      </c>
      <c r="E3438" s="13" t="s">
        <v>9600</v>
      </c>
      <c r="F3438" s="13" t="s">
        <v>8865</v>
      </c>
      <c r="G3438" s="13" t="s">
        <v>2</v>
      </c>
      <c r="H3438" s="13" t="s">
        <v>516</v>
      </c>
      <c r="I3438" s="13" t="s">
        <v>516</v>
      </c>
      <c r="J3438" s="13" t="s">
        <v>8890</v>
      </c>
      <c r="K3438" s="13" t="s">
        <v>516</v>
      </c>
      <c r="L3438" s="13" t="s">
        <v>8901</v>
      </c>
      <c r="M3438" t="s">
        <v>10700</v>
      </c>
    </row>
    <row r="3439" spans="1:13" x14ac:dyDescent="0.25">
      <c r="A3439" s="13" t="s">
        <v>8169</v>
      </c>
      <c r="B3439" s="13" t="s">
        <v>8170</v>
      </c>
      <c r="C3439" s="13" t="s">
        <v>8171</v>
      </c>
      <c r="D3439" s="13">
        <v>49.9</v>
      </c>
      <c r="E3439" s="13" t="s">
        <v>8172</v>
      </c>
      <c r="F3439" s="13" t="s">
        <v>8869</v>
      </c>
      <c r="G3439" s="13" t="s">
        <v>2</v>
      </c>
      <c r="H3439" s="13" t="s">
        <v>10022</v>
      </c>
      <c r="I3439" s="13" t="s">
        <v>516</v>
      </c>
      <c r="J3439" s="13" t="s">
        <v>8890</v>
      </c>
      <c r="K3439" s="13" t="s">
        <v>516</v>
      </c>
      <c r="L3439" s="13" t="s">
        <v>8918</v>
      </c>
      <c r="M3439" t="s">
        <v>10022</v>
      </c>
    </row>
    <row r="3440" spans="1:13" x14ac:dyDescent="0.25">
      <c r="A3440" s="13" t="s">
        <v>8173</v>
      </c>
      <c r="B3440" s="13" t="s">
        <v>8174</v>
      </c>
      <c r="C3440" s="13" t="s">
        <v>8175</v>
      </c>
      <c r="D3440" s="13">
        <v>48.9</v>
      </c>
      <c r="E3440" s="13" t="s">
        <v>8176</v>
      </c>
      <c r="F3440" s="13" t="s">
        <v>8869</v>
      </c>
      <c r="G3440" s="13" t="s">
        <v>2</v>
      </c>
      <c r="H3440" s="13" t="s">
        <v>3</v>
      </c>
      <c r="I3440" s="13" t="s">
        <v>516</v>
      </c>
      <c r="J3440" s="13" t="s">
        <v>8890</v>
      </c>
      <c r="K3440" s="13" t="s">
        <v>516</v>
      </c>
      <c r="L3440" s="13" t="s">
        <v>8918</v>
      </c>
      <c r="M3440" t="s">
        <v>3</v>
      </c>
    </row>
    <row r="3441" spans="1:13" ht="26.25" x14ac:dyDescent="0.25">
      <c r="A3441" s="13" t="s">
        <v>12137</v>
      </c>
      <c r="B3441" s="13" t="s">
        <v>12137</v>
      </c>
      <c r="C3441" s="13" t="s">
        <v>12137</v>
      </c>
      <c r="D3441" s="13">
        <v>5</v>
      </c>
      <c r="E3441" s="13" t="s">
        <v>12138</v>
      </c>
      <c r="F3441" s="13" t="s">
        <v>8902</v>
      </c>
      <c r="G3441" s="13" t="s">
        <v>19</v>
      </c>
      <c r="H3441" s="13" t="s">
        <v>3</v>
      </c>
      <c r="I3441" s="13" t="s">
        <v>228</v>
      </c>
      <c r="J3441" s="13" t="s">
        <v>138</v>
      </c>
      <c r="K3441" s="13" t="s">
        <v>8418</v>
      </c>
      <c r="L3441" s="13" t="s">
        <v>136</v>
      </c>
      <c r="M3441" t="s">
        <v>3</v>
      </c>
    </row>
    <row r="3442" spans="1:13" x14ac:dyDescent="0.25">
      <c r="A3442" s="13" t="s">
        <v>12139</v>
      </c>
      <c r="B3442" s="13" t="s">
        <v>12139</v>
      </c>
      <c r="C3442" s="13" t="s">
        <v>12139</v>
      </c>
      <c r="D3442" s="13">
        <v>5</v>
      </c>
      <c r="E3442" s="13" t="s">
        <v>12140</v>
      </c>
      <c r="F3442" s="13" t="s">
        <v>8902</v>
      </c>
      <c r="G3442" s="13" t="s">
        <v>2</v>
      </c>
      <c r="H3442" s="13" t="s">
        <v>3</v>
      </c>
      <c r="I3442" s="13" t="s">
        <v>228</v>
      </c>
      <c r="J3442" s="13" t="s">
        <v>138</v>
      </c>
      <c r="K3442" s="13" t="s">
        <v>8418</v>
      </c>
      <c r="L3442" s="13" t="s">
        <v>136</v>
      </c>
      <c r="M3442" t="s">
        <v>3</v>
      </c>
    </row>
    <row r="3443" spans="1:13" ht="26.25" x14ac:dyDescent="0.25">
      <c r="A3443" s="13" t="s">
        <v>8177</v>
      </c>
      <c r="B3443" s="13" t="s">
        <v>9601</v>
      </c>
      <c r="C3443" s="13" t="s">
        <v>8178</v>
      </c>
      <c r="D3443" s="13">
        <v>43.5</v>
      </c>
      <c r="E3443" s="13" t="s">
        <v>8179</v>
      </c>
      <c r="F3443" s="13" t="s">
        <v>8867</v>
      </c>
      <c r="G3443" s="13" t="s">
        <v>2</v>
      </c>
      <c r="H3443" s="13" t="s">
        <v>8958</v>
      </c>
      <c r="I3443" s="13" t="s">
        <v>516</v>
      </c>
      <c r="J3443" s="13" t="s">
        <v>8890</v>
      </c>
      <c r="K3443" s="13" t="s">
        <v>516</v>
      </c>
      <c r="L3443" s="13" t="s">
        <v>158</v>
      </c>
      <c r="M3443" t="s">
        <v>8958</v>
      </c>
    </row>
    <row r="3444" spans="1:13" x14ac:dyDescent="0.25">
      <c r="A3444" s="13" t="s">
        <v>11145</v>
      </c>
      <c r="B3444" s="13" t="s">
        <v>11145</v>
      </c>
      <c r="C3444" s="13" t="s">
        <v>11145</v>
      </c>
      <c r="D3444" s="13">
        <v>10</v>
      </c>
      <c r="E3444" s="13" t="s">
        <v>11146</v>
      </c>
      <c r="F3444" s="13" t="s">
        <v>8867</v>
      </c>
      <c r="G3444" s="13" t="s">
        <v>2</v>
      </c>
      <c r="H3444" s="13" t="s">
        <v>3</v>
      </c>
      <c r="I3444" s="13" t="s">
        <v>228</v>
      </c>
      <c r="J3444" s="13" t="s">
        <v>8890</v>
      </c>
      <c r="K3444" s="13" t="s">
        <v>8418</v>
      </c>
      <c r="L3444" s="13" t="s">
        <v>158</v>
      </c>
      <c r="M3444" t="s">
        <v>3</v>
      </c>
    </row>
    <row r="3445" spans="1:13" x14ac:dyDescent="0.25">
      <c r="A3445" s="13" t="s">
        <v>11508</v>
      </c>
      <c r="B3445" s="13" t="s">
        <v>11508</v>
      </c>
      <c r="C3445" s="13" t="s">
        <v>11508</v>
      </c>
      <c r="D3445" s="13">
        <v>10</v>
      </c>
      <c r="E3445" s="13" t="s">
        <v>11509</v>
      </c>
      <c r="F3445" s="13" t="s">
        <v>8867</v>
      </c>
      <c r="G3445" s="13" t="s">
        <v>2</v>
      </c>
      <c r="H3445" s="13" t="s">
        <v>3</v>
      </c>
      <c r="I3445" s="13" t="s">
        <v>228</v>
      </c>
      <c r="J3445" s="13" t="s">
        <v>8890</v>
      </c>
      <c r="K3445" s="13" t="s">
        <v>8418</v>
      </c>
      <c r="L3445" s="13" t="s">
        <v>158</v>
      </c>
      <c r="M3445" t="s">
        <v>3</v>
      </c>
    </row>
    <row r="3446" spans="1:13" ht="26.25" x14ac:dyDescent="0.25">
      <c r="A3446" s="13" t="s">
        <v>8180</v>
      </c>
      <c r="B3446" s="13" t="s">
        <v>8181</v>
      </c>
      <c r="C3446" s="13" t="s">
        <v>8182</v>
      </c>
      <c r="D3446" s="13">
        <v>1</v>
      </c>
      <c r="E3446" s="13" t="s">
        <v>8183</v>
      </c>
      <c r="F3446" s="13" t="s">
        <v>8860</v>
      </c>
      <c r="G3446" s="13" t="s">
        <v>19</v>
      </c>
      <c r="H3446" s="13" t="s">
        <v>3</v>
      </c>
      <c r="I3446" s="13" t="s">
        <v>8184</v>
      </c>
      <c r="J3446" s="13" t="s">
        <v>21</v>
      </c>
      <c r="K3446" s="13" t="s">
        <v>8840</v>
      </c>
      <c r="L3446" s="13" t="s">
        <v>18</v>
      </c>
      <c r="M3446" t="s">
        <v>3</v>
      </c>
    </row>
    <row r="3447" spans="1:13" ht="26.25" x14ac:dyDescent="0.25">
      <c r="A3447" s="13" t="s">
        <v>8185</v>
      </c>
      <c r="B3447" s="13" t="s">
        <v>8186</v>
      </c>
      <c r="C3447" s="13" t="s">
        <v>8187</v>
      </c>
      <c r="D3447" s="13">
        <v>1</v>
      </c>
      <c r="E3447" s="13" t="s">
        <v>8188</v>
      </c>
      <c r="F3447" s="13" t="s">
        <v>8860</v>
      </c>
      <c r="G3447" s="13" t="s">
        <v>19</v>
      </c>
      <c r="H3447" s="13" t="s">
        <v>3</v>
      </c>
      <c r="I3447" s="13" t="s">
        <v>8186</v>
      </c>
      <c r="J3447" s="13" t="s">
        <v>21</v>
      </c>
      <c r="K3447" s="13" t="s">
        <v>8841</v>
      </c>
      <c r="L3447" s="13" t="s">
        <v>18</v>
      </c>
      <c r="M3447" t="s">
        <v>3</v>
      </c>
    </row>
    <row r="3448" spans="1:13" ht="26.25" x14ac:dyDescent="0.25">
      <c r="A3448" s="13" t="s">
        <v>8189</v>
      </c>
      <c r="B3448" s="13" t="s">
        <v>8190</v>
      </c>
      <c r="C3448" s="13" t="s">
        <v>8191</v>
      </c>
      <c r="D3448" s="13">
        <v>0.1</v>
      </c>
      <c r="E3448" s="13" t="s">
        <v>8192</v>
      </c>
      <c r="F3448" s="13" t="s">
        <v>8860</v>
      </c>
      <c r="G3448" s="13" t="s">
        <v>19</v>
      </c>
      <c r="H3448" s="13" t="s">
        <v>3</v>
      </c>
      <c r="I3448" s="13" t="s">
        <v>8193</v>
      </c>
      <c r="J3448" s="13" t="s">
        <v>21</v>
      </c>
      <c r="K3448" s="13" t="s">
        <v>8842</v>
      </c>
      <c r="L3448" s="13" t="s">
        <v>18</v>
      </c>
      <c r="M3448" t="s">
        <v>3</v>
      </c>
    </row>
    <row r="3449" spans="1:13" ht="26.25" x14ac:dyDescent="0.25">
      <c r="A3449" s="13" t="s">
        <v>8194</v>
      </c>
      <c r="B3449" s="13" t="s">
        <v>8195</v>
      </c>
      <c r="C3449" s="13" t="s">
        <v>8196</v>
      </c>
      <c r="D3449" s="13">
        <v>12.3</v>
      </c>
      <c r="E3449" s="13" t="s">
        <v>8197</v>
      </c>
      <c r="F3449" s="13" t="s">
        <v>35</v>
      </c>
      <c r="G3449" s="13" t="s">
        <v>19</v>
      </c>
      <c r="H3449" s="13" t="s">
        <v>3</v>
      </c>
      <c r="I3449" s="13" t="s">
        <v>8193</v>
      </c>
      <c r="J3449" s="13" t="s">
        <v>37</v>
      </c>
      <c r="K3449" s="13" t="s">
        <v>8842</v>
      </c>
      <c r="L3449" s="13" t="s">
        <v>35</v>
      </c>
      <c r="M3449" t="s">
        <v>3</v>
      </c>
    </row>
    <row r="3450" spans="1:13" ht="26.25" x14ac:dyDescent="0.25">
      <c r="A3450" s="13" t="s">
        <v>11934</v>
      </c>
      <c r="B3450" s="13" t="s">
        <v>11935</v>
      </c>
      <c r="C3450" s="13" t="s">
        <v>11936</v>
      </c>
      <c r="D3450" s="13">
        <v>1</v>
      </c>
      <c r="E3450" s="13" t="s">
        <v>11937</v>
      </c>
      <c r="F3450" s="13" t="s">
        <v>8860</v>
      </c>
      <c r="G3450" s="13" t="s">
        <v>19</v>
      </c>
      <c r="H3450" s="13" t="s">
        <v>3</v>
      </c>
      <c r="I3450" s="13" t="s">
        <v>11938</v>
      </c>
      <c r="J3450" s="13" t="s">
        <v>21</v>
      </c>
      <c r="K3450" s="13" t="s">
        <v>11939</v>
      </c>
      <c r="L3450" s="13" t="s">
        <v>18</v>
      </c>
      <c r="M3450" t="s">
        <v>3</v>
      </c>
    </row>
    <row r="3451" spans="1:13" ht="26.25" x14ac:dyDescent="0.25">
      <c r="A3451" s="13" t="s">
        <v>10397</v>
      </c>
      <c r="B3451" s="13" t="s">
        <v>10398</v>
      </c>
      <c r="C3451" s="13" t="s">
        <v>10399</v>
      </c>
      <c r="D3451" s="13">
        <v>1</v>
      </c>
      <c r="E3451" s="13" t="s">
        <v>10400</v>
      </c>
      <c r="F3451" s="13" t="s">
        <v>8860</v>
      </c>
      <c r="G3451" s="13" t="s">
        <v>19</v>
      </c>
      <c r="H3451" s="13" t="s">
        <v>3</v>
      </c>
      <c r="I3451" s="13" t="s">
        <v>10401</v>
      </c>
      <c r="J3451" s="13" t="s">
        <v>21</v>
      </c>
      <c r="K3451" s="13" t="s">
        <v>10402</v>
      </c>
      <c r="L3451" s="13" t="s">
        <v>18</v>
      </c>
      <c r="M3451" t="s">
        <v>3</v>
      </c>
    </row>
    <row r="3452" spans="1:13" ht="26.25" x14ac:dyDescent="0.25">
      <c r="A3452" s="13" t="s">
        <v>8198</v>
      </c>
      <c r="B3452" s="13" t="s">
        <v>8199</v>
      </c>
      <c r="C3452" s="13" t="s">
        <v>8200</v>
      </c>
      <c r="D3452" s="13">
        <v>0</v>
      </c>
      <c r="E3452" s="13" t="s">
        <v>8201</v>
      </c>
      <c r="F3452" s="13" t="s">
        <v>8860</v>
      </c>
      <c r="G3452" s="13" t="s">
        <v>19</v>
      </c>
      <c r="H3452" s="13" t="s">
        <v>3</v>
      </c>
      <c r="I3452" s="13" t="s">
        <v>8202</v>
      </c>
      <c r="J3452" s="13" t="s">
        <v>21</v>
      </c>
      <c r="K3452" s="13" t="s">
        <v>8843</v>
      </c>
      <c r="L3452" s="13" t="s">
        <v>18</v>
      </c>
      <c r="M3452" t="s">
        <v>3</v>
      </c>
    </row>
    <row r="3453" spans="1:13" ht="26.25" x14ac:dyDescent="0.25">
      <c r="A3453" s="13" t="s">
        <v>8203</v>
      </c>
      <c r="B3453" s="13" t="s">
        <v>8204</v>
      </c>
      <c r="C3453" s="13" t="s">
        <v>8205</v>
      </c>
      <c r="D3453" s="13">
        <v>1</v>
      </c>
      <c r="E3453" s="13" t="s">
        <v>8206</v>
      </c>
      <c r="F3453" s="13" t="s">
        <v>35</v>
      </c>
      <c r="G3453" s="13" t="s">
        <v>19</v>
      </c>
      <c r="H3453" s="13" t="s">
        <v>3</v>
      </c>
      <c r="I3453" s="13" t="s">
        <v>8207</v>
      </c>
      <c r="J3453" s="13" t="s">
        <v>37</v>
      </c>
      <c r="K3453" s="13" t="s">
        <v>8205</v>
      </c>
      <c r="L3453" s="13" t="s">
        <v>35</v>
      </c>
      <c r="M3453" t="s">
        <v>3</v>
      </c>
    </row>
    <row r="3454" spans="1:13" ht="26.25" x14ac:dyDescent="0.25">
      <c r="A3454" s="13" t="s">
        <v>8208</v>
      </c>
      <c r="B3454" s="13" t="s">
        <v>8209</v>
      </c>
      <c r="C3454" s="13" t="s">
        <v>8210</v>
      </c>
      <c r="D3454" s="13">
        <v>3.5</v>
      </c>
      <c r="E3454" s="13" t="s">
        <v>8211</v>
      </c>
      <c r="F3454" s="13" t="s">
        <v>35</v>
      </c>
      <c r="G3454" s="13" t="s">
        <v>19</v>
      </c>
      <c r="H3454" s="13" t="s">
        <v>3</v>
      </c>
      <c r="I3454" s="13" t="s">
        <v>8212</v>
      </c>
      <c r="J3454" s="13" t="s">
        <v>37</v>
      </c>
      <c r="K3454" s="13" t="s">
        <v>8844</v>
      </c>
      <c r="L3454" s="13" t="s">
        <v>35</v>
      </c>
      <c r="M3454" t="s">
        <v>3</v>
      </c>
    </row>
    <row r="3455" spans="1:13" x14ac:dyDescent="0.25">
      <c r="A3455" s="13" t="s">
        <v>8213</v>
      </c>
      <c r="B3455" s="13" t="s">
        <v>8214</v>
      </c>
      <c r="C3455" s="13" t="s">
        <v>8215</v>
      </c>
      <c r="D3455" s="13">
        <v>1045.3</v>
      </c>
      <c r="E3455" s="13" t="s">
        <v>8216</v>
      </c>
      <c r="F3455" s="13" t="s">
        <v>262</v>
      </c>
      <c r="G3455" s="13" t="s">
        <v>2</v>
      </c>
      <c r="H3455" s="13" t="s">
        <v>3</v>
      </c>
      <c r="I3455" s="13" t="s">
        <v>390</v>
      </c>
      <c r="J3455" s="13" t="s">
        <v>8890</v>
      </c>
      <c r="K3455" s="13" t="s">
        <v>8423</v>
      </c>
      <c r="L3455" s="13" t="s">
        <v>262</v>
      </c>
      <c r="M3455" t="s">
        <v>3</v>
      </c>
    </row>
    <row r="3456" spans="1:13" ht="26.25" x14ac:dyDescent="0.25">
      <c r="A3456" s="13" t="s">
        <v>8217</v>
      </c>
      <c r="B3456" s="13" t="s">
        <v>8218</v>
      </c>
      <c r="C3456" s="13" t="s">
        <v>8219</v>
      </c>
      <c r="D3456" s="13">
        <v>0</v>
      </c>
      <c r="E3456" s="13" t="s">
        <v>8220</v>
      </c>
      <c r="F3456" s="13" t="s">
        <v>8860</v>
      </c>
      <c r="G3456" s="13" t="s">
        <v>19</v>
      </c>
      <c r="H3456" s="13" t="s">
        <v>3</v>
      </c>
      <c r="I3456" s="13" t="s">
        <v>8221</v>
      </c>
      <c r="J3456" s="13" t="s">
        <v>21</v>
      </c>
      <c r="K3456" s="13" t="s">
        <v>8219</v>
      </c>
      <c r="L3456" s="13" t="s">
        <v>18</v>
      </c>
      <c r="M3456" t="s">
        <v>3</v>
      </c>
    </row>
    <row r="3457" spans="1:13" ht="26.25" x14ac:dyDescent="0.25">
      <c r="A3457" s="13" t="s">
        <v>8222</v>
      </c>
      <c r="B3457" s="13" t="s">
        <v>8223</v>
      </c>
      <c r="C3457" s="13" t="s">
        <v>8224</v>
      </c>
      <c r="D3457" s="13">
        <v>0.1</v>
      </c>
      <c r="E3457" s="13" t="s">
        <v>8225</v>
      </c>
      <c r="F3457" s="13" t="s">
        <v>8860</v>
      </c>
      <c r="G3457" s="13" t="s">
        <v>19</v>
      </c>
      <c r="H3457" s="13" t="s">
        <v>3</v>
      </c>
      <c r="I3457" s="13" t="s">
        <v>8226</v>
      </c>
      <c r="J3457" s="13" t="s">
        <v>21</v>
      </c>
      <c r="K3457" s="13" t="s">
        <v>8845</v>
      </c>
      <c r="L3457" s="13" t="s">
        <v>18</v>
      </c>
      <c r="M3457" t="s">
        <v>3</v>
      </c>
    </row>
    <row r="3458" spans="1:13" ht="26.25" x14ac:dyDescent="0.25">
      <c r="A3458" s="13" t="s">
        <v>8227</v>
      </c>
      <c r="B3458" s="13" t="s">
        <v>8228</v>
      </c>
      <c r="C3458" s="13" t="s">
        <v>8229</v>
      </c>
      <c r="D3458" s="13">
        <v>1</v>
      </c>
      <c r="E3458" s="13" t="s">
        <v>8230</v>
      </c>
      <c r="F3458" s="13" t="s">
        <v>8860</v>
      </c>
      <c r="G3458" s="13" t="s">
        <v>19</v>
      </c>
      <c r="H3458" s="13" t="s">
        <v>3</v>
      </c>
      <c r="I3458" s="13" t="s">
        <v>8228</v>
      </c>
      <c r="J3458" s="13" t="s">
        <v>21</v>
      </c>
      <c r="K3458" s="13" t="s">
        <v>8229</v>
      </c>
      <c r="L3458" s="13" t="s">
        <v>18</v>
      </c>
      <c r="M3458" t="s">
        <v>3</v>
      </c>
    </row>
    <row r="3459" spans="1:13" ht="26.25" x14ac:dyDescent="0.25">
      <c r="A3459" s="13" t="s">
        <v>10008</v>
      </c>
      <c r="B3459" s="13" t="s">
        <v>10009</v>
      </c>
      <c r="C3459" s="13" t="s">
        <v>10010</v>
      </c>
      <c r="D3459" s="13">
        <v>5</v>
      </c>
      <c r="E3459" s="13" t="s">
        <v>10011</v>
      </c>
      <c r="F3459" s="13" t="s">
        <v>8860</v>
      </c>
      <c r="G3459" s="13" t="s">
        <v>19</v>
      </c>
      <c r="H3459" s="13" t="s">
        <v>3</v>
      </c>
      <c r="I3459" s="13" t="s">
        <v>10012</v>
      </c>
      <c r="J3459" s="13" t="s">
        <v>21</v>
      </c>
      <c r="K3459" s="13" t="s">
        <v>10013</v>
      </c>
      <c r="L3459" s="13" t="s">
        <v>18</v>
      </c>
      <c r="M3459" t="s">
        <v>3</v>
      </c>
    </row>
    <row r="3460" spans="1:13" x14ac:dyDescent="0.25">
      <c r="A3460" s="13" t="s">
        <v>11576</v>
      </c>
      <c r="B3460" s="13" t="s">
        <v>11577</v>
      </c>
      <c r="C3460" s="13" t="s">
        <v>11578</v>
      </c>
      <c r="D3460" s="13">
        <v>4.5</v>
      </c>
      <c r="E3460" s="13" t="s">
        <v>11579</v>
      </c>
      <c r="F3460" s="13" t="s">
        <v>8867</v>
      </c>
      <c r="G3460" s="13" t="s">
        <v>2</v>
      </c>
      <c r="H3460" s="13" t="s">
        <v>3</v>
      </c>
      <c r="I3460" s="13" t="s">
        <v>1834</v>
      </c>
      <c r="J3460" s="13" t="s">
        <v>8890</v>
      </c>
      <c r="K3460" s="13" t="s">
        <v>3164</v>
      </c>
      <c r="L3460" s="13" t="s">
        <v>158</v>
      </c>
      <c r="M3460" t="s">
        <v>3</v>
      </c>
    </row>
    <row r="3461" spans="1:13" ht="26.25" x14ac:dyDescent="0.25">
      <c r="A3461" s="13" t="s">
        <v>8231</v>
      </c>
      <c r="B3461" s="13" t="s">
        <v>8231</v>
      </c>
      <c r="C3461" s="13" t="s">
        <v>8231</v>
      </c>
      <c r="D3461" s="13">
        <v>0.1</v>
      </c>
      <c r="E3461" s="13" t="s">
        <v>8232</v>
      </c>
      <c r="F3461" s="13" t="s">
        <v>8860</v>
      </c>
      <c r="G3461" s="13" t="s">
        <v>19</v>
      </c>
      <c r="H3461" s="13" t="s">
        <v>3</v>
      </c>
      <c r="I3461" s="13" t="s">
        <v>8233</v>
      </c>
      <c r="J3461" s="13" t="s">
        <v>21</v>
      </c>
      <c r="K3461" s="13" t="s">
        <v>8846</v>
      </c>
      <c r="L3461" s="13" t="s">
        <v>18</v>
      </c>
      <c r="M3461" t="s">
        <v>3</v>
      </c>
    </row>
    <row r="3462" spans="1:13" x14ac:dyDescent="0.25">
      <c r="A3462" s="13" t="s">
        <v>8234</v>
      </c>
      <c r="B3462" s="13" t="s">
        <v>8234</v>
      </c>
      <c r="C3462" s="13" t="s">
        <v>8234</v>
      </c>
      <c r="D3462" s="13">
        <v>30</v>
      </c>
      <c r="E3462" s="13" t="s">
        <v>8235</v>
      </c>
      <c r="F3462" s="13" t="s">
        <v>8867</v>
      </c>
      <c r="G3462" s="13" t="s">
        <v>2</v>
      </c>
      <c r="H3462" s="13" t="s">
        <v>3</v>
      </c>
      <c r="I3462" s="13" t="s">
        <v>228</v>
      </c>
      <c r="J3462" s="13" t="s">
        <v>8890</v>
      </c>
      <c r="K3462" s="13" t="s">
        <v>8418</v>
      </c>
      <c r="L3462" s="13" t="s">
        <v>158</v>
      </c>
      <c r="M3462" t="s">
        <v>3</v>
      </c>
    </row>
    <row r="3463" spans="1:13" ht="26.25" x14ac:dyDescent="0.25">
      <c r="A3463" s="13" t="s">
        <v>8236</v>
      </c>
      <c r="B3463" s="13" t="s">
        <v>8236</v>
      </c>
      <c r="C3463" s="13" t="s">
        <v>8237</v>
      </c>
      <c r="D3463" s="13">
        <v>0</v>
      </c>
      <c r="E3463" s="13" t="s">
        <v>8238</v>
      </c>
      <c r="F3463" s="13" t="s">
        <v>8860</v>
      </c>
      <c r="G3463" s="13" t="s">
        <v>19</v>
      </c>
      <c r="H3463" s="13" t="s">
        <v>3</v>
      </c>
      <c r="I3463" s="13" t="s">
        <v>8239</v>
      </c>
      <c r="J3463" s="13" t="s">
        <v>21</v>
      </c>
      <c r="K3463" s="13" t="s">
        <v>9602</v>
      </c>
      <c r="L3463" s="13" t="s">
        <v>18</v>
      </c>
      <c r="M3463" t="s">
        <v>3</v>
      </c>
    </row>
    <row r="3464" spans="1:13" ht="26.25" x14ac:dyDescent="0.25">
      <c r="A3464" s="13" t="s">
        <v>8240</v>
      </c>
      <c r="B3464" s="13" t="s">
        <v>8241</v>
      </c>
      <c r="C3464" s="13" t="s">
        <v>8242</v>
      </c>
      <c r="D3464" s="13">
        <v>0</v>
      </c>
      <c r="E3464" s="13" t="s">
        <v>8243</v>
      </c>
      <c r="F3464" s="13" t="s">
        <v>8860</v>
      </c>
      <c r="G3464" s="13" t="s">
        <v>19</v>
      </c>
      <c r="H3464" s="13" t="s">
        <v>3</v>
      </c>
      <c r="I3464" s="13" t="s">
        <v>3687</v>
      </c>
      <c r="J3464" s="13" t="s">
        <v>21</v>
      </c>
      <c r="K3464" s="13" t="s">
        <v>8624</v>
      </c>
      <c r="L3464" s="13" t="s">
        <v>18</v>
      </c>
      <c r="M3464" t="s">
        <v>3</v>
      </c>
    </row>
    <row r="3465" spans="1:13" x14ac:dyDescent="0.25">
      <c r="A3465" s="13" t="s">
        <v>8244</v>
      </c>
      <c r="B3465" s="13" t="s">
        <v>8245</v>
      </c>
      <c r="C3465" s="13" t="s">
        <v>8246</v>
      </c>
      <c r="D3465" s="13">
        <v>331.3</v>
      </c>
      <c r="E3465" s="13" t="s">
        <v>8247</v>
      </c>
      <c r="F3465" s="13" t="s">
        <v>8863</v>
      </c>
      <c r="G3465" s="13" t="s">
        <v>2</v>
      </c>
      <c r="H3465" s="13" t="s">
        <v>8443</v>
      </c>
      <c r="I3465" s="13" t="s">
        <v>164</v>
      </c>
      <c r="J3465" s="13" t="s">
        <v>8890</v>
      </c>
      <c r="K3465" s="13" t="s">
        <v>8443</v>
      </c>
      <c r="L3465" s="13" t="s">
        <v>8893</v>
      </c>
      <c r="M3465" t="s">
        <v>10687</v>
      </c>
    </row>
    <row r="3466" spans="1:13" ht="26.25" x14ac:dyDescent="0.25">
      <c r="A3466" s="13" t="s">
        <v>9693</v>
      </c>
      <c r="B3466" s="13" t="s">
        <v>9694</v>
      </c>
      <c r="C3466" s="13" t="s">
        <v>9694</v>
      </c>
      <c r="D3466" s="13">
        <v>0</v>
      </c>
      <c r="E3466" s="13" t="s">
        <v>9695</v>
      </c>
      <c r="F3466" s="13" t="s">
        <v>8860</v>
      </c>
      <c r="G3466" s="13" t="s">
        <v>19</v>
      </c>
      <c r="H3466" s="13" t="s">
        <v>3</v>
      </c>
      <c r="I3466" s="13" t="s">
        <v>9696</v>
      </c>
      <c r="J3466" s="13" t="s">
        <v>21</v>
      </c>
      <c r="K3466" s="13" t="s">
        <v>9697</v>
      </c>
      <c r="L3466" s="13" t="s">
        <v>18</v>
      </c>
      <c r="M3466" t="s">
        <v>3</v>
      </c>
    </row>
    <row r="3467" spans="1:13" x14ac:dyDescent="0.25">
      <c r="A3467" s="13" t="s">
        <v>10677</v>
      </c>
      <c r="B3467" s="13" t="s">
        <v>10678</v>
      </c>
      <c r="C3467" s="13" t="s">
        <v>10679</v>
      </c>
      <c r="D3467" s="13">
        <v>2.2999999999999998</v>
      </c>
      <c r="E3467" s="13" t="s">
        <v>10680</v>
      </c>
      <c r="F3467" s="13" t="s">
        <v>8867</v>
      </c>
      <c r="G3467" s="13" t="s">
        <v>2</v>
      </c>
      <c r="H3467" s="13" t="s">
        <v>3</v>
      </c>
      <c r="I3467" s="13" t="s">
        <v>517</v>
      </c>
      <c r="J3467" s="13" t="s">
        <v>8890</v>
      </c>
      <c r="K3467" s="13" t="s">
        <v>8477</v>
      </c>
      <c r="L3467" s="13" t="s">
        <v>158</v>
      </c>
      <c r="M3467" t="s">
        <v>3</v>
      </c>
    </row>
    <row r="3468" spans="1:13" ht="26.25" x14ac:dyDescent="0.25">
      <c r="A3468" s="13" t="s">
        <v>8248</v>
      </c>
      <c r="B3468" s="13" t="s">
        <v>8249</v>
      </c>
      <c r="C3468" s="13" t="s">
        <v>8249</v>
      </c>
      <c r="D3468" s="13">
        <v>2</v>
      </c>
      <c r="E3468" s="13" t="s">
        <v>8250</v>
      </c>
      <c r="F3468" s="13" t="s">
        <v>35</v>
      </c>
      <c r="G3468" s="13" t="s">
        <v>19</v>
      </c>
      <c r="H3468" s="13" t="s">
        <v>3</v>
      </c>
      <c r="I3468" s="13" t="s">
        <v>8251</v>
      </c>
      <c r="J3468" s="13" t="s">
        <v>37</v>
      </c>
      <c r="K3468" s="13" t="s">
        <v>8249</v>
      </c>
      <c r="L3468" s="13" t="s">
        <v>35</v>
      </c>
      <c r="M3468" t="s">
        <v>3</v>
      </c>
    </row>
    <row r="3469" spans="1:13" ht="26.25" x14ac:dyDescent="0.25">
      <c r="A3469" s="13" t="s">
        <v>11510</v>
      </c>
      <c r="B3469" s="13" t="s">
        <v>11511</v>
      </c>
      <c r="C3469" s="13" t="s">
        <v>11512</v>
      </c>
      <c r="D3469" s="13">
        <v>0.1</v>
      </c>
      <c r="E3469" s="13" t="s">
        <v>11513</v>
      </c>
      <c r="F3469" s="13" t="s">
        <v>35</v>
      </c>
      <c r="G3469" s="13" t="s">
        <v>19</v>
      </c>
      <c r="H3469" s="13" t="s">
        <v>3</v>
      </c>
      <c r="I3469" s="13" t="s">
        <v>11514</v>
      </c>
      <c r="J3469" s="13" t="s">
        <v>37</v>
      </c>
      <c r="K3469" s="13" t="s">
        <v>11515</v>
      </c>
      <c r="L3469" s="13" t="s">
        <v>35</v>
      </c>
      <c r="M3469" t="s">
        <v>3</v>
      </c>
    </row>
    <row r="3470" spans="1:13" ht="26.25" x14ac:dyDescent="0.25">
      <c r="A3470" s="13" t="s">
        <v>8252</v>
      </c>
      <c r="B3470" s="13" t="s">
        <v>8252</v>
      </c>
      <c r="C3470" s="13" t="s">
        <v>8253</v>
      </c>
      <c r="D3470" s="13">
        <v>1</v>
      </c>
      <c r="E3470" s="13" t="s">
        <v>8254</v>
      </c>
      <c r="F3470" s="13" t="s">
        <v>8867</v>
      </c>
      <c r="G3470" s="13" t="s">
        <v>2</v>
      </c>
      <c r="H3470" s="13" t="s">
        <v>3</v>
      </c>
      <c r="I3470" s="13" t="s">
        <v>8255</v>
      </c>
      <c r="J3470" s="13" t="s">
        <v>8890</v>
      </c>
      <c r="K3470" s="13" t="s">
        <v>8847</v>
      </c>
      <c r="L3470" s="13" t="s">
        <v>158</v>
      </c>
      <c r="M3470" t="s">
        <v>3</v>
      </c>
    </row>
    <row r="3471" spans="1:13" ht="26.25" x14ac:dyDescent="0.25">
      <c r="A3471" s="13" t="s">
        <v>8256</v>
      </c>
      <c r="B3471" s="13" t="s">
        <v>8257</v>
      </c>
      <c r="C3471" s="13" t="s">
        <v>8258</v>
      </c>
      <c r="D3471" s="13">
        <v>0.5</v>
      </c>
      <c r="E3471" s="13" t="s">
        <v>8259</v>
      </c>
      <c r="F3471" s="13" t="s">
        <v>8860</v>
      </c>
      <c r="G3471" s="13" t="s">
        <v>19</v>
      </c>
      <c r="H3471" s="13" t="s">
        <v>3</v>
      </c>
      <c r="I3471" s="13" t="s">
        <v>8260</v>
      </c>
      <c r="J3471" s="13" t="s">
        <v>21</v>
      </c>
      <c r="K3471" s="13" t="s">
        <v>8848</v>
      </c>
      <c r="L3471" s="13" t="s">
        <v>18</v>
      </c>
      <c r="M3471" t="s">
        <v>3</v>
      </c>
    </row>
    <row r="3472" spans="1:13" ht="26.25" x14ac:dyDescent="0.25">
      <c r="A3472" s="13" t="s">
        <v>8261</v>
      </c>
      <c r="B3472" s="13" t="s">
        <v>8262</v>
      </c>
      <c r="C3472" s="13" t="s">
        <v>8263</v>
      </c>
      <c r="D3472" s="13">
        <v>0.1</v>
      </c>
      <c r="E3472" s="13" t="s">
        <v>8264</v>
      </c>
      <c r="F3472" s="13" t="s">
        <v>8860</v>
      </c>
      <c r="G3472" s="13" t="s">
        <v>19</v>
      </c>
      <c r="H3472" s="13" t="s">
        <v>3</v>
      </c>
      <c r="I3472" s="13" t="s">
        <v>8265</v>
      </c>
      <c r="J3472" s="13" t="s">
        <v>21</v>
      </c>
      <c r="K3472" s="13" t="s">
        <v>8849</v>
      </c>
      <c r="L3472" s="13" t="s">
        <v>18</v>
      </c>
      <c r="M3472" t="s">
        <v>3</v>
      </c>
    </row>
    <row r="3473" spans="1:13" ht="26.25" x14ac:dyDescent="0.25">
      <c r="A3473" s="13" t="s">
        <v>8266</v>
      </c>
      <c r="B3473" s="13" t="s">
        <v>8266</v>
      </c>
      <c r="C3473" s="13" t="s">
        <v>8267</v>
      </c>
      <c r="D3473" s="13">
        <v>0.1</v>
      </c>
      <c r="E3473" s="13" t="s">
        <v>8268</v>
      </c>
      <c r="F3473" s="13" t="s">
        <v>8860</v>
      </c>
      <c r="G3473" s="13" t="s">
        <v>19</v>
      </c>
      <c r="H3473" s="13" t="s">
        <v>3</v>
      </c>
      <c r="I3473" s="13" t="s">
        <v>8269</v>
      </c>
      <c r="J3473" s="13" t="s">
        <v>21</v>
      </c>
      <c r="K3473" s="13" t="s">
        <v>8267</v>
      </c>
      <c r="L3473" s="13" t="s">
        <v>18</v>
      </c>
      <c r="M3473" t="s">
        <v>3</v>
      </c>
    </row>
    <row r="3474" spans="1:13" x14ac:dyDescent="0.25">
      <c r="A3474" s="13" t="s">
        <v>8270</v>
      </c>
      <c r="B3474" s="13" t="s">
        <v>8270</v>
      </c>
      <c r="C3474" s="13" t="s">
        <v>8270</v>
      </c>
      <c r="D3474" s="13">
        <v>0.7</v>
      </c>
      <c r="E3474" s="13" t="s">
        <v>8271</v>
      </c>
      <c r="F3474" s="13" t="s">
        <v>8867</v>
      </c>
      <c r="G3474" s="13" t="s">
        <v>2</v>
      </c>
      <c r="H3474" s="13" t="s">
        <v>3</v>
      </c>
      <c r="I3474" s="13" t="s">
        <v>8255</v>
      </c>
      <c r="J3474" s="13" t="s">
        <v>8890</v>
      </c>
      <c r="K3474" s="13" t="s">
        <v>8847</v>
      </c>
      <c r="L3474" s="13" t="s">
        <v>158</v>
      </c>
      <c r="M3474" t="s">
        <v>3</v>
      </c>
    </row>
    <row r="3475" spans="1:13" ht="26.25" x14ac:dyDescent="0.25">
      <c r="A3475" s="13" t="s">
        <v>8272</v>
      </c>
      <c r="B3475" s="13" t="s">
        <v>8273</v>
      </c>
      <c r="C3475" s="13" t="s">
        <v>8274</v>
      </c>
      <c r="D3475" s="13">
        <v>1</v>
      </c>
      <c r="E3475" s="13" t="s">
        <v>8275</v>
      </c>
      <c r="F3475" s="13" t="s">
        <v>8860</v>
      </c>
      <c r="G3475" s="13" t="s">
        <v>19</v>
      </c>
      <c r="H3475" s="13" t="s">
        <v>3</v>
      </c>
      <c r="I3475" s="13" t="s">
        <v>8255</v>
      </c>
      <c r="J3475" s="13" t="s">
        <v>21</v>
      </c>
      <c r="K3475" s="13" t="s">
        <v>8847</v>
      </c>
      <c r="L3475" s="13" t="s">
        <v>18</v>
      </c>
      <c r="M3475" t="s">
        <v>3</v>
      </c>
    </row>
    <row r="3476" spans="1:13" ht="26.25" x14ac:dyDescent="0.25">
      <c r="A3476" s="13" t="s">
        <v>8276</v>
      </c>
      <c r="B3476" s="13" t="s">
        <v>8276</v>
      </c>
      <c r="C3476" s="13" t="s">
        <v>8277</v>
      </c>
      <c r="D3476" s="13">
        <v>3</v>
      </c>
      <c r="E3476" s="13" t="s">
        <v>8278</v>
      </c>
      <c r="F3476" s="13" t="s">
        <v>35</v>
      </c>
      <c r="G3476" s="13" t="s">
        <v>19</v>
      </c>
      <c r="H3476" s="13" t="s">
        <v>3</v>
      </c>
      <c r="I3476" s="13" t="s">
        <v>8279</v>
      </c>
      <c r="J3476" s="13" t="s">
        <v>37</v>
      </c>
      <c r="K3476" s="13" t="s">
        <v>8850</v>
      </c>
      <c r="L3476" s="13" t="s">
        <v>35</v>
      </c>
      <c r="M3476" t="s">
        <v>3</v>
      </c>
    </row>
    <row r="3477" spans="1:13" x14ac:dyDescent="0.25">
      <c r="A3477" s="13" t="s">
        <v>10403</v>
      </c>
      <c r="B3477" s="13" t="s">
        <v>10403</v>
      </c>
      <c r="C3477" s="13" t="s">
        <v>10404</v>
      </c>
      <c r="D3477" s="13">
        <v>1.2</v>
      </c>
      <c r="E3477" s="13" t="s">
        <v>10405</v>
      </c>
      <c r="F3477" s="13" t="s">
        <v>8867</v>
      </c>
      <c r="G3477" s="13" t="s">
        <v>2</v>
      </c>
      <c r="H3477" s="13" t="s">
        <v>3</v>
      </c>
      <c r="I3477" s="13" t="s">
        <v>8283</v>
      </c>
      <c r="J3477" s="13" t="s">
        <v>8890</v>
      </c>
      <c r="K3477" s="13" t="s">
        <v>8281</v>
      </c>
      <c r="L3477" s="13" t="s">
        <v>158</v>
      </c>
      <c r="M3477" t="s">
        <v>3</v>
      </c>
    </row>
    <row r="3478" spans="1:13" x14ac:dyDescent="0.25">
      <c r="A3478" s="13" t="s">
        <v>10406</v>
      </c>
      <c r="B3478" s="13" t="s">
        <v>10406</v>
      </c>
      <c r="C3478" s="13" t="s">
        <v>10407</v>
      </c>
      <c r="D3478" s="13">
        <v>1</v>
      </c>
      <c r="E3478" s="13" t="s">
        <v>10408</v>
      </c>
      <c r="F3478" s="13" t="s">
        <v>8867</v>
      </c>
      <c r="G3478" s="13" t="s">
        <v>2</v>
      </c>
      <c r="H3478" s="13" t="s">
        <v>3</v>
      </c>
      <c r="I3478" s="13" t="s">
        <v>8283</v>
      </c>
      <c r="J3478" s="13" t="s">
        <v>8890</v>
      </c>
      <c r="K3478" s="13" t="s">
        <v>8281</v>
      </c>
      <c r="L3478" s="13" t="s">
        <v>158</v>
      </c>
      <c r="M3478" t="s">
        <v>3</v>
      </c>
    </row>
    <row r="3479" spans="1:13" x14ac:dyDescent="0.25">
      <c r="A3479" s="13" t="s">
        <v>11009</v>
      </c>
      <c r="B3479" s="13" t="s">
        <v>11009</v>
      </c>
      <c r="C3479" s="13" t="s">
        <v>11010</v>
      </c>
      <c r="D3479" s="13">
        <v>6</v>
      </c>
      <c r="E3479" s="13" t="s">
        <v>11011</v>
      </c>
      <c r="F3479" s="13" t="s">
        <v>8867</v>
      </c>
      <c r="G3479" s="13" t="s">
        <v>2</v>
      </c>
      <c r="H3479" s="13" t="s">
        <v>3</v>
      </c>
      <c r="I3479" s="13" t="s">
        <v>8283</v>
      </c>
      <c r="J3479" s="13" t="s">
        <v>8890</v>
      </c>
      <c r="K3479" s="13" t="s">
        <v>8281</v>
      </c>
      <c r="L3479" s="13" t="s">
        <v>158</v>
      </c>
      <c r="M3479" t="s">
        <v>3</v>
      </c>
    </row>
    <row r="3480" spans="1:13" ht="26.25" x14ac:dyDescent="0.25">
      <c r="A3480" s="13" t="s">
        <v>11012</v>
      </c>
      <c r="B3480" s="13" t="s">
        <v>11012</v>
      </c>
      <c r="C3480" s="13" t="s">
        <v>11013</v>
      </c>
      <c r="D3480" s="13">
        <v>0.9</v>
      </c>
      <c r="E3480" s="13" t="s">
        <v>11014</v>
      </c>
      <c r="F3480" s="13" t="s">
        <v>8867</v>
      </c>
      <c r="G3480" s="13" t="s">
        <v>2</v>
      </c>
      <c r="H3480" s="13" t="s">
        <v>3</v>
      </c>
      <c r="I3480" s="13" t="s">
        <v>8283</v>
      </c>
      <c r="J3480" s="13" t="s">
        <v>8890</v>
      </c>
      <c r="K3480" s="13" t="s">
        <v>8281</v>
      </c>
      <c r="L3480" s="13" t="s">
        <v>158</v>
      </c>
      <c r="M3480" t="s">
        <v>3</v>
      </c>
    </row>
    <row r="3481" spans="1:13" ht="26.25" x14ac:dyDescent="0.25">
      <c r="A3481" s="13" t="s">
        <v>8280</v>
      </c>
      <c r="B3481" s="13" t="s">
        <v>8280</v>
      </c>
      <c r="C3481" s="13" t="s">
        <v>8281</v>
      </c>
      <c r="D3481" s="13">
        <v>0.1</v>
      </c>
      <c r="E3481" s="13" t="s">
        <v>8282</v>
      </c>
      <c r="F3481" s="13" t="s">
        <v>8860</v>
      </c>
      <c r="G3481" s="13" t="s">
        <v>19</v>
      </c>
      <c r="H3481" s="13" t="s">
        <v>3</v>
      </c>
      <c r="I3481" s="13" t="s">
        <v>8283</v>
      </c>
      <c r="J3481" s="13" t="s">
        <v>21</v>
      </c>
      <c r="K3481" s="13" t="s">
        <v>8281</v>
      </c>
      <c r="L3481" s="13" t="s">
        <v>18</v>
      </c>
      <c r="M3481" t="s">
        <v>3</v>
      </c>
    </row>
    <row r="3482" spans="1:13" x14ac:dyDescent="0.25">
      <c r="A3482" t="s">
        <v>8284</v>
      </c>
      <c r="B3482" t="s">
        <v>8284</v>
      </c>
      <c r="C3482" t="s">
        <v>8285</v>
      </c>
      <c r="D3482">
        <v>500</v>
      </c>
      <c r="E3482" t="s">
        <v>8286</v>
      </c>
      <c r="F3482" t="s">
        <v>8860</v>
      </c>
      <c r="G3482" t="s">
        <v>19</v>
      </c>
      <c r="H3482" t="s">
        <v>3</v>
      </c>
      <c r="I3482" t="s">
        <v>4570</v>
      </c>
      <c r="J3482" t="s">
        <v>21</v>
      </c>
      <c r="K3482" t="s">
        <v>8660</v>
      </c>
      <c r="L3482" t="s">
        <v>18</v>
      </c>
      <c r="M3482" t="s">
        <v>3</v>
      </c>
    </row>
    <row r="3483" spans="1:13" x14ac:dyDescent="0.25">
      <c r="A3483" t="s">
        <v>8287</v>
      </c>
      <c r="B3483" t="s">
        <v>8288</v>
      </c>
      <c r="C3483" t="s">
        <v>8289</v>
      </c>
      <c r="D3483">
        <v>500</v>
      </c>
      <c r="E3483" t="s">
        <v>8290</v>
      </c>
      <c r="F3483" t="s">
        <v>8870</v>
      </c>
      <c r="G3483" t="s">
        <v>19</v>
      </c>
      <c r="H3483" t="s">
        <v>3</v>
      </c>
      <c r="I3483" t="s">
        <v>4570</v>
      </c>
      <c r="J3483" t="s">
        <v>410</v>
      </c>
      <c r="K3483" t="s">
        <v>8660</v>
      </c>
      <c r="L3483" t="s">
        <v>8942</v>
      </c>
      <c r="M3483" t="s">
        <v>3</v>
      </c>
    </row>
    <row r="3484" spans="1:13" x14ac:dyDescent="0.25">
      <c r="A3484" t="s">
        <v>8291</v>
      </c>
      <c r="B3484" t="s">
        <v>8292</v>
      </c>
      <c r="C3484" t="s">
        <v>8293</v>
      </c>
      <c r="D3484">
        <v>500</v>
      </c>
      <c r="E3484" t="s">
        <v>8294</v>
      </c>
      <c r="F3484" t="s">
        <v>8871</v>
      </c>
      <c r="G3484" t="s">
        <v>2</v>
      </c>
      <c r="H3484" t="s">
        <v>3</v>
      </c>
      <c r="I3484" t="s">
        <v>4570</v>
      </c>
      <c r="J3484" t="s">
        <v>410</v>
      </c>
      <c r="K3484" t="s">
        <v>8660</v>
      </c>
      <c r="L3484" t="s">
        <v>8943</v>
      </c>
      <c r="M3484" t="s">
        <v>3</v>
      </c>
    </row>
    <row r="3485" spans="1:13" x14ac:dyDescent="0.25">
      <c r="A3485" t="s">
        <v>8295</v>
      </c>
      <c r="B3485" t="s">
        <v>8296</v>
      </c>
      <c r="C3485" t="s">
        <v>8297</v>
      </c>
      <c r="D3485">
        <v>0.1</v>
      </c>
      <c r="E3485" t="s">
        <v>8298</v>
      </c>
      <c r="F3485" t="s">
        <v>8860</v>
      </c>
      <c r="G3485" t="s">
        <v>19</v>
      </c>
      <c r="H3485" t="s">
        <v>3</v>
      </c>
      <c r="I3485" t="s">
        <v>8296</v>
      </c>
      <c r="J3485" t="s">
        <v>21</v>
      </c>
      <c r="K3485" t="s">
        <v>8851</v>
      </c>
      <c r="L3485" t="s">
        <v>18</v>
      </c>
      <c r="M3485" t="s">
        <v>3</v>
      </c>
    </row>
    <row r="3486" spans="1:13" x14ac:dyDescent="0.25">
      <c r="A3486" t="s">
        <v>12141</v>
      </c>
      <c r="B3486" t="s">
        <v>12141</v>
      </c>
      <c r="C3486" t="s">
        <v>12141</v>
      </c>
      <c r="D3486">
        <v>2</v>
      </c>
      <c r="E3486" t="s">
        <v>12142</v>
      </c>
      <c r="F3486" t="s">
        <v>8867</v>
      </c>
      <c r="G3486" t="s">
        <v>2</v>
      </c>
      <c r="H3486" t="s">
        <v>3</v>
      </c>
      <c r="I3486" t="s">
        <v>12143</v>
      </c>
      <c r="J3486" t="s">
        <v>8890</v>
      </c>
      <c r="K3486" t="s">
        <v>12144</v>
      </c>
      <c r="L3486" t="s">
        <v>158</v>
      </c>
      <c r="M3486" t="s">
        <v>3</v>
      </c>
    </row>
    <row r="3487" spans="1:13" x14ac:dyDescent="0.25">
      <c r="A3487" t="s">
        <v>8299</v>
      </c>
      <c r="B3487" t="s">
        <v>8300</v>
      </c>
      <c r="C3487" t="s">
        <v>8301</v>
      </c>
      <c r="D3487">
        <v>25</v>
      </c>
      <c r="E3487" t="s">
        <v>8302</v>
      </c>
      <c r="F3487" t="s">
        <v>8860</v>
      </c>
      <c r="G3487" t="s">
        <v>19</v>
      </c>
      <c r="H3487" t="s">
        <v>3</v>
      </c>
      <c r="I3487" t="s">
        <v>8303</v>
      </c>
      <c r="J3487" t="s">
        <v>21</v>
      </c>
      <c r="K3487" t="s">
        <v>8301</v>
      </c>
      <c r="L3487" t="s">
        <v>18</v>
      </c>
      <c r="M3487" t="s">
        <v>3</v>
      </c>
    </row>
    <row r="3488" spans="1:13" x14ac:dyDescent="0.25">
      <c r="A3488" t="s">
        <v>8304</v>
      </c>
      <c r="B3488" t="s">
        <v>8304</v>
      </c>
      <c r="C3488" t="s">
        <v>8305</v>
      </c>
      <c r="D3488">
        <v>0.9</v>
      </c>
      <c r="E3488" t="s">
        <v>8306</v>
      </c>
      <c r="F3488" t="s">
        <v>8872</v>
      </c>
      <c r="G3488" t="s">
        <v>2</v>
      </c>
      <c r="H3488" t="s">
        <v>3</v>
      </c>
      <c r="I3488" t="s">
        <v>8307</v>
      </c>
      <c r="J3488" t="s">
        <v>8890</v>
      </c>
      <c r="K3488" t="s">
        <v>8852</v>
      </c>
      <c r="L3488" t="s">
        <v>556</v>
      </c>
      <c r="M3488" t="s">
        <v>3</v>
      </c>
    </row>
    <row r="3489" spans="1:13" x14ac:dyDescent="0.25">
      <c r="A3489" t="s">
        <v>8308</v>
      </c>
      <c r="B3489" t="s">
        <v>8309</v>
      </c>
      <c r="C3489" t="s">
        <v>8310</v>
      </c>
      <c r="D3489">
        <v>0.5</v>
      </c>
      <c r="E3489" t="s">
        <v>8311</v>
      </c>
      <c r="F3489" t="s">
        <v>35</v>
      </c>
      <c r="G3489" t="s">
        <v>19</v>
      </c>
      <c r="H3489" t="s">
        <v>3</v>
      </c>
      <c r="I3489" t="s">
        <v>8309</v>
      </c>
      <c r="J3489" t="s">
        <v>37</v>
      </c>
      <c r="K3489" t="s">
        <v>8853</v>
      </c>
      <c r="L3489" t="s">
        <v>35</v>
      </c>
      <c r="M3489" t="s">
        <v>3</v>
      </c>
    </row>
    <row r="3490" spans="1:13" x14ac:dyDescent="0.25">
      <c r="A3490" t="s">
        <v>8312</v>
      </c>
      <c r="B3490" t="s">
        <v>8313</v>
      </c>
      <c r="C3490" t="s">
        <v>8314</v>
      </c>
      <c r="D3490">
        <v>0.1</v>
      </c>
      <c r="E3490" t="s">
        <v>8315</v>
      </c>
      <c r="F3490" t="s">
        <v>8860</v>
      </c>
      <c r="G3490" t="s">
        <v>19</v>
      </c>
      <c r="H3490" t="s">
        <v>3</v>
      </c>
      <c r="I3490" t="s">
        <v>8316</v>
      </c>
      <c r="J3490" t="s">
        <v>21</v>
      </c>
      <c r="K3490" t="s">
        <v>8854</v>
      </c>
      <c r="L3490" t="s">
        <v>18</v>
      </c>
      <c r="M3490" t="s">
        <v>3</v>
      </c>
    </row>
    <row r="3491" spans="1:13" x14ac:dyDescent="0.25">
      <c r="A3491" t="s">
        <v>8317</v>
      </c>
      <c r="B3491" t="s">
        <v>8317</v>
      </c>
      <c r="C3491" t="s">
        <v>8318</v>
      </c>
      <c r="D3491">
        <v>13.9</v>
      </c>
      <c r="E3491" t="s">
        <v>8319</v>
      </c>
      <c r="F3491" t="s">
        <v>8867</v>
      </c>
      <c r="G3491" t="s">
        <v>2</v>
      </c>
      <c r="H3491" t="s">
        <v>3</v>
      </c>
      <c r="I3491" t="s">
        <v>8283</v>
      </c>
      <c r="J3491" t="s">
        <v>8890</v>
      </c>
      <c r="K3491" t="s">
        <v>8281</v>
      </c>
      <c r="L3491" t="s">
        <v>158</v>
      </c>
      <c r="M3491" t="s">
        <v>3</v>
      </c>
    </row>
    <row r="3492" spans="1:13" x14ac:dyDescent="0.25">
      <c r="A3492" t="s">
        <v>8320</v>
      </c>
      <c r="B3492" t="s">
        <v>8320</v>
      </c>
      <c r="C3492" t="s">
        <v>8321</v>
      </c>
      <c r="D3492">
        <v>12.5</v>
      </c>
      <c r="E3492" t="s">
        <v>8322</v>
      </c>
      <c r="F3492" t="s">
        <v>8867</v>
      </c>
      <c r="G3492" t="s">
        <v>2</v>
      </c>
      <c r="H3492" t="s">
        <v>3</v>
      </c>
      <c r="I3492" t="s">
        <v>8283</v>
      </c>
      <c r="J3492" t="s">
        <v>8890</v>
      </c>
      <c r="K3492" t="s">
        <v>8281</v>
      </c>
      <c r="L3492" t="s">
        <v>158</v>
      </c>
      <c r="M3492" t="s">
        <v>3</v>
      </c>
    </row>
    <row r="3493" spans="1:13" x14ac:dyDescent="0.25">
      <c r="A3493" t="s">
        <v>8323</v>
      </c>
      <c r="B3493" t="s">
        <v>8323</v>
      </c>
      <c r="C3493" t="s">
        <v>8324</v>
      </c>
      <c r="D3493">
        <v>5</v>
      </c>
      <c r="E3493" t="s">
        <v>8325</v>
      </c>
      <c r="F3493" t="s">
        <v>8867</v>
      </c>
      <c r="G3493" t="s">
        <v>2</v>
      </c>
      <c r="H3493" t="s">
        <v>3</v>
      </c>
      <c r="I3493" t="s">
        <v>8283</v>
      </c>
      <c r="J3493" t="s">
        <v>8890</v>
      </c>
      <c r="K3493" t="s">
        <v>8281</v>
      </c>
      <c r="L3493" t="s">
        <v>158</v>
      </c>
      <c r="M3493" t="s">
        <v>3</v>
      </c>
    </row>
    <row r="3494" spans="1:13" x14ac:dyDescent="0.25">
      <c r="A3494" t="s">
        <v>8326</v>
      </c>
      <c r="B3494" t="s">
        <v>8327</v>
      </c>
      <c r="C3494" t="s">
        <v>8328</v>
      </c>
      <c r="D3494">
        <v>2.5</v>
      </c>
      <c r="E3494" t="s">
        <v>8329</v>
      </c>
      <c r="F3494" t="s">
        <v>8867</v>
      </c>
      <c r="G3494" t="s">
        <v>2</v>
      </c>
      <c r="H3494" t="s">
        <v>3</v>
      </c>
      <c r="I3494" t="s">
        <v>8283</v>
      </c>
      <c r="J3494" t="s">
        <v>8890</v>
      </c>
      <c r="K3494" t="s">
        <v>8281</v>
      </c>
      <c r="L3494" t="s">
        <v>158</v>
      </c>
      <c r="M3494" t="s">
        <v>3</v>
      </c>
    </row>
    <row r="3495" spans="1:13" x14ac:dyDescent="0.25">
      <c r="A3495" t="s">
        <v>8330</v>
      </c>
      <c r="B3495" t="s">
        <v>8330</v>
      </c>
      <c r="C3495" t="s">
        <v>8331</v>
      </c>
      <c r="D3495">
        <v>1.2</v>
      </c>
      <c r="E3495" t="s">
        <v>8332</v>
      </c>
      <c r="F3495" t="s">
        <v>8867</v>
      </c>
      <c r="G3495" t="s">
        <v>2</v>
      </c>
      <c r="H3495" t="s">
        <v>3</v>
      </c>
      <c r="I3495" t="s">
        <v>8283</v>
      </c>
      <c r="J3495" t="s">
        <v>8890</v>
      </c>
      <c r="K3495" t="s">
        <v>8281</v>
      </c>
      <c r="L3495" t="s">
        <v>158</v>
      </c>
      <c r="M3495" t="s">
        <v>3</v>
      </c>
    </row>
    <row r="3496" spans="1:13" x14ac:dyDescent="0.25">
      <c r="A3496" t="s">
        <v>8333</v>
      </c>
      <c r="B3496" t="s">
        <v>8333</v>
      </c>
      <c r="C3496" t="s">
        <v>8334</v>
      </c>
      <c r="D3496">
        <v>2.4</v>
      </c>
      <c r="E3496" t="s">
        <v>8335</v>
      </c>
      <c r="F3496" t="s">
        <v>8867</v>
      </c>
      <c r="G3496" t="s">
        <v>2</v>
      </c>
      <c r="H3496" t="s">
        <v>3</v>
      </c>
      <c r="I3496" t="s">
        <v>8283</v>
      </c>
      <c r="J3496" t="s">
        <v>8890</v>
      </c>
      <c r="K3496" t="s">
        <v>8281</v>
      </c>
      <c r="L3496" t="s">
        <v>158</v>
      </c>
      <c r="M3496" t="s">
        <v>3</v>
      </c>
    </row>
    <row r="3497" spans="1:13" x14ac:dyDescent="0.25">
      <c r="A3497" t="s">
        <v>8336</v>
      </c>
      <c r="B3497" t="s">
        <v>8336</v>
      </c>
      <c r="C3497" t="s">
        <v>8337</v>
      </c>
      <c r="D3497">
        <v>1.8</v>
      </c>
      <c r="E3497" t="s">
        <v>8338</v>
      </c>
      <c r="F3497" t="s">
        <v>8867</v>
      </c>
      <c r="G3497" t="s">
        <v>2</v>
      </c>
      <c r="H3497" t="s">
        <v>3</v>
      </c>
      <c r="I3497" t="s">
        <v>8283</v>
      </c>
      <c r="J3497" t="s">
        <v>8890</v>
      </c>
      <c r="K3497" t="s">
        <v>8281</v>
      </c>
      <c r="L3497" t="s">
        <v>158</v>
      </c>
      <c r="M3497" t="s">
        <v>3</v>
      </c>
    </row>
    <row r="3498" spans="1:13" x14ac:dyDescent="0.25">
      <c r="A3498" t="s">
        <v>8339</v>
      </c>
      <c r="B3498" t="s">
        <v>8339</v>
      </c>
      <c r="C3498" t="s">
        <v>8340</v>
      </c>
      <c r="D3498">
        <v>2.5</v>
      </c>
      <c r="E3498" t="s">
        <v>8341</v>
      </c>
      <c r="F3498" t="s">
        <v>8867</v>
      </c>
      <c r="G3498" t="s">
        <v>2</v>
      </c>
      <c r="H3498" t="s">
        <v>3</v>
      </c>
      <c r="I3498" t="s">
        <v>8283</v>
      </c>
      <c r="J3498" t="s">
        <v>8890</v>
      </c>
      <c r="K3498" t="s">
        <v>8281</v>
      </c>
      <c r="L3498" t="s">
        <v>158</v>
      </c>
      <c r="M3498" t="s">
        <v>3</v>
      </c>
    </row>
    <row r="3499" spans="1:13" x14ac:dyDescent="0.25">
      <c r="A3499" t="s">
        <v>8342</v>
      </c>
      <c r="B3499" t="s">
        <v>8342</v>
      </c>
      <c r="C3499" t="s">
        <v>8343</v>
      </c>
      <c r="D3499">
        <v>1</v>
      </c>
      <c r="E3499" t="s">
        <v>8344</v>
      </c>
      <c r="F3499" t="s">
        <v>8867</v>
      </c>
      <c r="G3499" t="s">
        <v>2</v>
      </c>
      <c r="H3499" t="s">
        <v>3</v>
      </c>
      <c r="I3499" t="s">
        <v>8283</v>
      </c>
      <c r="J3499" t="s">
        <v>8890</v>
      </c>
      <c r="K3499" t="s">
        <v>8281</v>
      </c>
      <c r="L3499" t="s">
        <v>158</v>
      </c>
      <c r="M3499" t="s">
        <v>3</v>
      </c>
    </row>
    <row r="3500" spans="1:13" x14ac:dyDescent="0.25">
      <c r="A3500" t="s">
        <v>9603</v>
      </c>
      <c r="B3500" t="s">
        <v>9603</v>
      </c>
      <c r="C3500" t="s">
        <v>9604</v>
      </c>
      <c r="D3500">
        <v>5</v>
      </c>
      <c r="E3500" t="s">
        <v>9605</v>
      </c>
      <c r="F3500" t="s">
        <v>8867</v>
      </c>
      <c r="G3500" t="s">
        <v>2</v>
      </c>
      <c r="H3500" t="s">
        <v>3</v>
      </c>
      <c r="I3500" t="s">
        <v>8283</v>
      </c>
      <c r="J3500" t="s">
        <v>8890</v>
      </c>
      <c r="K3500" t="s">
        <v>8281</v>
      </c>
      <c r="L3500" t="s">
        <v>158</v>
      </c>
      <c r="M3500" t="s">
        <v>3</v>
      </c>
    </row>
    <row r="3501" spans="1:13" x14ac:dyDescent="0.25">
      <c r="A3501" t="s">
        <v>9837</v>
      </c>
      <c r="B3501" t="s">
        <v>9837</v>
      </c>
      <c r="C3501" t="s">
        <v>9838</v>
      </c>
      <c r="D3501">
        <v>1.2</v>
      </c>
      <c r="E3501" t="s">
        <v>9839</v>
      </c>
      <c r="F3501" t="s">
        <v>8867</v>
      </c>
      <c r="G3501" t="s">
        <v>2</v>
      </c>
      <c r="H3501" t="s">
        <v>3</v>
      </c>
      <c r="I3501" t="s">
        <v>8283</v>
      </c>
      <c r="J3501" t="s">
        <v>8890</v>
      </c>
      <c r="K3501" t="s">
        <v>8281</v>
      </c>
      <c r="L3501" t="s">
        <v>158</v>
      </c>
      <c r="M3501" t="s">
        <v>3</v>
      </c>
    </row>
    <row r="3502" spans="1:13" x14ac:dyDescent="0.25">
      <c r="A3502" t="s">
        <v>10014</v>
      </c>
      <c r="B3502" t="s">
        <v>10015</v>
      </c>
      <c r="C3502" t="s">
        <v>10016</v>
      </c>
      <c r="D3502">
        <v>9.6</v>
      </c>
      <c r="E3502" t="s">
        <v>10017</v>
      </c>
      <c r="F3502" t="s">
        <v>8867</v>
      </c>
      <c r="G3502" t="s">
        <v>2</v>
      </c>
      <c r="H3502" t="s">
        <v>3</v>
      </c>
      <c r="I3502" t="s">
        <v>8283</v>
      </c>
      <c r="J3502" t="s">
        <v>8890</v>
      </c>
      <c r="K3502" t="s">
        <v>8281</v>
      </c>
      <c r="L3502" t="s">
        <v>158</v>
      </c>
      <c r="M3502" t="s">
        <v>3</v>
      </c>
    </row>
    <row r="3503" spans="1:13" x14ac:dyDescent="0.25">
      <c r="A3503" t="s">
        <v>10091</v>
      </c>
      <c r="B3503" t="s">
        <v>10091</v>
      </c>
      <c r="C3503" t="s">
        <v>10092</v>
      </c>
      <c r="D3503">
        <v>2.8</v>
      </c>
      <c r="E3503" t="s">
        <v>10093</v>
      </c>
      <c r="F3503" t="s">
        <v>8867</v>
      </c>
      <c r="G3503" t="s">
        <v>2</v>
      </c>
      <c r="H3503" t="s">
        <v>3</v>
      </c>
      <c r="I3503" t="s">
        <v>8283</v>
      </c>
      <c r="J3503" t="s">
        <v>8890</v>
      </c>
      <c r="K3503" t="s">
        <v>8281</v>
      </c>
      <c r="L3503" t="s">
        <v>158</v>
      </c>
      <c r="M3503" t="s">
        <v>3</v>
      </c>
    </row>
    <row r="3504" spans="1:13" x14ac:dyDescent="0.25">
      <c r="A3504" t="s">
        <v>8345</v>
      </c>
      <c r="B3504" t="s">
        <v>8346</v>
      </c>
      <c r="C3504" t="s">
        <v>8347</v>
      </c>
      <c r="D3504">
        <v>1</v>
      </c>
      <c r="E3504" t="s">
        <v>8348</v>
      </c>
      <c r="F3504" t="s">
        <v>8860</v>
      </c>
      <c r="G3504" t="s">
        <v>19</v>
      </c>
      <c r="H3504" t="s">
        <v>3</v>
      </c>
      <c r="I3504" t="s">
        <v>8349</v>
      </c>
      <c r="J3504" t="s">
        <v>21</v>
      </c>
      <c r="K3504" t="s">
        <v>8855</v>
      </c>
      <c r="L3504" t="s">
        <v>18</v>
      </c>
      <c r="M3504" t="s">
        <v>3</v>
      </c>
    </row>
    <row r="3505" spans="1:13" x14ac:dyDescent="0.25">
      <c r="A3505" t="s">
        <v>8350</v>
      </c>
      <c r="B3505" t="s">
        <v>8351</v>
      </c>
      <c r="C3505" t="s">
        <v>8352</v>
      </c>
      <c r="D3505">
        <v>45</v>
      </c>
      <c r="E3505" t="s">
        <v>8353</v>
      </c>
      <c r="F3505" t="s">
        <v>8869</v>
      </c>
      <c r="G3505" t="s">
        <v>2</v>
      </c>
      <c r="H3505" t="s">
        <v>3</v>
      </c>
      <c r="I3505" t="s">
        <v>435</v>
      </c>
      <c r="J3505" t="s">
        <v>8890</v>
      </c>
      <c r="K3505" t="s">
        <v>8469</v>
      </c>
      <c r="L3505" t="s">
        <v>8918</v>
      </c>
      <c r="M3505" t="s">
        <v>3</v>
      </c>
    </row>
    <row r="3506" spans="1:13" x14ac:dyDescent="0.25">
      <c r="A3506" t="s">
        <v>8354</v>
      </c>
      <c r="B3506" t="s">
        <v>8355</v>
      </c>
      <c r="C3506" t="s">
        <v>8356</v>
      </c>
      <c r="D3506">
        <v>10</v>
      </c>
      <c r="E3506" t="s">
        <v>8357</v>
      </c>
      <c r="F3506" t="s">
        <v>8860</v>
      </c>
      <c r="G3506" t="s">
        <v>19</v>
      </c>
      <c r="H3506" t="s">
        <v>3</v>
      </c>
      <c r="I3506" t="s">
        <v>8355</v>
      </c>
      <c r="J3506" t="s">
        <v>21</v>
      </c>
      <c r="K3506" t="s">
        <v>8356</v>
      </c>
      <c r="L3506" t="s">
        <v>18</v>
      </c>
      <c r="M3506" t="s">
        <v>3</v>
      </c>
    </row>
    <row r="3507" spans="1:13" x14ac:dyDescent="0.25">
      <c r="A3507" t="s">
        <v>8358</v>
      </c>
      <c r="B3507" t="s">
        <v>8359</v>
      </c>
      <c r="C3507" t="s">
        <v>8360</v>
      </c>
      <c r="D3507">
        <v>10</v>
      </c>
      <c r="E3507" t="s">
        <v>8361</v>
      </c>
      <c r="F3507" t="s">
        <v>8860</v>
      </c>
      <c r="G3507" t="s">
        <v>19</v>
      </c>
      <c r="H3507" t="s">
        <v>3</v>
      </c>
      <c r="I3507" t="s">
        <v>8362</v>
      </c>
      <c r="J3507" t="s">
        <v>21</v>
      </c>
      <c r="K3507" t="s">
        <v>8856</v>
      </c>
      <c r="L3507" t="s">
        <v>18</v>
      </c>
      <c r="M3507" t="s">
        <v>3</v>
      </c>
    </row>
    <row r="3508" spans="1:13" x14ac:dyDescent="0.25">
      <c r="A3508" t="s">
        <v>8363</v>
      </c>
      <c r="B3508" t="s">
        <v>8363</v>
      </c>
      <c r="C3508" t="s">
        <v>8363</v>
      </c>
      <c r="D3508">
        <v>71</v>
      </c>
      <c r="E3508" t="s">
        <v>8364</v>
      </c>
      <c r="F3508" t="s">
        <v>8860</v>
      </c>
      <c r="G3508" t="s">
        <v>19</v>
      </c>
      <c r="H3508" t="s">
        <v>3</v>
      </c>
      <c r="I3508" t="s">
        <v>809</v>
      </c>
      <c r="J3508" t="s">
        <v>21</v>
      </c>
      <c r="K3508" t="s">
        <v>8512</v>
      </c>
      <c r="L3508" t="s">
        <v>18</v>
      </c>
      <c r="M3508" t="s">
        <v>3</v>
      </c>
    </row>
    <row r="3509" spans="1:13" x14ac:dyDescent="0.25">
      <c r="A3509" t="s">
        <v>8365</v>
      </c>
      <c r="B3509" t="s">
        <v>8365</v>
      </c>
      <c r="C3509" t="s">
        <v>8366</v>
      </c>
      <c r="D3509">
        <v>1</v>
      </c>
      <c r="E3509" t="s">
        <v>8367</v>
      </c>
      <c r="F3509" t="s">
        <v>275</v>
      </c>
      <c r="G3509" t="s">
        <v>19</v>
      </c>
      <c r="H3509" t="s">
        <v>3</v>
      </c>
      <c r="I3509" t="s">
        <v>809</v>
      </c>
      <c r="J3509" t="s">
        <v>276</v>
      </c>
      <c r="K3509" t="s">
        <v>8512</v>
      </c>
      <c r="L3509" t="s">
        <v>275</v>
      </c>
      <c r="M3509" t="s">
        <v>3</v>
      </c>
    </row>
    <row r="3510" spans="1:13" x14ac:dyDescent="0.25">
      <c r="A3510" t="s">
        <v>8368</v>
      </c>
      <c r="B3510" t="s">
        <v>8369</v>
      </c>
      <c r="C3510" t="s">
        <v>8370</v>
      </c>
      <c r="D3510">
        <v>2</v>
      </c>
      <c r="E3510" t="s">
        <v>8371</v>
      </c>
      <c r="F3510" t="s">
        <v>8860</v>
      </c>
      <c r="G3510" t="s">
        <v>19</v>
      </c>
      <c r="H3510" t="s">
        <v>3</v>
      </c>
      <c r="I3510" t="s">
        <v>8372</v>
      </c>
      <c r="J3510" t="s">
        <v>21</v>
      </c>
      <c r="K3510" t="s">
        <v>8857</v>
      </c>
      <c r="L3510" t="s">
        <v>18</v>
      </c>
      <c r="M3510" t="s">
        <v>3</v>
      </c>
    </row>
    <row r="3511" spans="1:13" x14ac:dyDescent="0.25">
      <c r="A3511" t="s">
        <v>9606</v>
      </c>
      <c r="B3511" t="s">
        <v>9606</v>
      </c>
      <c r="C3511" t="s">
        <v>9607</v>
      </c>
      <c r="D3511">
        <v>1</v>
      </c>
      <c r="E3511" t="s">
        <v>9608</v>
      </c>
      <c r="F3511" t="s">
        <v>8860</v>
      </c>
      <c r="G3511" t="s">
        <v>19</v>
      </c>
      <c r="H3511" t="s">
        <v>3</v>
      </c>
      <c r="I3511" t="s">
        <v>9609</v>
      </c>
      <c r="J3511" t="s">
        <v>21</v>
      </c>
      <c r="K3511" t="s">
        <v>9610</v>
      </c>
      <c r="L3511" t="s">
        <v>18</v>
      </c>
      <c r="M3511" t="s">
        <v>3</v>
      </c>
    </row>
    <row r="3512" spans="1:13" x14ac:dyDescent="0.25">
      <c r="A3512" t="s">
        <v>8373</v>
      </c>
      <c r="B3512" t="s">
        <v>8373</v>
      </c>
      <c r="C3512" t="s">
        <v>8374</v>
      </c>
      <c r="D3512">
        <v>1.1000000000000001</v>
      </c>
      <c r="E3512" t="s">
        <v>8375</v>
      </c>
      <c r="F3512" t="s">
        <v>8863</v>
      </c>
      <c r="G3512" t="s">
        <v>2</v>
      </c>
      <c r="H3512" t="s">
        <v>3</v>
      </c>
      <c r="I3512" t="s">
        <v>536</v>
      </c>
      <c r="J3512" t="s">
        <v>8890</v>
      </c>
      <c r="K3512" t="s">
        <v>8480</v>
      </c>
      <c r="L3512" t="s">
        <v>8893</v>
      </c>
      <c r="M3512" t="s">
        <v>3</v>
      </c>
    </row>
    <row r="3513" spans="1:13" x14ac:dyDescent="0.25">
      <c r="A3513" t="s">
        <v>9611</v>
      </c>
      <c r="B3513" t="s">
        <v>9612</v>
      </c>
      <c r="C3513" t="s">
        <v>9612</v>
      </c>
      <c r="D3513">
        <v>8</v>
      </c>
      <c r="E3513" t="s">
        <v>9613</v>
      </c>
      <c r="F3513" t="s">
        <v>8867</v>
      </c>
      <c r="G3513" t="s">
        <v>2</v>
      </c>
      <c r="H3513" t="s">
        <v>3</v>
      </c>
      <c r="I3513" t="s">
        <v>435</v>
      </c>
      <c r="J3513" t="s">
        <v>8890</v>
      </c>
      <c r="K3513" t="s">
        <v>8469</v>
      </c>
      <c r="L3513" t="s">
        <v>158</v>
      </c>
      <c r="M3513" t="s">
        <v>3</v>
      </c>
    </row>
    <row r="3514" spans="1:13" x14ac:dyDescent="0.25">
      <c r="A3514" t="s">
        <v>8376</v>
      </c>
      <c r="B3514" t="s">
        <v>8377</v>
      </c>
      <c r="C3514" t="s">
        <v>8378</v>
      </c>
      <c r="D3514">
        <v>0.1</v>
      </c>
      <c r="E3514" t="s">
        <v>8379</v>
      </c>
      <c r="F3514" t="s">
        <v>8860</v>
      </c>
      <c r="G3514" t="s">
        <v>19</v>
      </c>
      <c r="H3514" t="s">
        <v>3</v>
      </c>
      <c r="I3514" t="s">
        <v>8380</v>
      </c>
      <c r="J3514" t="s">
        <v>21</v>
      </c>
      <c r="K3514" t="s">
        <v>8378</v>
      </c>
      <c r="L3514" t="s">
        <v>18</v>
      </c>
      <c r="M3514" t="s">
        <v>3</v>
      </c>
    </row>
    <row r="3515" spans="1:13" x14ac:dyDescent="0.25">
      <c r="A3515" t="s">
        <v>8381</v>
      </c>
      <c r="B3515" t="s">
        <v>8381</v>
      </c>
      <c r="C3515" t="s">
        <v>8382</v>
      </c>
      <c r="D3515">
        <v>1.3</v>
      </c>
      <c r="E3515" t="s">
        <v>8383</v>
      </c>
      <c r="F3515" t="s">
        <v>8863</v>
      </c>
      <c r="G3515" t="s">
        <v>2</v>
      </c>
      <c r="H3515" t="s">
        <v>3</v>
      </c>
      <c r="I3515" t="s">
        <v>228</v>
      </c>
      <c r="J3515" t="s">
        <v>8890</v>
      </c>
      <c r="K3515" t="s">
        <v>8418</v>
      </c>
      <c r="L3515" t="s">
        <v>8956</v>
      </c>
      <c r="M3515" t="s">
        <v>3</v>
      </c>
    </row>
    <row r="3516" spans="1:13" x14ac:dyDescent="0.25">
      <c r="A3516" t="s">
        <v>8384</v>
      </c>
      <c r="B3516" t="s">
        <v>8384</v>
      </c>
      <c r="C3516" t="s">
        <v>8384</v>
      </c>
      <c r="D3516">
        <v>0.1</v>
      </c>
      <c r="E3516" t="s">
        <v>8385</v>
      </c>
      <c r="F3516" t="s">
        <v>8860</v>
      </c>
      <c r="G3516" t="s">
        <v>19</v>
      </c>
      <c r="H3516" t="s">
        <v>3</v>
      </c>
      <c r="I3516" t="s">
        <v>8386</v>
      </c>
      <c r="J3516" t="s">
        <v>21</v>
      </c>
      <c r="K3516" t="s">
        <v>8858</v>
      </c>
      <c r="L3516" t="s">
        <v>18</v>
      </c>
      <c r="M3516" t="s">
        <v>3</v>
      </c>
    </row>
    <row r="3517" spans="1:13" x14ac:dyDescent="0.25">
      <c r="A3517" t="s">
        <v>8387</v>
      </c>
      <c r="B3517" t="s">
        <v>8388</v>
      </c>
      <c r="C3517" t="s">
        <v>8389</v>
      </c>
      <c r="D3517">
        <v>0.8</v>
      </c>
      <c r="E3517" t="s">
        <v>8390</v>
      </c>
      <c r="F3517" t="s">
        <v>35</v>
      </c>
      <c r="G3517" t="s">
        <v>19</v>
      </c>
      <c r="H3517" t="s">
        <v>3</v>
      </c>
      <c r="I3517" t="s">
        <v>8391</v>
      </c>
      <c r="J3517" t="s">
        <v>37</v>
      </c>
      <c r="K3517" t="s">
        <v>8389</v>
      </c>
      <c r="L3517" t="s">
        <v>35</v>
      </c>
      <c r="M3517" t="s">
        <v>3</v>
      </c>
    </row>
    <row r="3518" spans="1:13" x14ac:dyDescent="0.25">
      <c r="A3518" t="s">
        <v>9614</v>
      </c>
      <c r="B3518" t="s">
        <v>9614</v>
      </c>
      <c r="C3518" t="s">
        <v>9614</v>
      </c>
      <c r="D3518">
        <v>0.1</v>
      </c>
      <c r="E3518" t="s">
        <v>9615</v>
      </c>
      <c r="F3518" t="s">
        <v>8860</v>
      </c>
      <c r="G3518" t="s">
        <v>19</v>
      </c>
      <c r="H3518" t="s">
        <v>3</v>
      </c>
      <c r="I3518" t="s">
        <v>9616</v>
      </c>
      <c r="J3518" t="s">
        <v>21</v>
      </c>
      <c r="K3518" t="s">
        <v>9617</v>
      </c>
      <c r="L3518" t="s">
        <v>18</v>
      </c>
      <c r="M3518" t="s">
        <v>3</v>
      </c>
    </row>
    <row r="3519" spans="1:13" x14ac:dyDescent="0.25">
      <c r="A3519" t="s">
        <v>8392</v>
      </c>
      <c r="B3519" t="s">
        <v>8392</v>
      </c>
      <c r="C3519" t="s">
        <v>8392</v>
      </c>
      <c r="D3519">
        <v>6</v>
      </c>
      <c r="E3519" t="s">
        <v>8393</v>
      </c>
      <c r="F3519" t="s">
        <v>8867</v>
      </c>
      <c r="G3519" t="s">
        <v>2</v>
      </c>
      <c r="H3519" t="s">
        <v>3</v>
      </c>
      <c r="I3519" t="s">
        <v>228</v>
      </c>
      <c r="J3519" t="s">
        <v>8890</v>
      </c>
      <c r="K3519" t="s">
        <v>8418</v>
      </c>
      <c r="L3519" t="s">
        <v>158</v>
      </c>
      <c r="M3519" t="s">
        <v>3</v>
      </c>
    </row>
    <row r="3520" spans="1:13" x14ac:dyDescent="0.25">
      <c r="A3520" t="s">
        <v>8394</v>
      </c>
      <c r="B3520" t="s">
        <v>8395</v>
      </c>
      <c r="C3520" t="s">
        <v>8396</v>
      </c>
      <c r="D3520">
        <v>0.1</v>
      </c>
      <c r="E3520" t="s">
        <v>8397</v>
      </c>
      <c r="F3520" t="s">
        <v>8860</v>
      </c>
      <c r="G3520" t="s">
        <v>19</v>
      </c>
      <c r="H3520" t="s">
        <v>3</v>
      </c>
      <c r="I3520" t="s">
        <v>740</v>
      </c>
      <c r="J3520" t="s">
        <v>21</v>
      </c>
      <c r="K3520" t="s">
        <v>8503</v>
      </c>
      <c r="L3520" t="s">
        <v>18</v>
      </c>
      <c r="M3520" t="s">
        <v>3</v>
      </c>
    </row>
    <row r="3521" spans="1:13" x14ac:dyDescent="0.25">
      <c r="A3521" t="s">
        <v>8398</v>
      </c>
      <c r="B3521" t="s">
        <v>8399</v>
      </c>
      <c r="C3521" t="s">
        <v>8400</v>
      </c>
      <c r="D3521">
        <v>0.1</v>
      </c>
      <c r="E3521" t="s">
        <v>8401</v>
      </c>
      <c r="F3521" t="s">
        <v>8860</v>
      </c>
      <c r="G3521" t="s">
        <v>19</v>
      </c>
      <c r="H3521" t="s">
        <v>3</v>
      </c>
      <c r="I3521" t="s">
        <v>8402</v>
      </c>
      <c r="J3521" t="s">
        <v>21</v>
      </c>
      <c r="K3521" t="s">
        <v>8859</v>
      </c>
      <c r="L3521" t="s">
        <v>18</v>
      </c>
      <c r="M3521" t="s">
        <v>3</v>
      </c>
    </row>
    <row r="3522" spans="1:13" x14ac:dyDescent="0.25">
      <c r="A3522" t="s">
        <v>8403</v>
      </c>
      <c r="B3522" t="s">
        <v>8404</v>
      </c>
      <c r="C3522" t="s">
        <v>8405</v>
      </c>
      <c r="D3522">
        <v>0.2</v>
      </c>
      <c r="E3522" t="s">
        <v>8406</v>
      </c>
      <c r="F3522" t="s">
        <v>8860</v>
      </c>
      <c r="G3522" t="s">
        <v>19</v>
      </c>
      <c r="H3522" t="s">
        <v>3</v>
      </c>
      <c r="I3522" t="s">
        <v>8404</v>
      </c>
      <c r="J3522" t="s">
        <v>21</v>
      </c>
      <c r="K3522" t="s">
        <v>8405</v>
      </c>
      <c r="L3522" t="s">
        <v>18</v>
      </c>
      <c r="M3522" t="s">
        <v>3</v>
      </c>
    </row>
  </sheetData>
  <conditionalFormatting sqref="A2">
    <cfRule type="duplicateValues" dxfId="12" priority="1"/>
    <cfRule type="duplicateValues" dxfId="11" priority="2"/>
    <cfRule type="duplicateValues" dxfId="10" priority="3"/>
    <cfRule type="duplicateValues" dxfId="9" priority="4"/>
    <cfRule type="duplicateValues" dxfId="8" priority="5"/>
    <cfRule type="duplicateValues" dxfId="7" priority="6"/>
    <cfRule type="duplicateValues" dxfId="6" priority="7"/>
    <cfRule type="duplicateValues" dxfId="5" priority="8"/>
    <cfRule type="duplicateValues" dxfId="4" priority="9"/>
    <cfRule type="duplicateValues" dxfId="3" priority="10"/>
    <cfRule type="duplicateValues" dxfId="2" priority="11"/>
    <cfRule type="duplicateValues" dxfId="1" priority="12"/>
    <cfRule type="duplicateValues" dxfId="0" priority="13"/>
  </conditionalFormatting>
  <pageMargins left="0.7" right="0.7" top="0.75" bottom="0.75" header="0.3" footer="0.3"/>
  <headerFooter>
    <oddFooter>&amp;C_x000D_&amp;1#&amp;"Calibri"&amp;10&amp;K000000 Nur für den internen Gebrauch -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143"/>
  <sheetViews>
    <sheetView workbookViewId="0">
      <pane xSplit="1" ySplit="4" topLeftCell="B85" activePane="bottomRight" state="frozen"/>
      <selection pane="topRight" activeCell="B1" sqref="B1"/>
      <selection pane="bottomLeft" activeCell="A5" sqref="A5"/>
      <selection pane="bottomRight" activeCell="A104" sqref="A104"/>
    </sheetView>
  </sheetViews>
  <sheetFormatPr defaultRowHeight="15" x14ac:dyDescent="0.25"/>
  <cols>
    <col min="1" max="1" width="59.7109375" bestFit="1" customWidth="1"/>
    <col min="2" max="2" width="16.28515625" bestFit="1" customWidth="1"/>
    <col min="3" max="3" width="7" bestFit="1" customWidth="1"/>
    <col min="4" max="4" width="13.140625" bestFit="1" customWidth="1"/>
    <col min="5" max="5" width="15.28515625" bestFit="1" customWidth="1"/>
    <col min="6" max="6" width="4.85546875" bestFit="1" customWidth="1"/>
    <col min="7" max="7" width="8" bestFit="1" customWidth="1"/>
    <col min="8" max="8" width="17.28515625" bestFit="1" customWidth="1"/>
    <col min="9" max="9" width="8.28515625" bestFit="1" customWidth="1"/>
    <col min="10" max="10" width="13.28515625" bestFit="1" customWidth="1"/>
    <col min="11" max="11" width="8" bestFit="1" customWidth="1"/>
    <col min="12" max="12" width="16.7109375" bestFit="1" customWidth="1"/>
    <col min="13" max="13" width="8.28515625" bestFit="1" customWidth="1"/>
    <col min="14" max="14" width="11.28515625" bestFit="1" customWidth="1"/>
    <col min="15" max="15" width="9" bestFit="1" customWidth="1"/>
  </cols>
  <sheetData>
    <row r="3" spans="1:14" x14ac:dyDescent="0.25">
      <c r="A3" s="8" t="s">
        <v>8879</v>
      </c>
      <c r="B3" s="8" t="s">
        <v>8880</v>
      </c>
    </row>
    <row r="4" spans="1:14" x14ac:dyDescent="0.25">
      <c r="A4" s="8" t="s">
        <v>8881</v>
      </c>
      <c r="B4" t="s">
        <v>8864</v>
      </c>
      <c r="C4" t="s">
        <v>8861</v>
      </c>
      <c r="D4" t="s">
        <v>8865</v>
      </c>
      <c r="E4" t="s">
        <v>8862</v>
      </c>
      <c r="F4" t="s">
        <v>1684</v>
      </c>
      <c r="G4" t="s">
        <v>8863</v>
      </c>
      <c r="H4" t="s">
        <v>8873</v>
      </c>
      <c r="I4" t="s">
        <v>8867</v>
      </c>
      <c r="J4" t="s">
        <v>8876</v>
      </c>
      <c r="K4" t="s">
        <v>8869</v>
      </c>
      <c r="L4" t="s">
        <v>8868</v>
      </c>
      <c r="M4" t="s">
        <v>8872</v>
      </c>
      <c r="N4" t="s">
        <v>8882</v>
      </c>
    </row>
    <row r="5" spans="1:14" x14ac:dyDescent="0.25">
      <c r="A5" s="1" t="s">
        <v>8812</v>
      </c>
      <c r="B5" s="9"/>
      <c r="C5" s="9"/>
      <c r="D5" s="9">
        <v>12</v>
      </c>
      <c r="E5" s="9"/>
      <c r="F5" s="9"/>
      <c r="G5" s="9"/>
      <c r="H5" s="9"/>
      <c r="I5" s="9"/>
      <c r="J5" s="9"/>
      <c r="K5" s="9"/>
      <c r="L5" s="9"/>
      <c r="M5" s="9"/>
      <c r="N5" s="9">
        <v>12</v>
      </c>
    </row>
    <row r="6" spans="1:14" x14ac:dyDescent="0.25">
      <c r="A6" s="1" t="s">
        <v>8548</v>
      </c>
      <c r="B6" s="9"/>
      <c r="C6" s="9"/>
      <c r="D6" s="9"/>
      <c r="E6" s="9"/>
      <c r="F6" s="9"/>
      <c r="G6" s="9"/>
      <c r="H6" s="9"/>
      <c r="I6" s="9"/>
      <c r="J6" s="9"/>
      <c r="K6" s="9">
        <v>13.8</v>
      </c>
      <c r="L6" s="9"/>
      <c r="M6" s="9"/>
      <c r="N6" s="9">
        <v>13.8</v>
      </c>
    </row>
    <row r="7" spans="1:14" x14ac:dyDescent="0.25">
      <c r="A7" s="1" t="s">
        <v>8577</v>
      </c>
      <c r="B7" s="9"/>
      <c r="C7" s="9"/>
      <c r="D7" s="9"/>
      <c r="E7" s="9"/>
      <c r="F7" s="9"/>
      <c r="G7" s="9"/>
      <c r="H7" s="9"/>
      <c r="I7" s="9"/>
      <c r="J7" s="9"/>
      <c r="K7" s="9">
        <v>40.9</v>
      </c>
      <c r="L7" s="9"/>
      <c r="M7" s="9"/>
      <c r="N7" s="9">
        <v>40.9</v>
      </c>
    </row>
    <row r="8" spans="1:14" x14ac:dyDescent="0.25">
      <c r="A8" s="1" t="s">
        <v>8824</v>
      </c>
      <c r="B8" s="9"/>
      <c r="C8" s="9"/>
      <c r="D8" s="9">
        <v>9.6999999999999993</v>
      </c>
      <c r="E8" s="9"/>
      <c r="F8" s="9"/>
      <c r="G8" s="9"/>
      <c r="H8" s="9"/>
      <c r="I8" s="9"/>
      <c r="J8" s="9"/>
      <c r="K8" s="9"/>
      <c r="L8" s="9"/>
      <c r="M8" s="9"/>
      <c r="N8" s="9">
        <v>9.6999999999999993</v>
      </c>
    </row>
    <row r="9" spans="1:14" x14ac:dyDescent="0.25">
      <c r="A9" s="1" t="s">
        <v>8817</v>
      </c>
      <c r="B9" s="9"/>
      <c r="C9" s="9"/>
      <c r="D9" s="9">
        <v>4.8</v>
      </c>
      <c r="E9" s="9"/>
      <c r="F9" s="9"/>
      <c r="G9" s="9"/>
      <c r="H9" s="9"/>
      <c r="I9" s="9"/>
      <c r="J9" s="9"/>
      <c r="K9" s="9"/>
      <c r="L9" s="9"/>
      <c r="M9" s="9"/>
      <c r="N9" s="9">
        <v>4.8</v>
      </c>
    </row>
    <row r="10" spans="1:14" x14ac:dyDescent="0.25">
      <c r="A10" s="1" t="s">
        <v>8673</v>
      </c>
      <c r="B10" s="9"/>
      <c r="C10" s="9"/>
      <c r="D10" s="9"/>
      <c r="E10" s="9"/>
      <c r="F10" s="9"/>
      <c r="G10" s="9">
        <v>9.3000000000000007</v>
      </c>
      <c r="H10" s="9"/>
      <c r="I10" s="9"/>
      <c r="J10" s="9"/>
      <c r="K10" s="9"/>
      <c r="L10" s="9"/>
      <c r="M10" s="9"/>
      <c r="N10" s="9">
        <v>9.3000000000000007</v>
      </c>
    </row>
    <row r="11" spans="1:14" x14ac:dyDescent="0.25">
      <c r="A11" s="1" t="s">
        <v>8787</v>
      </c>
      <c r="B11" s="9"/>
      <c r="C11" s="9"/>
      <c r="D11" s="9"/>
      <c r="E11" s="9"/>
      <c r="F11" s="9"/>
      <c r="G11" s="9"/>
      <c r="H11" s="9">
        <v>9.9</v>
      </c>
      <c r="I11" s="9"/>
      <c r="J11" s="9"/>
      <c r="K11" s="9"/>
      <c r="L11" s="9"/>
      <c r="M11" s="9"/>
      <c r="N11" s="9">
        <v>9.9</v>
      </c>
    </row>
    <row r="12" spans="1:14" x14ac:dyDescent="0.25">
      <c r="A12" s="1" t="s">
        <v>8508</v>
      </c>
      <c r="B12" s="9"/>
      <c r="C12" s="9"/>
      <c r="D12" s="9">
        <v>4.5999999999999996</v>
      </c>
      <c r="E12" s="9"/>
      <c r="F12" s="9"/>
      <c r="G12" s="9">
        <v>242.8</v>
      </c>
      <c r="H12" s="9"/>
      <c r="I12" s="9">
        <v>211.10000000000002</v>
      </c>
      <c r="J12" s="9"/>
      <c r="K12" s="9">
        <v>4344.300000000002</v>
      </c>
      <c r="L12" s="9"/>
      <c r="M12" s="9">
        <v>111.1</v>
      </c>
      <c r="N12" s="9">
        <v>4913.9000000000024</v>
      </c>
    </row>
    <row r="13" spans="1:14" x14ac:dyDescent="0.25">
      <c r="A13" s="1" t="s">
        <v>87</v>
      </c>
      <c r="B13" s="9"/>
      <c r="C13" s="9"/>
      <c r="D13" s="9"/>
      <c r="E13" s="9"/>
      <c r="F13" s="9"/>
      <c r="G13" s="9"/>
      <c r="H13" s="9"/>
      <c r="I13" s="9">
        <v>0.2</v>
      </c>
      <c r="J13" s="9"/>
      <c r="K13" s="9"/>
      <c r="L13" s="9"/>
      <c r="M13" s="9"/>
      <c r="N13" s="9">
        <v>0.2</v>
      </c>
    </row>
    <row r="14" spans="1:14" x14ac:dyDescent="0.25">
      <c r="A14" s="1" t="s">
        <v>8629</v>
      </c>
      <c r="B14" s="9"/>
      <c r="C14" s="9"/>
      <c r="D14" s="9"/>
      <c r="E14" s="9"/>
      <c r="F14" s="9"/>
      <c r="G14" s="9"/>
      <c r="H14" s="9"/>
      <c r="I14" s="9">
        <v>2.1</v>
      </c>
      <c r="J14" s="9"/>
      <c r="K14" s="9"/>
      <c r="L14" s="9"/>
      <c r="M14" s="9"/>
      <c r="N14" s="9">
        <v>2.1</v>
      </c>
    </row>
    <row r="15" spans="1:14" x14ac:dyDescent="0.25">
      <c r="A15" s="1" t="s">
        <v>8424</v>
      </c>
      <c r="B15" s="9"/>
      <c r="C15" s="9"/>
      <c r="D15" s="9">
        <v>135.80000000000001</v>
      </c>
      <c r="E15" s="9">
        <v>23.1</v>
      </c>
      <c r="F15" s="9"/>
      <c r="G15" s="9">
        <v>5.5</v>
      </c>
      <c r="H15" s="9">
        <v>11.5</v>
      </c>
      <c r="I15" s="9">
        <v>1.1000000000000001</v>
      </c>
      <c r="J15" s="9"/>
      <c r="K15" s="9"/>
      <c r="L15" s="9"/>
      <c r="M15" s="9"/>
      <c r="N15" s="9">
        <v>177</v>
      </c>
    </row>
    <row r="16" spans="1:14" x14ac:dyDescent="0.25">
      <c r="A16" s="1" t="s">
        <v>8441</v>
      </c>
      <c r="B16" s="9"/>
      <c r="C16" s="9"/>
      <c r="D16" s="9"/>
      <c r="E16" s="9"/>
      <c r="F16" s="9"/>
      <c r="G16" s="9">
        <v>1.2</v>
      </c>
      <c r="H16" s="9"/>
      <c r="I16" s="9">
        <v>0.2</v>
      </c>
      <c r="J16" s="9"/>
      <c r="K16" s="9"/>
      <c r="L16" s="9"/>
      <c r="M16" s="9"/>
      <c r="N16" s="9">
        <v>1.4</v>
      </c>
    </row>
    <row r="17" spans="1:14" x14ac:dyDescent="0.25">
      <c r="A17" s="1" t="s">
        <v>8451</v>
      </c>
      <c r="B17" s="9"/>
      <c r="C17" s="9"/>
      <c r="D17" s="9"/>
      <c r="E17" s="9"/>
      <c r="F17" s="9"/>
      <c r="G17" s="9"/>
      <c r="H17" s="9"/>
      <c r="I17" s="9">
        <v>47.3</v>
      </c>
      <c r="J17" s="9"/>
      <c r="K17" s="9"/>
      <c r="L17" s="9"/>
      <c r="M17" s="9"/>
      <c r="N17" s="9">
        <v>47.3</v>
      </c>
    </row>
    <row r="18" spans="1:14" x14ac:dyDescent="0.25">
      <c r="A18" s="1" t="s">
        <v>8464</v>
      </c>
      <c r="B18" s="9"/>
      <c r="C18" s="9"/>
      <c r="D18" s="9"/>
      <c r="E18" s="9"/>
      <c r="F18" s="9"/>
      <c r="G18" s="9">
        <v>75.300000000000011</v>
      </c>
      <c r="H18" s="9"/>
      <c r="I18" s="9">
        <v>41.2</v>
      </c>
      <c r="J18" s="9"/>
      <c r="K18" s="9"/>
      <c r="L18" s="9"/>
      <c r="M18" s="9"/>
      <c r="N18" s="9">
        <v>116.50000000000001</v>
      </c>
    </row>
    <row r="19" spans="1:14" x14ac:dyDescent="0.25">
      <c r="A19" s="1" t="s">
        <v>8467</v>
      </c>
      <c r="B19" s="9"/>
      <c r="C19" s="9"/>
      <c r="D19" s="9"/>
      <c r="E19" s="9"/>
      <c r="F19" s="9"/>
      <c r="G19" s="9"/>
      <c r="H19" s="9"/>
      <c r="I19" s="9">
        <v>14.299999999999999</v>
      </c>
      <c r="J19" s="9"/>
      <c r="K19" s="9"/>
      <c r="L19" s="9"/>
      <c r="M19" s="9"/>
      <c r="N19" s="9">
        <v>14.299999999999999</v>
      </c>
    </row>
    <row r="20" spans="1:14" x14ac:dyDescent="0.25">
      <c r="A20" s="1" t="s">
        <v>8468</v>
      </c>
      <c r="B20" s="9"/>
      <c r="C20" s="9"/>
      <c r="D20" s="9">
        <v>23.4</v>
      </c>
      <c r="E20" s="9"/>
      <c r="F20" s="9"/>
      <c r="G20" s="9"/>
      <c r="H20" s="9"/>
      <c r="I20" s="9">
        <v>2.2000000000000002</v>
      </c>
      <c r="J20" s="9"/>
      <c r="K20" s="9"/>
      <c r="L20" s="9"/>
      <c r="M20" s="9"/>
      <c r="N20" s="9">
        <v>25.599999999999998</v>
      </c>
    </row>
    <row r="21" spans="1:14" x14ac:dyDescent="0.25">
      <c r="A21" s="1" t="s">
        <v>8469</v>
      </c>
      <c r="B21" s="9"/>
      <c r="C21" s="9"/>
      <c r="D21" s="9">
        <v>0.9</v>
      </c>
      <c r="E21" s="9"/>
      <c r="F21" s="9"/>
      <c r="G21" s="9"/>
      <c r="H21" s="9">
        <v>3.0999999999999996</v>
      </c>
      <c r="I21" s="9">
        <v>339.79999999999995</v>
      </c>
      <c r="J21" s="9"/>
      <c r="K21" s="9">
        <v>45</v>
      </c>
      <c r="L21" s="9"/>
      <c r="M21" s="9"/>
      <c r="N21" s="9">
        <v>388.79999999999995</v>
      </c>
    </row>
    <row r="22" spans="1:14" x14ac:dyDescent="0.25">
      <c r="A22" s="1" t="s">
        <v>8421</v>
      </c>
      <c r="B22" s="9"/>
      <c r="C22" s="9">
        <v>161.89999999999998</v>
      </c>
      <c r="D22" s="9">
        <v>808.09999999999968</v>
      </c>
      <c r="E22" s="9">
        <v>9.4</v>
      </c>
      <c r="F22" s="9"/>
      <c r="G22" s="9">
        <v>364.2000000000001</v>
      </c>
      <c r="H22" s="9">
        <v>184</v>
      </c>
      <c r="I22" s="9">
        <v>1873.8</v>
      </c>
      <c r="J22" s="9">
        <v>1010.2999999999998</v>
      </c>
      <c r="K22" s="9">
        <v>2734.5000000000009</v>
      </c>
      <c r="L22" s="9"/>
      <c r="M22" s="9">
        <v>75.699999999999989</v>
      </c>
      <c r="N22" s="9">
        <v>7221.9000000000005</v>
      </c>
    </row>
    <row r="23" spans="1:14" x14ac:dyDescent="0.25">
      <c r="A23" s="1" t="s">
        <v>8425</v>
      </c>
      <c r="B23" s="9"/>
      <c r="C23" s="9"/>
      <c r="D23" s="9"/>
      <c r="E23" s="9"/>
      <c r="F23" s="9"/>
      <c r="G23" s="9">
        <v>25.900000000000016</v>
      </c>
      <c r="H23" s="9"/>
      <c r="I23" s="9"/>
      <c r="J23" s="9"/>
      <c r="K23" s="9"/>
      <c r="L23" s="9"/>
      <c r="M23" s="9"/>
      <c r="N23" s="9">
        <v>25.900000000000016</v>
      </c>
    </row>
    <row r="24" spans="1:14" x14ac:dyDescent="0.25">
      <c r="A24" s="1" t="s">
        <v>8476</v>
      </c>
      <c r="B24" s="9"/>
      <c r="C24" s="9"/>
      <c r="D24" s="9"/>
      <c r="E24" s="9"/>
      <c r="F24" s="9"/>
      <c r="G24" s="9">
        <v>1.9</v>
      </c>
      <c r="H24" s="9"/>
      <c r="I24" s="9">
        <v>9.1999999999999993</v>
      </c>
      <c r="J24" s="9"/>
      <c r="K24" s="9"/>
      <c r="L24" s="9"/>
      <c r="M24" s="9"/>
      <c r="N24" s="9">
        <v>11.1</v>
      </c>
    </row>
    <row r="25" spans="1:14" x14ac:dyDescent="0.25">
      <c r="A25" s="1" t="s">
        <v>8471</v>
      </c>
      <c r="B25" s="9">
        <v>785.3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>
        <v>785.3</v>
      </c>
    </row>
    <row r="26" spans="1:14" x14ac:dyDescent="0.25">
      <c r="A26" s="1" t="s">
        <v>8775</v>
      </c>
      <c r="B26" s="9"/>
      <c r="C26" s="9"/>
      <c r="D26" s="9">
        <v>1.1000000000000001</v>
      </c>
      <c r="E26" s="9"/>
      <c r="F26" s="9"/>
      <c r="G26" s="9"/>
      <c r="H26" s="9"/>
      <c r="I26" s="9"/>
      <c r="J26" s="9"/>
      <c r="K26" s="9"/>
      <c r="L26" s="9"/>
      <c r="M26" s="9"/>
      <c r="N26" s="9">
        <v>1.1000000000000001</v>
      </c>
    </row>
    <row r="27" spans="1:14" x14ac:dyDescent="0.25">
      <c r="A27" s="1" t="s">
        <v>8457</v>
      </c>
      <c r="B27" s="9">
        <v>786.4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>
        <v>786.4</v>
      </c>
    </row>
    <row r="28" spans="1:14" x14ac:dyDescent="0.25">
      <c r="A28" s="1" t="s">
        <v>8484</v>
      </c>
      <c r="B28" s="9"/>
      <c r="C28" s="9"/>
      <c r="D28" s="9"/>
      <c r="E28" s="9"/>
      <c r="F28" s="9"/>
      <c r="G28" s="9"/>
      <c r="H28" s="9"/>
      <c r="I28" s="9">
        <v>1.8</v>
      </c>
      <c r="J28" s="9"/>
      <c r="K28" s="9"/>
      <c r="L28" s="9"/>
      <c r="M28" s="9"/>
      <c r="N28" s="9">
        <v>1.8</v>
      </c>
    </row>
    <row r="29" spans="1:14" x14ac:dyDescent="0.25">
      <c r="A29" s="1" t="s">
        <v>8486</v>
      </c>
      <c r="B29" s="9"/>
      <c r="C29" s="9"/>
      <c r="D29" s="9"/>
      <c r="E29" s="9"/>
      <c r="F29" s="9"/>
      <c r="G29" s="9"/>
      <c r="H29" s="9">
        <v>54.1</v>
      </c>
      <c r="I29" s="9"/>
      <c r="J29" s="9"/>
      <c r="K29" s="9"/>
      <c r="L29" s="9"/>
      <c r="M29" s="9"/>
      <c r="N29" s="9">
        <v>54.1</v>
      </c>
    </row>
    <row r="30" spans="1:14" x14ac:dyDescent="0.25">
      <c r="A30" s="1" t="s">
        <v>8488</v>
      </c>
      <c r="B30" s="9"/>
      <c r="C30" s="9"/>
      <c r="D30" s="9"/>
      <c r="E30" s="9"/>
      <c r="F30" s="9"/>
      <c r="G30" s="9"/>
      <c r="H30" s="9"/>
      <c r="I30" s="9">
        <v>14.4</v>
      </c>
      <c r="J30" s="9"/>
      <c r="K30" s="9"/>
      <c r="L30" s="9"/>
      <c r="M30" s="9"/>
      <c r="N30" s="9">
        <v>14.4</v>
      </c>
    </row>
    <row r="31" spans="1:14" x14ac:dyDescent="0.25">
      <c r="A31" s="1" t="s">
        <v>8819</v>
      </c>
      <c r="B31" s="9"/>
      <c r="C31" s="9"/>
      <c r="D31" s="9">
        <v>1.5</v>
      </c>
      <c r="E31" s="9"/>
      <c r="F31" s="9"/>
      <c r="G31" s="9"/>
      <c r="H31" s="9"/>
      <c r="I31" s="9"/>
      <c r="J31" s="9"/>
      <c r="K31" s="9"/>
      <c r="L31" s="9"/>
      <c r="M31" s="9"/>
      <c r="N31" s="9">
        <v>1.5</v>
      </c>
    </row>
    <row r="32" spans="1:14" x14ac:dyDescent="0.25">
      <c r="A32" s="1" t="s">
        <v>6051</v>
      </c>
      <c r="B32" s="9">
        <v>1172.5</v>
      </c>
      <c r="C32" s="9">
        <v>95.4</v>
      </c>
      <c r="D32" s="9">
        <v>613.00000000000011</v>
      </c>
      <c r="E32" s="9"/>
      <c r="F32" s="9"/>
      <c r="G32" s="9">
        <v>61.1</v>
      </c>
      <c r="H32" s="9">
        <v>65</v>
      </c>
      <c r="I32" s="9">
        <v>8.1</v>
      </c>
      <c r="J32" s="9"/>
      <c r="K32" s="9">
        <v>31.400000000000002</v>
      </c>
      <c r="L32" s="9"/>
      <c r="M32" s="9">
        <v>8.8000000000000007</v>
      </c>
      <c r="N32" s="9">
        <v>2055.3000000000002</v>
      </c>
    </row>
    <row r="33" spans="1:14" x14ac:dyDescent="0.25">
      <c r="A33" s="1" t="s">
        <v>8699</v>
      </c>
      <c r="B33" s="9"/>
      <c r="C33" s="9"/>
      <c r="D33" s="9"/>
      <c r="E33" s="9"/>
      <c r="F33" s="9"/>
      <c r="G33" s="9">
        <v>1.1000000000000001</v>
      </c>
      <c r="H33" s="9"/>
      <c r="I33" s="9"/>
      <c r="J33" s="9"/>
      <c r="K33" s="9"/>
      <c r="L33" s="9"/>
      <c r="M33" s="9"/>
      <c r="N33" s="9">
        <v>1.1000000000000001</v>
      </c>
    </row>
    <row r="34" spans="1:14" x14ac:dyDescent="0.25">
      <c r="A34" s="1" t="s">
        <v>8825</v>
      </c>
      <c r="B34" s="9"/>
      <c r="C34" s="9"/>
      <c r="D34" s="9">
        <v>8.9</v>
      </c>
      <c r="E34" s="9"/>
      <c r="F34" s="9"/>
      <c r="G34" s="9"/>
      <c r="H34" s="9"/>
      <c r="I34" s="9"/>
      <c r="J34" s="9"/>
      <c r="K34" s="9"/>
      <c r="L34" s="9"/>
      <c r="M34" s="9"/>
      <c r="N34" s="9">
        <v>8.9</v>
      </c>
    </row>
    <row r="35" spans="1:14" x14ac:dyDescent="0.25">
      <c r="A35" s="1" t="s">
        <v>8816</v>
      </c>
      <c r="B35" s="9"/>
      <c r="C35" s="9"/>
      <c r="D35" s="9">
        <v>4.9000000000000004</v>
      </c>
      <c r="E35" s="9"/>
      <c r="F35" s="9"/>
      <c r="G35" s="9"/>
      <c r="H35" s="9"/>
      <c r="I35" s="9"/>
      <c r="J35" s="9"/>
      <c r="K35" s="9"/>
      <c r="L35" s="9"/>
      <c r="M35" s="9"/>
      <c r="N35" s="9">
        <v>4.9000000000000004</v>
      </c>
    </row>
    <row r="36" spans="1:14" x14ac:dyDescent="0.25">
      <c r="A36" s="1" t="s">
        <v>8446</v>
      </c>
      <c r="B36" s="9"/>
      <c r="C36" s="9"/>
      <c r="D36" s="9"/>
      <c r="E36" s="9"/>
      <c r="F36" s="9"/>
      <c r="G36" s="9"/>
      <c r="H36" s="9"/>
      <c r="I36" s="9">
        <v>11.7</v>
      </c>
      <c r="J36" s="9"/>
      <c r="K36" s="9"/>
      <c r="L36" s="9"/>
      <c r="M36" s="9"/>
      <c r="N36" s="9">
        <v>11.7</v>
      </c>
    </row>
    <row r="37" spans="1:14" x14ac:dyDescent="0.25">
      <c r="A37" s="1" t="s">
        <v>8588</v>
      </c>
      <c r="B37" s="9"/>
      <c r="C37" s="9"/>
      <c r="D37" s="9"/>
      <c r="E37" s="9"/>
      <c r="F37" s="9"/>
      <c r="G37" s="9">
        <v>0.6</v>
      </c>
      <c r="H37" s="9"/>
      <c r="I37" s="9"/>
      <c r="J37" s="9"/>
      <c r="K37" s="9"/>
      <c r="L37" s="9"/>
      <c r="M37" s="9"/>
      <c r="N37" s="9">
        <v>0.6</v>
      </c>
    </row>
    <row r="38" spans="1:14" x14ac:dyDescent="0.25">
      <c r="A38" s="1" t="s">
        <v>8774</v>
      </c>
      <c r="B38" s="9"/>
      <c r="C38" s="9"/>
      <c r="D38" s="9">
        <v>49.4</v>
      </c>
      <c r="E38" s="9"/>
      <c r="F38" s="9"/>
      <c r="G38" s="9"/>
      <c r="H38" s="9"/>
      <c r="I38" s="9"/>
      <c r="J38" s="9"/>
      <c r="K38" s="9"/>
      <c r="L38" s="9"/>
      <c r="M38" s="9"/>
      <c r="N38" s="9">
        <v>49.4</v>
      </c>
    </row>
    <row r="39" spans="1:14" x14ac:dyDescent="0.25">
      <c r="A39" s="1" t="s">
        <v>8829</v>
      </c>
      <c r="B39" s="9"/>
      <c r="C39" s="9"/>
      <c r="D39" s="9"/>
      <c r="E39" s="9"/>
      <c r="F39" s="9"/>
      <c r="G39" s="9"/>
      <c r="H39" s="9">
        <v>5</v>
      </c>
      <c r="I39" s="9"/>
      <c r="J39" s="9"/>
      <c r="K39" s="9"/>
      <c r="L39" s="9"/>
      <c r="M39" s="9"/>
      <c r="N39" s="9">
        <v>5</v>
      </c>
    </row>
    <row r="40" spans="1:14" x14ac:dyDescent="0.25">
      <c r="A40" s="1" t="s">
        <v>8519</v>
      </c>
      <c r="B40" s="9"/>
      <c r="C40" s="9"/>
      <c r="D40" s="9"/>
      <c r="E40" s="9"/>
      <c r="F40" s="9"/>
      <c r="G40" s="9"/>
      <c r="H40" s="9"/>
      <c r="I40" s="9">
        <v>2.8</v>
      </c>
      <c r="J40" s="9"/>
      <c r="K40" s="9"/>
      <c r="L40" s="9"/>
      <c r="M40" s="9"/>
      <c r="N40" s="9">
        <v>2.8</v>
      </c>
    </row>
    <row r="41" spans="1:14" x14ac:dyDescent="0.25">
      <c r="A41" s="1" t="s">
        <v>8783</v>
      </c>
      <c r="B41" s="9"/>
      <c r="C41" s="9"/>
      <c r="D41" s="9"/>
      <c r="E41" s="9"/>
      <c r="F41" s="9"/>
      <c r="G41" s="9"/>
      <c r="H41" s="9"/>
      <c r="I41" s="9">
        <v>0.4</v>
      </c>
      <c r="J41" s="9"/>
      <c r="K41" s="9"/>
      <c r="L41" s="9"/>
      <c r="M41" s="9"/>
      <c r="N41" s="9">
        <v>0.4</v>
      </c>
    </row>
    <row r="42" spans="1:14" x14ac:dyDescent="0.25">
      <c r="A42" s="1" t="s">
        <v>8657</v>
      </c>
      <c r="B42" s="9"/>
      <c r="C42" s="9"/>
      <c r="D42" s="9">
        <v>31.4</v>
      </c>
      <c r="E42" s="9"/>
      <c r="F42" s="9"/>
      <c r="G42" s="9"/>
      <c r="H42" s="9"/>
      <c r="I42" s="9"/>
      <c r="J42" s="9"/>
      <c r="K42" s="9"/>
      <c r="L42" s="9"/>
      <c r="M42" s="9"/>
      <c r="N42" s="9">
        <v>31.4</v>
      </c>
    </row>
    <row r="43" spans="1:14" x14ac:dyDescent="0.25">
      <c r="A43" s="1" t="s">
        <v>8526</v>
      </c>
      <c r="B43" s="9"/>
      <c r="C43" s="9"/>
      <c r="D43" s="9"/>
      <c r="E43" s="9"/>
      <c r="F43" s="9"/>
      <c r="G43" s="9"/>
      <c r="H43" s="9"/>
      <c r="I43" s="9">
        <v>13.6</v>
      </c>
      <c r="J43" s="9"/>
      <c r="K43" s="9"/>
      <c r="L43" s="9"/>
      <c r="M43" s="9"/>
      <c r="N43" s="9">
        <v>13.6</v>
      </c>
    </row>
    <row r="44" spans="1:14" x14ac:dyDescent="0.25">
      <c r="A44" s="1" t="s">
        <v>8536</v>
      </c>
      <c r="B44" s="9"/>
      <c r="C44" s="9"/>
      <c r="D44" s="9"/>
      <c r="E44" s="9"/>
      <c r="F44" s="9"/>
      <c r="G44" s="9"/>
      <c r="H44" s="9"/>
      <c r="I44" s="9">
        <v>34.5</v>
      </c>
      <c r="J44" s="9"/>
      <c r="K44" s="9"/>
      <c r="L44" s="9"/>
      <c r="M44" s="9"/>
      <c r="N44" s="9">
        <v>34.5</v>
      </c>
    </row>
    <row r="45" spans="1:14" x14ac:dyDescent="0.25">
      <c r="A45" s="1" t="s">
        <v>8417</v>
      </c>
      <c r="B45" s="9">
        <v>854.1</v>
      </c>
      <c r="C45" s="9">
        <v>1257.9000000000001</v>
      </c>
      <c r="D45" s="9">
        <v>10</v>
      </c>
      <c r="E45" s="9"/>
      <c r="F45" s="9"/>
      <c r="G45" s="9">
        <v>450.59999999999997</v>
      </c>
      <c r="H45" s="9"/>
      <c r="I45" s="9">
        <v>204.4</v>
      </c>
      <c r="J45" s="9"/>
      <c r="K45" s="9">
        <v>1865.1</v>
      </c>
      <c r="L45" s="9"/>
      <c r="M45" s="9"/>
      <c r="N45" s="9">
        <v>4642.1000000000004</v>
      </c>
    </row>
    <row r="46" spans="1:14" x14ac:dyDescent="0.25">
      <c r="A46" s="1" t="s">
        <v>8559</v>
      </c>
      <c r="B46" s="9"/>
      <c r="C46" s="9"/>
      <c r="D46" s="9"/>
      <c r="E46" s="9"/>
      <c r="F46" s="9"/>
      <c r="G46" s="9"/>
      <c r="H46" s="9"/>
      <c r="I46" s="9">
        <v>0.4</v>
      </c>
      <c r="J46" s="9"/>
      <c r="K46" s="9"/>
      <c r="L46" s="9"/>
      <c r="M46" s="9"/>
      <c r="N46" s="9">
        <v>0.4</v>
      </c>
    </row>
    <row r="47" spans="1:14" x14ac:dyDescent="0.25">
      <c r="A47" s="1" t="s">
        <v>8502</v>
      </c>
      <c r="B47" s="9"/>
      <c r="C47" s="9"/>
      <c r="D47" s="9"/>
      <c r="E47" s="9"/>
      <c r="F47" s="9"/>
      <c r="G47" s="9"/>
      <c r="H47" s="9"/>
      <c r="I47" s="9">
        <v>1</v>
      </c>
      <c r="J47" s="9"/>
      <c r="K47" s="9"/>
      <c r="L47" s="9"/>
      <c r="M47" s="9"/>
      <c r="N47" s="9">
        <v>1</v>
      </c>
    </row>
    <row r="48" spans="1:14" x14ac:dyDescent="0.25">
      <c r="A48" s="1" t="s">
        <v>1305</v>
      </c>
      <c r="B48" s="9"/>
      <c r="C48" s="9"/>
      <c r="D48" s="9"/>
      <c r="E48" s="9"/>
      <c r="F48" s="9"/>
      <c r="G48" s="9">
        <v>0.30000000000000004</v>
      </c>
      <c r="H48" s="9"/>
      <c r="I48" s="9">
        <v>1.2</v>
      </c>
      <c r="J48" s="9"/>
      <c r="K48" s="9"/>
      <c r="L48" s="9"/>
      <c r="M48" s="9"/>
      <c r="N48" s="9">
        <v>1.5</v>
      </c>
    </row>
    <row r="49" spans="1:14" x14ac:dyDescent="0.25">
      <c r="A49" s="1" t="s">
        <v>8477</v>
      </c>
      <c r="B49" s="9"/>
      <c r="C49" s="9"/>
      <c r="D49" s="9"/>
      <c r="E49" s="9"/>
      <c r="F49" s="9"/>
      <c r="G49" s="9"/>
      <c r="H49" s="9"/>
      <c r="I49" s="9">
        <v>68.5</v>
      </c>
      <c r="J49" s="9">
        <v>49.9</v>
      </c>
      <c r="K49" s="9"/>
      <c r="L49" s="9"/>
      <c r="M49" s="9">
        <v>2</v>
      </c>
      <c r="N49" s="9">
        <v>120.4</v>
      </c>
    </row>
    <row r="50" spans="1:14" x14ac:dyDescent="0.25">
      <c r="A50" s="1" t="s">
        <v>8420</v>
      </c>
      <c r="B50" s="9"/>
      <c r="C50" s="9"/>
      <c r="D50" s="9">
        <v>59.100000000000009</v>
      </c>
      <c r="E50" s="9"/>
      <c r="F50" s="9"/>
      <c r="G50" s="9"/>
      <c r="H50" s="9">
        <v>40.299999999999997</v>
      </c>
      <c r="I50" s="9"/>
      <c r="J50" s="9"/>
      <c r="K50" s="9"/>
      <c r="L50" s="9"/>
      <c r="M50" s="9">
        <v>351.8</v>
      </c>
      <c r="N50" s="9">
        <v>451.20000000000005</v>
      </c>
    </row>
    <row r="51" spans="1:14" x14ac:dyDescent="0.25">
      <c r="A51" s="1" t="s">
        <v>8423</v>
      </c>
      <c r="B51" s="9">
        <v>2919.2000000000003</v>
      </c>
      <c r="C51" s="9">
        <v>14.5</v>
      </c>
      <c r="D51" s="9">
        <v>282.89999999999998</v>
      </c>
      <c r="E51" s="9">
        <v>11.5</v>
      </c>
      <c r="F51" s="9"/>
      <c r="G51" s="9">
        <v>4014.8</v>
      </c>
      <c r="H51" s="9">
        <v>0.4</v>
      </c>
      <c r="I51" s="9">
        <v>2427.1</v>
      </c>
      <c r="J51" s="9">
        <v>0</v>
      </c>
      <c r="K51" s="9">
        <v>2842.7</v>
      </c>
      <c r="L51" s="9">
        <v>1330.3999999999999</v>
      </c>
      <c r="M51" s="9">
        <v>7.6000000000000005</v>
      </c>
      <c r="N51" s="9">
        <v>13851.099999999999</v>
      </c>
    </row>
    <row r="52" spans="1:14" x14ac:dyDescent="0.25">
      <c r="A52" s="1" t="s">
        <v>2436</v>
      </c>
      <c r="B52" s="9"/>
      <c r="C52" s="9"/>
      <c r="D52" s="9"/>
      <c r="E52" s="9"/>
      <c r="F52" s="9"/>
      <c r="G52" s="9">
        <v>2.7</v>
      </c>
      <c r="H52" s="9"/>
      <c r="I52" s="9">
        <v>12.5</v>
      </c>
      <c r="J52" s="9"/>
      <c r="K52" s="9"/>
      <c r="L52" s="9"/>
      <c r="M52" s="9"/>
      <c r="N52" s="9">
        <v>15.2</v>
      </c>
    </row>
    <row r="53" spans="1:14" x14ac:dyDescent="0.25">
      <c r="A53" s="1" t="s">
        <v>8587</v>
      </c>
      <c r="B53" s="9"/>
      <c r="C53" s="9"/>
      <c r="D53" s="9">
        <v>46.5</v>
      </c>
      <c r="E53" s="9"/>
      <c r="F53" s="9"/>
      <c r="G53" s="9">
        <v>0.3</v>
      </c>
      <c r="H53" s="9">
        <v>8</v>
      </c>
      <c r="I53" s="9">
        <v>27.4</v>
      </c>
      <c r="J53" s="9"/>
      <c r="K53" s="9"/>
      <c r="L53" s="9"/>
      <c r="M53" s="9">
        <v>2</v>
      </c>
      <c r="N53" s="9">
        <v>84.199999999999989</v>
      </c>
    </row>
    <row r="54" spans="1:14" x14ac:dyDescent="0.25">
      <c r="A54" s="1" t="s">
        <v>8613</v>
      </c>
      <c r="B54" s="9"/>
      <c r="C54" s="9"/>
      <c r="D54" s="9"/>
      <c r="E54" s="9"/>
      <c r="F54" s="9"/>
      <c r="G54" s="9"/>
      <c r="H54" s="9"/>
      <c r="I54" s="9">
        <v>0.1</v>
      </c>
      <c r="J54" s="9"/>
      <c r="K54" s="9"/>
      <c r="L54" s="9"/>
      <c r="M54" s="9"/>
      <c r="N54" s="9">
        <v>0.1</v>
      </c>
    </row>
    <row r="55" spans="1:14" x14ac:dyDescent="0.25">
      <c r="A55" s="1" t="s">
        <v>2147</v>
      </c>
      <c r="B55" s="9"/>
      <c r="C55" s="9"/>
      <c r="D55" s="9"/>
      <c r="E55" s="9"/>
      <c r="F55" s="9"/>
      <c r="G55" s="9"/>
      <c r="H55" s="9"/>
      <c r="I55" s="9">
        <v>0.2</v>
      </c>
      <c r="J55" s="9"/>
      <c r="K55" s="9"/>
      <c r="L55" s="9"/>
      <c r="M55" s="9"/>
      <c r="N55" s="9">
        <v>0.2</v>
      </c>
    </row>
    <row r="56" spans="1:14" x14ac:dyDescent="0.25">
      <c r="A56" s="1" t="s">
        <v>928</v>
      </c>
      <c r="B56" s="9"/>
      <c r="C56" s="9"/>
      <c r="D56" s="9">
        <v>234.3</v>
      </c>
      <c r="E56" s="9"/>
      <c r="F56" s="9"/>
      <c r="G56" s="9"/>
      <c r="H56" s="9"/>
      <c r="I56" s="9"/>
      <c r="J56" s="9"/>
      <c r="K56" s="9"/>
      <c r="L56" s="9"/>
      <c r="M56" s="9"/>
      <c r="N56" s="9">
        <v>234.3</v>
      </c>
    </row>
    <row r="57" spans="1:14" x14ac:dyDescent="0.25">
      <c r="A57" s="1" t="s">
        <v>8442</v>
      </c>
      <c r="B57" s="9"/>
      <c r="C57" s="9"/>
      <c r="D57" s="9"/>
      <c r="E57" s="9"/>
      <c r="F57" s="9"/>
      <c r="G57" s="9">
        <v>25.599999999999998</v>
      </c>
      <c r="H57" s="9"/>
      <c r="I57" s="9">
        <v>222.79999999999995</v>
      </c>
      <c r="J57" s="9"/>
      <c r="K57" s="9">
        <v>0.2</v>
      </c>
      <c r="L57" s="9"/>
      <c r="M57" s="9"/>
      <c r="N57" s="9">
        <v>248.59999999999994</v>
      </c>
    </row>
    <row r="58" spans="1:14" x14ac:dyDescent="0.25">
      <c r="A58" s="1" t="s">
        <v>8640</v>
      </c>
      <c r="B58" s="9"/>
      <c r="C58" s="9"/>
      <c r="D58" s="9">
        <v>97.9</v>
      </c>
      <c r="E58" s="9"/>
      <c r="F58" s="9"/>
      <c r="G58" s="9"/>
      <c r="H58" s="9"/>
      <c r="I58" s="9"/>
      <c r="J58" s="9"/>
      <c r="K58" s="9"/>
      <c r="L58" s="9"/>
      <c r="M58" s="9"/>
      <c r="N58" s="9">
        <v>97.9</v>
      </c>
    </row>
    <row r="59" spans="1:14" x14ac:dyDescent="0.25">
      <c r="A59" s="1" t="s">
        <v>8419</v>
      </c>
      <c r="B59" s="9"/>
      <c r="C59" s="9">
        <v>53.000000000000007</v>
      </c>
      <c r="D59" s="9">
        <v>194.8</v>
      </c>
      <c r="E59" s="9"/>
      <c r="F59" s="9"/>
      <c r="G59" s="9">
        <v>140.30000000000001</v>
      </c>
      <c r="H59" s="9">
        <v>26.099999999999998</v>
      </c>
      <c r="I59" s="9">
        <v>1175.6000000000004</v>
      </c>
      <c r="J59" s="9"/>
      <c r="K59" s="9">
        <v>693.19999999999993</v>
      </c>
      <c r="L59" s="9"/>
      <c r="M59" s="9">
        <v>25.5</v>
      </c>
      <c r="N59" s="9">
        <v>2308.5000000000005</v>
      </c>
    </row>
    <row r="60" spans="1:14" x14ac:dyDescent="0.25">
      <c r="A60" s="1" t="s">
        <v>8524</v>
      </c>
      <c r="B60" s="9">
        <v>1989.7</v>
      </c>
      <c r="C60" s="9"/>
      <c r="D60" s="9">
        <v>34.299999999999997</v>
      </c>
      <c r="E60" s="9"/>
      <c r="F60" s="9"/>
      <c r="G60" s="9">
        <v>77.3</v>
      </c>
      <c r="H60" s="9"/>
      <c r="I60" s="9">
        <v>177</v>
      </c>
      <c r="J60" s="9"/>
      <c r="K60" s="9">
        <v>1407.8999999999999</v>
      </c>
      <c r="L60" s="9"/>
      <c r="M60" s="9"/>
      <c r="N60" s="9">
        <v>3686.2</v>
      </c>
    </row>
    <row r="61" spans="1:14" x14ac:dyDescent="0.25">
      <c r="A61" s="1" t="s">
        <v>8603</v>
      </c>
      <c r="B61" s="9"/>
      <c r="C61" s="9"/>
      <c r="D61" s="9"/>
      <c r="E61" s="9"/>
      <c r="F61" s="9"/>
      <c r="G61" s="9">
        <v>3.7</v>
      </c>
      <c r="H61" s="9"/>
      <c r="I61" s="9">
        <v>5.8000000000000007</v>
      </c>
      <c r="J61" s="9"/>
      <c r="K61" s="9"/>
      <c r="L61" s="9"/>
      <c r="M61" s="9"/>
      <c r="N61" s="9">
        <v>9.5</v>
      </c>
    </row>
    <row r="62" spans="1:14" x14ac:dyDescent="0.25">
      <c r="A62" s="1" t="s">
        <v>3164</v>
      </c>
      <c r="B62" s="9"/>
      <c r="C62" s="9">
        <v>0</v>
      </c>
      <c r="D62" s="9"/>
      <c r="E62" s="9"/>
      <c r="F62" s="9"/>
      <c r="G62" s="9">
        <v>0.3</v>
      </c>
      <c r="H62" s="9"/>
      <c r="I62" s="9">
        <v>414.29999999999995</v>
      </c>
      <c r="J62" s="9"/>
      <c r="K62" s="9">
        <v>18.8</v>
      </c>
      <c r="L62" s="9"/>
      <c r="M62" s="9"/>
      <c r="N62" s="9">
        <v>433.4</v>
      </c>
    </row>
    <row r="63" spans="1:14" x14ac:dyDescent="0.25">
      <c r="A63" s="1" t="s">
        <v>8820</v>
      </c>
      <c r="B63" s="9"/>
      <c r="C63" s="9">
        <v>17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>
        <v>17</v>
      </c>
    </row>
    <row r="64" spans="1:14" x14ac:dyDescent="0.25">
      <c r="A64" s="1" t="s">
        <v>8518</v>
      </c>
      <c r="B64" s="9"/>
      <c r="C64" s="9"/>
      <c r="D64" s="9">
        <v>30.6</v>
      </c>
      <c r="E64" s="9"/>
      <c r="F64" s="9"/>
      <c r="G64" s="9"/>
      <c r="H64" s="9"/>
      <c r="I64" s="9">
        <v>0.6</v>
      </c>
      <c r="J64" s="9"/>
      <c r="K64" s="9"/>
      <c r="L64" s="9"/>
      <c r="M64" s="9"/>
      <c r="N64" s="9">
        <v>31.200000000000003</v>
      </c>
    </row>
    <row r="65" spans="1:14" x14ac:dyDescent="0.25">
      <c r="A65" s="1" t="s">
        <v>4059</v>
      </c>
      <c r="B65" s="9"/>
      <c r="C65" s="9"/>
      <c r="D65" s="9"/>
      <c r="E65" s="9"/>
      <c r="F65" s="9"/>
      <c r="G65" s="9"/>
      <c r="H65" s="9"/>
      <c r="I65" s="9">
        <v>1416.9000000000005</v>
      </c>
      <c r="J65" s="9">
        <v>199.70000000000002</v>
      </c>
      <c r="K65" s="9">
        <v>410.4</v>
      </c>
      <c r="L65" s="9"/>
      <c r="M65" s="9"/>
      <c r="N65" s="9">
        <v>2027.0000000000005</v>
      </c>
    </row>
    <row r="66" spans="1:14" x14ac:dyDescent="0.25">
      <c r="A66" s="1" t="s">
        <v>8644</v>
      </c>
      <c r="B66" s="9"/>
      <c r="C66" s="9"/>
      <c r="D66" s="9"/>
      <c r="E66" s="9"/>
      <c r="F66" s="9"/>
      <c r="G66" s="9"/>
      <c r="H66" s="9"/>
      <c r="I66" s="9">
        <v>37.200000000000003</v>
      </c>
      <c r="J66" s="9"/>
      <c r="K66" s="9"/>
      <c r="L66" s="9"/>
      <c r="M66" s="9"/>
      <c r="N66" s="9">
        <v>37.200000000000003</v>
      </c>
    </row>
    <row r="67" spans="1:14" x14ac:dyDescent="0.25">
      <c r="A67" s="1" t="s">
        <v>8667</v>
      </c>
      <c r="B67" s="9"/>
      <c r="C67" s="9"/>
      <c r="D67" s="9"/>
      <c r="E67" s="9"/>
      <c r="F67" s="9"/>
      <c r="G67" s="9">
        <v>1.5</v>
      </c>
      <c r="H67" s="9"/>
      <c r="I67" s="9"/>
      <c r="J67" s="9"/>
      <c r="K67" s="9"/>
      <c r="L67" s="9"/>
      <c r="M67" s="9"/>
      <c r="N67" s="9">
        <v>1.5</v>
      </c>
    </row>
    <row r="68" spans="1:14" x14ac:dyDescent="0.25">
      <c r="A68" s="1" t="s">
        <v>8616</v>
      </c>
      <c r="B68" s="9"/>
      <c r="C68" s="9"/>
      <c r="D68" s="9"/>
      <c r="E68" s="9"/>
      <c r="F68" s="9"/>
      <c r="G68" s="9"/>
      <c r="H68" s="9"/>
      <c r="I68" s="9">
        <v>66.3</v>
      </c>
      <c r="J68" s="9"/>
      <c r="K68" s="9"/>
      <c r="L68" s="9"/>
      <c r="M68" s="9"/>
      <c r="N68" s="9">
        <v>66.3</v>
      </c>
    </row>
    <row r="69" spans="1:14" x14ac:dyDescent="0.25">
      <c r="A69" s="1" t="s">
        <v>8570</v>
      </c>
      <c r="B69" s="9"/>
      <c r="C69" s="9"/>
      <c r="D69" s="9"/>
      <c r="E69" s="9"/>
      <c r="F69" s="9"/>
      <c r="G69" s="9">
        <v>46.599999999999994</v>
      </c>
      <c r="H69" s="9">
        <v>1.8</v>
      </c>
      <c r="I69" s="9">
        <v>2612.2000000000003</v>
      </c>
      <c r="J69" s="9">
        <v>320.10000000000002</v>
      </c>
      <c r="K69" s="9">
        <v>332</v>
      </c>
      <c r="L69" s="9"/>
      <c r="M69" s="9">
        <v>2.2000000000000002</v>
      </c>
      <c r="N69" s="9">
        <v>3314.9</v>
      </c>
    </row>
    <row r="70" spans="1:14" x14ac:dyDescent="0.25">
      <c r="A70" s="1" t="s">
        <v>8605</v>
      </c>
      <c r="B70" s="9"/>
      <c r="C70" s="9">
        <v>6.4</v>
      </c>
      <c r="D70" s="9">
        <v>32.700000000000003</v>
      </c>
      <c r="E70" s="9"/>
      <c r="F70" s="9"/>
      <c r="G70" s="9">
        <v>6.7</v>
      </c>
      <c r="H70" s="9">
        <v>9.2999999999999989</v>
      </c>
      <c r="I70" s="9">
        <v>0.1</v>
      </c>
      <c r="J70" s="9"/>
      <c r="K70" s="9"/>
      <c r="L70" s="9"/>
      <c r="M70" s="9">
        <v>1.9</v>
      </c>
      <c r="N70" s="9">
        <v>57.1</v>
      </c>
    </row>
    <row r="71" spans="1:14" x14ac:dyDescent="0.25">
      <c r="A71" s="1" t="s">
        <v>8630</v>
      </c>
      <c r="B71" s="9"/>
      <c r="C71" s="9"/>
      <c r="D71" s="9"/>
      <c r="E71" s="9"/>
      <c r="F71" s="9"/>
      <c r="G71" s="9"/>
      <c r="H71" s="9"/>
      <c r="I71" s="9">
        <v>12.6</v>
      </c>
      <c r="J71" s="9"/>
      <c r="K71" s="9"/>
      <c r="L71" s="9"/>
      <c r="M71" s="9"/>
      <c r="N71" s="9">
        <v>12.6</v>
      </c>
    </row>
    <row r="72" spans="1:14" x14ac:dyDescent="0.25">
      <c r="A72" s="1" t="s">
        <v>8418</v>
      </c>
      <c r="B72" s="9"/>
      <c r="C72" s="9">
        <v>9.1999999999999993</v>
      </c>
      <c r="D72" s="9">
        <v>189.7</v>
      </c>
      <c r="E72" s="9"/>
      <c r="F72" s="9"/>
      <c r="G72" s="9">
        <v>248.69999999999996</v>
      </c>
      <c r="H72" s="9">
        <v>25.9</v>
      </c>
      <c r="I72" s="9">
        <v>3450.2999999999997</v>
      </c>
      <c r="J72" s="9">
        <v>366.9</v>
      </c>
      <c r="K72" s="9">
        <v>703.39999999999986</v>
      </c>
      <c r="L72" s="9"/>
      <c r="M72" s="9">
        <v>26.7</v>
      </c>
      <c r="N72" s="9">
        <v>5020.7999999999993</v>
      </c>
    </row>
    <row r="73" spans="1:14" x14ac:dyDescent="0.25">
      <c r="A73" s="1" t="s">
        <v>8651</v>
      </c>
      <c r="B73" s="9"/>
      <c r="C73" s="9"/>
      <c r="D73" s="9"/>
      <c r="E73" s="9"/>
      <c r="F73" s="9"/>
      <c r="G73" s="9">
        <v>8.5</v>
      </c>
      <c r="H73" s="9">
        <v>0.3</v>
      </c>
      <c r="I73" s="9">
        <v>1.2</v>
      </c>
      <c r="J73" s="9"/>
      <c r="K73" s="9"/>
      <c r="L73" s="9"/>
      <c r="M73" s="9"/>
      <c r="N73" s="9">
        <v>10</v>
      </c>
    </row>
    <row r="74" spans="1:14" x14ac:dyDescent="0.25">
      <c r="A74" s="1" t="s">
        <v>8661</v>
      </c>
      <c r="B74" s="9"/>
      <c r="C74" s="9"/>
      <c r="D74" s="9"/>
      <c r="E74" s="9"/>
      <c r="F74" s="9"/>
      <c r="G74" s="9"/>
      <c r="H74" s="9"/>
      <c r="I74" s="9">
        <v>0.1</v>
      </c>
      <c r="J74" s="9"/>
      <c r="K74" s="9"/>
      <c r="L74" s="9"/>
      <c r="M74" s="9"/>
      <c r="N74" s="9">
        <v>0.1</v>
      </c>
    </row>
    <row r="75" spans="1:14" x14ac:dyDescent="0.25">
      <c r="A75" s="1" t="s">
        <v>8668</v>
      </c>
      <c r="B75" s="9"/>
      <c r="C75" s="9"/>
      <c r="D75" s="9"/>
      <c r="E75" s="9"/>
      <c r="F75" s="9"/>
      <c r="G75" s="9">
        <v>18.7</v>
      </c>
      <c r="H75" s="9"/>
      <c r="I75" s="9"/>
      <c r="J75" s="9"/>
      <c r="K75" s="9"/>
      <c r="L75" s="9"/>
      <c r="M75" s="9"/>
      <c r="N75" s="9">
        <v>18.7</v>
      </c>
    </row>
    <row r="76" spans="1:14" x14ac:dyDescent="0.25">
      <c r="A76" s="1" t="s">
        <v>8599</v>
      </c>
      <c r="B76" s="9"/>
      <c r="C76" s="9"/>
      <c r="D76" s="9">
        <v>15.8</v>
      </c>
      <c r="E76" s="9"/>
      <c r="F76" s="9"/>
      <c r="G76" s="9">
        <v>2.4</v>
      </c>
      <c r="H76" s="9"/>
      <c r="I76" s="9">
        <v>4.2</v>
      </c>
      <c r="J76" s="9">
        <v>0</v>
      </c>
      <c r="K76" s="9">
        <v>0</v>
      </c>
      <c r="L76" s="9"/>
      <c r="M76" s="9">
        <v>0</v>
      </c>
      <c r="N76" s="9">
        <v>22.4</v>
      </c>
    </row>
    <row r="77" spans="1:14" x14ac:dyDescent="0.25">
      <c r="A77" s="1" t="s">
        <v>8714</v>
      </c>
      <c r="B77" s="9"/>
      <c r="C77" s="9"/>
      <c r="D77" s="9"/>
      <c r="E77" s="9"/>
      <c r="F77" s="9"/>
      <c r="G77" s="9">
        <v>0.6</v>
      </c>
      <c r="H77" s="9"/>
      <c r="I77" s="9">
        <v>0</v>
      </c>
      <c r="J77" s="9"/>
      <c r="K77" s="9"/>
      <c r="L77" s="9"/>
      <c r="M77" s="9"/>
      <c r="N77" s="9">
        <v>0.6</v>
      </c>
    </row>
    <row r="78" spans="1:14" x14ac:dyDescent="0.25">
      <c r="A78" s="1" t="s">
        <v>8480</v>
      </c>
      <c r="B78" s="9"/>
      <c r="C78" s="9"/>
      <c r="D78" s="9"/>
      <c r="E78" s="9"/>
      <c r="F78" s="9"/>
      <c r="G78" s="9">
        <v>2.5</v>
      </c>
      <c r="H78" s="9"/>
      <c r="I78" s="9"/>
      <c r="J78" s="9"/>
      <c r="K78" s="9"/>
      <c r="L78" s="9"/>
      <c r="M78" s="9"/>
      <c r="N78" s="9">
        <v>2.5</v>
      </c>
    </row>
    <row r="79" spans="1:14" x14ac:dyDescent="0.25">
      <c r="A79" s="1" t="s">
        <v>8515</v>
      </c>
      <c r="B79" s="9"/>
      <c r="C79" s="9"/>
      <c r="D79" s="9">
        <v>22.8</v>
      </c>
      <c r="E79" s="9"/>
      <c r="F79" s="9"/>
      <c r="G79" s="9"/>
      <c r="H79" s="9"/>
      <c r="I79" s="9">
        <v>256.5</v>
      </c>
      <c r="J79" s="9"/>
      <c r="K79" s="9"/>
      <c r="L79" s="9"/>
      <c r="M79" s="9"/>
      <c r="N79" s="9">
        <v>279.3</v>
      </c>
    </row>
    <row r="80" spans="1:14" x14ac:dyDescent="0.25">
      <c r="A80" s="1" t="s">
        <v>8821</v>
      </c>
      <c r="B80" s="9"/>
      <c r="C80" s="9">
        <v>50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>
        <v>50</v>
      </c>
    </row>
    <row r="81" spans="1:14" x14ac:dyDescent="0.25">
      <c r="A81" s="1" t="s">
        <v>8429</v>
      </c>
      <c r="B81" s="9">
        <v>5183.3999999999996</v>
      </c>
      <c r="C81" s="9">
        <v>37.1</v>
      </c>
      <c r="D81" s="9">
        <v>299.5</v>
      </c>
      <c r="E81" s="9"/>
      <c r="F81" s="9"/>
      <c r="G81" s="9">
        <v>8346.7000000000007</v>
      </c>
      <c r="H81" s="9">
        <v>20.3</v>
      </c>
      <c r="I81" s="9">
        <v>4125.5</v>
      </c>
      <c r="J81" s="9">
        <v>0</v>
      </c>
      <c r="K81" s="9">
        <v>6544.4</v>
      </c>
      <c r="L81" s="9">
        <v>1511.7</v>
      </c>
      <c r="M81" s="9"/>
      <c r="N81" s="9">
        <v>26068.600000000002</v>
      </c>
    </row>
    <row r="82" spans="1:14" x14ac:dyDescent="0.25">
      <c r="A82" s="1" t="s">
        <v>516</v>
      </c>
      <c r="B82" s="9">
        <v>274.60000000000002</v>
      </c>
      <c r="C82" s="9">
        <v>27</v>
      </c>
      <c r="D82" s="9">
        <v>185.8</v>
      </c>
      <c r="E82" s="9"/>
      <c r="F82" s="9"/>
      <c r="G82" s="9">
        <v>215.1</v>
      </c>
      <c r="H82" s="9">
        <v>1.6</v>
      </c>
      <c r="I82" s="9">
        <v>4650.2000000000025</v>
      </c>
      <c r="J82" s="9">
        <v>99.8</v>
      </c>
      <c r="K82" s="9">
        <v>2547.8000000000006</v>
      </c>
      <c r="L82" s="9"/>
      <c r="M82" s="9">
        <v>8.1999999999999993</v>
      </c>
      <c r="N82" s="9">
        <v>8010.1000000000031</v>
      </c>
    </row>
    <row r="83" spans="1:14" x14ac:dyDescent="0.25">
      <c r="A83" s="1" t="s">
        <v>5210</v>
      </c>
      <c r="B83" s="9"/>
      <c r="C83" s="9"/>
      <c r="D83" s="9"/>
      <c r="E83" s="9"/>
      <c r="F83" s="9"/>
      <c r="G83" s="9"/>
      <c r="H83" s="9"/>
      <c r="I83" s="9">
        <v>4.4000000000000004</v>
      </c>
      <c r="J83" s="9"/>
      <c r="K83" s="9"/>
      <c r="L83" s="9"/>
      <c r="M83" s="9"/>
      <c r="N83" s="9">
        <v>4.4000000000000004</v>
      </c>
    </row>
    <row r="84" spans="1:14" x14ac:dyDescent="0.25">
      <c r="A84" s="1" t="s">
        <v>8682</v>
      </c>
      <c r="B84" s="9"/>
      <c r="C84" s="9"/>
      <c r="D84" s="9"/>
      <c r="E84" s="9"/>
      <c r="F84" s="9"/>
      <c r="G84" s="9"/>
      <c r="H84" s="9"/>
      <c r="I84" s="9">
        <v>1</v>
      </c>
      <c r="J84" s="9"/>
      <c r="K84" s="9"/>
      <c r="L84" s="9"/>
      <c r="M84" s="9"/>
      <c r="N84" s="9">
        <v>1</v>
      </c>
    </row>
    <row r="85" spans="1:14" x14ac:dyDescent="0.25">
      <c r="A85" s="1" t="s">
        <v>7444</v>
      </c>
      <c r="B85" s="9"/>
      <c r="C85" s="9"/>
      <c r="D85" s="9"/>
      <c r="E85" s="9"/>
      <c r="F85" s="9"/>
      <c r="G85" s="9"/>
      <c r="H85" s="9">
        <v>15.6</v>
      </c>
      <c r="I85" s="9"/>
      <c r="J85" s="9"/>
      <c r="K85" s="9"/>
      <c r="L85" s="9"/>
      <c r="M85" s="9"/>
      <c r="N85" s="9">
        <v>15.6</v>
      </c>
    </row>
    <row r="86" spans="1:14" x14ac:dyDescent="0.25">
      <c r="A86" s="1" t="s">
        <v>8604</v>
      </c>
      <c r="B86" s="9"/>
      <c r="C86" s="9"/>
      <c r="D86" s="9"/>
      <c r="E86" s="9"/>
      <c r="F86" s="9"/>
      <c r="G86" s="9"/>
      <c r="H86" s="9"/>
      <c r="I86" s="9">
        <v>12.6</v>
      </c>
      <c r="J86" s="9"/>
      <c r="K86" s="9"/>
      <c r="L86" s="9"/>
      <c r="M86" s="9"/>
      <c r="N86" s="9">
        <v>12.6</v>
      </c>
    </row>
    <row r="87" spans="1:14" x14ac:dyDescent="0.25">
      <c r="A87" s="1" t="s">
        <v>8669</v>
      </c>
      <c r="B87" s="9"/>
      <c r="C87" s="9"/>
      <c r="D87" s="9"/>
      <c r="E87" s="9"/>
      <c r="F87" s="9"/>
      <c r="G87" s="9">
        <v>32.400000000000006</v>
      </c>
      <c r="H87" s="9"/>
      <c r="I87" s="9"/>
      <c r="J87" s="9"/>
      <c r="K87" s="9"/>
      <c r="L87" s="9"/>
      <c r="M87" s="9"/>
      <c r="N87" s="9">
        <v>32.400000000000006</v>
      </c>
    </row>
    <row r="88" spans="1:14" x14ac:dyDescent="0.25">
      <c r="A88" s="1" t="s">
        <v>8666</v>
      </c>
      <c r="B88" s="9"/>
      <c r="C88" s="9"/>
      <c r="D88" s="9"/>
      <c r="E88" s="9"/>
      <c r="F88" s="9"/>
      <c r="G88" s="9">
        <v>1.5</v>
      </c>
      <c r="H88" s="9"/>
      <c r="I88" s="9"/>
      <c r="J88" s="9"/>
      <c r="K88" s="9"/>
      <c r="L88" s="9"/>
      <c r="M88" s="9"/>
      <c r="N88" s="9">
        <v>1.5</v>
      </c>
    </row>
    <row r="89" spans="1:14" x14ac:dyDescent="0.25">
      <c r="A89" s="1" t="s">
        <v>8670</v>
      </c>
      <c r="B89" s="9"/>
      <c r="C89" s="9"/>
      <c r="D89" s="9"/>
      <c r="E89" s="9"/>
      <c r="F89" s="9"/>
      <c r="G89" s="9">
        <v>9.6999999999999993</v>
      </c>
      <c r="H89" s="9"/>
      <c r="I89" s="9"/>
      <c r="J89" s="9"/>
      <c r="K89" s="9"/>
      <c r="L89" s="9"/>
      <c r="M89" s="9"/>
      <c r="N89" s="9">
        <v>9.6999999999999993</v>
      </c>
    </row>
    <row r="90" spans="1:14" x14ac:dyDescent="0.25">
      <c r="A90" s="1" t="s">
        <v>8691</v>
      </c>
      <c r="B90" s="9"/>
      <c r="C90" s="9"/>
      <c r="D90" s="9">
        <v>1.9</v>
      </c>
      <c r="E90" s="9"/>
      <c r="F90" s="9"/>
      <c r="G90" s="9"/>
      <c r="H90" s="9"/>
      <c r="I90" s="9"/>
      <c r="J90" s="9"/>
      <c r="K90" s="9"/>
      <c r="L90" s="9"/>
      <c r="M90" s="9"/>
      <c r="N90" s="9">
        <v>1.9</v>
      </c>
    </row>
    <row r="91" spans="1:14" x14ac:dyDescent="0.25">
      <c r="A91" s="1" t="s">
        <v>8628</v>
      </c>
      <c r="B91" s="9"/>
      <c r="C91" s="9">
        <v>9.1999999999999993</v>
      </c>
      <c r="D91" s="9"/>
      <c r="E91" s="9"/>
      <c r="F91" s="9"/>
      <c r="G91" s="9">
        <v>1.1000000000000001</v>
      </c>
      <c r="H91" s="9"/>
      <c r="I91" s="9">
        <v>24.299999999999997</v>
      </c>
      <c r="J91" s="9"/>
      <c r="K91" s="9"/>
      <c r="L91" s="9"/>
      <c r="M91" s="9"/>
      <c r="N91" s="9">
        <v>34.599999999999994</v>
      </c>
    </row>
    <row r="92" spans="1:14" x14ac:dyDescent="0.25">
      <c r="A92" s="1" t="s">
        <v>8708</v>
      </c>
      <c r="B92" s="9"/>
      <c r="C92" s="9"/>
      <c r="D92" s="9"/>
      <c r="E92" s="9"/>
      <c r="F92" s="9"/>
      <c r="G92" s="9"/>
      <c r="H92" s="9"/>
      <c r="I92" s="9">
        <v>4.3</v>
      </c>
      <c r="J92" s="9"/>
      <c r="K92" s="9"/>
      <c r="L92" s="9"/>
      <c r="M92" s="9"/>
      <c r="N92" s="9">
        <v>4.3</v>
      </c>
    </row>
    <row r="93" spans="1:14" x14ac:dyDescent="0.25">
      <c r="A93" s="1" t="s">
        <v>8475</v>
      </c>
      <c r="B93" s="9"/>
      <c r="C93" s="9">
        <v>0.8</v>
      </c>
      <c r="D93" s="9">
        <v>88.300000000000011</v>
      </c>
      <c r="E93" s="9"/>
      <c r="F93" s="9"/>
      <c r="G93" s="9">
        <v>4</v>
      </c>
      <c r="H93" s="9">
        <v>9.1000000000000014</v>
      </c>
      <c r="I93" s="9">
        <v>12.600000000000001</v>
      </c>
      <c r="J93" s="9"/>
      <c r="K93" s="9"/>
      <c r="L93" s="9"/>
      <c r="M93" s="9"/>
      <c r="N93" s="9">
        <v>114.80000000000001</v>
      </c>
    </row>
    <row r="94" spans="1:14" x14ac:dyDescent="0.25">
      <c r="A94" s="1" t="s">
        <v>8722</v>
      </c>
      <c r="B94" s="9"/>
      <c r="C94" s="9"/>
      <c r="D94" s="9"/>
      <c r="E94" s="9"/>
      <c r="F94" s="9"/>
      <c r="G94" s="9"/>
      <c r="H94" s="9"/>
      <c r="I94" s="9">
        <v>0.5</v>
      </c>
      <c r="J94" s="9"/>
      <c r="K94" s="9"/>
      <c r="L94" s="9"/>
      <c r="M94" s="9"/>
      <c r="N94" s="9">
        <v>0.5</v>
      </c>
    </row>
    <row r="95" spans="1:14" x14ac:dyDescent="0.25">
      <c r="A95" s="1" t="s">
        <v>8647</v>
      </c>
      <c r="B95" s="9"/>
      <c r="C95" s="9"/>
      <c r="D95" s="9"/>
      <c r="E95" s="9"/>
      <c r="F95" s="9"/>
      <c r="G95" s="9"/>
      <c r="H95" s="9"/>
      <c r="I95" s="9">
        <v>0.1</v>
      </c>
      <c r="J95" s="9"/>
      <c r="K95" s="9"/>
      <c r="L95" s="9"/>
      <c r="M95" s="9"/>
      <c r="N95" s="9">
        <v>0.1</v>
      </c>
    </row>
    <row r="96" spans="1:14" x14ac:dyDescent="0.25">
      <c r="A96" s="1" t="s">
        <v>8733</v>
      </c>
      <c r="B96" s="9"/>
      <c r="C96" s="9"/>
      <c r="D96" s="9"/>
      <c r="E96" s="9"/>
      <c r="F96" s="9"/>
      <c r="G96" s="9"/>
      <c r="H96" s="9"/>
      <c r="I96" s="9">
        <v>25</v>
      </c>
      <c r="J96" s="9"/>
      <c r="K96" s="9"/>
      <c r="L96" s="9"/>
      <c r="M96" s="9"/>
      <c r="N96" s="9">
        <v>25</v>
      </c>
    </row>
    <row r="97" spans="1:14" x14ac:dyDescent="0.25">
      <c r="A97" s="1" t="s">
        <v>8430</v>
      </c>
      <c r="B97" s="9">
        <v>7295.4000000000005</v>
      </c>
      <c r="C97" s="9"/>
      <c r="D97" s="9">
        <v>182.2</v>
      </c>
      <c r="E97" s="9"/>
      <c r="F97" s="9"/>
      <c r="G97" s="9">
        <v>1832.2000000000003</v>
      </c>
      <c r="H97" s="9"/>
      <c r="I97" s="9">
        <v>989.6</v>
      </c>
      <c r="J97" s="9">
        <v>0</v>
      </c>
      <c r="K97" s="9">
        <v>2098</v>
      </c>
      <c r="L97" s="9">
        <v>215</v>
      </c>
      <c r="M97" s="9">
        <v>0</v>
      </c>
      <c r="N97" s="9">
        <v>12612.400000000001</v>
      </c>
    </row>
    <row r="98" spans="1:14" x14ac:dyDescent="0.25">
      <c r="A98" s="1" t="s">
        <v>8422</v>
      </c>
      <c r="B98" s="9"/>
      <c r="C98" s="9">
        <v>12.1</v>
      </c>
      <c r="D98" s="9">
        <v>310.7</v>
      </c>
      <c r="E98" s="9"/>
      <c r="F98" s="9">
        <v>7.9</v>
      </c>
      <c r="G98" s="9">
        <v>155.4</v>
      </c>
      <c r="H98" s="9">
        <v>41.7</v>
      </c>
      <c r="I98" s="9">
        <v>4576.6000000000022</v>
      </c>
      <c r="J98" s="9">
        <v>249.5</v>
      </c>
      <c r="K98" s="9">
        <v>1048.0999999999999</v>
      </c>
      <c r="L98" s="9"/>
      <c r="M98" s="9">
        <v>116.69999999999999</v>
      </c>
      <c r="N98" s="9">
        <v>6518.7000000000016</v>
      </c>
    </row>
    <row r="99" spans="1:14" x14ac:dyDescent="0.25">
      <c r="A99" s="1" t="s">
        <v>8737</v>
      </c>
      <c r="B99" s="9"/>
      <c r="C99" s="9"/>
      <c r="D99" s="9"/>
      <c r="E99" s="9"/>
      <c r="F99" s="9"/>
      <c r="G99" s="9"/>
      <c r="H99" s="9"/>
      <c r="I99" s="9">
        <v>0</v>
      </c>
      <c r="J99" s="9"/>
      <c r="K99" s="9"/>
      <c r="L99" s="9"/>
      <c r="M99" s="9"/>
      <c r="N99" s="9">
        <v>0</v>
      </c>
    </row>
    <row r="100" spans="1:14" x14ac:dyDescent="0.25">
      <c r="A100" s="1" t="s">
        <v>5861</v>
      </c>
      <c r="B100" s="9"/>
      <c r="C100" s="9"/>
      <c r="D100" s="9"/>
      <c r="E100" s="9"/>
      <c r="F100" s="9"/>
      <c r="G100" s="9"/>
      <c r="H100" s="9"/>
      <c r="I100" s="9">
        <v>0</v>
      </c>
      <c r="J100" s="9"/>
      <c r="K100" s="9"/>
      <c r="L100" s="9"/>
      <c r="M100" s="9"/>
      <c r="N100" s="9">
        <v>0</v>
      </c>
    </row>
    <row r="101" spans="1:14" x14ac:dyDescent="0.25">
      <c r="A101" s="1" t="s">
        <v>8543</v>
      </c>
      <c r="B101" s="9"/>
      <c r="C101" s="9"/>
      <c r="D101" s="9"/>
      <c r="E101" s="9"/>
      <c r="F101" s="9"/>
      <c r="G101" s="9"/>
      <c r="H101" s="9"/>
      <c r="I101" s="9"/>
      <c r="J101" s="9"/>
      <c r="K101" s="9">
        <v>50</v>
      </c>
      <c r="L101" s="9"/>
      <c r="M101" s="9"/>
      <c r="N101" s="9">
        <v>50</v>
      </c>
    </row>
    <row r="102" spans="1:14" x14ac:dyDescent="0.25">
      <c r="A102" s="1" t="s">
        <v>8545</v>
      </c>
      <c r="B102" s="9"/>
      <c r="C102" s="9"/>
      <c r="D102" s="9"/>
      <c r="E102" s="9"/>
      <c r="F102" s="9"/>
      <c r="G102" s="9"/>
      <c r="H102" s="9"/>
      <c r="I102" s="9"/>
      <c r="J102" s="9"/>
      <c r="K102" s="9">
        <v>6</v>
      </c>
      <c r="L102" s="9"/>
      <c r="M102" s="9"/>
      <c r="N102" s="9">
        <v>6</v>
      </c>
    </row>
    <row r="103" spans="1:14" x14ac:dyDescent="0.25">
      <c r="A103" s="1" t="s">
        <v>8828</v>
      </c>
      <c r="B103" s="9"/>
      <c r="C103" s="9">
        <v>8.3000000000000007</v>
      </c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>
        <v>8.3000000000000007</v>
      </c>
    </row>
    <row r="104" spans="1:14" x14ac:dyDescent="0.25">
      <c r="A104" s="1" t="s">
        <v>8776</v>
      </c>
      <c r="B104" s="9"/>
      <c r="C104" s="9"/>
      <c r="D104" s="9"/>
      <c r="E104" s="9"/>
      <c r="F104" s="9"/>
      <c r="G104" s="9"/>
      <c r="H104" s="9">
        <v>1.2</v>
      </c>
      <c r="I104" s="9"/>
      <c r="J104" s="9"/>
      <c r="K104" s="9"/>
      <c r="L104" s="9"/>
      <c r="M104" s="9"/>
      <c r="N104" s="9">
        <v>1.2</v>
      </c>
    </row>
    <row r="105" spans="1:14" x14ac:dyDescent="0.25">
      <c r="A105" s="1" t="s">
        <v>8631</v>
      </c>
      <c r="B105" s="9"/>
      <c r="C105" s="9"/>
      <c r="D105" s="9"/>
      <c r="E105" s="9"/>
      <c r="F105" s="9"/>
      <c r="G105" s="9"/>
      <c r="H105" s="9"/>
      <c r="I105" s="9">
        <v>2.9</v>
      </c>
      <c r="J105" s="9"/>
      <c r="K105" s="9"/>
      <c r="L105" s="9"/>
      <c r="M105" s="9"/>
      <c r="N105" s="9">
        <v>2.9</v>
      </c>
    </row>
    <row r="106" spans="1:14" x14ac:dyDescent="0.25">
      <c r="A106" s="1" t="s">
        <v>8771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>
        <v>6</v>
      </c>
      <c r="N106" s="9">
        <v>6</v>
      </c>
    </row>
    <row r="107" spans="1:14" x14ac:dyDescent="0.25">
      <c r="A107" s="1" t="s">
        <v>8596</v>
      </c>
      <c r="B107" s="9"/>
      <c r="C107" s="9"/>
      <c r="D107" s="9">
        <v>6.7</v>
      </c>
      <c r="E107" s="9"/>
      <c r="F107" s="9"/>
      <c r="G107" s="9">
        <v>20.7</v>
      </c>
      <c r="H107" s="9"/>
      <c r="I107" s="9">
        <v>2.5</v>
      </c>
      <c r="J107" s="9">
        <v>0</v>
      </c>
      <c r="K107" s="9">
        <v>0</v>
      </c>
      <c r="L107" s="9"/>
      <c r="M107" s="9">
        <v>0</v>
      </c>
      <c r="N107" s="9">
        <v>29.9</v>
      </c>
    </row>
    <row r="108" spans="1:14" x14ac:dyDescent="0.25">
      <c r="A108" s="1" t="s">
        <v>8574</v>
      </c>
      <c r="B108" s="9"/>
      <c r="C108" s="9"/>
      <c r="D108" s="9"/>
      <c r="E108" s="9"/>
      <c r="F108" s="9"/>
      <c r="G108" s="9"/>
      <c r="H108" s="9"/>
      <c r="I108" s="9"/>
      <c r="J108" s="9"/>
      <c r="K108" s="9">
        <v>394.5</v>
      </c>
      <c r="L108" s="9"/>
      <c r="M108" s="9"/>
      <c r="N108" s="9">
        <v>394.5</v>
      </c>
    </row>
    <row r="109" spans="1:14" x14ac:dyDescent="0.25">
      <c r="A109" s="1" t="s">
        <v>8624</v>
      </c>
      <c r="B109" s="9"/>
      <c r="C109" s="9"/>
      <c r="D109" s="9"/>
      <c r="E109" s="9"/>
      <c r="F109" s="9"/>
      <c r="G109" s="9"/>
      <c r="H109" s="9"/>
      <c r="I109" s="9">
        <v>0.1</v>
      </c>
      <c r="J109" s="9"/>
      <c r="K109" s="9"/>
      <c r="L109" s="9"/>
      <c r="M109" s="9"/>
      <c r="N109" s="9">
        <v>0.1</v>
      </c>
    </row>
    <row r="110" spans="1:14" x14ac:dyDescent="0.25">
      <c r="A110" s="1" t="s">
        <v>8443</v>
      </c>
      <c r="B110" s="9">
        <v>1624.8</v>
      </c>
      <c r="C110" s="9">
        <v>225.1</v>
      </c>
      <c r="D110" s="9">
        <v>494.70000000000005</v>
      </c>
      <c r="E110" s="9"/>
      <c r="F110" s="9"/>
      <c r="G110" s="9">
        <v>333.80000000000007</v>
      </c>
      <c r="H110" s="9">
        <v>12.2</v>
      </c>
      <c r="I110" s="9">
        <v>746.90000000000009</v>
      </c>
      <c r="J110" s="9"/>
      <c r="K110" s="9">
        <v>1433.8999999999999</v>
      </c>
      <c r="L110" s="9">
        <v>360.4</v>
      </c>
      <c r="M110" s="9"/>
      <c r="N110" s="9">
        <v>5231.7999999999993</v>
      </c>
    </row>
    <row r="111" spans="1:14" x14ac:dyDescent="0.25">
      <c r="A111" s="1" t="s">
        <v>8483</v>
      </c>
      <c r="B111" s="9"/>
      <c r="C111" s="9"/>
      <c r="D111" s="9"/>
      <c r="E111" s="9"/>
      <c r="F111" s="9"/>
      <c r="G111" s="9">
        <v>45.7</v>
      </c>
      <c r="H111" s="9">
        <v>0.6</v>
      </c>
      <c r="I111" s="9">
        <v>60.9</v>
      </c>
      <c r="J111" s="9"/>
      <c r="K111" s="9"/>
      <c r="L111" s="9"/>
      <c r="M111" s="9"/>
      <c r="N111" s="9">
        <v>107.2</v>
      </c>
    </row>
    <row r="112" spans="1:14" x14ac:dyDescent="0.25">
      <c r="A112" s="1" t="s">
        <v>8620</v>
      </c>
      <c r="B112" s="9"/>
      <c r="C112" s="9"/>
      <c r="D112" s="9"/>
      <c r="E112" s="9"/>
      <c r="F112" s="9"/>
      <c r="G112" s="9">
        <v>1.7</v>
      </c>
      <c r="H112" s="9"/>
      <c r="I112" s="9">
        <v>2.8</v>
      </c>
      <c r="J112" s="9"/>
      <c r="K112" s="9">
        <v>0.2</v>
      </c>
      <c r="L112" s="9"/>
      <c r="M112" s="9"/>
      <c r="N112" s="9">
        <v>4.7</v>
      </c>
    </row>
    <row r="113" spans="1:14" x14ac:dyDescent="0.25">
      <c r="A113" s="1" t="s">
        <v>8784</v>
      </c>
      <c r="B113" s="9"/>
      <c r="C113" s="9">
        <v>9.1</v>
      </c>
      <c r="D113" s="9">
        <v>6</v>
      </c>
      <c r="E113" s="9"/>
      <c r="F113" s="9"/>
      <c r="G113" s="9"/>
      <c r="H113" s="9"/>
      <c r="I113" s="9"/>
      <c r="J113" s="9"/>
      <c r="K113" s="9"/>
      <c r="L113" s="9"/>
      <c r="M113" s="9"/>
      <c r="N113" s="9">
        <v>15.1</v>
      </c>
    </row>
    <row r="114" spans="1:14" x14ac:dyDescent="0.25">
      <c r="A114" s="1" t="s">
        <v>8839</v>
      </c>
      <c r="B114" s="9"/>
      <c r="C114" s="9"/>
      <c r="D114" s="9"/>
      <c r="E114" s="9"/>
      <c r="F114" s="9"/>
      <c r="G114" s="9">
        <v>0.5</v>
      </c>
      <c r="H114" s="9"/>
      <c r="I114" s="9"/>
      <c r="J114" s="9"/>
      <c r="K114" s="9"/>
      <c r="L114" s="9"/>
      <c r="M114" s="9"/>
      <c r="N114" s="9">
        <v>0.5</v>
      </c>
    </row>
    <row r="115" spans="1:14" x14ac:dyDescent="0.25">
      <c r="A115" s="1" t="s">
        <v>8654</v>
      </c>
      <c r="B115" s="9"/>
      <c r="C115" s="9"/>
      <c r="D115" s="9">
        <v>33</v>
      </c>
      <c r="E115" s="9"/>
      <c r="F115" s="9"/>
      <c r="G115" s="9"/>
      <c r="H115" s="9"/>
      <c r="I115" s="9"/>
      <c r="J115" s="9"/>
      <c r="K115" s="9"/>
      <c r="L115" s="9"/>
      <c r="M115" s="9"/>
      <c r="N115" s="9">
        <v>33</v>
      </c>
    </row>
    <row r="116" spans="1:14" x14ac:dyDescent="0.25">
      <c r="A116" s="1" t="s">
        <v>8527</v>
      </c>
      <c r="B116" s="9"/>
      <c r="C116" s="9"/>
      <c r="D116" s="9"/>
      <c r="E116" s="9"/>
      <c r="F116" s="9"/>
      <c r="G116" s="9"/>
      <c r="H116" s="9"/>
      <c r="I116" s="9">
        <v>3</v>
      </c>
      <c r="J116" s="9"/>
      <c r="K116" s="9"/>
      <c r="L116" s="9"/>
      <c r="M116" s="9"/>
      <c r="N116" s="9">
        <v>3</v>
      </c>
    </row>
    <row r="117" spans="1:14" x14ac:dyDescent="0.25">
      <c r="A117" s="1" t="s">
        <v>8830</v>
      </c>
      <c r="B117" s="9"/>
      <c r="C117" s="9"/>
      <c r="D117" s="9"/>
      <c r="E117" s="9"/>
      <c r="F117" s="9"/>
      <c r="G117" s="9"/>
      <c r="H117" s="9">
        <v>7.4</v>
      </c>
      <c r="I117" s="9"/>
      <c r="J117" s="9"/>
      <c r="K117" s="9"/>
      <c r="L117" s="9"/>
      <c r="M117" s="9"/>
      <c r="N117" s="9">
        <v>7.4</v>
      </c>
    </row>
    <row r="118" spans="1:14" x14ac:dyDescent="0.25">
      <c r="A118" s="1" t="s">
        <v>4016</v>
      </c>
      <c r="B118" s="9"/>
      <c r="C118" s="9"/>
      <c r="D118" s="9"/>
      <c r="E118" s="9"/>
      <c r="F118" s="9"/>
      <c r="G118" s="9">
        <v>13.9</v>
      </c>
      <c r="H118" s="9">
        <v>18.600000000000001</v>
      </c>
      <c r="I118" s="9">
        <v>1216.5999999999999</v>
      </c>
      <c r="J118" s="9"/>
      <c r="K118" s="9">
        <v>125.39999999999999</v>
      </c>
      <c r="L118" s="9"/>
      <c r="M118" s="9"/>
      <c r="N118" s="9">
        <v>1374.5</v>
      </c>
    </row>
    <row r="119" spans="1:14" x14ac:dyDescent="0.25">
      <c r="A119" s="1" t="s">
        <v>8795</v>
      </c>
      <c r="B119" s="9"/>
      <c r="C119" s="9"/>
      <c r="D119" s="9"/>
      <c r="E119" s="9"/>
      <c r="F119" s="9"/>
      <c r="G119" s="9"/>
      <c r="H119" s="9"/>
      <c r="I119" s="9">
        <v>0.7</v>
      </c>
      <c r="J119" s="9"/>
      <c r="K119" s="9"/>
      <c r="L119" s="9"/>
      <c r="M119" s="9"/>
      <c r="N119" s="9">
        <v>0.7</v>
      </c>
    </row>
    <row r="120" spans="1:14" x14ac:dyDescent="0.25">
      <c r="A120" s="1" t="s">
        <v>8786</v>
      </c>
      <c r="B120" s="9"/>
      <c r="C120" s="9"/>
      <c r="D120" s="9"/>
      <c r="E120" s="9"/>
      <c r="F120" s="9"/>
      <c r="G120" s="9"/>
      <c r="H120" s="9">
        <v>21.4</v>
      </c>
      <c r="I120" s="9"/>
      <c r="J120" s="9"/>
      <c r="K120" s="9"/>
      <c r="L120" s="9"/>
      <c r="M120" s="9"/>
      <c r="N120" s="9">
        <v>21.4</v>
      </c>
    </row>
    <row r="121" spans="1:14" x14ac:dyDescent="0.25">
      <c r="A121" s="1" t="s">
        <v>8798</v>
      </c>
      <c r="B121" s="9"/>
      <c r="C121" s="9"/>
      <c r="D121" s="9"/>
      <c r="E121" s="9"/>
      <c r="F121" s="9"/>
      <c r="G121" s="9"/>
      <c r="H121" s="9"/>
      <c r="I121" s="9">
        <v>1.8</v>
      </c>
      <c r="J121" s="9"/>
      <c r="K121" s="9"/>
      <c r="L121" s="9"/>
      <c r="M121" s="9"/>
      <c r="N121" s="9">
        <v>1.8</v>
      </c>
    </row>
    <row r="122" spans="1:14" x14ac:dyDescent="0.25">
      <c r="A122" s="1" t="s">
        <v>8799</v>
      </c>
      <c r="B122" s="9"/>
      <c r="C122" s="9"/>
      <c r="D122" s="9"/>
      <c r="E122" s="9"/>
      <c r="F122" s="9"/>
      <c r="G122" s="9"/>
      <c r="H122" s="9"/>
      <c r="I122" s="9">
        <v>14.8</v>
      </c>
      <c r="J122" s="9"/>
      <c r="K122" s="9"/>
      <c r="L122" s="9"/>
      <c r="M122" s="9"/>
      <c r="N122" s="9">
        <v>14.8</v>
      </c>
    </row>
    <row r="123" spans="1:14" x14ac:dyDescent="0.25">
      <c r="A123" s="1" t="s">
        <v>8800</v>
      </c>
      <c r="B123" s="9"/>
      <c r="C123" s="9"/>
      <c r="D123" s="9"/>
      <c r="E123" s="9"/>
      <c r="F123" s="9"/>
      <c r="G123" s="9">
        <v>1.8</v>
      </c>
      <c r="H123" s="9"/>
      <c r="I123" s="9">
        <v>26.3</v>
      </c>
      <c r="J123" s="9"/>
      <c r="K123" s="9"/>
      <c r="L123" s="9"/>
      <c r="M123" s="9"/>
      <c r="N123" s="9">
        <v>28.1</v>
      </c>
    </row>
    <row r="124" spans="1:14" x14ac:dyDescent="0.25">
      <c r="A124" s="1" t="s">
        <v>8511</v>
      </c>
      <c r="B124" s="9"/>
      <c r="C124" s="9"/>
      <c r="D124" s="9"/>
      <c r="E124" s="9"/>
      <c r="F124" s="9"/>
      <c r="G124" s="9">
        <v>2.7</v>
      </c>
      <c r="H124" s="9"/>
      <c r="I124" s="9"/>
      <c r="J124" s="9"/>
      <c r="K124" s="9"/>
      <c r="L124" s="9"/>
      <c r="M124" s="9"/>
      <c r="N124" s="9">
        <v>2.7</v>
      </c>
    </row>
    <row r="125" spans="1:14" x14ac:dyDescent="0.25">
      <c r="A125" s="1" t="s">
        <v>8813</v>
      </c>
      <c r="B125" s="9">
        <v>416.9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>
        <v>416.9</v>
      </c>
    </row>
    <row r="126" spans="1:14" x14ac:dyDescent="0.25">
      <c r="A126" s="1" t="s">
        <v>8832</v>
      </c>
      <c r="B126" s="9"/>
      <c r="C126" s="9"/>
      <c r="D126" s="9">
        <v>3.4</v>
      </c>
      <c r="E126" s="9"/>
      <c r="F126" s="9"/>
      <c r="G126" s="9"/>
      <c r="H126" s="9"/>
      <c r="I126" s="9"/>
      <c r="J126" s="9"/>
      <c r="K126" s="9"/>
      <c r="L126" s="9"/>
      <c r="M126" s="9"/>
      <c r="N126" s="9">
        <v>3.4</v>
      </c>
    </row>
    <row r="127" spans="1:14" x14ac:dyDescent="0.25">
      <c r="A127" s="1" t="s">
        <v>8514</v>
      </c>
      <c r="B127" s="9">
        <v>843.3</v>
      </c>
      <c r="C127" s="9"/>
      <c r="D127" s="9"/>
      <c r="E127" s="9"/>
      <c r="F127" s="9"/>
      <c r="G127" s="9"/>
      <c r="H127" s="9"/>
      <c r="I127" s="9">
        <v>277.39999999999998</v>
      </c>
      <c r="J127" s="9"/>
      <c r="K127" s="9">
        <v>41.5</v>
      </c>
      <c r="L127" s="9"/>
      <c r="M127" s="9"/>
      <c r="N127" s="9">
        <v>1162.1999999999998</v>
      </c>
    </row>
    <row r="128" spans="1:14" x14ac:dyDescent="0.25">
      <c r="A128" s="1" t="s">
        <v>8632</v>
      </c>
      <c r="B128" s="9"/>
      <c r="C128" s="9"/>
      <c r="D128" s="9"/>
      <c r="E128" s="9"/>
      <c r="F128" s="9"/>
      <c r="G128" s="9"/>
      <c r="H128" s="9">
        <v>40</v>
      </c>
      <c r="I128" s="9">
        <v>2.6</v>
      </c>
      <c r="J128" s="9"/>
      <c r="K128" s="9"/>
      <c r="L128" s="9"/>
      <c r="M128" s="9"/>
      <c r="N128" s="9">
        <v>42.6</v>
      </c>
    </row>
    <row r="129" spans="1:14" x14ac:dyDescent="0.25">
      <c r="A129" s="1" t="s">
        <v>8656</v>
      </c>
      <c r="B129" s="9"/>
      <c r="C129" s="9"/>
      <c r="D129" s="9"/>
      <c r="E129" s="9"/>
      <c r="F129" s="9"/>
      <c r="G129" s="9"/>
      <c r="H129" s="9"/>
      <c r="I129" s="9">
        <v>2.4</v>
      </c>
      <c r="J129" s="9"/>
      <c r="K129" s="9"/>
      <c r="L129" s="9"/>
      <c r="M129" s="9"/>
      <c r="N129" s="9">
        <v>2.4</v>
      </c>
    </row>
    <row r="130" spans="1:14" x14ac:dyDescent="0.25">
      <c r="A130" s="1" t="s">
        <v>8815</v>
      </c>
      <c r="B130" s="9"/>
      <c r="C130" s="9"/>
      <c r="D130" s="9"/>
      <c r="E130" s="9"/>
      <c r="F130" s="9"/>
      <c r="G130" s="9"/>
      <c r="H130" s="9">
        <v>14.7</v>
      </c>
      <c r="I130" s="9"/>
      <c r="J130" s="9"/>
      <c r="K130" s="9"/>
      <c r="L130" s="9"/>
      <c r="M130" s="9"/>
      <c r="N130" s="9">
        <v>14.7</v>
      </c>
    </row>
    <row r="131" spans="1:14" x14ac:dyDescent="0.25">
      <c r="A131" s="1" t="s">
        <v>8627</v>
      </c>
      <c r="B131" s="9"/>
      <c r="C131" s="9"/>
      <c r="D131" s="9"/>
      <c r="E131" s="9"/>
      <c r="F131" s="9"/>
      <c r="G131" s="9"/>
      <c r="H131" s="9"/>
      <c r="I131" s="9">
        <v>5.3</v>
      </c>
      <c r="J131" s="9"/>
      <c r="K131" s="9"/>
      <c r="L131" s="9"/>
      <c r="M131" s="9"/>
      <c r="N131" s="9">
        <v>5.3</v>
      </c>
    </row>
    <row r="132" spans="1:14" x14ac:dyDescent="0.25">
      <c r="A132" s="1" t="s">
        <v>8512</v>
      </c>
      <c r="B132" s="9"/>
      <c r="C132" s="9">
        <v>39.5</v>
      </c>
      <c r="D132" s="9">
        <v>130.9</v>
      </c>
      <c r="E132" s="9"/>
      <c r="F132" s="9"/>
      <c r="G132" s="9">
        <v>63.7</v>
      </c>
      <c r="H132" s="9">
        <v>156.1</v>
      </c>
      <c r="I132" s="9">
        <v>792.40000000000009</v>
      </c>
      <c r="J132" s="9"/>
      <c r="K132" s="9">
        <v>1324.9</v>
      </c>
      <c r="L132" s="9"/>
      <c r="M132" s="9">
        <v>8.1999999999999993</v>
      </c>
      <c r="N132" s="9">
        <v>2515.6999999999998</v>
      </c>
    </row>
    <row r="133" spans="1:14" x14ac:dyDescent="0.25">
      <c r="A133" s="1" t="s">
        <v>8835</v>
      </c>
      <c r="B133" s="9"/>
      <c r="C133" s="9"/>
      <c r="D133" s="9"/>
      <c r="E133" s="9">
        <v>14.9</v>
      </c>
      <c r="F133" s="9"/>
      <c r="G133" s="9"/>
      <c r="H133" s="9"/>
      <c r="I133" s="9"/>
      <c r="J133" s="9"/>
      <c r="K133" s="9"/>
      <c r="L133" s="9"/>
      <c r="M133" s="9"/>
      <c r="N133" s="9">
        <v>14.9</v>
      </c>
    </row>
    <row r="134" spans="1:14" x14ac:dyDescent="0.25">
      <c r="A134" s="1" t="s">
        <v>8503</v>
      </c>
      <c r="B134" s="9"/>
      <c r="C134" s="9"/>
      <c r="D134" s="9"/>
      <c r="E134" s="9"/>
      <c r="F134" s="9"/>
      <c r="G134" s="9">
        <v>0.5</v>
      </c>
      <c r="H134" s="9"/>
      <c r="I134" s="9">
        <v>1</v>
      </c>
      <c r="J134" s="9"/>
      <c r="K134" s="9"/>
      <c r="L134" s="9"/>
      <c r="M134" s="9"/>
      <c r="N134" s="9">
        <v>1.5</v>
      </c>
    </row>
    <row r="135" spans="1:14" x14ac:dyDescent="0.25">
      <c r="A135" s="1" t="s">
        <v>8883</v>
      </c>
      <c r="B135" s="9">
        <v>414</v>
      </c>
      <c r="C135" s="9"/>
      <c r="D135" s="9">
        <v>91.9</v>
      </c>
      <c r="E135" s="9"/>
      <c r="F135" s="9"/>
      <c r="G135" s="9"/>
      <c r="H135" s="9"/>
      <c r="I135" s="9">
        <v>1102.6999999999998</v>
      </c>
      <c r="J135" s="9"/>
      <c r="K135" s="9">
        <v>822.59999999999991</v>
      </c>
      <c r="L135" s="9"/>
      <c r="M135" s="9"/>
      <c r="N135" s="9">
        <v>2431.1999999999998</v>
      </c>
    </row>
    <row r="136" spans="1:14" x14ac:dyDescent="0.25">
      <c r="A136" s="1" t="s">
        <v>10082</v>
      </c>
      <c r="B136" s="9"/>
      <c r="C136" s="9"/>
      <c r="D136" s="9"/>
      <c r="E136" s="9">
        <v>13.5</v>
      </c>
      <c r="F136" s="9"/>
      <c r="G136" s="9"/>
      <c r="H136" s="9"/>
      <c r="I136" s="9">
        <v>7.1999999999999993</v>
      </c>
      <c r="J136" s="9"/>
      <c r="K136" s="9"/>
      <c r="L136" s="9"/>
      <c r="M136" s="9"/>
      <c r="N136" s="9">
        <v>20.7</v>
      </c>
    </row>
    <row r="137" spans="1:14" x14ac:dyDescent="0.25">
      <c r="A137" s="1" t="s">
        <v>8847</v>
      </c>
      <c r="B137" s="9"/>
      <c r="C137" s="9"/>
      <c r="D137" s="9"/>
      <c r="E137" s="9"/>
      <c r="F137" s="9"/>
      <c r="G137" s="9"/>
      <c r="H137" s="9"/>
      <c r="I137" s="9">
        <v>1.7</v>
      </c>
      <c r="J137" s="9"/>
      <c r="K137" s="9"/>
      <c r="L137" s="9"/>
      <c r="M137" s="9"/>
      <c r="N137" s="9">
        <v>1.7</v>
      </c>
    </row>
    <row r="138" spans="1:14" x14ac:dyDescent="0.25">
      <c r="A138" s="1" t="s">
        <v>8281</v>
      </c>
      <c r="B138" s="9"/>
      <c r="C138" s="9"/>
      <c r="D138" s="9"/>
      <c r="E138" s="9"/>
      <c r="F138" s="9"/>
      <c r="G138" s="9"/>
      <c r="H138" s="9"/>
      <c r="I138" s="9">
        <v>70.5</v>
      </c>
      <c r="J138" s="9"/>
      <c r="K138" s="9"/>
      <c r="L138" s="9"/>
      <c r="M138" s="9"/>
      <c r="N138" s="9">
        <v>70.5</v>
      </c>
    </row>
    <row r="139" spans="1:14" x14ac:dyDescent="0.25">
      <c r="A139" s="1" t="s">
        <v>8852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>
        <v>0.9</v>
      </c>
      <c r="N139" s="9">
        <v>0.9</v>
      </c>
    </row>
    <row r="140" spans="1:14" x14ac:dyDescent="0.25">
      <c r="A140" s="1" t="s">
        <v>11912</v>
      </c>
      <c r="B140" s="9"/>
      <c r="C140" s="9"/>
      <c r="D140" s="9"/>
      <c r="E140" s="9"/>
      <c r="F140" s="9"/>
      <c r="G140" s="9"/>
      <c r="H140" s="9"/>
      <c r="I140" s="9">
        <v>44.5</v>
      </c>
      <c r="J140" s="9"/>
      <c r="K140" s="9">
        <v>33.200000000000003</v>
      </c>
      <c r="L140" s="9"/>
      <c r="M140" s="9"/>
      <c r="N140" s="9">
        <v>77.7</v>
      </c>
    </row>
    <row r="141" spans="1:14" x14ac:dyDescent="0.25">
      <c r="A141" s="1" t="s">
        <v>11984</v>
      </c>
      <c r="B141" s="9"/>
      <c r="C141" s="9"/>
      <c r="D141" s="9"/>
      <c r="E141" s="9"/>
      <c r="F141" s="9"/>
      <c r="G141" s="9"/>
      <c r="H141" s="9"/>
      <c r="I141" s="9">
        <v>55.6</v>
      </c>
      <c r="J141" s="9"/>
      <c r="K141" s="9"/>
      <c r="L141" s="9"/>
      <c r="M141" s="9"/>
      <c r="N141" s="9">
        <v>55.6</v>
      </c>
    </row>
    <row r="142" spans="1:14" x14ac:dyDescent="0.25">
      <c r="A142" s="1" t="s">
        <v>12144</v>
      </c>
      <c r="B142" s="9"/>
      <c r="C142" s="9"/>
      <c r="D142" s="9"/>
      <c r="E142" s="9"/>
      <c r="F142" s="9"/>
      <c r="G142" s="9"/>
      <c r="H142" s="9"/>
      <c r="I142" s="9">
        <v>2</v>
      </c>
      <c r="J142" s="9"/>
      <c r="K142" s="9"/>
      <c r="L142" s="9"/>
      <c r="M142" s="9"/>
      <c r="N142" s="9">
        <v>2</v>
      </c>
    </row>
    <row r="143" spans="1:14" x14ac:dyDescent="0.25">
      <c r="A143" s="1" t="s">
        <v>8882</v>
      </c>
      <c r="B143" s="9">
        <v>24559.600000000002</v>
      </c>
      <c r="C143" s="9">
        <v>2033.4999999999998</v>
      </c>
      <c r="D143" s="9">
        <v>4795.8999999999996</v>
      </c>
      <c r="E143" s="9">
        <v>72.400000000000006</v>
      </c>
      <c r="F143" s="9">
        <v>7.9</v>
      </c>
      <c r="G143" s="9">
        <v>16924.100000000006</v>
      </c>
      <c r="H143" s="9">
        <v>805.20000000000027</v>
      </c>
      <c r="I143" s="9">
        <v>34097.599999999991</v>
      </c>
      <c r="J143" s="9">
        <v>2296.1999999999998</v>
      </c>
      <c r="K143" s="9">
        <v>31954.100000000002</v>
      </c>
      <c r="L143" s="9">
        <v>3417.5</v>
      </c>
      <c r="M143" s="9">
        <v>755.30000000000007</v>
      </c>
      <c r="N143" s="9">
        <v>121719.29999999996</v>
      </c>
    </row>
  </sheetData>
  <pageMargins left="0.7" right="0.7" top="0.75" bottom="0.75" header="0.3" footer="0.3"/>
  <headerFooter>
    <oddFooter>&amp;C_x000D_&amp;1#&amp;"Calibri"&amp;10&amp;K000000 Nur für den internen Gebrauch -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83031d-f960-4097-9820-977b183f73d6">
      <Terms xmlns="http://schemas.microsoft.com/office/infopath/2007/PartnerControls"/>
    </lcf76f155ced4ddcb4097134ff3c332f>
    <TaxCatchAll xmlns="0d91b1cc-741b-423e-ab90-612ac5f800bd" xsi:nil="true"/>
  </documentManagement>
</p:properties>
</file>

<file path=customXml/item2.xml><?xml version="1.0" encoding="utf-8"?>
<?mso-contentType ?>
<FormTemplates xmlns="http://schemas.microsoft.com/sharepoint/v3/contenttype/form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3ADE2C56915459CFEC54A6CD65002" ma:contentTypeVersion="18" ma:contentTypeDescription="Create a new document." ma:contentTypeScope="" ma:versionID="faff7708b1f79c7a2f43179de7e2b8d5">
  <xsd:schema xmlns:xsd="http://www.w3.org/2001/XMLSchema" xmlns:xs="http://www.w3.org/2001/XMLSchema" xmlns:p="http://schemas.microsoft.com/office/2006/metadata/properties" xmlns:ns2="f983031d-f960-4097-9820-977b183f73d6" xmlns:ns3="0d91b1cc-741b-423e-ab90-612ac5f800bd" targetNamespace="http://schemas.microsoft.com/office/2006/metadata/properties" ma:root="true" ma:fieldsID="10c0231ab96a5d16d890d39d50495ed0" ns2:_="" ns3:_="">
    <xsd:import namespace="f983031d-f960-4097-9820-977b183f73d6"/>
    <xsd:import namespace="0d91b1cc-741b-423e-ab90-612ac5f800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83031d-f960-4097-9820-977b183f73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9e5919b-4d37-4c6a-a1c4-83329ea12d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91b1cc-741b-423e-ab90-612ac5f800b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6f4f2c5-9f21-40cc-91f8-0520e27cfd18}" ma:internalName="TaxCatchAll" ma:showField="CatchAllData" ma:web="0d91b1cc-741b-423e-ab90-612ac5f800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E6DE8A-7B0F-4424-B7A9-078CC8811203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f983031d-f960-4097-9820-977b183f73d6"/>
    <ds:schemaRef ds:uri="0d91b1cc-741b-423e-ab90-612ac5f800bd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E7E16EE-2D58-4E17-9D53-54B346D907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068D41-C54A-40EA-A2CC-C71B1C7B5BD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Sheet1</vt:lpstr>
      <vt:lpstr>export_unidades-de-programacion</vt:lpstr>
      <vt:lpstr>Aux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 Prieto Miguel</dc:creator>
  <cp:lastModifiedBy>Roa Prieto Miguel</cp:lastModifiedBy>
  <dcterms:created xsi:type="dcterms:W3CDTF">2024-05-07T10:27:39Z</dcterms:created>
  <dcterms:modified xsi:type="dcterms:W3CDTF">2026-04-09T13:43:43Z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0x0101000493ADE2C56915459CFEC54A6CD65002</vt:lpwstr>
  </property>
  <property fmtid="{D5CDD505-2E9C-101B-9397-08002B2CF9AE}" pid="3" name="MSIP_Label_8d966005-d7ca-48e9-93b3-1b2e218dc777_Enabled">
    <vt:lpwstr>true</vt:lpwstr>
  </property>
  <property fmtid="{D5CDD505-2E9C-101B-9397-08002B2CF9AE}" pid="4" name="MSIP_Label_8d966005-d7ca-48e9-93b3-1b2e218dc777_SetDate">
    <vt:lpwstr>2024-12-09T13:10:44Z</vt:lpwstr>
  </property>
  <property fmtid="{D5CDD505-2E9C-101B-9397-08002B2CF9AE}" pid="5" name="MSIP_Label_8d966005-d7ca-48e9-93b3-1b2e218dc777_Method">
    <vt:lpwstr>Standard</vt:lpwstr>
  </property>
  <property fmtid="{D5CDD505-2E9C-101B-9397-08002B2CF9AE}" pid="6" name="MSIP_Label_8d966005-d7ca-48e9-93b3-1b2e218dc777_Name">
    <vt:lpwstr>PoC_Files_Testgroup</vt:lpwstr>
  </property>
  <property fmtid="{D5CDD505-2E9C-101B-9397-08002B2CF9AE}" pid="7" name="MSIP_Label_8d966005-d7ca-48e9-93b3-1b2e218dc777_SiteId">
    <vt:lpwstr>5f051d9d-1c64-4baf-b3e7-7e79225f69f3</vt:lpwstr>
  </property>
  <property fmtid="{D5CDD505-2E9C-101B-9397-08002B2CF9AE}" pid="8" name="MSIP_Label_8d966005-d7ca-48e9-93b3-1b2e218dc777_ActionId">
    <vt:lpwstr>b632a3b0-bf94-4bc0-b61a-b3043fcaad61</vt:lpwstr>
  </property>
  <property fmtid="{D5CDD505-2E9C-101B-9397-08002B2CF9AE}" pid="9" name="MSIP_Label_8d966005-d7ca-48e9-93b3-1b2e218dc777_ContentBits">
    <vt:lpwstr>2</vt:lpwstr>
  </property>
  <property fmtid="{D5CDD505-2E9C-101B-9397-08002B2CF9AE}" pid="10" name="MediaServiceImageTags">
    <vt:lpwstr/>
  </property>
</Properties>
</file>