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kt4u.sharepoint.com/sites/VGP-ES/VGPES/07_Energy Management/05_Analysis/MRAs/MRA Portfolio evolution/"/>
    </mc:Choice>
  </mc:AlternateContent>
  <xr:revisionPtr revIDLastSave="20" documentId="13_ncr:1_{57B86063-1449-4FB6-8827-2932A460BB86}" xr6:coauthVersionLast="47" xr6:coauthVersionMax="47" xr10:uidLastSave="{11F615E6-B4CC-4BE9-8C95-03B9F2BA5057}"/>
  <bookViews>
    <workbookView xWindow="36915" yWindow="2250" windowWidth="14400" windowHeight="7275" xr2:uid="{BD648553-3413-4601-8496-7E9BEA1214A7}"/>
  </bookViews>
  <sheets>
    <sheet name="Sheet1" sheetId="1" r:id="rId1"/>
  </sheets>
  <definedNames>
    <definedName name="_xlnm._FilterDatabase" localSheetId="0" hidden="1">Sheet1!$E$2:$N$392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S17" i="1"/>
  <c r="AT16" i="1"/>
  <c r="AS16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T6" i="1"/>
  <c r="AS6" i="1"/>
  <c r="AT5" i="1"/>
  <c r="AS5" i="1"/>
  <c r="AT4" i="1"/>
  <c r="AS4" i="1"/>
  <c r="AT3" i="1"/>
  <c r="AS3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R51" i="1"/>
  <c r="AV51" i="1"/>
  <c r="AW51" i="1"/>
  <c r="AX51" i="1"/>
  <c r="AU51" i="1"/>
  <c r="AN51" i="1"/>
  <c r="AP51" i="1"/>
  <c r="AT51" i="1"/>
  <c r="AS51" i="1"/>
  <c r="AK51" i="1"/>
  <c r="AO51" i="1"/>
  <c r="AM51" i="1"/>
  <c r="AQ51" i="1"/>
  <c r="AJ51" i="1"/>
  <c r="AR50" i="1"/>
  <c r="AV50" i="1"/>
  <c r="AW50" i="1"/>
  <c r="AX50" i="1"/>
  <c r="AU50" i="1"/>
  <c r="AN50" i="1"/>
  <c r="AP50" i="1"/>
  <c r="AT50" i="1"/>
  <c r="AS50" i="1"/>
  <c r="AK50" i="1"/>
  <c r="AO50" i="1"/>
  <c r="AM50" i="1"/>
  <c r="AQ50" i="1"/>
  <c r="AJ50" i="1"/>
  <c r="AR49" i="1"/>
  <c r="AV49" i="1"/>
  <c r="AW49" i="1"/>
  <c r="AX49" i="1"/>
  <c r="AU49" i="1"/>
  <c r="AN49" i="1"/>
  <c r="AP49" i="1"/>
  <c r="AT49" i="1"/>
  <c r="AS49" i="1"/>
  <c r="AK49" i="1"/>
  <c r="AO49" i="1"/>
  <c r="AM49" i="1"/>
  <c r="AQ49" i="1"/>
  <c r="AJ49" i="1"/>
  <c r="AR48" i="1"/>
  <c r="AV48" i="1"/>
  <c r="AW48" i="1"/>
  <c r="AX48" i="1"/>
  <c r="AU48" i="1"/>
  <c r="AN48" i="1"/>
  <c r="AP48" i="1"/>
  <c r="AT48" i="1"/>
  <c r="AS48" i="1"/>
  <c r="AK48" i="1"/>
  <c r="AO48" i="1"/>
  <c r="AM48" i="1"/>
  <c r="AQ48" i="1"/>
  <c r="AJ48" i="1"/>
  <c r="AR47" i="1"/>
  <c r="AV47" i="1"/>
  <c r="AW47" i="1"/>
  <c r="AX47" i="1"/>
  <c r="AU47" i="1"/>
  <c r="AN47" i="1"/>
  <c r="AP47" i="1"/>
  <c r="AT47" i="1"/>
  <c r="AS47" i="1"/>
  <c r="AK47" i="1"/>
  <c r="AO47" i="1"/>
  <c r="AM47" i="1"/>
  <c r="AQ47" i="1"/>
  <c r="AJ47" i="1"/>
  <c r="AR46" i="1"/>
  <c r="AV46" i="1"/>
  <c r="AW46" i="1"/>
  <c r="AX46" i="1"/>
  <c r="AU46" i="1"/>
  <c r="AN46" i="1"/>
  <c r="AP46" i="1"/>
  <c r="AT46" i="1"/>
  <c r="AS46" i="1"/>
  <c r="AK46" i="1"/>
  <c r="AO46" i="1"/>
  <c r="AM46" i="1"/>
  <c r="AQ46" i="1"/>
  <c r="AJ46" i="1"/>
  <c r="AR45" i="1"/>
  <c r="AV45" i="1"/>
  <c r="AW45" i="1"/>
  <c r="AX45" i="1"/>
  <c r="AU45" i="1"/>
  <c r="AN45" i="1"/>
  <c r="AP45" i="1"/>
  <c r="AT45" i="1"/>
  <c r="AS45" i="1"/>
  <c r="AK45" i="1"/>
  <c r="AO45" i="1"/>
  <c r="AM45" i="1"/>
  <c r="AQ45" i="1"/>
  <c r="AJ45" i="1"/>
  <c r="AR44" i="1"/>
  <c r="AV44" i="1"/>
  <c r="AW44" i="1"/>
  <c r="AX44" i="1"/>
  <c r="AU44" i="1"/>
  <c r="AN44" i="1"/>
  <c r="AP44" i="1"/>
  <c r="AT44" i="1"/>
  <c r="AS44" i="1"/>
  <c r="AK44" i="1"/>
  <c r="AO44" i="1"/>
  <c r="AM44" i="1"/>
  <c r="AQ44" i="1"/>
  <c r="AJ44" i="1"/>
  <c r="AR43" i="1"/>
  <c r="AV43" i="1"/>
  <c r="AW43" i="1"/>
  <c r="AX43" i="1"/>
  <c r="AU43" i="1"/>
  <c r="AN43" i="1"/>
  <c r="AP43" i="1"/>
  <c r="AT43" i="1"/>
  <c r="AS43" i="1"/>
  <c r="AK43" i="1"/>
  <c r="AO43" i="1"/>
  <c r="AM43" i="1"/>
  <c r="AQ43" i="1"/>
  <c r="AJ43" i="1"/>
  <c r="AR42" i="1"/>
  <c r="AV42" i="1"/>
  <c r="AW42" i="1"/>
  <c r="AX42" i="1"/>
  <c r="AU42" i="1"/>
  <c r="AN42" i="1"/>
  <c r="AP42" i="1"/>
  <c r="AT42" i="1"/>
  <c r="AS42" i="1"/>
  <c r="AK42" i="1"/>
  <c r="AO42" i="1"/>
  <c r="AM42" i="1"/>
  <c r="AQ42" i="1"/>
  <c r="AJ42" i="1"/>
  <c r="AR41" i="1"/>
  <c r="AV41" i="1"/>
  <c r="AW41" i="1"/>
  <c r="AX41" i="1"/>
  <c r="AU41" i="1"/>
  <c r="AN41" i="1"/>
  <c r="AP41" i="1"/>
  <c r="AT41" i="1"/>
  <c r="AS41" i="1"/>
  <c r="AK41" i="1"/>
  <c r="AO41" i="1"/>
  <c r="AM41" i="1"/>
  <c r="AQ41" i="1"/>
  <c r="AJ41" i="1"/>
  <c r="AR40" i="1"/>
  <c r="AV40" i="1"/>
  <c r="AW40" i="1"/>
  <c r="AX40" i="1"/>
  <c r="AU40" i="1"/>
  <c r="AN40" i="1"/>
  <c r="AP40" i="1"/>
  <c r="AT40" i="1"/>
  <c r="AS40" i="1"/>
  <c r="AK40" i="1"/>
  <c r="AO40" i="1"/>
  <c r="AM40" i="1"/>
  <c r="AQ40" i="1"/>
  <c r="AJ40" i="1"/>
  <c r="AR39" i="1"/>
  <c r="AV39" i="1"/>
  <c r="AW39" i="1"/>
  <c r="AX39" i="1"/>
  <c r="AU39" i="1"/>
  <c r="AN39" i="1"/>
  <c r="AP39" i="1"/>
  <c r="AT39" i="1"/>
  <c r="AS39" i="1"/>
  <c r="AK39" i="1"/>
  <c r="AO39" i="1"/>
  <c r="AM39" i="1"/>
  <c r="AQ39" i="1"/>
  <c r="AJ39" i="1"/>
  <c r="AR38" i="1"/>
  <c r="AV38" i="1"/>
  <c r="AW38" i="1"/>
  <c r="AX38" i="1"/>
  <c r="AU38" i="1"/>
  <c r="AN38" i="1"/>
  <c r="AP38" i="1"/>
  <c r="AT38" i="1"/>
  <c r="AS38" i="1"/>
  <c r="AK38" i="1"/>
  <c r="AO38" i="1"/>
  <c r="AM38" i="1"/>
  <c r="AQ38" i="1"/>
  <c r="AJ38" i="1"/>
  <c r="AR37" i="1"/>
  <c r="AV37" i="1"/>
  <c r="AW37" i="1"/>
  <c r="AX37" i="1"/>
  <c r="AU37" i="1"/>
  <c r="AN37" i="1"/>
  <c r="AP37" i="1"/>
  <c r="AT37" i="1"/>
  <c r="AS37" i="1"/>
  <c r="AK37" i="1"/>
  <c r="AO37" i="1"/>
  <c r="AM37" i="1"/>
  <c r="AQ37" i="1"/>
  <c r="AJ37" i="1"/>
  <c r="AR36" i="1"/>
  <c r="AV36" i="1"/>
  <c r="AW36" i="1"/>
  <c r="AX36" i="1"/>
  <c r="AU36" i="1"/>
  <c r="AN36" i="1"/>
  <c r="AP36" i="1"/>
  <c r="AT36" i="1"/>
  <c r="AS36" i="1"/>
  <c r="AK36" i="1"/>
  <c r="AO36" i="1"/>
  <c r="AM36" i="1"/>
  <c r="AQ36" i="1"/>
  <c r="AJ36" i="1"/>
  <c r="AR35" i="1"/>
  <c r="AV35" i="1"/>
  <c r="AW35" i="1"/>
  <c r="AX35" i="1"/>
  <c r="AU35" i="1"/>
  <c r="AN35" i="1"/>
  <c r="AP35" i="1"/>
  <c r="AT35" i="1"/>
  <c r="AS35" i="1"/>
  <c r="AK35" i="1"/>
  <c r="AO35" i="1"/>
  <c r="AM35" i="1"/>
  <c r="AQ35" i="1"/>
  <c r="AJ35" i="1"/>
  <c r="AR34" i="1"/>
  <c r="AV34" i="1"/>
  <c r="AW34" i="1"/>
  <c r="AX34" i="1"/>
  <c r="AU34" i="1"/>
  <c r="AN34" i="1"/>
  <c r="AP34" i="1"/>
  <c r="AT34" i="1"/>
  <c r="AS34" i="1"/>
  <c r="AK34" i="1"/>
  <c r="AO34" i="1"/>
  <c r="AM34" i="1"/>
  <c r="AQ34" i="1"/>
  <c r="AJ34" i="1"/>
  <c r="AR33" i="1"/>
  <c r="AV33" i="1"/>
  <c r="AW33" i="1"/>
  <c r="AX33" i="1"/>
  <c r="AU33" i="1"/>
  <c r="AN33" i="1"/>
  <c r="AP33" i="1"/>
  <c r="AT33" i="1"/>
  <c r="AS33" i="1"/>
  <c r="AK33" i="1"/>
  <c r="AO33" i="1"/>
  <c r="AM33" i="1"/>
  <c r="AQ33" i="1"/>
  <c r="AJ33" i="1"/>
  <c r="AR32" i="1"/>
  <c r="AV32" i="1"/>
  <c r="AW32" i="1"/>
  <c r="AX32" i="1"/>
  <c r="AU32" i="1"/>
  <c r="AN32" i="1"/>
  <c r="AP32" i="1"/>
  <c r="AT32" i="1"/>
  <c r="AS32" i="1"/>
  <c r="AK32" i="1"/>
  <c r="AO32" i="1"/>
  <c r="AM32" i="1"/>
  <c r="AQ32" i="1"/>
  <c r="AJ32" i="1"/>
  <c r="AR31" i="1"/>
  <c r="AV31" i="1"/>
  <c r="AW31" i="1"/>
  <c r="AX31" i="1"/>
  <c r="AU31" i="1"/>
  <c r="AN31" i="1"/>
  <c r="AP31" i="1"/>
  <c r="AT31" i="1"/>
  <c r="AS31" i="1"/>
  <c r="AK31" i="1"/>
  <c r="AO31" i="1"/>
  <c r="AM31" i="1"/>
  <c r="AQ31" i="1"/>
  <c r="AJ31" i="1"/>
  <c r="AR30" i="1"/>
  <c r="AV30" i="1"/>
  <c r="AW30" i="1"/>
  <c r="AX30" i="1"/>
  <c r="AU30" i="1"/>
  <c r="AN30" i="1"/>
  <c r="AP30" i="1"/>
  <c r="AT30" i="1"/>
  <c r="AS30" i="1"/>
  <c r="AK30" i="1"/>
  <c r="AO30" i="1"/>
  <c r="AM30" i="1"/>
  <c r="AQ30" i="1"/>
  <c r="AJ30" i="1"/>
  <c r="AR29" i="1"/>
  <c r="AV29" i="1"/>
  <c r="AW29" i="1"/>
  <c r="AX29" i="1"/>
  <c r="AU29" i="1"/>
  <c r="AN29" i="1"/>
  <c r="AP29" i="1"/>
  <c r="AT29" i="1"/>
  <c r="AS29" i="1"/>
  <c r="AK29" i="1"/>
  <c r="AO29" i="1"/>
  <c r="AM29" i="1"/>
  <c r="AQ29" i="1"/>
  <c r="AJ29" i="1"/>
  <c r="AR28" i="1"/>
  <c r="AV28" i="1"/>
  <c r="AW28" i="1"/>
  <c r="AX28" i="1"/>
  <c r="AU28" i="1"/>
  <c r="AN28" i="1"/>
  <c r="AP28" i="1"/>
  <c r="AT28" i="1"/>
  <c r="AS28" i="1"/>
  <c r="AK28" i="1"/>
  <c r="AO28" i="1"/>
  <c r="AM28" i="1"/>
  <c r="AQ28" i="1"/>
  <c r="AJ28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U14" i="1"/>
  <c r="AU13" i="1"/>
  <c r="AU9" i="1"/>
  <c r="AP17" i="1"/>
  <c r="AP16" i="1"/>
  <c r="AP15" i="1"/>
  <c r="AP14" i="1"/>
  <c r="AP13" i="1"/>
  <c r="AP12" i="1"/>
  <c r="AP11" i="1"/>
  <c r="AU11" i="1" s="1"/>
  <c r="AP10" i="1"/>
  <c r="AP9" i="1"/>
  <c r="AP8" i="1"/>
  <c r="AP7" i="1"/>
  <c r="AP6" i="1"/>
  <c r="AP5" i="1"/>
  <c r="AU5" i="1" s="1"/>
  <c r="AP4" i="1"/>
  <c r="AP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AO3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O20" i="1"/>
  <c r="AM15" i="1"/>
  <c r="AM17" i="1"/>
  <c r="AM16" i="1"/>
  <c r="AM14" i="1"/>
  <c r="AM13" i="1"/>
  <c r="AM12" i="1"/>
  <c r="AM11" i="1"/>
  <c r="AM10" i="1"/>
  <c r="AM9" i="1"/>
  <c r="AM8" i="1"/>
  <c r="AM7" i="1"/>
  <c r="AM6" i="1"/>
  <c r="AM5" i="1"/>
  <c r="AM4" i="1"/>
  <c r="AM3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4" i="1"/>
  <c r="AH3" i="1"/>
  <c r="AG5" i="1"/>
  <c r="AG4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3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M19" i="1" l="1"/>
  <c r="AO19" i="1" s="1"/>
  <c r="AJ19" i="1"/>
  <c r="AH19" i="1"/>
  <c r="AI19" i="1"/>
  <c r="AG19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3" i="1"/>
  <c r="AC17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3" i="1"/>
  <c r="AB3" i="1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A4" i="1"/>
  <c r="AA3" i="1"/>
  <c r="Y4" i="1" l="1"/>
  <c r="Z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AC19" i="1" s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Z3" i="1"/>
  <c r="Y3" i="1"/>
  <c r="X3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U17" i="1"/>
  <c r="W17" i="1" l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102" i="1" l="1"/>
  <c r="Z102" i="1"/>
  <c r="X102" i="1"/>
  <c r="U102" i="1"/>
  <c r="S102" i="1"/>
  <c r="Y90" i="1"/>
  <c r="Y92" i="1"/>
  <c r="Y99" i="1"/>
  <c r="Y89" i="1"/>
  <c r="Y91" i="1"/>
  <c r="Y100" i="1"/>
  <c r="Y93" i="1"/>
  <c r="Y101" i="1"/>
  <c r="Y97" i="1"/>
  <c r="Y94" i="1"/>
  <c r="Y95" i="1"/>
  <c r="Y98" i="1"/>
  <c r="Y102" i="1"/>
  <c r="Y88" i="1"/>
  <c r="Y103" i="1"/>
  <c r="Y96" i="1"/>
  <c r="X91" i="1"/>
  <c r="X100" i="1"/>
  <c r="X93" i="1"/>
  <c r="X101" i="1"/>
  <c r="X94" i="1"/>
  <c r="X92" i="1"/>
  <c r="X95" i="1"/>
  <c r="X98" i="1"/>
  <c r="X99" i="1"/>
  <c r="X88" i="1"/>
  <c r="X96" i="1"/>
  <c r="X90" i="1"/>
  <c r="X89" i="1"/>
  <c r="X103" i="1"/>
  <c r="X97" i="1"/>
  <c r="W93" i="1"/>
  <c r="W101" i="1"/>
  <c r="W99" i="1"/>
  <c r="W100" i="1"/>
  <c r="W94" i="1"/>
  <c r="W92" i="1"/>
  <c r="W95" i="1"/>
  <c r="W88" i="1"/>
  <c r="W96" i="1"/>
  <c r="W91" i="1"/>
  <c r="W89" i="1"/>
  <c r="W97" i="1"/>
  <c r="W102" i="1"/>
  <c r="W90" i="1"/>
  <c r="W103" i="1"/>
  <c r="W98" i="1"/>
  <c r="V100" i="1"/>
  <c r="V101" i="1"/>
  <c r="V94" i="1"/>
  <c r="V95" i="1"/>
  <c r="V88" i="1"/>
  <c r="V96" i="1"/>
  <c r="V102" i="1"/>
  <c r="V91" i="1"/>
  <c r="V89" i="1"/>
  <c r="V97" i="1"/>
  <c r="V90" i="1"/>
  <c r="V98" i="1"/>
  <c r="V93" i="1"/>
  <c r="V92" i="1"/>
  <c r="V103" i="1"/>
  <c r="V99" i="1"/>
  <c r="U95" i="1"/>
  <c r="U88" i="1"/>
  <c r="U96" i="1"/>
  <c r="U101" i="1"/>
  <c r="U94" i="1"/>
  <c r="U89" i="1"/>
  <c r="U97" i="1"/>
  <c r="U90" i="1"/>
  <c r="U98" i="1"/>
  <c r="U93" i="1"/>
  <c r="U92" i="1"/>
  <c r="U99" i="1"/>
  <c r="U91" i="1"/>
  <c r="U103" i="1"/>
  <c r="U100" i="1"/>
  <c r="T102" i="1"/>
  <c r="T88" i="1"/>
  <c r="T96" i="1"/>
  <c r="T94" i="1"/>
  <c r="T95" i="1"/>
  <c r="T89" i="1"/>
  <c r="T97" i="1"/>
  <c r="T90" i="1"/>
  <c r="T98" i="1"/>
  <c r="T92" i="1"/>
  <c r="T99" i="1"/>
  <c r="T91" i="1"/>
  <c r="T100" i="1"/>
  <c r="T93" i="1"/>
  <c r="T103" i="1"/>
  <c r="T101" i="1"/>
  <c r="S95" i="1"/>
  <c r="S96" i="1"/>
  <c r="S89" i="1"/>
  <c r="S97" i="1"/>
  <c r="S90" i="1"/>
  <c r="S98" i="1"/>
  <c r="S88" i="1"/>
  <c r="S92" i="1"/>
  <c r="S99" i="1"/>
  <c r="S91" i="1"/>
  <c r="S100" i="1"/>
  <c r="S93" i="1"/>
  <c r="S101" i="1"/>
  <c r="S103" i="1"/>
  <c r="S94" i="1"/>
  <c r="R88" i="1"/>
  <c r="R90" i="1"/>
  <c r="R98" i="1"/>
  <c r="R89" i="1"/>
  <c r="R92" i="1"/>
  <c r="R99" i="1"/>
  <c r="R91" i="1"/>
  <c r="R100" i="1"/>
  <c r="R97" i="1"/>
  <c r="R93" i="1"/>
  <c r="R101" i="1"/>
  <c r="R94" i="1"/>
  <c r="R96" i="1"/>
  <c r="R103" i="1"/>
  <c r="R95" i="1"/>
  <c r="Z90" i="1"/>
  <c r="Z98" i="1"/>
  <c r="Z92" i="1"/>
  <c r="Z99" i="1"/>
  <c r="Z96" i="1"/>
  <c r="Z91" i="1"/>
  <c r="Z100" i="1"/>
  <c r="Z93" i="1"/>
  <c r="Z101" i="1"/>
  <c r="Z88" i="1"/>
  <c r="Z94" i="1"/>
  <c r="Z89" i="1"/>
  <c r="Z97" i="1"/>
  <c r="Z103" i="1"/>
  <c r="Z95" i="1"/>
  <c r="S86" i="1" l="1"/>
  <c r="Y86" i="1"/>
  <c r="X86" i="1"/>
  <c r="U86" i="1"/>
  <c r="T86" i="1"/>
  <c r="V86" i="1"/>
  <c r="W86" i="1"/>
  <c r="Z86" i="1"/>
  <c r="R86" i="1"/>
</calcChain>
</file>

<file path=xl/sharedStrings.xml><?xml version="1.0" encoding="utf-8"?>
<sst xmlns="http://schemas.openxmlformats.org/spreadsheetml/2006/main" count="466" uniqueCount="32">
  <si>
    <t>AXPO</t>
  </si>
  <si>
    <t>ACCIONA</t>
  </si>
  <si>
    <t>NEXUS</t>
  </si>
  <si>
    <t>REPSOL</t>
  </si>
  <si>
    <t>ENGIE</t>
  </si>
  <si>
    <t>IGNIS</t>
  </si>
  <si>
    <t>GNERA</t>
  </si>
  <si>
    <t>ENERGYA</t>
  </si>
  <si>
    <t>W2M</t>
  </si>
  <si>
    <t>ALPIQ</t>
  </si>
  <si>
    <t>GESTERNOVA</t>
  </si>
  <si>
    <t>HOLALUZ</t>
  </si>
  <si>
    <t>CEPSA</t>
  </si>
  <si>
    <t>SHELL</t>
  </si>
  <si>
    <t>Biomass + Cogen</t>
  </si>
  <si>
    <t>CCGT + Coal</t>
  </si>
  <si>
    <t>Hydro</t>
  </si>
  <si>
    <t>Hydro Pump</t>
  </si>
  <si>
    <t>Solar Thermal</t>
  </si>
  <si>
    <t>Solar PV</t>
  </si>
  <si>
    <t>Wind</t>
  </si>
  <si>
    <t>Others</t>
  </si>
  <si>
    <t>TOTAL</t>
  </si>
  <si>
    <t>Day</t>
  </si>
  <si>
    <t>Month</t>
  </si>
  <si>
    <t>Year</t>
  </si>
  <si>
    <t>Axis</t>
  </si>
  <si>
    <t>Decrease</t>
  </si>
  <si>
    <t>GALP</t>
  </si>
  <si>
    <t>MRA</t>
  </si>
  <si>
    <t>Increase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</si>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</sst>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3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18" xfId="0" applyBorder="1"/>
    <xf numFmtId="0" fontId="0" fillId="4" borderId="18" xfId="0" applyFill="1" applyBorder="1"/>
    <xf numFmtId="3" fontId="0" fillId="4" borderId="18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7" fontId="2" fillId="2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5" borderId="19" xfId="0" quotePrefix="1" applyFont="1" applyFill="1" applyBorder="1" applyAlignment="1">
      <alignment horizontal="center" vertical="center"/>
    </xf>
    <xf numFmtId="3" fontId="0" fillId="5" borderId="20" xfId="0" applyNumberFormat="1" applyFill="1" applyBorder="1" applyAlignment="1">
      <alignment horizontal="center"/>
    </xf>
    <xf numFmtId="9" fontId="0" fillId="5" borderId="20" xfId="1" applyFont="1" applyFill="1" applyBorder="1" applyAlignment="1">
      <alignment horizontal="center"/>
    </xf>
    <xf numFmtId="9" fontId="0" fillId="6" borderId="20" xfId="1" applyFont="1" applyFill="1" applyBorder="1" applyAlignment="1">
      <alignment horizontal="center"/>
    </xf>
    <xf numFmtId="9" fontId="0" fillId="5" borderId="20" xfId="1" applyNumberFormat="1" applyFont="1" applyFill="1" applyBorder="1" applyAlignment="1">
      <alignment horizontal="center"/>
    </xf>
    <xf numFmtId="9" fontId="0" fillId="0" borderId="0" xfId="1" applyNumberFormat="1" applyFont="1"/>
    <xf numFmtId="0" fontId="0" fillId="0" borderId="0" xfId="0" applyFont="1" applyAlignment="1">
      <alignment horizontal="center"/>
    </xf>
    <xf numFmtId="0" fontId="0" fillId="0" borderId="0" xfId="0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EEEEE"/>
      <color rgb="FF59595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Holaluz Representation Portfolio: MW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0C-46E1-BC45-E4504B3F0D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0E-4A4B-A2D0-A4817FE33834}"/>
                </c:ext>
              </c:extLst>
            </c:dLbl>
            <c:dLbl>
              <c:idx val="4"/>
              <c:layout>
                <c:manualLayout>
                  <c:x val="-2.0296416067928771E-2"/>
                  <c:y val="-5.4721443576424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0C-46E1-BC45-E4504B3F0D1A}"/>
                </c:ext>
              </c:extLst>
            </c:dLbl>
            <c:dLbl>
              <c:idx val="5"/>
              <c:layout>
                <c:manualLayout>
                  <c:x val="-3.3671261739410964E-2"/>
                  <c:y val="4.9688709760162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0C-46E1-BC45-E4504B3F0D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0C-46E1-BC45-E4504B3F0D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0C-46E1-BC45-E4504B3F0D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0C-46E1-BC45-E4504B3F0D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0C-46E1-BC45-E4504B3F0D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0C-46E1-BC45-E4504B3F0D1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E8-49B3-A12D-05FF5AA2E62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F9-4829-B8C1-F06DF966E65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F9-4829-B8C1-F06DF966E65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F9-4829-B8C1-F06DF966E65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7-8969-0ED10F962C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Sheet1!$R$2:$AP$2</c:f>
              <c:numCache>
                <c:formatCode>mmm\-yy</c:formatCode>
                <c:ptCount val="25"/>
                <c:pt idx="0">
                  <c:v>45231</c:v>
                </c:pt>
                <c:pt idx="1">
                  <c:v>45323</c:v>
                </c:pt>
                <c:pt idx="2">
                  <c:v>45400</c:v>
                </c:pt>
                <c:pt idx="3">
                  <c:v>45419</c:v>
                </c:pt>
                <c:pt idx="4">
                  <c:v>45488</c:v>
                </c:pt>
                <c:pt idx="5">
                  <c:v>45525</c:v>
                </c:pt>
                <c:pt idx="6">
                  <c:v>45545</c:v>
                </c:pt>
                <c:pt idx="7">
                  <c:v>45575</c:v>
                </c:pt>
                <c:pt idx="8">
                  <c:v>45606</c:v>
                </c:pt>
                <c:pt idx="9">
                  <c:v>45636</c:v>
                </c:pt>
                <c:pt idx="10">
                  <c:v>45667</c:v>
                </c:pt>
                <c:pt idx="11">
                  <c:v>45698</c:v>
                </c:pt>
                <c:pt idx="12">
                  <c:v>45726</c:v>
                </c:pt>
                <c:pt idx="13">
                  <c:v>45757</c:v>
                </c:pt>
                <c:pt idx="14">
                  <c:v>45787</c:v>
                </c:pt>
                <c:pt idx="15">
                  <c:v>45818</c:v>
                </c:pt>
                <c:pt idx="16">
                  <c:v>45848</c:v>
                </c:pt>
                <c:pt idx="17">
                  <c:v>45879</c:v>
                </c:pt>
                <c:pt idx="18">
                  <c:v>45910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</c:numCache>
            </c:numRef>
          </c:xVal>
          <c:yVal>
            <c:numRef>
              <c:f>Sheet1!$R$14:$AP$14</c:f>
              <c:numCache>
                <c:formatCode>#,##0</c:formatCode>
                <c:ptCount val="25"/>
                <c:pt idx="0">
                  <c:v>1907.8000000000002</c:v>
                </c:pt>
                <c:pt idx="1">
                  <c:v>1669.1</c:v>
                </c:pt>
                <c:pt idx="2">
                  <c:v>1543.1999999999998</c:v>
                </c:pt>
                <c:pt idx="3">
                  <c:v>1557.1999999999998</c:v>
                </c:pt>
                <c:pt idx="4">
                  <c:v>610.4</c:v>
                </c:pt>
                <c:pt idx="5">
                  <c:v>359.70000000000005</c:v>
                </c:pt>
                <c:pt idx="6">
                  <c:v>389.7000000000001</c:v>
                </c:pt>
                <c:pt idx="7">
                  <c:v>357.80000000000007</c:v>
                </c:pt>
                <c:pt idx="8">
                  <c:v>354.00000000000006</c:v>
                </c:pt>
                <c:pt idx="9">
                  <c:v>352.30000000000007</c:v>
                </c:pt>
                <c:pt idx="10">
                  <c:v>290.60000000000002</c:v>
                </c:pt>
                <c:pt idx="11">
                  <c:v>290.60000000000002</c:v>
                </c:pt>
                <c:pt idx="12">
                  <c:v>290.40000000000003</c:v>
                </c:pt>
                <c:pt idx="13">
                  <c:v>280.90000000000003</c:v>
                </c:pt>
                <c:pt idx="14">
                  <c:v>280.20000000000005</c:v>
                </c:pt>
                <c:pt idx="15">
                  <c:v>279.40000000000003</c:v>
                </c:pt>
                <c:pt idx="16">
                  <c:v>279.40000000000003</c:v>
                </c:pt>
                <c:pt idx="17">
                  <c:v>294.90000000000003</c:v>
                </c:pt>
                <c:pt idx="18">
                  <c:v>294.90000000000003</c:v>
                </c:pt>
                <c:pt idx="19">
                  <c:v>280.00000000000006</c:v>
                </c:pt>
                <c:pt idx="20">
                  <c:v>279.70000000000005</c:v>
                </c:pt>
                <c:pt idx="21">
                  <c:v>279.3</c:v>
                </c:pt>
                <c:pt idx="22">
                  <c:v>279.3</c:v>
                </c:pt>
                <c:pt idx="23">
                  <c:v>277.5</c:v>
                </c:pt>
                <c:pt idx="24">
                  <c:v>277.40000000000003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0E-4A4B-A2D0-A4817FE33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25311"/>
        <c:axId val="1701534431"/>
      </c:scatterChart>
      <c:valAx>
        <c:axId val="17015253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34431"/>
        <c:crosses val="autoZero"/>
        <c:crossBetween val="midCat"/>
      </c:valAx>
      <c:valAx>
        <c:axId val="17015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2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Ignis Representation Portfolio: MW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9637144984292927E-2"/>
                  <c:y val="-8.2944279858500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7F-4A4D-AA22-6D246887463E}"/>
                </c:ext>
              </c:extLst>
            </c:dLbl>
            <c:dLbl>
              <c:idx val="5"/>
              <c:layout>
                <c:manualLayout>
                  <c:x val="-4.3652923479840643E-2"/>
                  <c:y val="-5.335832390525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7F-4A4D-AA22-6D246887463E}"/>
                </c:ext>
              </c:extLst>
            </c:dLbl>
            <c:dLbl>
              <c:idx val="6"/>
              <c:layout>
                <c:manualLayout>
                  <c:x val="-4.2109690813428913E-2"/>
                  <c:y val="-0.100014943753098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7F-4A4D-AA22-6D24688746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66-4A96-961D-18D3D02B45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66-4A96-961D-18D3D02B45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66-4A96-961D-18D3D02B45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7D-40A1-A377-F2FA29203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Sheet1!$R$2:$AP$2</c:f>
              <c:numCache>
                <c:formatCode>mmm\-yy</c:formatCode>
                <c:ptCount val="25"/>
                <c:pt idx="0">
                  <c:v>45231</c:v>
                </c:pt>
                <c:pt idx="1">
                  <c:v>45323</c:v>
                </c:pt>
                <c:pt idx="2">
                  <c:v>45400</c:v>
                </c:pt>
                <c:pt idx="3">
                  <c:v>45419</c:v>
                </c:pt>
                <c:pt idx="4">
                  <c:v>45488</c:v>
                </c:pt>
                <c:pt idx="5">
                  <c:v>45525</c:v>
                </c:pt>
                <c:pt idx="6">
                  <c:v>45545</c:v>
                </c:pt>
                <c:pt idx="7">
                  <c:v>45575</c:v>
                </c:pt>
                <c:pt idx="8">
                  <c:v>45606</c:v>
                </c:pt>
                <c:pt idx="9">
                  <c:v>45636</c:v>
                </c:pt>
                <c:pt idx="10">
                  <c:v>45667</c:v>
                </c:pt>
                <c:pt idx="11">
                  <c:v>45698</c:v>
                </c:pt>
                <c:pt idx="12">
                  <c:v>45726</c:v>
                </c:pt>
                <c:pt idx="13">
                  <c:v>45757</c:v>
                </c:pt>
                <c:pt idx="14">
                  <c:v>45787</c:v>
                </c:pt>
                <c:pt idx="15">
                  <c:v>45818</c:v>
                </c:pt>
                <c:pt idx="16">
                  <c:v>45848</c:v>
                </c:pt>
                <c:pt idx="17">
                  <c:v>45879</c:v>
                </c:pt>
                <c:pt idx="18">
                  <c:v>45910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</c:numCache>
            </c:numRef>
          </c:xVal>
          <c:yVal>
            <c:numRef>
              <c:f>Sheet1!$R$8:$AP$8</c:f>
              <c:numCache>
                <c:formatCode>#,##0</c:formatCode>
                <c:ptCount val="25"/>
                <c:pt idx="0">
                  <c:v>3425.7999999999997</c:v>
                </c:pt>
                <c:pt idx="1">
                  <c:v>4625.6000000000004</c:v>
                </c:pt>
                <c:pt idx="2">
                  <c:v>4967.3000000000011</c:v>
                </c:pt>
                <c:pt idx="3">
                  <c:v>5009.3000000000011</c:v>
                </c:pt>
                <c:pt idx="4">
                  <c:v>5709.7000000000016</c:v>
                </c:pt>
                <c:pt idx="5">
                  <c:v>5526.5000000000018</c:v>
                </c:pt>
                <c:pt idx="6">
                  <c:v>5599.0000000000018</c:v>
                </c:pt>
                <c:pt idx="7">
                  <c:v>5845.7000000000016</c:v>
                </c:pt>
                <c:pt idx="8">
                  <c:v>6040.9000000000024</c:v>
                </c:pt>
                <c:pt idx="9">
                  <c:v>6165.5000000000018</c:v>
                </c:pt>
                <c:pt idx="10">
                  <c:v>6431.9000000000015</c:v>
                </c:pt>
                <c:pt idx="11">
                  <c:v>6576.4000000000024</c:v>
                </c:pt>
                <c:pt idx="12">
                  <c:v>6812.5000000000027</c:v>
                </c:pt>
                <c:pt idx="13">
                  <c:v>7215.5000000000018</c:v>
                </c:pt>
                <c:pt idx="14">
                  <c:v>7670.0000000000018</c:v>
                </c:pt>
                <c:pt idx="15">
                  <c:v>7743.8000000000011</c:v>
                </c:pt>
                <c:pt idx="16">
                  <c:v>7827.0000000000018</c:v>
                </c:pt>
                <c:pt idx="17">
                  <c:v>7679.5000000000018</c:v>
                </c:pt>
                <c:pt idx="18">
                  <c:v>7679.5000000000018</c:v>
                </c:pt>
                <c:pt idx="19">
                  <c:v>7777.1000000000022</c:v>
                </c:pt>
                <c:pt idx="20">
                  <c:v>7739.6000000000022</c:v>
                </c:pt>
                <c:pt idx="21">
                  <c:v>8010.100000000004</c:v>
                </c:pt>
                <c:pt idx="22">
                  <c:v>8044.8000000000029</c:v>
                </c:pt>
                <c:pt idx="23">
                  <c:v>8086.6000000000022</c:v>
                </c:pt>
                <c:pt idx="24">
                  <c:v>8140.6000000000022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B-4A1B-8C7C-944459FA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25311"/>
        <c:axId val="1701534431"/>
      </c:scatterChart>
      <c:valAx>
        <c:axId val="17015253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34431"/>
        <c:crosses val="autoZero"/>
        <c:crossBetween val="midCat"/>
      </c:valAx>
      <c:valAx>
        <c:axId val="1701534431"/>
        <c:scaling>
          <c:orientation val="minMax"/>
          <c:max val="8500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2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Gnera</a:t>
            </a:r>
            <a:r>
              <a:rPr lang="en-US" b="1" baseline="0">
                <a:solidFill>
                  <a:srgbClr val="002060"/>
                </a:solidFill>
              </a:rPr>
              <a:t> Representation Portfolio: MW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4E-4317-8E0E-54F39BA838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F3-4C21-8DDB-4E9E551A1F32}"/>
                </c:ext>
              </c:extLst>
            </c:dLbl>
            <c:dLbl>
              <c:idx val="3"/>
              <c:layout>
                <c:manualLayout>
                  <c:x val="-4.1814296060107468E-2"/>
                  <c:y val="-4.364721395659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F3-4C21-8DDB-4E9E551A1F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4E-4317-8E0E-54F39BA838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F3-4C21-8DDB-4E9E551A1F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4E-4317-8E0E-54F39BA838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F3-4C21-8DDB-4E9E551A1F3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E-4317-8E0E-54F39BA8381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F3-4C21-8DDB-4E9E551A1F3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CC-48B2-BBC3-AB40CDCFAF7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CC-48B2-BBC3-AB40CDCFAF72}"/>
                </c:ext>
              </c:extLst>
            </c:dLbl>
            <c:dLbl>
              <c:idx val="15"/>
              <c:layout>
                <c:manualLayout>
                  <c:x val="-6.2188990211588545E-2"/>
                  <c:y val="-5.2932745336293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58-4688-85F7-BCA91020656D}"/>
                </c:ext>
              </c:extLst>
            </c:dLbl>
            <c:dLbl>
              <c:idx val="16"/>
              <c:layout>
                <c:manualLayout>
                  <c:x val="-7.5191961918600114E-2"/>
                  <c:y val="-6.81933983073334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58-4688-85F7-BCA91020656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18-4A08-8D17-94CBE5E1A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Sheet1!$R$2:$AP$2</c:f>
              <c:numCache>
                <c:formatCode>mmm\-yy</c:formatCode>
                <c:ptCount val="25"/>
                <c:pt idx="0">
                  <c:v>45231</c:v>
                </c:pt>
                <c:pt idx="1">
                  <c:v>45323</c:v>
                </c:pt>
                <c:pt idx="2">
                  <c:v>45400</c:v>
                </c:pt>
                <c:pt idx="3">
                  <c:v>45419</c:v>
                </c:pt>
                <c:pt idx="4">
                  <c:v>45488</c:v>
                </c:pt>
                <c:pt idx="5">
                  <c:v>45525</c:v>
                </c:pt>
                <c:pt idx="6">
                  <c:v>45545</c:v>
                </c:pt>
                <c:pt idx="7">
                  <c:v>45575</c:v>
                </c:pt>
                <c:pt idx="8">
                  <c:v>45606</c:v>
                </c:pt>
                <c:pt idx="9">
                  <c:v>45636</c:v>
                </c:pt>
                <c:pt idx="10">
                  <c:v>45667</c:v>
                </c:pt>
                <c:pt idx="11">
                  <c:v>45698</c:v>
                </c:pt>
                <c:pt idx="12">
                  <c:v>45726</c:v>
                </c:pt>
                <c:pt idx="13">
                  <c:v>45757</c:v>
                </c:pt>
                <c:pt idx="14">
                  <c:v>45787</c:v>
                </c:pt>
                <c:pt idx="15">
                  <c:v>45818</c:v>
                </c:pt>
                <c:pt idx="16">
                  <c:v>45848</c:v>
                </c:pt>
                <c:pt idx="17">
                  <c:v>45879</c:v>
                </c:pt>
                <c:pt idx="18">
                  <c:v>45910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</c:numCache>
            </c:numRef>
          </c:xVal>
          <c:yVal>
            <c:numRef>
              <c:f>Sheet1!$R$9:$AP$9</c:f>
              <c:numCache>
                <c:formatCode>#,##0</c:formatCode>
                <c:ptCount val="25"/>
                <c:pt idx="0">
                  <c:v>2703.2</c:v>
                </c:pt>
                <c:pt idx="1">
                  <c:v>2994.8999999999996</c:v>
                </c:pt>
                <c:pt idx="2">
                  <c:v>3122.5</c:v>
                </c:pt>
                <c:pt idx="3">
                  <c:v>3219.2</c:v>
                </c:pt>
                <c:pt idx="4">
                  <c:v>3283.3</c:v>
                </c:pt>
                <c:pt idx="5">
                  <c:v>3333.8</c:v>
                </c:pt>
                <c:pt idx="6">
                  <c:v>3365.3</c:v>
                </c:pt>
                <c:pt idx="7">
                  <c:v>3589.4</c:v>
                </c:pt>
                <c:pt idx="8">
                  <c:v>3725.9</c:v>
                </c:pt>
                <c:pt idx="9">
                  <c:v>3745.7000000000003</c:v>
                </c:pt>
                <c:pt idx="10">
                  <c:v>4109</c:v>
                </c:pt>
                <c:pt idx="11">
                  <c:v>4109.6000000000004</c:v>
                </c:pt>
                <c:pt idx="12">
                  <c:v>4334.0999999999995</c:v>
                </c:pt>
                <c:pt idx="13">
                  <c:v>4340.5999999999995</c:v>
                </c:pt>
                <c:pt idx="14">
                  <c:v>4339.9999999999991</c:v>
                </c:pt>
                <c:pt idx="15">
                  <c:v>4357.7999999999993</c:v>
                </c:pt>
                <c:pt idx="16">
                  <c:v>4744.2999999999993</c:v>
                </c:pt>
                <c:pt idx="17">
                  <c:v>4754.9999999999991</c:v>
                </c:pt>
                <c:pt idx="18">
                  <c:v>4759.3999999999987</c:v>
                </c:pt>
                <c:pt idx="19">
                  <c:v>4935.4999999999991</c:v>
                </c:pt>
                <c:pt idx="20">
                  <c:v>4947.2999999999984</c:v>
                </c:pt>
                <c:pt idx="21">
                  <c:v>5020.7999999999993</c:v>
                </c:pt>
                <c:pt idx="22">
                  <c:v>5220.7999999999984</c:v>
                </c:pt>
                <c:pt idx="23">
                  <c:v>5113.2</c:v>
                </c:pt>
                <c:pt idx="24">
                  <c:v>5233.0999999999985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3-4C21-8DDB-4E9E551A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25311"/>
        <c:axId val="1701534431"/>
      </c:scatterChart>
      <c:valAx>
        <c:axId val="17015253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34431"/>
        <c:crosses val="autoZero"/>
        <c:crossBetween val="midCat"/>
      </c:valAx>
      <c:valAx>
        <c:axId val="17015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2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MRAs Portfolio</a:t>
            </a:r>
            <a:r>
              <a:rPr lang="es-ES" baseline="0"/>
              <a:t> diciembre 2025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Sheet1!$Q$3:$Q$17</c:f>
              <c:strCache>
                <c:ptCount val="15"/>
                <c:pt idx="0">
                  <c:v>AXPO</c:v>
                </c:pt>
                <c:pt idx="1">
                  <c:v>ACCIONA</c:v>
                </c:pt>
                <c:pt idx="2">
                  <c:v>NEXUS</c:v>
                </c:pt>
                <c:pt idx="3">
                  <c:v>REPSOL</c:v>
                </c:pt>
                <c:pt idx="4">
                  <c:v>ENGIE</c:v>
                </c:pt>
                <c:pt idx="5">
                  <c:v>IGNIS</c:v>
                </c:pt>
                <c:pt idx="6">
                  <c:v>GNERA</c:v>
                </c:pt>
                <c:pt idx="7">
                  <c:v>ENERGYA</c:v>
                </c:pt>
                <c:pt idx="8">
                  <c:v>W2M</c:v>
                </c:pt>
                <c:pt idx="9">
                  <c:v>ALPIQ</c:v>
                </c:pt>
                <c:pt idx="10">
                  <c:v>GESTERNOVA</c:v>
                </c:pt>
                <c:pt idx="11">
                  <c:v>HOLALUZ</c:v>
                </c:pt>
                <c:pt idx="12">
                  <c:v>CEPSA</c:v>
                </c:pt>
                <c:pt idx="13">
                  <c:v>SHELL</c:v>
                </c:pt>
                <c:pt idx="14">
                  <c:v>GALP</c:v>
                </c:pt>
              </c:strCache>
            </c:strRef>
          </c:cat>
          <c:val>
            <c:numRef>
              <c:f>Sheet1!$AP$3:$AP$17</c:f>
              <c:numCache>
                <c:formatCode>#,##0</c:formatCode>
                <c:ptCount val="15"/>
                <c:pt idx="0">
                  <c:v>7136.4</c:v>
                </c:pt>
                <c:pt idx="1">
                  <c:v>4432.8</c:v>
                </c:pt>
                <c:pt idx="2">
                  <c:v>6840.800000000002</c:v>
                </c:pt>
                <c:pt idx="3">
                  <c:v>5150.8</c:v>
                </c:pt>
                <c:pt idx="4">
                  <c:v>3389.1000000000004</c:v>
                </c:pt>
                <c:pt idx="5">
                  <c:v>8140.6000000000022</c:v>
                </c:pt>
                <c:pt idx="6">
                  <c:v>5233.0999999999985</c:v>
                </c:pt>
                <c:pt idx="7">
                  <c:v>2421.7000000000003</c:v>
                </c:pt>
                <c:pt idx="8">
                  <c:v>2477.1999999999998</c:v>
                </c:pt>
                <c:pt idx="9">
                  <c:v>2915.5000000000005</c:v>
                </c:pt>
                <c:pt idx="10">
                  <c:v>3837.4000000000015</c:v>
                </c:pt>
                <c:pt idx="11">
                  <c:v>277.40000000000003</c:v>
                </c:pt>
                <c:pt idx="12">
                  <c:v>2036.1000000000001</c:v>
                </c:pt>
                <c:pt idx="13">
                  <c:v>1402.5</c:v>
                </c:pt>
                <c:pt idx="14">
                  <c:v>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F-4755-9C56-5D79C8569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9"/>
        <c:axId val="1357957423"/>
        <c:axId val="1357957903"/>
      </c:barChart>
      <c:catAx>
        <c:axId val="13579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57903"/>
        <c:crosses val="autoZero"/>
        <c:auto val="1"/>
        <c:lblAlgn val="ctr"/>
        <c:lblOffset val="100"/>
        <c:noMultiLvlLbl val="0"/>
      </c:catAx>
      <c:valAx>
        <c:axId val="13579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5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Energya Representation Portfolio: MW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9.5573053744946283E-3"/>
                  <c:y val="-7.77404797662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17-4C0E-AE3C-255987343960}"/>
                </c:ext>
              </c:extLst>
            </c:dLbl>
            <c:dLbl>
              <c:idx val="6"/>
              <c:layout>
                <c:manualLayout>
                  <c:x val="-3.7696352147667714E-2"/>
                  <c:y val="6.9395596774989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17-4C0E-AE3C-255987343960}"/>
                </c:ext>
              </c:extLst>
            </c:dLbl>
            <c:dLbl>
              <c:idx val="10"/>
              <c:layout>
                <c:manualLayout>
                  <c:x val="-3.1666556410559141E-2"/>
                  <c:y val="-9.45560313709341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17-4C0E-AE3C-2559873439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Sheet1!$R$2:$AP$2</c:f>
              <c:numCache>
                <c:formatCode>mmm\-yy</c:formatCode>
                <c:ptCount val="25"/>
                <c:pt idx="0">
                  <c:v>45231</c:v>
                </c:pt>
                <c:pt idx="1">
                  <c:v>45323</c:v>
                </c:pt>
                <c:pt idx="2">
                  <c:v>45400</c:v>
                </c:pt>
                <c:pt idx="3">
                  <c:v>45419</c:v>
                </c:pt>
                <c:pt idx="4">
                  <c:v>45488</c:v>
                </c:pt>
                <c:pt idx="5">
                  <c:v>45525</c:v>
                </c:pt>
                <c:pt idx="6">
                  <c:v>45545</c:v>
                </c:pt>
                <c:pt idx="7">
                  <c:v>45575</c:v>
                </c:pt>
                <c:pt idx="8">
                  <c:v>45606</c:v>
                </c:pt>
                <c:pt idx="9">
                  <c:v>45636</c:v>
                </c:pt>
                <c:pt idx="10">
                  <c:v>45667</c:v>
                </c:pt>
                <c:pt idx="11">
                  <c:v>45698</c:v>
                </c:pt>
                <c:pt idx="12">
                  <c:v>45726</c:v>
                </c:pt>
                <c:pt idx="13">
                  <c:v>45757</c:v>
                </c:pt>
                <c:pt idx="14">
                  <c:v>45787</c:v>
                </c:pt>
                <c:pt idx="15">
                  <c:v>45818</c:v>
                </c:pt>
                <c:pt idx="16">
                  <c:v>45848</c:v>
                </c:pt>
                <c:pt idx="17">
                  <c:v>45879</c:v>
                </c:pt>
                <c:pt idx="18">
                  <c:v>45910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</c:numCache>
            </c:numRef>
          </c:xVal>
          <c:yVal>
            <c:numRef>
              <c:f>Sheet1!$R$10:$AP$10</c:f>
              <c:numCache>
                <c:formatCode>#,##0</c:formatCode>
                <c:ptCount val="25"/>
                <c:pt idx="0">
                  <c:v>2598.5</c:v>
                </c:pt>
                <c:pt idx="1">
                  <c:v>2967.0000000000005</c:v>
                </c:pt>
                <c:pt idx="2">
                  <c:v>2963</c:v>
                </c:pt>
                <c:pt idx="3">
                  <c:v>2929.4</c:v>
                </c:pt>
                <c:pt idx="4">
                  <c:v>3152.5000000000005</c:v>
                </c:pt>
                <c:pt idx="5">
                  <c:v>3144.1000000000004</c:v>
                </c:pt>
                <c:pt idx="6">
                  <c:v>3144.1000000000004</c:v>
                </c:pt>
                <c:pt idx="7">
                  <c:v>3142.3000000000006</c:v>
                </c:pt>
                <c:pt idx="8">
                  <c:v>3169.7000000000007</c:v>
                </c:pt>
                <c:pt idx="9">
                  <c:v>3342</c:v>
                </c:pt>
                <c:pt idx="10">
                  <c:v>2513.0000000000005</c:v>
                </c:pt>
                <c:pt idx="11">
                  <c:v>2513.0000000000005</c:v>
                </c:pt>
                <c:pt idx="12">
                  <c:v>2519.0000000000005</c:v>
                </c:pt>
                <c:pt idx="13">
                  <c:v>2526.6000000000004</c:v>
                </c:pt>
                <c:pt idx="14">
                  <c:v>2555.0000000000005</c:v>
                </c:pt>
                <c:pt idx="15">
                  <c:v>2580.9000000000005</c:v>
                </c:pt>
                <c:pt idx="16">
                  <c:v>2503.6000000000004</c:v>
                </c:pt>
                <c:pt idx="17">
                  <c:v>2501.2000000000003</c:v>
                </c:pt>
                <c:pt idx="18">
                  <c:v>2614.7000000000003</c:v>
                </c:pt>
                <c:pt idx="19">
                  <c:v>2669.9000000000005</c:v>
                </c:pt>
                <c:pt idx="20">
                  <c:v>2752.4</c:v>
                </c:pt>
                <c:pt idx="21">
                  <c:v>2308.5</c:v>
                </c:pt>
                <c:pt idx="22">
                  <c:v>2308.5</c:v>
                </c:pt>
                <c:pt idx="23">
                  <c:v>2422.0000000000005</c:v>
                </c:pt>
                <c:pt idx="24">
                  <c:v>2421.7000000000003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17-4C0E-AE3C-25598734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25311"/>
        <c:axId val="1701534431"/>
      </c:scatterChart>
      <c:valAx>
        <c:axId val="17015253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34431"/>
        <c:crosses val="autoZero"/>
        <c:crossBetween val="midCat"/>
      </c:valAx>
      <c:valAx>
        <c:axId val="17015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2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Represented Power by Independent Market Agents and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Sheet1!$R$87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Sheet1!$R$88:$R$103</c:f>
              <c:numCache>
                <c:formatCode>General</c:formatCode>
                <c:ptCount val="16"/>
                <c:pt idx="0">
                  <c:v>4858.0000000000009</c:v>
                </c:pt>
                <c:pt idx="1">
                  <c:v>1876.5</c:v>
                </c:pt>
                <c:pt idx="2">
                  <c:v>5092.7000000000016</c:v>
                </c:pt>
                <c:pt idx="3">
                  <c:v>3891.9999999999995</c:v>
                </c:pt>
                <c:pt idx="4">
                  <c:v>821.09999999999991</c:v>
                </c:pt>
                <c:pt idx="5">
                  <c:v>211.10000000000002</c:v>
                </c:pt>
                <c:pt idx="6">
                  <c:v>3007.0000000000009</c:v>
                </c:pt>
                <c:pt idx="7">
                  <c:v>219</c:v>
                </c:pt>
                <c:pt idx="8">
                  <c:v>1157.9000000000001</c:v>
                </c:pt>
                <c:pt idx="9">
                  <c:v>775.2</c:v>
                </c:pt>
                <c:pt idx="10">
                  <c:v>1278.9000000000005</c:v>
                </c:pt>
                <c:pt idx="11">
                  <c:v>1195.4000000000001</c:v>
                </c:pt>
                <c:pt idx="12">
                  <c:v>8.1</c:v>
                </c:pt>
                <c:pt idx="13">
                  <c:v>1244.5999999999999</c:v>
                </c:pt>
                <c:pt idx="14">
                  <c:v>283.39999999999998</c:v>
                </c:pt>
                <c:pt idx="15">
                  <c:v>254.60000000000002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F-43C4-A936-6AD894615470}"/>
            </c:ext>
          </c:extLst>
        </c:ser>
        <c:ser>
          <c:idx val="1"/>
          <c:order val="1"/>
          <c:tx>
            <c:strRef>
              <c:f>Sheet1!$S$87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Sheet1!$S$88:$S$103</c:f>
              <c:numCache>
                <c:formatCode>General</c:formatCode>
                <c:ptCount val="16"/>
                <c:pt idx="0">
                  <c:v>2544.4</c:v>
                </c:pt>
                <c:pt idx="1">
                  <c:v>2542.2000000000007</c:v>
                </c:pt>
                <c:pt idx="2">
                  <c:v>960.80000000000007</c:v>
                </c:pt>
                <c:pt idx="3">
                  <c:v>723.89999999999986</c:v>
                </c:pt>
                <c:pt idx="4">
                  <c:v>1278.7</c:v>
                </c:pt>
                <c:pt idx="5">
                  <c:v>3863.2</c:v>
                </c:pt>
                <c:pt idx="6">
                  <c:v>459.79999999999995</c:v>
                </c:pt>
                <c:pt idx="7">
                  <c:v>1068.8000000000002</c:v>
                </c:pt>
                <c:pt idx="8">
                  <c:v>1251.7000000000003</c:v>
                </c:pt>
                <c:pt idx="9">
                  <c:v>1053.6999999999998</c:v>
                </c:pt>
                <c:pt idx="10">
                  <c:v>703.09999999999991</c:v>
                </c:pt>
                <c:pt idx="11">
                  <c:v>849.9</c:v>
                </c:pt>
                <c:pt idx="12">
                  <c:v>31.400000000000002</c:v>
                </c:pt>
                <c:pt idx="13">
                  <c:v>125.39999999999999</c:v>
                </c:pt>
                <c:pt idx="14">
                  <c:v>41.5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F-43C4-A936-6AD894615470}"/>
            </c:ext>
          </c:extLst>
        </c:ser>
        <c:ser>
          <c:idx val="2"/>
          <c:order val="2"/>
          <c:tx>
            <c:strRef>
              <c:f>Sheet1!$T$87</c:f>
              <c:strCache>
                <c:ptCount val="1"/>
                <c:pt idx="0">
                  <c:v>CCGT + Coal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Sheet1!$T$88:$T$103</c:f>
              <c:numCache>
                <c:formatCode>General</c:formatCode>
                <c:ptCount val="16"/>
                <c:pt idx="0">
                  <c:v>301.60000000000002</c:v>
                </c:pt>
                <c:pt idx="1">
                  <c:v>161.89999999999998</c:v>
                </c:pt>
                <c:pt idx="2">
                  <c:v>12.1</c:v>
                </c:pt>
                <c:pt idx="3">
                  <c:v>9.1999999999999993</c:v>
                </c:pt>
                <c:pt idx="4">
                  <c:v>1849.8999999999999</c:v>
                </c:pt>
                <c:pt idx="5">
                  <c:v>0</c:v>
                </c:pt>
                <c:pt idx="6">
                  <c:v>0</c:v>
                </c:pt>
                <c:pt idx="7">
                  <c:v>1989.7</c:v>
                </c:pt>
                <c:pt idx="8">
                  <c:v>414</c:v>
                </c:pt>
                <c:pt idx="9">
                  <c:v>39.5</c:v>
                </c:pt>
                <c:pt idx="10">
                  <c:v>53.000000000000007</c:v>
                </c:pt>
                <c:pt idx="11">
                  <c:v>0</c:v>
                </c:pt>
                <c:pt idx="12">
                  <c:v>1267.9000000000001</c:v>
                </c:pt>
                <c:pt idx="13">
                  <c:v>0</c:v>
                </c:pt>
                <c:pt idx="14">
                  <c:v>843.3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F-43C4-A936-6AD894615470}"/>
            </c:ext>
          </c:extLst>
        </c:ser>
        <c:ser>
          <c:idx val="3"/>
          <c:order val="3"/>
          <c:tx>
            <c:strRef>
              <c:f>Sheet1!$U$87</c:f>
              <c:strCache>
                <c:ptCount val="1"/>
                <c:pt idx="0">
                  <c:v>Biomass + Cogen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Sheet1!$U$88:$U$103</c:f>
              <c:numCache>
                <c:formatCode>General</c:formatCode>
                <c:ptCount val="16"/>
                <c:pt idx="0">
                  <c:v>120.10000000000001</c:v>
                </c:pt>
                <c:pt idx="1">
                  <c:v>987.89999999999964</c:v>
                </c:pt>
                <c:pt idx="2">
                  <c:v>320.7</c:v>
                </c:pt>
                <c:pt idx="3">
                  <c:v>216.39999999999998</c:v>
                </c:pt>
                <c:pt idx="4">
                  <c:v>494.70000000000005</c:v>
                </c:pt>
                <c:pt idx="5">
                  <c:v>115.69999999999999</c:v>
                </c:pt>
                <c:pt idx="6">
                  <c:v>2.2000000000000002</c:v>
                </c:pt>
                <c:pt idx="7">
                  <c:v>34.299999999999997</c:v>
                </c:pt>
                <c:pt idx="8">
                  <c:v>91.9</c:v>
                </c:pt>
                <c:pt idx="9">
                  <c:v>139.1</c:v>
                </c:pt>
                <c:pt idx="10">
                  <c:v>220.3</c:v>
                </c:pt>
                <c:pt idx="11">
                  <c:v>0</c:v>
                </c:pt>
                <c:pt idx="12">
                  <c:v>604.90000000000009</c:v>
                </c:pt>
                <c:pt idx="13">
                  <c:v>0</c:v>
                </c:pt>
                <c:pt idx="14">
                  <c:v>0</c:v>
                </c:pt>
                <c:pt idx="15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6F-43C4-A936-6AD894615470}"/>
            </c:ext>
          </c:extLst>
        </c:ser>
        <c:ser>
          <c:idx val="4"/>
          <c:order val="4"/>
          <c:tx>
            <c:strRef>
              <c:f>Sheet1!$V$87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Sheet1!$V$88:$V$103</c:f>
              <c:numCache>
                <c:formatCode>General</c:formatCode>
                <c:ptCount val="16"/>
                <c:pt idx="0">
                  <c:v>99.8</c:v>
                </c:pt>
                <c:pt idx="1">
                  <c:v>1010.2999999999998</c:v>
                </c:pt>
                <c:pt idx="2">
                  <c:v>249.5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  <c:pt idx="6">
                  <c:v>320.10000000000002</c:v>
                </c:pt>
                <c:pt idx="7">
                  <c:v>0</c:v>
                </c:pt>
                <c:pt idx="8">
                  <c:v>0</c:v>
                </c:pt>
                <c:pt idx="9">
                  <c:v>249.9</c:v>
                </c:pt>
                <c:pt idx="10">
                  <c:v>0</c:v>
                </c:pt>
                <c:pt idx="11">
                  <c:v>199.70000000000002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F-43C4-A936-6AD894615470}"/>
            </c:ext>
          </c:extLst>
        </c:ser>
        <c:ser>
          <c:idx val="5"/>
          <c:order val="5"/>
          <c:tx>
            <c:strRef>
              <c:f>Sheet1!$W$87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Sheet1!$W$88:$W$103</c:f>
              <c:numCache>
                <c:formatCode>General</c:formatCode>
                <c:ptCount val="16"/>
                <c:pt idx="0">
                  <c:v>215.10000000000002</c:v>
                </c:pt>
                <c:pt idx="1">
                  <c:v>364.2000000000001</c:v>
                </c:pt>
                <c:pt idx="2">
                  <c:v>155.4</c:v>
                </c:pt>
                <c:pt idx="3">
                  <c:v>248.69999999999996</c:v>
                </c:pt>
                <c:pt idx="4">
                  <c:v>333.80000000000007</c:v>
                </c:pt>
                <c:pt idx="5">
                  <c:v>242.8</c:v>
                </c:pt>
                <c:pt idx="6">
                  <c:v>46.5</c:v>
                </c:pt>
                <c:pt idx="7">
                  <c:v>77.3</c:v>
                </c:pt>
                <c:pt idx="8">
                  <c:v>0</c:v>
                </c:pt>
                <c:pt idx="9">
                  <c:v>63.7</c:v>
                </c:pt>
                <c:pt idx="10">
                  <c:v>140.30000000000001</c:v>
                </c:pt>
                <c:pt idx="11">
                  <c:v>0</c:v>
                </c:pt>
                <c:pt idx="12">
                  <c:v>58.800000000000004</c:v>
                </c:pt>
                <c:pt idx="13">
                  <c:v>13.9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6F-43C4-A936-6AD894615470}"/>
            </c:ext>
          </c:extLst>
        </c:ser>
        <c:ser>
          <c:idx val="6"/>
          <c:order val="6"/>
          <c:tx>
            <c:strRef>
              <c:f>Sheet1!$X$87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Sheet1!$X$88:$X$103</c:f>
              <c:numCache>
                <c:formatCode>General</c:formatCode>
                <c:ptCount val="16"/>
                <c:pt idx="0">
                  <c:v>1.6</c:v>
                </c:pt>
                <c:pt idx="1">
                  <c:v>193.4</c:v>
                </c:pt>
                <c:pt idx="2">
                  <c:v>49.6</c:v>
                </c:pt>
                <c:pt idx="3">
                  <c:v>25.9</c:v>
                </c:pt>
                <c:pt idx="4">
                  <c:v>12.2</c:v>
                </c:pt>
                <c:pt idx="5">
                  <c:v>0</c:v>
                </c:pt>
                <c:pt idx="6">
                  <c:v>1.8</c:v>
                </c:pt>
                <c:pt idx="7">
                  <c:v>0</c:v>
                </c:pt>
                <c:pt idx="8">
                  <c:v>0</c:v>
                </c:pt>
                <c:pt idx="9">
                  <c:v>156.1</c:v>
                </c:pt>
                <c:pt idx="10">
                  <c:v>26.099999999999998</c:v>
                </c:pt>
                <c:pt idx="11">
                  <c:v>0</c:v>
                </c:pt>
                <c:pt idx="12">
                  <c:v>65</c:v>
                </c:pt>
                <c:pt idx="13">
                  <c:v>18.600000000000001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6F-43C4-A936-6AD894615470}"/>
            </c:ext>
          </c:extLst>
        </c:ser>
        <c:ser>
          <c:idx val="7"/>
          <c:order val="7"/>
          <c:tx>
            <c:strRef>
              <c:f>Sheet1!$Y$87</c:f>
              <c:strCache>
                <c:ptCount val="1"/>
                <c:pt idx="0">
                  <c:v>Hydro Pump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Sheet1!$Q$88:$Q$103</c:f>
              <c:strCache>
                <c:ptCount val="16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GNERA</c:v>
                </c:pt>
                <c:pt idx="4">
                  <c:v>REPSOL</c:v>
                </c:pt>
                <c:pt idx="5">
                  <c:v>ACCIONA</c:v>
                </c:pt>
                <c:pt idx="6">
                  <c:v>GESTERNOVA</c:v>
                </c:pt>
                <c:pt idx="7">
                  <c:v>ENGIE</c:v>
                </c:pt>
                <c:pt idx="8">
                  <c:v>ALPIQ</c:v>
                </c:pt>
                <c:pt idx="9">
                  <c:v>W2M</c:v>
                </c:pt>
                <c:pt idx="10">
                  <c:v>ENERGYA</c:v>
                </c:pt>
                <c:pt idx="11">
                  <c:v>GALP</c:v>
                </c:pt>
                <c:pt idx="12">
                  <c:v>CEPSA</c:v>
                </c:pt>
                <c:pt idx="13">
                  <c:v>SHELL</c:v>
                </c:pt>
                <c:pt idx="14">
                  <c:v>TOTAL</c:v>
                </c:pt>
                <c:pt idx="15">
                  <c:v>HOLALUZ</c:v>
                </c:pt>
              </c:strCache>
            </c:strRef>
          </c:cat>
          <c:val>
            <c:numRef>
              <c:f>Sheet1!$Y$88:$Y$103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360.4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6F-43C4-A936-6AD89461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856224"/>
        <c:axId val="1397855744"/>
      </c:barChart>
      <c:catAx>
        <c:axId val="139785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7855744"/>
        <c:crosses val="autoZero"/>
        <c:auto val="1"/>
        <c:lblAlgn val="ctr"/>
        <c:lblOffset val="100"/>
        <c:noMultiLvlLbl val="0"/>
      </c:catAx>
      <c:valAx>
        <c:axId val="13978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785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128588</xdr:colOff>
      <xdr:row>19</xdr:row>
      <xdr:rowOff>23812</xdr:rowOff>
    </xdr:from>
    <xdr:to>
      <xdr:col>22</xdr:col>
      <xdr:colOff>571501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BB6BD-C760-EE94-9638-4D43B510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635561</xdr:colOff>
      <xdr:row>19</xdr:row>
      <xdr:rowOff>36793</xdr:rowOff>
    </xdr:from>
    <xdr:to>
      <xdr:col>32</xdr:col>
      <xdr:colOff>304800</xdr:colOff>
      <xdr:row>35</xdr:row>
      <xdr:rowOff>152681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E6CE4-184E-4634-8A2E-6CE42E2BD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123265</xdr:colOff>
      <xdr:row>36</xdr:row>
      <xdr:rowOff>33617</xdr:rowOff>
    </xdr:from>
    <xdr:to>
      <xdr:col>22</xdr:col>
      <xdr:colOff>572528</xdr:colOff>
      <xdr:row>52</xdr:row>
      <xdr:rowOff>155855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6C98BF-088F-4FD7-B50F-33B5AE7EE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95702</xdr:colOff>
      <xdr:row>53</xdr:row>
      <xdr:rowOff>94797</xdr:rowOff>
    </xdr:from>
    <xdr:to>
      <xdr:col>25</xdr:col>
      <xdr:colOff>285749</xdr:colOff>
      <xdr:row>83</xdr:row>
      <xdr:rowOff>108857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2A1CA9-20C2-0DA8-B624-FB04E2DD8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657973</xdr:colOff>
      <xdr:row>36</xdr:row>
      <xdr:rowOff>47999</xdr:rowOff>
    </xdr:from>
    <xdr:to>
      <xdr:col>32</xdr:col>
      <xdr:colOff>304800</xdr:colOff>
      <xdr:row>52</xdr:row>
      <xdr:rowOff>170237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CBAF3A-6A46-4B85-9914-EB110F0D2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280651</xdr:colOff>
      <xdr:row>83</xdr:row>
      <xdr:rowOff>140566</xdr:rowOff>
    </xdr:from>
    <xdr:to>
      <xdr:col>40</xdr:col>
      <xdr:colOff>530802</xdr:colOff>
      <xdr:row>105</xdr:row>
      <xdr:rowOff>4811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6C8B0E-5E5C-9122-135E-8A59A549E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360B-E7C9-407F-8849-320D521DCBB6}">
  <dimension ref="A1:AX392"/>
  <sheetViews>
    <sheetView showGridLines="0" tabSelected="1" zoomScale="66" zoomScaleNormal="85" workbookViewId="0">
      <selection activeCell="O24" sqref="O24"/>
    </sheetView>
  </sheetViews>
  <sheetFormatPr defaultRowHeight="14.5" x14ac:dyDescent="0.35"/>
  <cols>
    <col min="5" max="5" width="18.1796875" customWidth="1"/>
    <col min="6" max="14" width="10.81640625" customWidth="1"/>
    <col min="17" max="17" width="12.453125" customWidth="1"/>
    <col min="18" max="23" width="10.7265625" style="3" bestFit="1" customWidth="1"/>
    <col min="24" max="24" width="10.7265625" style="3" customWidth="1"/>
    <col min="32" max="33" width="10.54296875" customWidth="1"/>
    <col min="44" max="44" width="12.54296875" bestFit="1" customWidth="1"/>
  </cols>
  <sheetData>
    <row r="1" spans="1:47" x14ac:dyDescent="0.35">
      <c r="R1" s="2"/>
      <c r="S1" s="4"/>
      <c r="T1" s="4"/>
      <c r="U1" s="4"/>
      <c r="V1" s="4"/>
      <c r="W1" s="4"/>
      <c r="X1" s="4"/>
    </row>
    <row r="2" spans="1:47" ht="29" x14ac:dyDescent="0.35">
      <c r="A2" s="30" t="s">
        <v>23</v>
      </c>
      <c r="B2" s="30" t="s">
        <v>24</v>
      </c>
      <c r="C2" s="30" t="s">
        <v>25</v>
      </c>
      <c r="D2" s="31"/>
      <c r="E2" s="32" t="s">
        <v>29</v>
      </c>
      <c r="F2" s="33" t="s">
        <v>14</v>
      </c>
      <c r="G2" s="33" t="s">
        <v>15</v>
      </c>
      <c r="H2" s="33" t="s">
        <v>16</v>
      </c>
      <c r="I2" s="33" t="s">
        <v>17</v>
      </c>
      <c r="J2" s="33" t="s">
        <v>18</v>
      </c>
      <c r="K2" s="33" t="s">
        <v>19</v>
      </c>
      <c r="L2" s="33" t="s">
        <v>20</v>
      </c>
      <c r="M2" s="33" t="s">
        <v>21</v>
      </c>
      <c r="N2" s="33" t="s">
        <v>22</v>
      </c>
      <c r="Q2" s="26"/>
      <c r="R2" s="34">
        <v>45231</v>
      </c>
      <c r="S2" s="34">
        <v>45323</v>
      </c>
      <c r="T2" s="34">
        <v>45400</v>
      </c>
      <c r="U2" s="34">
        <v>45419</v>
      </c>
      <c r="V2" s="34">
        <v>45488</v>
      </c>
      <c r="W2" s="34">
        <v>45525</v>
      </c>
      <c r="X2" s="34">
        <v>45545</v>
      </c>
      <c r="Y2" s="34">
        <v>45575</v>
      </c>
      <c r="Z2" s="34">
        <v>45606</v>
      </c>
      <c r="AA2" s="34">
        <v>45636</v>
      </c>
      <c r="AB2" s="34">
        <v>45667</v>
      </c>
      <c r="AC2" s="34">
        <v>45698</v>
      </c>
      <c r="AD2" s="34">
        <v>45726</v>
      </c>
      <c r="AE2" s="34">
        <v>45757</v>
      </c>
      <c r="AF2" s="34">
        <v>45787</v>
      </c>
      <c r="AG2" s="34">
        <v>45818</v>
      </c>
      <c r="AH2" s="34">
        <v>45848</v>
      </c>
      <c r="AI2" s="34">
        <v>45879</v>
      </c>
      <c r="AJ2" s="34">
        <v>45910</v>
      </c>
      <c r="AK2" s="34">
        <v>45931</v>
      </c>
      <c r="AL2" s="34">
        <v>45962</v>
      </c>
      <c r="AM2" s="34">
        <v>45992</v>
      </c>
      <c r="AN2" s="34">
        <v>46023</v>
      </c>
      <c r="AO2" s="34">
        <v>46054</v>
      </c>
      <c r="AP2" s="34">
        <v>46082</v>
      </c>
      <c r="AQ2" s="34">
        <v>46113</v>
      </c>
      <c r="AR2" s="35" t="s">
        <v>26</v>
      </c>
      <c r="AS2" s="37" t="s">
        <v>27</v>
      </c>
      <c r="AT2" s="37" t="s">
        <v>30</v>
      </c>
      <c r="AU2" s="37" t="s">
        <v>31</v>
      </c>
    </row>
    <row r="3" spans="1:47" x14ac:dyDescent="0.35">
      <c r="A3" s="19">
        <v>7</v>
      </c>
      <c r="B3" s="19">
        <v>4</v>
      </c>
      <c r="C3" s="19">
        <v>2026</v>
      </c>
      <c r="D3" s="20"/>
      <c r="E3" s="24" t="s">
        <v>0</v>
      </c>
      <c r="F3" s="15">
        <v>987.89999999999964</v>
      </c>
      <c r="G3" s="10">
        <v>161.89999999999998</v>
      </c>
      <c r="H3" s="10">
        <v>327.20000000000005</v>
      </c>
      <c r="I3" s="10">
        <v>0</v>
      </c>
      <c r="J3" s="10">
        <v>1010.2999999999998</v>
      </c>
      <c r="K3" s="10">
        <v>1881</v>
      </c>
      <c r="L3" s="10">
        <v>2492.1000000000004</v>
      </c>
      <c r="M3" s="10">
        <v>193.4</v>
      </c>
      <c r="N3" s="11">
        <v>7053.7999999999993</v>
      </c>
      <c r="Q3" s="27" t="s">
        <v>0</v>
      </c>
      <c r="R3" s="28">
        <f t="shared" ref="R3:R16" si="0">+N379</f>
        <v>7252.7</v>
      </c>
      <c r="S3" s="28">
        <f t="shared" ref="S3:S16" si="1">+N365</f>
        <v>6684.5</v>
      </c>
      <c r="T3" s="28">
        <f t="shared" ref="T3:T16" si="2">+N351</f>
        <v>6791.7</v>
      </c>
      <c r="U3" s="28">
        <f t="shared" ref="U3:U17" si="3">+N336</f>
        <v>6821.7</v>
      </c>
      <c r="V3" s="28">
        <f t="shared" ref="V3:V16" si="4">+N322</f>
        <v>6860.5999999999995</v>
      </c>
      <c r="W3" s="28">
        <f t="shared" ref="W3:W17" si="5">+N307</f>
        <v>7280.7999999999993</v>
      </c>
      <c r="X3" s="28">
        <f t="shared" ref="X3:X17" si="6">+N292</f>
        <v>7282.2</v>
      </c>
      <c r="Y3" s="28">
        <f t="shared" ref="Y3:Y17" si="7">+N277</f>
        <v>7272.2999999999993</v>
      </c>
      <c r="Z3" s="28">
        <f t="shared" ref="Z3:Z17" si="8">+N262</f>
        <v>7216.0999999999995</v>
      </c>
      <c r="AA3" s="28">
        <f t="shared" ref="AA3:AA17" si="9">+N247</f>
        <v>7215.8</v>
      </c>
      <c r="AB3" s="28">
        <f t="shared" ref="AB3:AB17" si="10">+N232</f>
        <v>7058.9</v>
      </c>
      <c r="AC3" s="28">
        <f t="shared" ref="AC3:AC17" si="11">+N217</f>
        <v>7099.4</v>
      </c>
      <c r="AD3" s="28">
        <f t="shared" ref="AD3:AD17" si="12">+N202</f>
        <v>7185.5</v>
      </c>
      <c r="AE3" s="28">
        <f t="shared" ref="AE3:AE17" si="13">+N187</f>
        <v>6898.5</v>
      </c>
      <c r="AF3" s="28">
        <f t="shared" ref="AF3:AF17" si="14">+N172</f>
        <v>6906.5</v>
      </c>
      <c r="AG3" s="28">
        <f t="shared" ref="AG3:AG17" si="15">+N157</f>
        <v>6953.3</v>
      </c>
      <c r="AH3" s="28">
        <f t="shared" ref="AH3:AH17" si="16">+N142</f>
        <v>7041.0000000000009</v>
      </c>
      <c r="AI3" s="28">
        <f t="shared" ref="AI3:AI17" si="17">+N127</f>
        <v>7095.6</v>
      </c>
      <c r="AJ3" s="28">
        <f t="shared" ref="AJ3:AJ17" si="18">+N112</f>
        <v>7095.6</v>
      </c>
      <c r="AK3" s="28">
        <f t="shared" ref="AK3:AK17" si="19">+N97</f>
        <v>7163.8</v>
      </c>
      <c r="AL3" s="28">
        <f t="shared" ref="AL3:AL17" si="20">+N82</f>
        <v>7105.5999999999995</v>
      </c>
      <c r="AM3" s="28">
        <f t="shared" ref="AM3:AM17" si="21">+N67</f>
        <v>7221.9000000000005</v>
      </c>
      <c r="AN3" s="28">
        <f t="shared" ref="AN3:AN17" si="22">+N51</f>
        <v>7223.9000000000005</v>
      </c>
      <c r="AO3" s="28">
        <f t="shared" ref="AO3:AO17" si="23">+N35</f>
        <v>7026.5</v>
      </c>
      <c r="AP3" s="28">
        <f t="shared" ref="AP3:AP17" si="24">+N19</f>
        <v>7136.4</v>
      </c>
      <c r="AQ3" s="28">
        <f>+N3</f>
        <v>7053.7999999999993</v>
      </c>
      <c r="AR3" s="36">
        <v>0</v>
      </c>
      <c r="AS3" s="38">
        <f>+IF(MIN(AQ3-AP3,0)=0,"",MIN(AQ3-AP3,0))</f>
        <v>-82.600000000000364</v>
      </c>
      <c r="AT3" s="38" t="str">
        <f>+IF(MAX(AQ3-AP3,0)=0,"",MAX(AQ3-AP3,0))</f>
        <v/>
      </c>
      <c r="AU3" s="40"/>
    </row>
    <row r="4" spans="1:47" x14ac:dyDescent="0.35">
      <c r="A4" s="17">
        <v>7</v>
      </c>
      <c r="B4" s="17">
        <v>4</v>
      </c>
      <c r="C4" s="17">
        <v>2026</v>
      </c>
      <c r="D4" s="20"/>
      <c r="E4" s="24" t="s">
        <v>1</v>
      </c>
      <c r="F4" s="15">
        <v>115.69999999999999</v>
      </c>
      <c r="G4" s="10">
        <v>0</v>
      </c>
      <c r="H4" s="10">
        <v>242.8</v>
      </c>
      <c r="I4" s="10">
        <v>0</v>
      </c>
      <c r="J4" s="10">
        <v>0</v>
      </c>
      <c r="K4" s="10">
        <v>211.10000000000002</v>
      </c>
      <c r="L4" s="10">
        <v>3863.2</v>
      </c>
      <c r="M4" s="10">
        <v>0</v>
      </c>
      <c r="N4" s="11">
        <v>4432.8</v>
      </c>
      <c r="Q4" s="27" t="s">
        <v>1</v>
      </c>
      <c r="R4" s="28">
        <f t="shared" si="0"/>
        <v>5513.5000000000018</v>
      </c>
      <c r="S4" s="28">
        <f t="shared" si="1"/>
        <v>5519.0000000000018</v>
      </c>
      <c r="T4" s="28">
        <f t="shared" si="2"/>
        <v>5517.7000000000016</v>
      </c>
      <c r="U4" s="28">
        <f t="shared" si="3"/>
        <v>5517.0000000000018</v>
      </c>
      <c r="V4" s="28">
        <f t="shared" si="4"/>
        <v>5580.0000000000018</v>
      </c>
      <c r="W4" s="28">
        <f t="shared" si="5"/>
        <v>5481.0000000000018</v>
      </c>
      <c r="X4" s="28">
        <f t="shared" si="6"/>
        <v>5481.0000000000018</v>
      </c>
      <c r="Y4" s="28">
        <f t="shared" si="7"/>
        <v>5481.0000000000018</v>
      </c>
      <c r="Z4" s="28">
        <f t="shared" si="8"/>
        <v>5481.0000000000009</v>
      </c>
      <c r="AA4" s="28">
        <f t="shared" si="9"/>
        <v>5454.0000000000009</v>
      </c>
      <c r="AB4" s="28">
        <f t="shared" si="10"/>
        <v>5428.8000000000011</v>
      </c>
      <c r="AC4" s="28">
        <f t="shared" si="11"/>
        <v>5428.8000000000011</v>
      </c>
      <c r="AD4" s="28">
        <f t="shared" si="12"/>
        <v>4803.300000000002</v>
      </c>
      <c r="AE4" s="28">
        <f t="shared" si="13"/>
        <v>4803.300000000002</v>
      </c>
      <c r="AF4" s="28">
        <f t="shared" si="14"/>
        <v>4803.300000000002</v>
      </c>
      <c r="AG4" s="28">
        <f t="shared" si="15"/>
        <v>4803.300000000002</v>
      </c>
      <c r="AH4" s="28">
        <f t="shared" si="16"/>
        <v>4803.300000000002</v>
      </c>
      <c r="AI4" s="28">
        <f t="shared" si="17"/>
        <v>4847.3000000000011</v>
      </c>
      <c r="AJ4" s="28">
        <f t="shared" si="18"/>
        <v>4872.3000000000011</v>
      </c>
      <c r="AK4" s="28">
        <f t="shared" si="19"/>
        <v>4872.3000000000011</v>
      </c>
      <c r="AL4" s="28">
        <f t="shared" si="20"/>
        <v>4913.9000000000024</v>
      </c>
      <c r="AM4" s="28">
        <f t="shared" si="21"/>
        <v>4913.9000000000024</v>
      </c>
      <c r="AN4" s="28">
        <f t="shared" si="22"/>
        <v>4913.9000000000024</v>
      </c>
      <c r="AO4" s="28">
        <f t="shared" si="23"/>
        <v>4461.6000000000004</v>
      </c>
      <c r="AP4" s="28">
        <f t="shared" si="24"/>
        <v>4432.8</v>
      </c>
      <c r="AQ4" s="28">
        <f t="shared" ref="AQ4:AQ17" si="25">+N4</f>
        <v>4432.8</v>
      </c>
      <c r="AR4" s="36">
        <v>0</v>
      </c>
      <c r="AS4" s="38" t="str">
        <f t="shared" ref="AS4:AS17" si="26">+IF(MIN(AQ4-AP4,0)=0,"",MIN(AQ4-AP4,0))</f>
        <v/>
      </c>
      <c r="AT4" s="38" t="str">
        <f t="shared" ref="AT4:AT17" si="27">+IF(MAX(AQ4-AP4,0)=0,"",MAX(AQ4-AP4,0))</f>
        <v/>
      </c>
      <c r="AU4" s="40"/>
    </row>
    <row r="5" spans="1:47" x14ac:dyDescent="0.35">
      <c r="A5" s="17">
        <v>7</v>
      </c>
      <c r="B5" s="17">
        <v>4</v>
      </c>
      <c r="C5" s="17">
        <v>2026</v>
      </c>
      <c r="D5" s="20"/>
      <c r="E5" s="24" t="s">
        <v>2</v>
      </c>
      <c r="F5" s="15">
        <v>320.7</v>
      </c>
      <c r="G5" s="10">
        <v>12.1</v>
      </c>
      <c r="H5" s="10">
        <v>155.4</v>
      </c>
      <c r="I5" s="10">
        <v>0</v>
      </c>
      <c r="J5" s="10">
        <v>249.5</v>
      </c>
      <c r="K5" s="10">
        <v>5235.2000000000007</v>
      </c>
      <c r="L5" s="10">
        <v>960.80000000000007</v>
      </c>
      <c r="M5" s="10">
        <v>49.6</v>
      </c>
      <c r="N5" s="11">
        <v>6983.3000000000011</v>
      </c>
      <c r="Q5" s="27" t="s">
        <v>2</v>
      </c>
      <c r="R5" s="28">
        <f t="shared" si="0"/>
        <v>4488.3</v>
      </c>
      <c r="S5" s="28">
        <f t="shared" si="1"/>
        <v>4822</v>
      </c>
      <c r="T5" s="28">
        <f t="shared" si="2"/>
        <v>4965.5000000000009</v>
      </c>
      <c r="U5" s="28">
        <f t="shared" si="3"/>
        <v>5218.3000000000011</v>
      </c>
      <c r="V5" s="28">
        <f t="shared" si="4"/>
        <v>5529.0000000000027</v>
      </c>
      <c r="W5" s="28">
        <f t="shared" si="5"/>
        <v>5632.4000000000024</v>
      </c>
      <c r="X5" s="28">
        <f t="shared" si="6"/>
        <v>5692.800000000002</v>
      </c>
      <c r="Y5" s="28">
        <f t="shared" si="7"/>
        <v>5863.9000000000024</v>
      </c>
      <c r="Z5" s="28">
        <f t="shared" si="8"/>
        <v>5711.5000000000027</v>
      </c>
      <c r="AA5" s="28">
        <f t="shared" si="9"/>
        <v>5724.9000000000024</v>
      </c>
      <c r="AB5" s="28">
        <f t="shared" si="10"/>
        <v>5906.6000000000022</v>
      </c>
      <c r="AC5" s="28">
        <f t="shared" si="11"/>
        <v>5916.6000000000022</v>
      </c>
      <c r="AD5" s="28">
        <f t="shared" si="12"/>
        <v>5981.6000000000022</v>
      </c>
      <c r="AE5" s="28">
        <f t="shared" si="13"/>
        <v>5993.2000000000016</v>
      </c>
      <c r="AF5" s="28">
        <f t="shared" si="14"/>
        <v>6105.9000000000015</v>
      </c>
      <c r="AG5" s="28">
        <f t="shared" si="15"/>
        <v>6113.8000000000011</v>
      </c>
      <c r="AH5" s="28">
        <f t="shared" si="16"/>
        <v>6370.9000000000024</v>
      </c>
      <c r="AI5" s="28">
        <f t="shared" si="17"/>
        <v>6328.1000000000022</v>
      </c>
      <c r="AJ5" s="28">
        <f t="shared" si="18"/>
        <v>6388.7000000000025</v>
      </c>
      <c r="AK5" s="28">
        <f t="shared" si="19"/>
        <v>6441.4000000000024</v>
      </c>
      <c r="AL5" s="28">
        <f t="shared" si="20"/>
        <v>6529.3000000000029</v>
      </c>
      <c r="AM5" s="28">
        <f t="shared" si="21"/>
        <v>6518.7000000000025</v>
      </c>
      <c r="AN5" s="28">
        <f t="shared" si="22"/>
        <v>6532.7000000000025</v>
      </c>
      <c r="AO5" s="28">
        <f t="shared" si="23"/>
        <v>6613.5000000000009</v>
      </c>
      <c r="AP5" s="28">
        <f t="shared" si="24"/>
        <v>6840.800000000002</v>
      </c>
      <c r="AQ5" s="28">
        <f t="shared" si="25"/>
        <v>6983.3000000000011</v>
      </c>
      <c r="AR5" s="36">
        <v>0</v>
      </c>
      <c r="AS5" s="38" t="str">
        <f t="shared" si="26"/>
        <v/>
      </c>
      <c r="AT5" s="38">
        <f t="shared" si="27"/>
        <v>142.49999999999909</v>
      </c>
      <c r="AU5" s="39">
        <f>50/AP5</f>
        <v>7.3090866565313981E-3</v>
      </c>
    </row>
    <row r="6" spans="1:47" x14ac:dyDescent="0.35">
      <c r="A6" s="17">
        <v>7</v>
      </c>
      <c r="B6" s="17">
        <v>4</v>
      </c>
      <c r="C6" s="17">
        <v>2026</v>
      </c>
      <c r="D6" s="20"/>
      <c r="E6" s="24" t="s">
        <v>3</v>
      </c>
      <c r="F6" s="15">
        <v>494.70000000000005</v>
      </c>
      <c r="G6" s="10">
        <v>1849.8999999999999</v>
      </c>
      <c r="H6" s="10">
        <v>333.80000000000007</v>
      </c>
      <c r="I6" s="10">
        <v>360.4</v>
      </c>
      <c r="J6" s="10">
        <v>0</v>
      </c>
      <c r="K6" s="10">
        <v>821.09999999999991</v>
      </c>
      <c r="L6" s="10">
        <v>1279.0999999999999</v>
      </c>
      <c r="M6" s="10">
        <v>12.2</v>
      </c>
      <c r="N6" s="11">
        <v>5151.2</v>
      </c>
      <c r="Q6" s="27" t="s">
        <v>3</v>
      </c>
      <c r="R6" s="28">
        <f t="shared" si="0"/>
        <v>3963.0000000000005</v>
      </c>
      <c r="S6" s="28">
        <f t="shared" si="1"/>
        <v>3830.6000000000004</v>
      </c>
      <c r="T6" s="28">
        <f t="shared" si="2"/>
        <v>4161.9000000000005</v>
      </c>
      <c r="U6" s="28">
        <f t="shared" si="3"/>
        <v>4157.4000000000005</v>
      </c>
      <c r="V6" s="28">
        <f t="shared" si="4"/>
        <v>4615.2</v>
      </c>
      <c r="W6" s="28">
        <f t="shared" si="5"/>
        <v>4308.7000000000007</v>
      </c>
      <c r="X6" s="28">
        <f t="shared" si="6"/>
        <v>4308.7000000000007</v>
      </c>
      <c r="Y6" s="28">
        <f t="shared" si="7"/>
        <v>4386.7000000000007</v>
      </c>
      <c r="Z6" s="28">
        <f t="shared" si="8"/>
        <v>4386.7000000000007</v>
      </c>
      <c r="AA6" s="28">
        <f t="shared" si="9"/>
        <v>4399.8</v>
      </c>
      <c r="AB6" s="28">
        <f t="shared" si="10"/>
        <v>4494.4000000000005</v>
      </c>
      <c r="AC6" s="28">
        <f t="shared" si="11"/>
        <v>4752.9000000000005</v>
      </c>
      <c r="AD6" s="28">
        <f t="shared" si="12"/>
        <v>4801.5</v>
      </c>
      <c r="AE6" s="28">
        <f t="shared" si="13"/>
        <v>4801</v>
      </c>
      <c r="AF6" s="28">
        <f t="shared" si="14"/>
        <v>4815.4000000000005</v>
      </c>
      <c r="AG6" s="28">
        <f t="shared" si="15"/>
        <v>4854.3</v>
      </c>
      <c r="AH6" s="28">
        <f t="shared" si="16"/>
        <v>4964.8</v>
      </c>
      <c r="AI6" s="28">
        <f t="shared" si="17"/>
        <v>4958.4000000000005</v>
      </c>
      <c r="AJ6" s="28">
        <f t="shared" si="18"/>
        <v>4958.4000000000005</v>
      </c>
      <c r="AK6" s="28">
        <f t="shared" si="19"/>
        <v>5189.3</v>
      </c>
      <c r="AL6" s="28">
        <f t="shared" si="20"/>
        <v>5231.8</v>
      </c>
      <c r="AM6" s="28">
        <f t="shared" si="21"/>
        <v>5231.8</v>
      </c>
      <c r="AN6" s="28">
        <f t="shared" si="22"/>
        <v>5231.8</v>
      </c>
      <c r="AO6" s="28">
        <f t="shared" si="23"/>
        <v>5306</v>
      </c>
      <c r="AP6" s="28">
        <f t="shared" si="24"/>
        <v>5150.8</v>
      </c>
      <c r="AQ6" s="28">
        <f t="shared" si="25"/>
        <v>5151.2</v>
      </c>
      <c r="AR6" s="36">
        <v>0</v>
      </c>
      <c r="AS6" s="38" t="str">
        <f t="shared" si="26"/>
        <v/>
      </c>
      <c r="AT6" s="38">
        <f t="shared" si="27"/>
        <v>0.3999999999996362</v>
      </c>
      <c r="AU6" s="40"/>
    </row>
    <row r="7" spans="1:47" x14ac:dyDescent="0.35">
      <c r="A7" s="17">
        <v>7</v>
      </c>
      <c r="B7" s="17">
        <v>4</v>
      </c>
      <c r="C7" s="17">
        <v>2026</v>
      </c>
      <c r="D7" s="20"/>
      <c r="E7" s="24" t="s">
        <v>4</v>
      </c>
      <c r="F7" s="15">
        <v>34.299999999999997</v>
      </c>
      <c r="G7" s="10">
        <v>1989.7</v>
      </c>
      <c r="H7" s="10">
        <v>77.3</v>
      </c>
      <c r="I7" s="10">
        <v>0</v>
      </c>
      <c r="J7" s="10">
        <v>0</v>
      </c>
      <c r="K7" s="10">
        <v>219</v>
      </c>
      <c r="L7" s="10">
        <v>1068.8000000000002</v>
      </c>
      <c r="M7" s="10">
        <v>0</v>
      </c>
      <c r="N7" s="11">
        <v>3389.1000000000004</v>
      </c>
      <c r="Q7" s="27" t="s">
        <v>4</v>
      </c>
      <c r="R7" s="28">
        <f t="shared" si="0"/>
        <v>3896.1000000000004</v>
      </c>
      <c r="S7" s="28">
        <f t="shared" si="1"/>
        <v>3865.3999999999996</v>
      </c>
      <c r="T7" s="28">
        <f t="shared" si="2"/>
        <v>3865.3999999999996</v>
      </c>
      <c r="U7" s="28">
        <f t="shared" si="3"/>
        <v>3862</v>
      </c>
      <c r="V7" s="28">
        <f t="shared" si="4"/>
        <v>3761</v>
      </c>
      <c r="W7" s="28">
        <f t="shared" si="5"/>
        <v>3801</v>
      </c>
      <c r="X7" s="28">
        <f t="shared" si="6"/>
        <v>3799.5999999999995</v>
      </c>
      <c r="Y7" s="28">
        <f t="shared" si="7"/>
        <v>3821.5999999999995</v>
      </c>
      <c r="Z7" s="28">
        <f t="shared" si="8"/>
        <v>3809</v>
      </c>
      <c r="AA7" s="28">
        <f t="shared" si="9"/>
        <v>3806.1000000000004</v>
      </c>
      <c r="AB7" s="28">
        <f t="shared" si="10"/>
        <v>3806.1000000000004</v>
      </c>
      <c r="AC7" s="28">
        <f t="shared" si="11"/>
        <v>3806.1000000000004</v>
      </c>
      <c r="AD7" s="28">
        <f t="shared" si="12"/>
        <v>3792.1000000000004</v>
      </c>
      <c r="AE7" s="28">
        <f t="shared" si="13"/>
        <v>3792.1000000000004</v>
      </c>
      <c r="AF7" s="28">
        <f t="shared" si="14"/>
        <v>3731.1000000000004</v>
      </c>
      <c r="AG7" s="28">
        <f t="shared" si="15"/>
        <v>3655.9000000000005</v>
      </c>
      <c r="AH7" s="28">
        <f t="shared" si="16"/>
        <v>3655.9000000000005</v>
      </c>
      <c r="AI7" s="28">
        <f t="shared" si="17"/>
        <v>3692.3</v>
      </c>
      <c r="AJ7" s="28">
        <f t="shared" si="18"/>
        <v>3692.3</v>
      </c>
      <c r="AK7" s="28">
        <f t="shared" si="19"/>
        <v>3689.4</v>
      </c>
      <c r="AL7" s="28">
        <f t="shared" si="20"/>
        <v>3689.4</v>
      </c>
      <c r="AM7" s="28">
        <f t="shared" si="21"/>
        <v>3686.2</v>
      </c>
      <c r="AN7" s="28">
        <f t="shared" si="22"/>
        <v>3686.2</v>
      </c>
      <c r="AO7" s="28">
        <f t="shared" si="23"/>
        <v>3389.1000000000004</v>
      </c>
      <c r="AP7" s="28">
        <f t="shared" si="24"/>
        <v>3389.1000000000004</v>
      </c>
      <c r="AQ7" s="28">
        <f t="shared" si="25"/>
        <v>3389.1000000000004</v>
      </c>
      <c r="AR7" s="36">
        <v>0</v>
      </c>
      <c r="AS7" s="38" t="str">
        <f t="shared" si="26"/>
        <v/>
      </c>
      <c r="AT7" s="38" t="str">
        <f t="shared" si="27"/>
        <v/>
      </c>
      <c r="AU7" s="40"/>
    </row>
    <row r="8" spans="1:47" x14ac:dyDescent="0.35">
      <c r="A8" s="17">
        <v>7</v>
      </c>
      <c r="B8" s="17">
        <v>4</v>
      </c>
      <c r="C8" s="17">
        <v>2026</v>
      </c>
      <c r="D8" s="20"/>
      <c r="E8" s="24" t="s">
        <v>5</v>
      </c>
      <c r="F8" s="15">
        <v>120.10000000000001</v>
      </c>
      <c r="G8" s="10">
        <v>301.60000000000002</v>
      </c>
      <c r="H8" s="10">
        <v>215.10000000000002</v>
      </c>
      <c r="I8" s="10">
        <v>0</v>
      </c>
      <c r="J8" s="10">
        <v>99.8</v>
      </c>
      <c r="K8" s="10">
        <v>4904.7000000000016</v>
      </c>
      <c r="L8" s="10">
        <v>2589.4</v>
      </c>
      <c r="M8" s="10">
        <v>1.6</v>
      </c>
      <c r="N8" s="11">
        <v>8232.3000000000029</v>
      </c>
      <c r="Q8" s="27" t="s">
        <v>5</v>
      </c>
      <c r="R8" s="28">
        <f t="shared" si="0"/>
        <v>3425.7999999999997</v>
      </c>
      <c r="S8" s="28">
        <f t="shared" si="1"/>
        <v>4625.6000000000004</v>
      </c>
      <c r="T8" s="28">
        <f t="shared" si="2"/>
        <v>4967.3000000000011</v>
      </c>
      <c r="U8" s="28">
        <f t="shared" si="3"/>
        <v>5009.3000000000011</v>
      </c>
      <c r="V8" s="28">
        <f t="shared" si="4"/>
        <v>5709.7000000000016</v>
      </c>
      <c r="W8" s="28">
        <f t="shared" si="5"/>
        <v>5526.5000000000018</v>
      </c>
      <c r="X8" s="28">
        <f t="shared" si="6"/>
        <v>5599.0000000000018</v>
      </c>
      <c r="Y8" s="28">
        <f t="shared" si="7"/>
        <v>5845.7000000000016</v>
      </c>
      <c r="Z8" s="28">
        <f t="shared" si="8"/>
        <v>6040.9000000000024</v>
      </c>
      <c r="AA8" s="28">
        <f t="shared" si="9"/>
        <v>6165.5000000000018</v>
      </c>
      <c r="AB8" s="28">
        <f t="shared" si="10"/>
        <v>6431.9000000000015</v>
      </c>
      <c r="AC8" s="28">
        <f t="shared" si="11"/>
        <v>6576.4000000000024</v>
      </c>
      <c r="AD8" s="28">
        <f t="shared" si="12"/>
        <v>6812.5000000000027</v>
      </c>
      <c r="AE8" s="28">
        <f t="shared" si="13"/>
        <v>7215.5000000000018</v>
      </c>
      <c r="AF8" s="28">
        <f t="shared" si="14"/>
        <v>7670.0000000000018</v>
      </c>
      <c r="AG8" s="28">
        <f t="shared" si="15"/>
        <v>7743.8000000000011</v>
      </c>
      <c r="AH8" s="28">
        <f t="shared" si="16"/>
        <v>7827.0000000000018</v>
      </c>
      <c r="AI8" s="28">
        <f t="shared" si="17"/>
        <v>7679.5000000000018</v>
      </c>
      <c r="AJ8" s="28">
        <f t="shared" si="18"/>
        <v>7679.5000000000018</v>
      </c>
      <c r="AK8" s="28">
        <f t="shared" si="19"/>
        <v>7777.1000000000022</v>
      </c>
      <c r="AL8" s="28">
        <f t="shared" si="20"/>
        <v>7739.6000000000022</v>
      </c>
      <c r="AM8" s="28">
        <f t="shared" si="21"/>
        <v>8010.100000000004</v>
      </c>
      <c r="AN8" s="28">
        <f t="shared" si="22"/>
        <v>8044.8000000000029</v>
      </c>
      <c r="AO8" s="28">
        <f t="shared" si="23"/>
        <v>8086.6000000000022</v>
      </c>
      <c r="AP8" s="28">
        <f t="shared" si="24"/>
        <v>8140.6000000000022</v>
      </c>
      <c r="AQ8" s="28">
        <f t="shared" si="25"/>
        <v>8232.3000000000029</v>
      </c>
      <c r="AR8" s="36">
        <v>0</v>
      </c>
      <c r="AS8" s="38" t="str">
        <f t="shared" si="26"/>
        <v/>
      </c>
      <c r="AT8" s="38">
        <f t="shared" si="27"/>
        <v>91.700000000000728</v>
      </c>
      <c r="AU8" s="40"/>
    </row>
    <row r="9" spans="1:47" x14ac:dyDescent="0.35">
      <c r="A9" s="17">
        <v>7</v>
      </c>
      <c r="B9" s="17">
        <v>4</v>
      </c>
      <c r="C9" s="17">
        <v>2026</v>
      </c>
      <c r="D9" s="20"/>
      <c r="E9" s="24" t="s">
        <v>6</v>
      </c>
      <c r="F9" s="15">
        <v>216.39999999999998</v>
      </c>
      <c r="G9" s="10">
        <v>9.1999999999999993</v>
      </c>
      <c r="H9" s="10">
        <v>250.99999999999997</v>
      </c>
      <c r="I9" s="10">
        <v>0</v>
      </c>
      <c r="J9" s="10">
        <v>117</v>
      </c>
      <c r="K9" s="10">
        <v>3927.0000000000009</v>
      </c>
      <c r="L9" s="10">
        <v>723.89999999999986</v>
      </c>
      <c r="M9" s="10">
        <v>25.9</v>
      </c>
      <c r="N9" s="11">
        <v>5270.4</v>
      </c>
      <c r="Q9" s="27" t="s">
        <v>6</v>
      </c>
      <c r="R9" s="28">
        <f t="shared" si="0"/>
        <v>2703.2</v>
      </c>
      <c r="S9" s="28">
        <f t="shared" si="1"/>
        <v>2994.8999999999996</v>
      </c>
      <c r="T9" s="28">
        <f t="shared" si="2"/>
        <v>3122.5</v>
      </c>
      <c r="U9" s="28">
        <f t="shared" si="3"/>
        <v>3219.2</v>
      </c>
      <c r="V9" s="28">
        <f t="shared" si="4"/>
        <v>3283.3</v>
      </c>
      <c r="W9" s="28">
        <f t="shared" si="5"/>
        <v>3333.8</v>
      </c>
      <c r="X9" s="28">
        <f t="shared" si="6"/>
        <v>3365.3</v>
      </c>
      <c r="Y9" s="28">
        <f t="shared" si="7"/>
        <v>3589.4</v>
      </c>
      <c r="Z9" s="28">
        <f t="shared" si="8"/>
        <v>3725.9</v>
      </c>
      <c r="AA9" s="28">
        <f t="shared" si="9"/>
        <v>3745.7000000000003</v>
      </c>
      <c r="AB9" s="28">
        <f t="shared" si="10"/>
        <v>4109</v>
      </c>
      <c r="AC9" s="28">
        <f t="shared" si="11"/>
        <v>4109.6000000000004</v>
      </c>
      <c r="AD9" s="28">
        <f t="shared" si="12"/>
        <v>4334.0999999999995</v>
      </c>
      <c r="AE9" s="28">
        <f t="shared" si="13"/>
        <v>4340.5999999999995</v>
      </c>
      <c r="AF9" s="28">
        <f t="shared" si="14"/>
        <v>4339.9999999999991</v>
      </c>
      <c r="AG9" s="28">
        <f t="shared" si="15"/>
        <v>4357.7999999999993</v>
      </c>
      <c r="AH9" s="28">
        <f t="shared" si="16"/>
        <v>4744.2999999999993</v>
      </c>
      <c r="AI9" s="28">
        <f t="shared" si="17"/>
        <v>4754.9999999999991</v>
      </c>
      <c r="AJ9" s="28">
        <f t="shared" si="18"/>
        <v>4759.3999999999987</v>
      </c>
      <c r="AK9" s="28">
        <f t="shared" si="19"/>
        <v>4935.4999999999991</v>
      </c>
      <c r="AL9" s="28">
        <f t="shared" si="20"/>
        <v>4947.2999999999984</v>
      </c>
      <c r="AM9" s="28">
        <f t="shared" si="21"/>
        <v>5020.7999999999993</v>
      </c>
      <c r="AN9" s="28">
        <f t="shared" si="22"/>
        <v>5220.7999999999984</v>
      </c>
      <c r="AO9" s="28">
        <f t="shared" si="23"/>
        <v>5113.2</v>
      </c>
      <c r="AP9" s="28">
        <f t="shared" si="24"/>
        <v>5233.0999999999985</v>
      </c>
      <c r="AQ9" s="28">
        <f t="shared" si="25"/>
        <v>5270.4</v>
      </c>
      <c r="AR9" s="36">
        <v>0</v>
      </c>
      <c r="AS9" s="38" t="str">
        <f t="shared" si="26"/>
        <v/>
      </c>
      <c r="AT9" s="38">
        <f t="shared" si="27"/>
        <v>37.300000000001091</v>
      </c>
      <c r="AU9" s="41">
        <f>(330+50+20.2+38.5+29.7)/AP9</f>
        <v>8.950717547916151E-2</v>
      </c>
    </row>
    <row r="10" spans="1:47" x14ac:dyDescent="0.35">
      <c r="A10" s="17">
        <v>7</v>
      </c>
      <c r="B10" s="17">
        <v>4</v>
      </c>
      <c r="C10" s="17">
        <v>2026</v>
      </c>
      <c r="D10" s="20"/>
      <c r="E10" s="24" t="s">
        <v>7</v>
      </c>
      <c r="F10" s="15">
        <v>219.3</v>
      </c>
      <c r="G10" s="10">
        <v>53.000000000000007</v>
      </c>
      <c r="H10" s="10">
        <v>140.30000000000001</v>
      </c>
      <c r="I10" s="10">
        <v>0</v>
      </c>
      <c r="J10" s="10">
        <v>0</v>
      </c>
      <c r="K10" s="10">
        <v>1322.6000000000004</v>
      </c>
      <c r="L10" s="10">
        <v>703.09999999999991</v>
      </c>
      <c r="M10" s="10">
        <v>26.099999999999998</v>
      </c>
      <c r="N10" s="11">
        <v>2464.4</v>
      </c>
      <c r="Q10" s="27" t="s">
        <v>7</v>
      </c>
      <c r="R10" s="28">
        <f t="shared" si="0"/>
        <v>2598.5</v>
      </c>
      <c r="S10" s="28">
        <f t="shared" si="1"/>
        <v>2967.0000000000005</v>
      </c>
      <c r="T10" s="28">
        <f t="shared" si="2"/>
        <v>2963</v>
      </c>
      <c r="U10" s="28">
        <f t="shared" si="3"/>
        <v>2929.4</v>
      </c>
      <c r="V10" s="28">
        <f t="shared" si="4"/>
        <v>3152.5000000000005</v>
      </c>
      <c r="W10" s="28">
        <f t="shared" si="5"/>
        <v>3144.1000000000004</v>
      </c>
      <c r="X10" s="28">
        <f t="shared" si="6"/>
        <v>3144.1000000000004</v>
      </c>
      <c r="Y10" s="28">
        <f t="shared" si="7"/>
        <v>3142.3000000000006</v>
      </c>
      <c r="Z10" s="28">
        <f t="shared" si="8"/>
        <v>3169.7000000000007</v>
      </c>
      <c r="AA10" s="28">
        <f t="shared" si="9"/>
        <v>3342</v>
      </c>
      <c r="AB10" s="28">
        <f t="shared" si="10"/>
        <v>2513.0000000000005</v>
      </c>
      <c r="AC10" s="28">
        <f t="shared" si="11"/>
        <v>2513.0000000000005</v>
      </c>
      <c r="AD10" s="28">
        <f t="shared" si="12"/>
        <v>2519.0000000000005</v>
      </c>
      <c r="AE10" s="28">
        <f t="shared" si="13"/>
        <v>2526.6000000000004</v>
      </c>
      <c r="AF10" s="28">
        <f t="shared" si="14"/>
        <v>2555.0000000000005</v>
      </c>
      <c r="AG10" s="28">
        <f t="shared" si="15"/>
        <v>2580.9000000000005</v>
      </c>
      <c r="AH10" s="28">
        <f t="shared" si="16"/>
        <v>2503.6000000000004</v>
      </c>
      <c r="AI10" s="28">
        <f t="shared" si="17"/>
        <v>2501.2000000000003</v>
      </c>
      <c r="AJ10" s="28">
        <f t="shared" si="18"/>
        <v>2614.7000000000003</v>
      </c>
      <c r="AK10" s="28">
        <f t="shared" si="19"/>
        <v>2669.9000000000005</v>
      </c>
      <c r="AL10" s="28">
        <f t="shared" si="20"/>
        <v>2752.4</v>
      </c>
      <c r="AM10" s="28">
        <f t="shared" si="21"/>
        <v>2308.5</v>
      </c>
      <c r="AN10" s="28">
        <f t="shared" si="22"/>
        <v>2308.5</v>
      </c>
      <c r="AO10" s="28">
        <f t="shared" si="23"/>
        <v>2422.0000000000005</v>
      </c>
      <c r="AP10" s="28">
        <f t="shared" si="24"/>
        <v>2421.7000000000003</v>
      </c>
      <c r="AQ10" s="28">
        <f t="shared" si="25"/>
        <v>2464.4</v>
      </c>
      <c r="AR10" s="36">
        <v>0</v>
      </c>
      <c r="AS10" s="38" t="str">
        <f t="shared" si="26"/>
        <v/>
      </c>
      <c r="AT10" s="38">
        <f t="shared" si="27"/>
        <v>42.699999999999818</v>
      </c>
      <c r="AU10" s="40"/>
    </row>
    <row r="11" spans="1:47" x14ac:dyDescent="0.35">
      <c r="A11" s="17">
        <v>7</v>
      </c>
      <c r="B11" s="17">
        <v>4</v>
      </c>
      <c r="C11" s="17">
        <v>2026</v>
      </c>
      <c r="D11" s="20"/>
      <c r="E11" s="24" t="s">
        <v>8</v>
      </c>
      <c r="F11" s="15">
        <v>128.90000000000003</v>
      </c>
      <c r="G11" s="10">
        <v>39.5</v>
      </c>
      <c r="H11" s="10">
        <v>64.7</v>
      </c>
      <c r="I11" s="10">
        <v>0</v>
      </c>
      <c r="J11" s="10">
        <v>249.9</v>
      </c>
      <c r="K11" s="10">
        <v>771.6</v>
      </c>
      <c r="L11" s="10">
        <v>1181.8999999999999</v>
      </c>
      <c r="M11" s="10">
        <v>156.1</v>
      </c>
      <c r="N11" s="11">
        <v>2592.6</v>
      </c>
      <c r="Q11" s="27" t="s">
        <v>8</v>
      </c>
      <c r="R11" s="28">
        <f t="shared" si="0"/>
        <v>2066.4</v>
      </c>
      <c r="S11" s="28">
        <f t="shared" si="1"/>
        <v>2116.9</v>
      </c>
      <c r="T11" s="28">
        <f t="shared" si="2"/>
        <v>2121.7999999999997</v>
      </c>
      <c r="U11" s="28">
        <f t="shared" si="3"/>
        <v>2154.9</v>
      </c>
      <c r="V11" s="28">
        <f t="shared" si="4"/>
        <v>2214.5</v>
      </c>
      <c r="W11" s="28">
        <f t="shared" si="5"/>
        <v>2219.4</v>
      </c>
      <c r="X11" s="28">
        <f t="shared" si="6"/>
        <v>2222.1</v>
      </c>
      <c r="Y11" s="28">
        <f t="shared" si="7"/>
        <v>1931.9</v>
      </c>
      <c r="Z11" s="28">
        <f t="shared" si="8"/>
        <v>1970.6</v>
      </c>
      <c r="AA11" s="28">
        <f t="shared" si="9"/>
        <v>1990.6</v>
      </c>
      <c r="AB11" s="28">
        <f t="shared" si="10"/>
        <v>2131.9</v>
      </c>
      <c r="AC11" s="28">
        <f t="shared" si="11"/>
        <v>2213.5</v>
      </c>
      <c r="AD11" s="28">
        <f t="shared" si="12"/>
        <v>2215.2000000000003</v>
      </c>
      <c r="AE11" s="28">
        <f t="shared" si="13"/>
        <v>2339.1999999999998</v>
      </c>
      <c r="AF11" s="28">
        <f t="shared" si="14"/>
        <v>2392.2999999999997</v>
      </c>
      <c r="AG11" s="28">
        <f t="shared" si="15"/>
        <v>2392.2999999999997</v>
      </c>
      <c r="AH11" s="28">
        <f t="shared" si="16"/>
        <v>2393.1999999999998</v>
      </c>
      <c r="AI11" s="28">
        <f t="shared" si="17"/>
        <v>2506.1</v>
      </c>
      <c r="AJ11" s="28">
        <f t="shared" si="18"/>
        <v>2456.1</v>
      </c>
      <c r="AK11" s="28">
        <f t="shared" si="19"/>
        <v>2459.2999999999997</v>
      </c>
      <c r="AL11" s="28">
        <f t="shared" si="20"/>
        <v>2459.1</v>
      </c>
      <c r="AM11" s="28">
        <f t="shared" si="21"/>
        <v>2515.7000000000003</v>
      </c>
      <c r="AN11" s="28">
        <f t="shared" si="22"/>
        <v>2579.5</v>
      </c>
      <c r="AO11" s="28">
        <f t="shared" si="23"/>
        <v>2465</v>
      </c>
      <c r="AP11" s="28">
        <f t="shared" si="24"/>
        <v>2477.1999999999998</v>
      </c>
      <c r="AQ11" s="28">
        <f t="shared" si="25"/>
        <v>2592.6</v>
      </c>
      <c r="AR11" s="36">
        <v>0</v>
      </c>
      <c r="AS11" s="38" t="str">
        <f t="shared" si="26"/>
        <v/>
      </c>
      <c r="AT11" s="38">
        <f t="shared" si="27"/>
        <v>115.40000000000009</v>
      </c>
      <c r="AU11" s="39">
        <f>35/AP11</f>
        <v>1.4128855159050543E-2</v>
      </c>
    </row>
    <row r="12" spans="1:47" x14ac:dyDescent="0.35">
      <c r="A12" s="17">
        <v>7</v>
      </c>
      <c r="B12" s="17">
        <v>4</v>
      </c>
      <c r="C12" s="17">
        <v>2026</v>
      </c>
      <c r="D12" s="20"/>
      <c r="E12" s="24" t="s">
        <v>9</v>
      </c>
      <c r="F12" s="15">
        <v>39.799999999999997</v>
      </c>
      <c r="G12" s="10">
        <v>414</v>
      </c>
      <c r="H12" s="10">
        <v>0</v>
      </c>
      <c r="I12" s="10">
        <v>0</v>
      </c>
      <c r="J12" s="10">
        <v>0</v>
      </c>
      <c r="K12" s="10">
        <v>993.8</v>
      </c>
      <c r="L12" s="10">
        <v>1029.5000000000002</v>
      </c>
      <c r="M12" s="10">
        <v>0</v>
      </c>
      <c r="N12" s="11">
        <v>2477.1000000000004</v>
      </c>
      <c r="Q12" s="27" t="s">
        <v>9</v>
      </c>
      <c r="R12" s="28">
        <f t="shared" si="0"/>
        <v>1976.8</v>
      </c>
      <c r="S12" s="28">
        <f t="shared" si="1"/>
        <v>2017.5</v>
      </c>
      <c r="T12" s="28">
        <f t="shared" si="2"/>
        <v>2005.3</v>
      </c>
      <c r="U12" s="28">
        <f t="shared" si="3"/>
        <v>1890.6999999999998</v>
      </c>
      <c r="V12" s="28">
        <f t="shared" si="4"/>
        <v>1935.9</v>
      </c>
      <c r="W12" s="28">
        <f t="shared" si="5"/>
        <v>1907</v>
      </c>
      <c r="X12" s="28">
        <f t="shared" si="6"/>
        <v>1907</v>
      </c>
      <c r="Y12" s="28">
        <f t="shared" si="7"/>
        <v>1907</v>
      </c>
      <c r="Z12" s="28">
        <f t="shared" si="8"/>
        <v>1907</v>
      </c>
      <c r="AA12" s="28">
        <f t="shared" si="9"/>
        <v>1907</v>
      </c>
      <c r="AB12" s="28">
        <f t="shared" si="10"/>
        <v>2304</v>
      </c>
      <c r="AC12" s="28">
        <f t="shared" si="11"/>
        <v>2304</v>
      </c>
      <c r="AD12" s="28">
        <f t="shared" si="12"/>
        <v>2304</v>
      </c>
      <c r="AE12" s="28">
        <f t="shared" si="13"/>
        <v>2304</v>
      </c>
      <c r="AF12" s="28">
        <f t="shared" si="14"/>
        <v>2327</v>
      </c>
      <c r="AG12" s="28">
        <f t="shared" si="15"/>
        <v>2327</v>
      </c>
      <c r="AH12" s="28">
        <f t="shared" si="16"/>
        <v>2342.1999999999998</v>
      </c>
      <c r="AI12" s="28">
        <f t="shared" si="17"/>
        <v>2340.8000000000002</v>
      </c>
      <c r="AJ12" s="28">
        <f t="shared" si="18"/>
        <v>2356.8000000000002</v>
      </c>
      <c r="AK12" s="28">
        <f t="shared" si="19"/>
        <v>2285.6999999999998</v>
      </c>
      <c r="AL12" s="28">
        <f t="shared" si="20"/>
        <v>2410.6999999999998</v>
      </c>
      <c r="AM12" s="28">
        <f t="shared" si="21"/>
        <v>2431.1999999999998</v>
      </c>
      <c r="AN12" s="28">
        <f t="shared" si="22"/>
        <v>2431.1999999999998</v>
      </c>
      <c r="AO12" s="28">
        <f t="shared" si="23"/>
        <v>2890.3</v>
      </c>
      <c r="AP12" s="28">
        <f t="shared" si="24"/>
        <v>2915.5000000000005</v>
      </c>
      <c r="AQ12" s="28">
        <f t="shared" si="25"/>
        <v>2477.1000000000004</v>
      </c>
      <c r="AR12" s="36">
        <v>0</v>
      </c>
      <c r="AS12" s="38">
        <f t="shared" si="26"/>
        <v>-438.40000000000009</v>
      </c>
      <c r="AT12" s="38" t="str">
        <f t="shared" si="27"/>
        <v/>
      </c>
      <c r="AU12" s="40"/>
    </row>
    <row r="13" spans="1:47" x14ac:dyDescent="0.35">
      <c r="A13" s="17">
        <v>7</v>
      </c>
      <c r="B13" s="17">
        <v>4</v>
      </c>
      <c r="C13" s="17">
        <v>2026</v>
      </c>
      <c r="D13" s="20"/>
      <c r="E13" s="24" t="s">
        <v>10</v>
      </c>
      <c r="F13" s="15">
        <v>2.2000000000000002</v>
      </c>
      <c r="G13" s="10">
        <v>0</v>
      </c>
      <c r="H13" s="10">
        <v>46.5</v>
      </c>
      <c r="I13" s="10">
        <v>0</v>
      </c>
      <c r="J13" s="10">
        <v>320.10000000000002</v>
      </c>
      <c r="K13" s="10">
        <v>3204.7000000000016</v>
      </c>
      <c r="L13" s="10">
        <v>556.80000000000007</v>
      </c>
      <c r="M13" s="10">
        <v>1.8</v>
      </c>
      <c r="N13" s="11">
        <v>4132.1000000000022</v>
      </c>
      <c r="Q13" s="27" t="s">
        <v>10</v>
      </c>
      <c r="R13" s="28">
        <f t="shared" si="0"/>
        <v>1963.4</v>
      </c>
      <c r="S13" s="28">
        <f t="shared" si="1"/>
        <v>2018</v>
      </c>
      <c r="T13" s="28">
        <f t="shared" si="2"/>
        <v>2079.4</v>
      </c>
      <c r="U13" s="28">
        <f t="shared" si="3"/>
        <v>2079.8000000000002</v>
      </c>
      <c r="V13" s="28">
        <f t="shared" si="4"/>
        <v>1992.8000000000002</v>
      </c>
      <c r="W13" s="28">
        <f t="shared" si="5"/>
        <v>1992.7</v>
      </c>
      <c r="X13" s="28">
        <f t="shared" si="6"/>
        <v>1995.5</v>
      </c>
      <c r="Y13" s="28">
        <f t="shared" si="7"/>
        <v>2294</v>
      </c>
      <c r="Z13" s="28">
        <f t="shared" si="8"/>
        <v>2871.4</v>
      </c>
      <c r="AA13" s="28">
        <f t="shared" si="9"/>
        <v>2875.5</v>
      </c>
      <c r="AB13" s="28">
        <f t="shared" si="10"/>
        <v>2884.8</v>
      </c>
      <c r="AC13" s="28">
        <f t="shared" si="11"/>
        <v>2884.8</v>
      </c>
      <c r="AD13" s="28">
        <f t="shared" si="12"/>
        <v>2890.0000000000005</v>
      </c>
      <c r="AE13" s="28">
        <f t="shared" si="13"/>
        <v>2891.4</v>
      </c>
      <c r="AF13" s="28">
        <f t="shared" si="14"/>
        <v>2900.6000000000004</v>
      </c>
      <c r="AG13" s="28">
        <f t="shared" si="15"/>
        <v>2901.7000000000003</v>
      </c>
      <c r="AH13" s="28">
        <f t="shared" si="16"/>
        <v>2814.6000000000004</v>
      </c>
      <c r="AI13" s="28">
        <f t="shared" si="17"/>
        <v>3147.4000000000005</v>
      </c>
      <c r="AJ13" s="28">
        <f t="shared" si="18"/>
        <v>3190</v>
      </c>
      <c r="AK13" s="28">
        <f t="shared" si="19"/>
        <v>3142.5000000000005</v>
      </c>
      <c r="AL13" s="28">
        <f t="shared" si="20"/>
        <v>3153.1000000000008</v>
      </c>
      <c r="AM13" s="28">
        <f t="shared" si="21"/>
        <v>3314.9000000000005</v>
      </c>
      <c r="AN13" s="28">
        <f t="shared" si="22"/>
        <v>3314.9000000000005</v>
      </c>
      <c r="AO13" s="28">
        <f t="shared" si="23"/>
        <v>3590.2000000000007</v>
      </c>
      <c r="AP13" s="28">
        <f t="shared" si="24"/>
        <v>3837.4000000000015</v>
      </c>
      <c r="AQ13" s="28">
        <f t="shared" si="25"/>
        <v>4132.1000000000022</v>
      </c>
      <c r="AR13" s="36">
        <v>0</v>
      </c>
      <c r="AS13" s="38" t="str">
        <f t="shared" si="26"/>
        <v/>
      </c>
      <c r="AT13" s="38">
        <f t="shared" si="27"/>
        <v>294.70000000000073</v>
      </c>
      <c r="AU13" s="39">
        <f>23/AP13</f>
        <v>5.9936415281179939E-3</v>
      </c>
    </row>
    <row r="14" spans="1:47" x14ac:dyDescent="0.35">
      <c r="A14" s="17">
        <v>7</v>
      </c>
      <c r="B14" s="17">
        <v>4</v>
      </c>
      <c r="C14" s="17">
        <v>2026</v>
      </c>
      <c r="D14" s="20"/>
      <c r="E14" s="24" t="s">
        <v>11</v>
      </c>
      <c r="F14" s="15">
        <v>22.8</v>
      </c>
      <c r="G14" s="10">
        <v>0</v>
      </c>
      <c r="H14" s="10">
        <v>0</v>
      </c>
      <c r="I14" s="10">
        <v>0</v>
      </c>
      <c r="J14" s="10">
        <v>0</v>
      </c>
      <c r="K14" s="10">
        <v>254.50000000000003</v>
      </c>
      <c r="L14" s="10">
        <v>0</v>
      </c>
      <c r="M14" s="10">
        <v>0</v>
      </c>
      <c r="N14" s="11">
        <v>277.3</v>
      </c>
      <c r="Q14" s="27" t="s">
        <v>11</v>
      </c>
      <c r="R14" s="28">
        <f t="shared" si="0"/>
        <v>1907.8000000000002</v>
      </c>
      <c r="S14" s="28">
        <f t="shared" si="1"/>
        <v>1669.1</v>
      </c>
      <c r="T14" s="28">
        <f t="shared" si="2"/>
        <v>1543.1999999999998</v>
      </c>
      <c r="U14" s="28">
        <f t="shared" si="3"/>
        <v>1557.1999999999998</v>
      </c>
      <c r="V14" s="28">
        <f t="shared" si="4"/>
        <v>610.4</v>
      </c>
      <c r="W14" s="28">
        <f t="shared" si="5"/>
        <v>359.70000000000005</v>
      </c>
      <c r="X14" s="28">
        <f t="shared" si="6"/>
        <v>389.7000000000001</v>
      </c>
      <c r="Y14" s="28">
        <f t="shared" si="7"/>
        <v>357.80000000000007</v>
      </c>
      <c r="Z14" s="28">
        <f t="shared" si="8"/>
        <v>354.00000000000006</v>
      </c>
      <c r="AA14" s="28">
        <f t="shared" si="9"/>
        <v>352.30000000000007</v>
      </c>
      <c r="AB14" s="28">
        <f t="shared" si="10"/>
        <v>290.60000000000002</v>
      </c>
      <c r="AC14" s="28">
        <f t="shared" si="11"/>
        <v>290.60000000000002</v>
      </c>
      <c r="AD14" s="28">
        <f t="shared" si="12"/>
        <v>290.40000000000003</v>
      </c>
      <c r="AE14" s="28">
        <f t="shared" si="13"/>
        <v>280.90000000000003</v>
      </c>
      <c r="AF14" s="28">
        <f t="shared" si="14"/>
        <v>280.20000000000005</v>
      </c>
      <c r="AG14" s="28">
        <f t="shared" si="15"/>
        <v>279.40000000000003</v>
      </c>
      <c r="AH14" s="28">
        <f t="shared" si="16"/>
        <v>279.40000000000003</v>
      </c>
      <c r="AI14" s="28">
        <f t="shared" si="17"/>
        <v>294.90000000000003</v>
      </c>
      <c r="AJ14" s="28">
        <f t="shared" si="18"/>
        <v>294.90000000000003</v>
      </c>
      <c r="AK14" s="28">
        <f t="shared" si="19"/>
        <v>280.00000000000006</v>
      </c>
      <c r="AL14" s="28">
        <f t="shared" si="20"/>
        <v>279.70000000000005</v>
      </c>
      <c r="AM14" s="28">
        <f t="shared" si="21"/>
        <v>279.3</v>
      </c>
      <c r="AN14" s="28">
        <f t="shared" si="22"/>
        <v>279.3</v>
      </c>
      <c r="AO14" s="28">
        <f t="shared" si="23"/>
        <v>277.5</v>
      </c>
      <c r="AP14" s="28">
        <f t="shared" si="24"/>
        <v>277.40000000000003</v>
      </c>
      <c r="AQ14" s="28">
        <f t="shared" si="25"/>
        <v>277.3</v>
      </c>
      <c r="AR14" s="36">
        <v>0</v>
      </c>
      <c r="AS14" s="38">
        <f t="shared" si="26"/>
        <v>-0.10000000000002274</v>
      </c>
      <c r="AT14" s="38" t="str">
        <f t="shared" si="27"/>
        <v/>
      </c>
      <c r="AU14" s="39">
        <f>121/AP14</f>
        <v>0.43619322278298478</v>
      </c>
    </row>
    <row r="15" spans="1:47" x14ac:dyDescent="0.35">
      <c r="A15" s="17">
        <v>7</v>
      </c>
      <c r="B15" s="17">
        <v>4</v>
      </c>
      <c r="C15" s="17">
        <v>2026</v>
      </c>
      <c r="D15" s="20"/>
      <c r="E15" s="24" t="s">
        <v>12</v>
      </c>
      <c r="F15" s="15">
        <v>604.90000000000009</v>
      </c>
      <c r="G15" s="10">
        <v>1267.9000000000001</v>
      </c>
      <c r="H15" s="10">
        <v>58.800000000000004</v>
      </c>
      <c r="I15" s="10">
        <v>0</v>
      </c>
      <c r="J15" s="10">
        <v>0</v>
      </c>
      <c r="K15" s="10">
        <v>8.1</v>
      </c>
      <c r="L15" s="10">
        <v>31.400000000000002</v>
      </c>
      <c r="M15" s="10">
        <v>65</v>
      </c>
      <c r="N15" s="11">
        <v>2036.1000000000001</v>
      </c>
      <c r="Q15" s="27" t="s">
        <v>12</v>
      </c>
      <c r="R15" s="28">
        <f t="shared" si="0"/>
        <v>1205.8</v>
      </c>
      <c r="S15" s="28">
        <f t="shared" si="1"/>
        <v>1127.9000000000001</v>
      </c>
      <c r="T15" s="28">
        <f t="shared" si="2"/>
        <v>1084.0999999999999</v>
      </c>
      <c r="U15" s="28">
        <f t="shared" si="3"/>
        <v>671.40000000000009</v>
      </c>
      <c r="V15" s="28">
        <f t="shared" si="4"/>
        <v>1113.3999999999999</v>
      </c>
      <c r="W15" s="28">
        <f t="shared" si="5"/>
        <v>686.3</v>
      </c>
      <c r="X15" s="28">
        <f t="shared" si="6"/>
        <v>686.3</v>
      </c>
      <c r="Y15" s="28">
        <f t="shared" si="7"/>
        <v>686.3</v>
      </c>
      <c r="Z15" s="28">
        <f t="shared" si="8"/>
        <v>654.09999999999991</v>
      </c>
      <c r="AA15" s="28">
        <f t="shared" si="9"/>
        <v>654.09999999999991</v>
      </c>
      <c r="AB15" s="28">
        <f t="shared" si="10"/>
        <v>657.8</v>
      </c>
      <c r="AC15" s="28">
        <f t="shared" si="11"/>
        <v>657.8</v>
      </c>
      <c r="AD15" s="28">
        <f t="shared" si="12"/>
        <v>642.19999999999993</v>
      </c>
      <c r="AE15" s="28">
        <f t="shared" si="13"/>
        <v>642.19999999999993</v>
      </c>
      <c r="AF15" s="28">
        <f t="shared" si="14"/>
        <v>640.19999999999993</v>
      </c>
      <c r="AG15" s="28">
        <f t="shared" si="15"/>
        <v>626.79999999999995</v>
      </c>
      <c r="AH15" s="28">
        <f t="shared" si="16"/>
        <v>626.79999999999995</v>
      </c>
      <c r="AI15" s="28">
        <f t="shared" si="17"/>
        <v>621.30000000000007</v>
      </c>
      <c r="AJ15" s="28">
        <f t="shared" si="18"/>
        <v>618.20000000000016</v>
      </c>
      <c r="AK15" s="28">
        <f t="shared" si="19"/>
        <v>617.70000000000016</v>
      </c>
      <c r="AL15" s="28">
        <f t="shared" si="20"/>
        <v>618.50000000000011</v>
      </c>
      <c r="AM15" s="28">
        <f t="shared" si="21"/>
        <v>2055.3000000000002</v>
      </c>
      <c r="AN15" s="28">
        <f t="shared" si="22"/>
        <v>2055.3000000000002</v>
      </c>
      <c r="AO15" s="28">
        <f t="shared" si="23"/>
        <v>2043.2</v>
      </c>
      <c r="AP15" s="28">
        <f t="shared" si="24"/>
        <v>2036.1000000000001</v>
      </c>
      <c r="AQ15" s="28">
        <f t="shared" si="25"/>
        <v>2036.1000000000001</v>
      </c>
      <c r="AR15" s="36">
        <v>0</v>
      </c>
      <c r="AS15" s="38" t="str">
        <f t="shared" si="26"/>
        <v/>
      </c>
      <c r="AT15" s="38" t="str">
        <f t="shared" si="27"/>
        <v/>
      </c>
      <c r="AU15" s="40"/>
    </row>
    <row r="16" spans="1:47" x14ac:dyDescent="0.35">
      <c r="A16" s="17">
        <v>7</v>
      </c>
      <c r="B16" s="17">
        <v>4</v>
      </c>
      <c r="C16" s="17">
        <v>2026</v>
      </c>
      <c r="D16" s="20"/>
      <c r="E16" s="24" t="s">
        <v>13</v>
      </c>
      <c r="F16" s="15">
        <v>0</v>
      </c>
      <c r="G16" s="10">
        <v>0</v>
      </c>
      <c r="H16" s="10">
        <v>13.9</v>
      </c>
      <c r="I16" s="10">
        <v>0</v>
      </c>
      <c r="J16" s="10">
        <v>0</v>
      </c>
      <c r="K16" s="10">
        <v>1244.5999999999999</v>
      </c>
      <c r="L16" s="10">
        <v>125.39999999999999</v>
      </c>
      <c r="M16" s="10">
        <v>18.600000000000001</v>
      </c>
      <c r="N16" s="11">
        <v>1402.5</v>
      </c>
      <c r="Q16" s="27" t="s">
        <v>13</v>
      </c>
      <c r="R16" s="28">
        <f t="shared" si="0"/>
        <v>1178.4000000000003</v>
      </c>
      <c r="S16" s="28">
        <f t="shared" si="1"/>
        <v>1208.1000000000001</v>
      </c>
      <c r="T16" s="28">
        <f t="shared" si="2"/>
        <v>1208.1000000000001</v>
      </c>
      <c r="U16" s="28">
        <f t="shared" si="3"/>
        <v>1251.5000000000002</v>
      </c>
      <c r="V16" s="28">
        <f t="shared" si="4"/>
        <v>1251.5000000000002</v>
      </c>
      <c r="W16" s="28">
        <f t="shared" si="5"/>
        <v>1251.5000000000002</v>
      </c>
      <c r="X16" s="28">
        <f t="shared" si="6"/>
        <v>1251.5000000000002</v>
      </c>
      <c r="Y16" s="28">
        <f t="shared" si="7"/>
        <v>1251.5000000000002</v>
      </c>
      <c r="Z16" s="28">
        <f t="shared" si="8"/>
        <v>1251.5000000000002</v>
      </c>
      <c r="AA16" s="28">
        <f t="shared" si="9"/>
        <v>1251.5000000000002</v>
      </c>
      <c r="AB16" s="28">
        <f t="shared" si="10"/>
        <v>1251.5000000000002</v>
      </c>
      <c r="AC16" s="28">
        <f t="shared" si="11"/>
        <v>1251.5000000000002</v>
      </c>
      <c r="AD16" s="28">
        <f t="shared" si="12"/>
        <v>1251.5000000000002</v>
      </c>
      <c r="AE16" s="28">
        <f t="shared" si="13"/>
        <v>1251.5000000000002</v>
      </c>
      <c r="AF16" s="28">
        <f t="shared" si="14"/>
        <v>1273.6000000000001</v>
      </c>
      <c r="AG16" s="28">
        <f t="shared" si="15"/>
        <v>1290.5999999999999</v>
      </c>
      <c r="AH16" s="28">
        <f t="shared" si="16"/>
        <v>1289.9000000000001</v>
      </c>
      <c r="AI16" s="28">
        <f t="shared" si="17"/>
        <v>1333.5</v>
      </c>
      <c r="AJ16" s="28">
        <f t="shared" si="18"/>
        <v>1333.5</v>
      </c>
      <c r="AK16" s="28">
        <f t="shared" si="19"/>
        <v>1353.5</v>
      </c>
      <c r="AL16" s="28">
        <f t="shared" si="20"/>
        <v>1373.5</v>
      </c>
      <c r="AM16" s="28">
        <f t="shared" si="21"/>
        <v>1374.5</v>
      </c>
      <c r="AN16" s="28">
        <f t="shared" si="22"/>
        <v>1374.5</v>
      </c>
      <c r="AO16" s="28">
        <f t="shared" si="23"/>
        <v>1402.5</v>
      </c>
      <c r="AP16" s="28">
        <f t="shared" si="24"/>
        <v>1402.5</v>
      </c>
      <c r="AQ16" s="28">
        <f t="shared" si="25"/>
        <v>1402.5</v>
      </c>
      <c r="AR16" s="36">
        <v>0</v>
      </c>
      <c r="AS16" s="38" t="str">
        <f t="shared" si="26"/>
        <v/>
      </c>
      <c r="AT16" s="38" t="str">
        <f t="shared" si="27"/>
        <v/>
      </c>
      <c r="AU16" s="40"/>
    </row>
    <row r="17" spans="1:50" x14ac:dyDescent="0.35">
      <c r="A17" s="17">
        <v>7</v>
      </c>
      <c r="B17" s="17">
        <v>4</v>
      </c>
      <c r="C17" s="17">
        <v>2026</v>
      </c>
      <c r="D17" s="20"/>
      <c r="E17" s="24" t="s">
        <v>28</v>
      </c>
      <c r="F17" s="15">
        <v>0</v>
      </c>
      <c r="G17" s="10">
        <v>0</v>
      </c>
      <c r="H17" s="10">
        <v>0</v>
      </c>
      <c r="I17" s="10">
        <v>0</v>
      </c>
      <c r="J17" s="10">
        <v>199.70000000000002</v>
      </c>
      <c r="K17" s="10">
        <v>1195.4000000000001</v>
      </c>
      <c r="L17" s="10">
        <v>849.9</v>
      </c>
      <c r="M17" s="10">
        <v>0</v>
      </c>
      <c r="N17" s="11">
        <v>2245</v>
      </c>
      <c r="Q17" s="27" t="s">
        <v>28</v>
      </c>
      <c r="R17" s="29"/>
      <c r="S17" s="29"/>
      <c r="T17" s="29"/>
      <c r="U17" s="28">
        <f t="shared" si="3"/>
        <v>1135.5000000000002</v>
      </c>
      <c r="V17" s="29"/>
      <c r="W17" s="28">
        <f t="shared" si="5"/>
        <v>1413.1000000000001</v>
      </c>
      <c r="X17" s="28">
        <f t="shared" si="6"/>
        <v>1413.1000000000001</v>
      </c>
      <c r="Y17" s="28">
        <f t="shared" si="7"/>
        <v>1413.1000000000001</v>
      </c>
      <c r="Z17" s="28">
        <f t="shared" si="8"/>
        <v>1607.7000000000003</v>
      </c>
      <c r="AA17" s="28">
        <f t="shared" si="9"/>
        <v>1607.7000000000003</v>
      </c>
      <c r="AB17" s="28">
        <f t="shared" si="10"/>
        <v>1839.2000000000007</v>
      </c>
      <c r="AC17" s="28">
        <f t="shared" si="11"/>
        <v>1839.2000000000007</v>
      </c>
      <c r="AD17" s="28">
        <f t="shared" si="12"/>
        <v>1839.2000000000007</v>
      </c>
      <c r="AE17" s="28">
        <f t="shared" si="13"/>
        <v>1839.2000000000007</v>
      </c>
      <c r="AF17" s="28">
        <f t="shared" si="14"/>
        <v>1839.2000000000007</v>
      </c>
      <c r="AG17" s="28">
        <f t="shared" si="15"/>
        <v>1829.2000000000007</v>
      </c>
      <c r="AH17" s="28">
        <f t="shared" si="16"/>
        <v>1633.2000000000007</v>
      </c>
      <c r="AI17" s="28">
        <f t="shared" si="17"/>
        <v>1633.1000000000006</v>
      </c>
      <c r="AJ17" s="28">
        <f t="shared" si="18"/>
        <v>1633.1000000000006</v>
      </c>
      <c r="AK17" s="28">
        <f t="shared" si="19"/>
        <v>1633.1000000000006</v>
      </c>
      <c r="AL17" s="28">
        <f t="shared" si="20"/>
        <v>1727.2000000000005</v>
      </c>
      <c r="AM17" s="28">
        <f t="shared" si="21"/>
        <v>2027.0000000000005</v>
      </c>
      <c r="AN17" s="28">
        <f t="shared" si="22"/>
        <v>2027.0000000000005</v>
      </c>
      <c r="AO17" s="28">
        <f t="shared" si="23"/>
        <v>2346.5</v>
      </c>
      <c r="AP17" s="28">
        <f t="shared" si="24"/>
        <v>2245</v>
      </c>
      <c r="AQ17" s="28">
        <f t="shared" si="25"/>
        <v>2245</v>
      </c>
      <c r="AR17" s="3"/>
      <c r="AS17" s="38" t="str">
        <f t="shared" si="26"/>
        <v/>
      </c>
      <c r="AT17" s="38" t="str">
        <f t="shared" si="27"/>
        <v/>
      </c>
      <c r="AU17" s="40"/>
    </row>
    <row r="18" spans="1:50" x14ac:dyDescent="0.35">
      <c r="A18" s="17">
        <v>7</v>
      </c>
      <c r="B18" s="17">
        <v>4</v>
      </c>
      <c r="C18" s="17">
        <v>2026</v>
      </c>
      <c r="D18" s="21"/>
      <c r="E18" s="25" t="s">
        <v>22</v>
      </c>
      <c r="F18" s="16">
        <v>0</v>
      </c>
      <c r="G18" s="12">
        <v>843.3</v>
      </c>
      <c r="H18" s="12">
        <v>0</v>
      </c>
      <c r="I18" s="12">
        <v>0</v>
      </c>
      <c r="J18" s="12">
        <v>0</v>
      </c>
      <c r="K18" s="12">
        <v>283.39999999999998</v>
      </c>
      <c r="L18" s="12">
        <v>41.5</v>
      </c>
      <c r="M18" s="12">
        <v>0</v>
      </c>
      <c r="N18" s="13">
        <v>1168.1999999999998</v>
      </c>
      <c r="R18" s="1"/>
    </row>
    <row r="19" spans="1:50" x14ac:dyDescent="0.35">
      <c r="A19" s="19">
        <v>12</v>
      </c>
      <c r="B19" s="19">
        <v>3</v>
      </c>
      <c r="C19" s="19">
        <v>2026</v>
      </c>
      <c r="D19" s="20"/>
      <c r="E19" s="24" t="s">
        <v>0</v>
      </c>
      <c r="F19" s="15">
        <v>987.89999999999964</v>
      </c>
      <c r="G19" s="10">
        <v>161.89999999999998</v>
      </c>
      <c r="H19" s="10">
        <v>364.2000000000001</v>
      </c>
      <c r="I19" s="10">
        <v>0</v>
      </c>
      <c r="J19" s="10">
        <v>1010.2999999999998</v>
      </c>
      <c r="K19" s="10">
        <v>1876.5</v>
      </c>
      <c r="L19" s="10">
        <v>2542.2000000000007</v>
      </c>
      <c r="M19" s="10">
        <v>193.4</v>
      </c>
      <c r="N19" s="11">
        <v>7136.4</v>
      </c>
      <c r="AC19" s="1">
        <f>+AB10-AA10</f>
        <v>-828.99999999999955</v>
      </c>
      <c r="AG19" s="1">
        <f>+SUM(AG3:AG17)</f>
        <v>52710.100000000006</v>
      </c>
      <c r="AH19" s="1">
        <f>+SUM(AH3:AH17)</f>
        <v>53290.100000000006</v>
      </c>
      <c r="AI19" s="1">
        <f>+SUM(AI3:AI17)</f>
        <v>53734.500000000007</v>
      </c>
      <c r="AJ19" s="1">
        <f>+SUM(AJ3:AJ17)</f>
        <v>53943.500000000007</v>
      </c>
      <c r="AM19" s="1">
        <f>+AM9+23.4+17.6</f>
        <v>5061.7999999999993</v>
      </c>
      <c r="AO19" s="42">
        <f>(330+50+20.2+38.5+29.7+23.4+17.6)/AM19</f>
        <v>0.10063613734244736</v>
      </c>
      <c r="AP19" s="42"/>
    </row>
    <row r="20" spans="1:50" x14ac:dyDescent="0.35">
      <c r="A20" s="17">
        <v>12</v>
      </c>
      <c r="B20" s="17">
        <v>3</v>
      </c>
      <c r="C20" s="17">
        <v>2026</v>
      </c>
      <c r="D20" s="20"/>
      <c r="E20" s="24" t="s">
        <v>1</v>
      </c>
      <c r="F20" s="15">
        <v>115.69999999999999</v>
      </c>
      <c r="G20" s="10">
        <v>0</v>
      </c>
      <c r="H20" s="10">
        <v>242.8</v>
      </c>
      <c r="I20" s="10">
        <v>0</v>
      </c>
      <c r="J20" s="10">
        <v>0</v>
      </c>
      <c r="K20" s="10">
        <v>211.10000000000002</v>
      </c>
      <c r="L20" s="10">
        <v>3863.2</v>
      </c>
      <c r="M20" s="10">
        <v>0</v>
      </c>
      <c r="N20" s="11">
        <v>4432.8</v>
      </c>
      <c r="AO20">
        <f>(330+50+20.2+38.5+29.7+23.4+17.6)</f>
        <v>509.4</v>
      </c>
    </row>
    <row r="21" spans="1:50" x14ac:dyDescent="0.35">
      <c r="A21" s="17">
        <v>12</v>
      </c>
      <c r="B21" s="17">
        <v>3</v>
      </c>
      <c r="C21" s="17">
        <v>2026</v>
      </c>
      <c r="D21" s="20"/>
      <c r="E21" s="24" t="s">
        <v>2</v>
      </c>
      <c r="F21" s="15">
        <v>320.7</v>
      </c>
      <c r="G21" s="10">
        <v>12.1</v>
      </c>
      <c r="H21" s="10">
        <v>155.4</v>
      </c>
      <c r="I21" s="10">
        <v>0</v>
      </c>
      <c r="J21" s="10">
        <v>249.5</v>
      </c>
      <c r="K21" s="10">
        <v>5092.7000000000016</v>
      </c>
      <c r="L21" s="10">
        <v>960.80000000000007</v>
      </c>
      <c r="M21" s="10">
        <v>49.6</v>
      </c>
      <c r="N21" s="11">
        <v>6840.800000000002</v>
      </c>
      <c r="AH21" s="1"/>
    </row>
    <row r="22" spans="1:50" x14ac:dyDescent="0.35">
      <c r="A22" s="17">
        <v>12</v>
      </c>
      <c r="B22" s="17">
        <v>3</v>
      </c>
      <c r="C22" s="17">
        <v>2026</v>
      </c>
      <c r="D22" s="20"/>
      <c r="E22" s="24" t="s">
        <v>3</v>
      </c>
      <c r="F22" s="15">
        <v>494.70000000000005</v>
      </c>
      <c r="G22" s="10">
        <v>1849.8999999999999</v>
      </c>
      <c r="H22" s="10">
        <v>333.80000000000007</v>
      </c>
      <c r="I22" s="10">
        <v>360.4</v>
      </c>
      <c r="J22" s="10">
        <v>0</v>
      </c>
      <c r="K22" s="10">
        <v>821.09999999999991</v>
      </c>
      <c r="L22" s="10">
        <v>1278.7</v>
      </c>
      <c r="M22" s="10">
        <v>12.2</v>
      </c>
      <c r="N22" s="11">
        <v>5150.8</v>
      </c>
      <c r="AI22" s="1"/>
    </row>
    <row r="23" spans="1:50" x14ac:dyDescent="0.35">
      <c r="A23" s="17">
        <v>12</v>
      </c>
      <c r="B23" s="17">
        <v>3</v>
      </c>
      <c r="C23" s="17">
        <v>2026</v>
      </c>
      <c r="D23" s="20"/>
      <c r="E23" s="24" t="s">
        <v>4</v>
      </c>
      <c r="F23" s="15">
        <v>34.299999999999997</v>
      </c>
      <c r="G23" s="10">
        <v>1989.7</v>
      </c>
      <c r="H23" s="10">
        <v>77.3</v>
      </c>
      <c r="I23" s="10">
        <v>0</v>
      </c>
      <c r="J23" s="10">
        <v>0</v>
      </c>
      <c r="K23" s="10">
        <v>219</v>
      </c>
      <c r="L23" s="10">
        <v>1068.8000000000002</v>
      </c>
      <c r="M23" s="10">
        <v>0</v>
      </c>
      <c r="N23" s="11">
        <v>3389.1000000000004</v>
      </c>
    </row>
    <row r="24" spans="1:50" x14ac:dyDescent="0.35">
      <c r="A24" s="17">
        <v>12</v>
      </c>
      <c r="B24" s="17">
        <v>3</v>
      </c>
      <c r="C24" s="17">
        <v>2026</v>
      </c>
      <c r="D24" s="20"/>
      <c r="E24" s="24" t="s">
        <v>5</v>
      </c>
      <c r="F24" s="15">
        <v>120.10000000000001</v>
      </c>
      <c r="G24" s="10">
        <v>301.60000000000002</v>
      </c>
      <c r="H24" s="10">
        <v>215.10000000000002</v>
      </c>
      <c r="I24" s="10">
        <v>0</v>
      </c>
      <c r="J24" s="10">
        <v>99.8</v>
      </c>
      <c r="K24" s="10">
        <v>4858.0000000000009</v>
      </c>
      <c r="L24" s="10">
        <v>2544.4</v>
      </c>
      <c r="M24" s="10">
        <v>1.6</v>
      </c>
      <c r="N24" s="11">
        <v>8140.6000000000022</v>
      </c>
    </row>
    <row r="25" spans="1:50" x14ac:dyDescent="0.35">
      <c r="A25" s="17">
        <v>12</v>
      </c>
      <c r="B25" s="17">
        <v>3</v>
      </c>
      <c r="C25" s="17">
        <v>2026</v>
      </c>
      <c r="D25" s="20"/>
      <c r="E25" s="24" t="s">
        <v>6</v>
      </c>
      <c r="F25" s="15">
        <v>216.39999999999998</v>
      </c>
      <c r="G25" s="10">
        <v>9.1999999999999993</v>
      </c>
      <c r="H25" s="10">
        <v>248.69999999999996</v>
      </c>
      <c r="I25" s="10">
        <v>0</v>
      </c>
      <c r="J25" s="10">
        <v>117</v>
      </c>
      <c r="K25" s="10">
        <v>3891.9999999999995</v>
      </c>
      <c r="L25" s="10">
        <v>723.89999999999986</v>
      </c>
      <c r="M25" s="10">
        <v>25.9</v>
      </c>
      <c r="N25" s="11">
        <v>5233.0999999999985</v>
      </c>
    </row>
    <row r="26" spans="1:50" x14ac:dyDescent="0.35">
      <c r="A26" s="17">
        <v>12</v>
      </c>
      <c r="B26" s="17">
        <v>3</v>
      </c>
      <c r="C26" s="17">
        <v>2026</v>
      </c>
      <c r="D26" s="20"/>
      <c r="E26" s="24" t="s">
        <v>7</v>
      </c>
      <c r="F26" s="15">
        <v>220.3</v>
      </c>
      <c r="G26" s="10">
        <v>53.000000000000007</v>
      </c>
      <c r="H26" s="10">
        <v>140.30000000000001</v>
      </c>
      <c r="I26" s="10">
        <v>0</v>
      </c>
      <c r="J26" s="10">
        <v>0</v>
      </c>
      <c r="K26" s="10">
        <v>1278.9000000000005</v>
      </c>
      <c r="L26" s="10">
        <v>703.09999999999991</v>
      </c>
      <c r="M26" s="10">
        <v>26.099999999999998</v>
      </c>
      <c r="N26" s="11">
        <v>2421.7000000000003</v>
      </c>
      <c r="AJ26" s="45" t="s">
        <v>20</v>
      </c>
    </row>
    <row r="27" spans="1:50" x14ac:dyDescent="0.35">
      <c r="A27" s="17">
        <v>12</v>
      </c>
      <c r="B27" s="17">
        <v>3</v>
      </c>
      <c r="C27" s="17">
        <v>2026</v>
      </c>
      <c r="D27" s="20"/>
      <c r="E27" s="24" t="s">
        <v>8</v>
      </c>
      <c r="F27" s="15">
        <v>139.1</v>
      </c>
      <c r="G27" s="10">
        <v>39.5</v>
      </c>
      <c r="H27" s="10">
        <v>63.7</v>
      </c>
      <c r="I27" s="10">
        <v>0</v>
      </c>
      <c r="J27" s="10">
        <v>249.9</v>
      </c>
      <c r="K27" s="10">
        <v>775.2</v>
      </c>
      <c r="L27" s="10">
        <v>1053.6999999999998</v>
      </c>
      <c r="M27" s="10">
        <v>156.1</v>
      </c>
      <c r="N27" s="11">
        <v>2477.1999999999998</v>
      </c>
      <c r="AH27" t="s">
        <v>24</v>
      </c>
      <c r="AI27" t="s">
        <v>25</v>
      </c>
      <c r="AJ27" t="s">
        <v>1</v>
      </c>
      <c r="AK27" t="s">
        <v>5</v>
      </c>
      <c r="AL27" t="s">
        <v>0</v>
      </c>
      <c r="AM27" t="s">
        <v>3</v>
      </c>
      <c r="AN27" t="s">
        <v>9</v>
      </c>
      <c r="AO27" t="s">
        <v>4</v>
      </c>
      <c r="AP27" t="s">
        <v>8</v>
      </c>
      <c r="AQ27" t="s">
        <v>2</v>
      </c>
      <c r="AR27" t="s">
        <v>28</v>
      </c>
      <c r="AS27" t="s">
        <v>6</v>
      </c>
      <c r="AT27" t="s">
        <v>7</v>
      </c>
      <c r="AU27" t="s">
        <v>10</v>
      </c>
      <c r="AV27" t="s">
        <v>13</v>
      </c>
      <c r="AW27" t="s">
        <v>12</v>
      </c>
      <c r="AX27" t="s">
        <v>11</v>
      </c>
    </row>
    <row r="28" spans="1:50" x14ac:dyDescent="0.35">
      <c r="A28" s="17">
        <v>12</v>
      </c>
      <c r="B28" s="17">
        <v>3</v>
      </c>
      <c r="C28" s="17">
        <v>2026</v>
      </c>
      <c r="D28" s="20"/>
      <c r="E28" s="24" t="s">
        <v>9</v>
      </c>
      <c r="F28" s="15">
        <v>91.9</v>
      </c>
      <c r="G28" s="10">
        <v>414</v>
      </c>
      <c r="H28" s="10">
        <v>0</v>
      </c>
      <c r="I28" s="10">
        <v>0</v>
      </c>
      <c r="J28" s="10">
        <v>0</v>
      </c>
      <c r="K28" s="10">
        <v>1157.9000000000001</v>
      </c>
      <c r="L28" s="10">
        <v>1251.7000000000003</v>
      </c>
      <c r="M28" s="10">
        <v>0</v>
      </c>
      <c r="N28" s="11">
        <v>2915.5000000000005</v>
      </c>
      <c r="AH28">
        <v>11</v>
      </c>
      <c r="AI28">
        <v>2023</v>
      </c>
      <c r="AJ28" s="1">
        <f t="shared" ref="AJ28:AX37" si="28">+SUMIFS($L:$L,$C:$C,$AI28,$B:$B,$AH28,$E:$E,AJ$27)</f>
        <v>4414.2000000000016</v>
      </c>
      <c r="AK28" s="1">
        <f t="shared" si="28"/>
        <v>1147.1999999999998</v>
      </c>
      <c r="AL28" s="1">
        <f t="shared" si="28"/>
        <v>3341.1000000000008</v>
      </c>
      <c r="AM28" s="1">
        <f t="shared" si="28"/>
        <v>526.80000000000007</v>
      </c>
      <c r="AN28" s="1">
        <f t="shared" si="28"/>
        <v>901.59999999999991</v>
      </c>
      <c r="AO28" s="1">
        <f t="shared" si="28"/>
        <v>1452.3999999999999</v>
      </c>
      <c r="AP28" s="1">
        <f t="shared" si="28"/>
        <v>1164</v>
      </c>
      <c r="AQ28" s="1">
        <f t="shared" si="28"/>
        <v>990.30000000000007</v>
      </c>
      <c r="AR28" s="1">
        <f t="shared" si="28"/>
        <v>0</v>
      </c>
      <c r="AS28" s="1">
        <f t="shared" si="28"/>
        <v>374.9</v>
      </c>
      <c r="AT28" s="1">
        <f t="shared" si="28"/>
        <v>1235.5000000000002</v>
      </c>
      <c r="AU28" s="1">
        <f t="shared" si="28"/>
        <v>3.4000000000000004</v>
      </c>
      <c r="AV28" s="1">
        <f t="shared" si="28"/>
        <v>10.8</v>
      </c>
      <c r="AW28" s="1">
        <f t="shared" si="28"/>
        <v>130.79999999999998</v>
      </c>
      <c r="AX28" s="1">
        <f t="shared" si="28"/>
        <v>683.9</v>
      </c>
    </row>
    <row r="29" spans="1:50" x14ac:dyDescent="0.35">
      <c r="A29" s="17">
        <v>12</v>
      </c>
      <c r="B29" s="17">
        <v>3</v>
      </c>
      <c r="C29" s="17">
        <v>2026</v>
      </c>
      <c r="D29" s="20"/>
      <c r="E29" s="24" t="s">
        <v>10</v>
      </c>
      <c r="F29" s="15">
        <v>2.2000000000000002</v>
      </c>
      <c r="G29" s="10">
        <v>0</v>
      </c>
      <c r="H29" s="10">
        <v>46.5</v>
      </c>
      <c r="I29" s="10">
        <v>0</v>
      </c>
      <c r="J29" s="10">
        <v>320.10000000000002</v>
      </c>
      <c r="K29" s="10">
        <v>3007.0000000000009</v>
      </c>
      <c r="L29" s="10">
        <v>459.79999999999995</v>
      </c>
      <c r="M29" s="10">
        <v>1.8</v>
      </c>
      <c r="N29" s="11">
        <v>3837.4000000000015</v>
      </c>
      <c r="AH29">
        <v>2</v>
      </c>
      <c r="AI29">
        <v>2024</v>
      </c>
      <c r="AJ29" s="1">
        <f t="shared" si="28"/>
        <v>4414.2000000000016</v>
      </c>
      <c r="AK29" s="1">
        <f t="shared" si="28"/>
        <v>1730.9</v>
      </c>
      <c r="AL29" s="1">
        <f t="shared" si="28"/>
        <v>2924.1000000000004</v>
      </c>
      <c r="AM29" s="1">
        <f t="shared" si="28"/>
        <v>636.70000000000005</v>
      </c>
      <c r="AN29" s="1">
        <f t="shared" si="28"/>
        <v>949.7</v>
      </c>
      <c r="AO29" s="1">
        <f t="shared" si="28"/>
        <v>1452.4999999999998</v>
      </c>
      <c r="AP29" s="1">
        <f t="shared" si="28"/>
        <v>1218.5</v>
      </c>
      <c r="AQ29" s="1">
        <f t="shared" si="28"/>
        <v>990.30000000000007</v>
      </c>
      <c r="AR29" s="1">
        <f t="shared" si="28"/>
        <v>0</v>
      </c>
      <c r="AS29" s="1">
        <f t="shared" si="28"/>
        <v>511.9</v>
      </c>
      <c r="AT29" s="1">
        <f t="shared" si="28"/>
        <v>1190.7000000000003</v>
      </c>
      <c r="AU29" s="1">
        <f t="shared" si="28"/>
        <v>96.9</v>
      </c>
      <c r="AV29" s="1">
        <f t="shared" si="28"/>
        <v>10.8</v>
      </c>
      <c r="AW29" s="1">
        <f t="shared" si="28"/>
        <v>42.2</v>
      </c>
      <c r="AX29" s="1">
        <f t="shared" si="28"/>
        <v>666.3</v>
      </c>
    </row>
    <row r="30" spans="1:50" x14ac:dyDescent="0.35">
      <c r="A30" s="17">
        <v>12</v>
      </c>
      <c r="B30" s="17">
        <v>3</v>
      </c>
      <c r="C30" s="17">
        <v>2026</v>
      </c>
      <c r="D30" s="20"/>
      <c r="E30" s="24" t="s">
        <v>11</v>
      </c>
      <c r="F30" s="15">
        <v>22.8</v>
      </c>
      <c r="G30" s="10">
        <v>0</v>
      </c>
      <c r="H30" s="10">
        <v>0</v>
      </c>
      <c r="I30" s="10">
        <v>0</v>
      </c>
      <c r="J30" s="10">
        <v>0</v>
      </c>
      <c r="K30" s="10">
        <v>254.60000000000002</v>
      </c>
      <c r="L30" s="10">
        <v>0</v>
      </c>
      <c r="M30" s="10">
        <v>0</v>
      </c>
      <c r="N30" s="11">
        <v>277.40000000000003</v>
      </c>
      <c r="AH30">
        <v>4</v>
      </c>
      <c r="AI30">
        <v>2024</v>
      </c>
      <c r="AJ30" s="1">
        <f t="shared" si="28"/>
        <v>4412.9000000000015</v>
      </c>
      <c r="AK30" s="1">
        <f t="shared" si="28"/>
        <v>1937.2000000000005</v>
      </c>
      <c r="AL30" s="1">
        <f t="shared" si="28"/>
        <v>3011.8</v>
      </c>
      <c r="AM30" s="1">
        <f t="shared" si="28"/>
        <v>636.70000000000005</v>
      </c>
      <c r="AN30" s="1">
        <f t="shared" si="28"/>
        <v>949.7</v>
      </c>
      <c r="AO30" s="1">
        <f t="shared" si="28"/>
        <v>1452.4999999999998</v>
      </c>
      <c r="AP30" s="1">
        <f t="shared" si="28"/>
        <v>1218.5</v>
      </c>
      <c r="AQ30" s="1">
        <f t="shared" si="28"/>
        <v>990.30000000000007</v>
      </c>
      <c r="AR30" s="1">
        <f t="shared" si="28"/>
        <v>0</v>
      </c>
      <c r="AS30" s="1">
        <f t="shared" si="28"/>
        <v>511.9</v>
      </c>
      <c r="AT30" s="1">
        <f t="shared" si="28"/>
        <v>1190.7000000000003</v>
      </c>
      <c r="AU30" s="1">
        <f t="shared" si="28"/>
        <v>96.9</v>
      </c>
      <c r="AV30" s="1">
        <f t="shared" si="28"/>
        <v>10.8</v>
      </c>
      <c r="AW30" s="1">
        <f t="shared" si="28"/>
        <v>2.6</v>
      </c>
      <c r="AX30" s="1">
        <f t="shared" si="28"/>
        <v>666.3</v>
      </c>
    </row>
    <row r="31" spans="1:50" x14ac:dyDescent="0.35">
      <c r="A31" s="17">
        <v>12</v>
      </c>
      <c r="B31" s="17">
        <v>3</v>
      </c>
      <c r="C31" s="17">
        <v>2026</v>
      </c>
      <c r="D31" s="20"/>
      <c r="E31" s="24" t="s">
        <v>12</v>
      </c>
      <c r="F31" s="15">
        <v>604.90000000000009</v>
      </c>
      <c r="G31" s="10">
        <v>1267.9000000000001</v>
      </c>
      <c r="H31" s="10">
        <v>58.800000000000004</v>
      </c>
      <c r="I31" s="10">
        <v>0</v>
      </c>
      <c r="J31" s="10">
        <v>0</v>
      </c>
      <c r="K31" s="10">
        <v>8.1</v>
      </c>
      <c r="L31" s="10">
        <v>31.400000000000002</v>
      </c>
      <c r="M31" s="10">
        <v>65</v>
      </c>
      <c r="N31" s="11">
        <v>2036.1000000000001</v>
      </c>
      <c r="AH31">
        <v>5</v>
      </c>
      <c r="AI31">
        <v>2024</v>
      </c>
      <c r="AJ31" s="1">
        <f t="shared" si="28"/>
        <v>4412.2000000000016</v>
      </c>
      <c r="AK31" s="1">
        <f t="shared" si="28"/>
        <v>1937.2000000000005</v>
      </c>
      <c r="AL31" s="1">
        <f t="shared" si="28"/>
        <v>3011.8</v>
      </c>
      <c r="AM31" s="1">
        <f t="shared" si="28"/>
        <v>636.70000000000005</v>
      </c>
      <c r="AN31" s="1">
        <f t="shared" si="28"/>
        <v>730.1</v>
      </c>
      <c r="AO31" s="1">
        <f t="shared" si="28"/>
        <v>1452.4999999999998</v>
      </c>
      <c r="AP31" s="1">
        <f t="shared" si="28"/>
        <v>1218.5</v>
      </c>
      <c r="AQ31" s="1">
        <f t="shared" si="28"/>
        <v>1209.8999999999999</v>
      </c>
      <c r="AR31" s="1">
        <f t="shared" si="28"/>
        <v>16</v>
      </c>
      <c r="AS31" s="1">
        <f t="shared" si="28"/>
        <v>511.89999999999992</v>
      </c>
      <c r="AT31" s="1">
        <f t="shared" si="28"/>
        <v>1190.7000000000003</v>
      </c>
      <c r="AU31" s="1">
        <f t="shared" si="28"/>
        <v>96.9</v>
      </c>
      <c r="AV31" s="1">
        <f t="shared" si="28"/>
        <v>10.8</v>
      </c>
      <c r="AW31" s="1">
        <f t="shared" si="28"/>
        <v>2.6</v>
      </c>
      <c r="AX31" s="1">
        <f t="shared" si="28"/>
        <v>656.3</v>
      </c>
    </row>
    <row r="32" spans="1:50" x14ac:dyDescent="0.35">
      <c r="A32" s="17">
        <v>12</v>
      </c>
      <c r="B32" s="17">
        <v>3</v>
      </c>
      <c r="C32" s="17">
        <v>2026</v>
      </c>
      <c r="D32" s="20"/>
      <c r="E32" s="24" t="s">
        <v>13</v>
      </c>
      <c r="F32" s="15">
        <v>0</v>
      </c>
      <c r="G32" s="10">
        <v>0</v>
      </c>
      <c r="H32" s="10">
        <v>13.9</v>
      </c>
      <c r="I32" s="10">
        <v>0</v>
      </c>
      <c r="J32" s="10">
        <v>0</v>
      </c>
      <c r="K32" s="10">
        <v>1244.5999999999999</v>
      </c>
      <c r="L32" s="10">
        <v>125.39999999999999</v>
      </c>
      <c r="M32" s="10">
        <v>18.600000000000001</v>
      </c>
      <c r="N32" s="11">
        <v>1402.5</v>
      </c>
      <c r="AH32">
        <v>7</v>
      </c>
      <c r="AI32">
        <v>2024</v>
      </c>
      <c r="AJ32" s="1">
        <f t="shared" si="28"/>
        <v>4376.2000000000016</v>
      </c>
      <c r="AK32" s="1">
        <f t="shared" si="28"/>
        <v>2413.2000000000003</v>
      </c>
      <c r="AL32" s="1">
        <f t="shared" si="28"/>
        <v>3039.3</v>
      </c>
      <c r="AM32" s="1">
        <f t="shared" si="28"/>
        <v>730.00000000000011</v>
      </c>
      <c r="AN32" s="1">
        <f t="shared" si="28"/>
        <v>730.1</v>
      </c>
      <c r="AO32" s="1">
        <f t="shared" si="28"/>
        <v>1452.4999999999998</v>
      </c>
      <c r="AP32" s="1">
        <f t="shared" si="28"/>
        <v>1220.1000000000001</v>
      </c>
      <c r="AQ32" s="1">
        <f t="shared" si="28"/>
        <v>1207.5999999999999</v>
      </c>
      <c r="AR32" s="1">
        <f t="shared" si="28"/>
        <v>0</v>
      </c>
      <c r="AS32" s="1">
        <f t="shared" si="28"/>
        <v>511.89999999999992</v>
      </c>
      <c r="AT32" s="1">
        <f t="shared" si="28"/>
        <v>1190.7000000000003</v>
      </c>
      <c r="AU32" s="1">
        <f t="shared" si="28"/>
        <v>96.9</v>
      </c>
      <c r="AV32" s="1">
        <f t="shared" si="28"/>
        <v>10.8</v>
      </c>
      <c r="AW32" s="1">
        <f t="shared" si="28"/>
        <v>2.6</v>
      </c>
      <c r="AX32" s="1">
        <f t="shared" si="28"/>
        <v>41.5</v>
      </c>
    </row>
    <row r="33" spans="1:50" x14ac:dyDescent="0.35">
      <c r="A33" s="17">
        <v>12</v>
      </c>
      <c r="B33" s="17">
        <v>3</v>
      </c>
      <c r="C33" s="17">
        <v>2026</v>
      </c>
      <c r="D33" s="20"/>
      <c r="E33" s="24" t="s">
        <v>28</v>
      </c>
      <c r="F33" s="15">
        <v>0</v>
      </c>
      <c r="G33" s="10">
        <v>0</v>
      </c>
      <c r="H33" s="10">
        <v>0</v>
      </c>
      <c r="I33" s="10">
        <v>0</v>
      </c>
      <c r="J33" s="10">
        <v>199.70000000000002</v>
      </c>
      <c r="K33" s="10">
        <v>1195.4000000000001</v>
      </c>
      <c r="L33" s="10">
        <v>849.9</v>
      </c>
      <c r="M33" s="10">
        <v>0</v>
      </c>
      <c r="N33" s="11">
        <v>2245</v>
      </c>
      <c r="AH33">
        <v>8</v>
      </c>
      <c r="AI33">
        <v>2024</v>
      </c>
      <c r="AJ33" s="1">
        <f t="shared" si="28"/>
        <v>4376.2000000000016</v>
      </c>
      <c r="AK33" s="1">
        <f t="shared" si="28"/>
        <v>2412.7000000000003</v>
      </c>
      <c r="AL33" s="1">
        <f t="shared" si="28"/>
        <v>3039.3</v>
      </c>
      <c r="AM33" s="1">
        <f t="shared" si="28"/>
        <v>775.00000000000011</v>
      </c>
      <c r="AN33" s="1">
        <f t="shared" si="28"/>
        <v>730.1</v>
      </c>
      <c r="AO33" s="1">
        <f t="shared" si="28"/>
        <v>1452.4999999999998</v>
      </c>
      <c r="AP33" s="1">
        <f t="shared" si="28"/>
        <v>1220.1000000000001</v>
      </c>
      <c r="AQ33" s="1">
        <f t="shared" si="28"/>
        <v>1207.5999999999999</v>
      </c>
      <c r="AR33" s="1">
        <f t="shared" si="28"/>
        <v>194.5</v>
      </c>
      <c r="AS33" s="1">
        <f t="shared" si="28"/>
        <v>511.89999999999992</v>
      </c>
      <c r="AT33" s="1">
        <f t="shared" si="28"/>
        <v>1190.7000000000003</v>
      </c>
      <c r="AU33" s="1">
        <f t="shared" si="28"/>
        <v>96.9</v>
      </c>
      <c r="AV33" s="1">
        <f t="shared" si="28"/>
        <v>10.8</v>
      </c>
      <c r="AW33" s="1">
        <f t="shared" si="28"/>
        <v>2.6</v>
      </c>
      <c r="AX33" s="1">
        <f t="shared" si="28"/>
        <v>0</v>
      </c>
    </row>
    <row r="34" spans="1:50" x14ac:dyDescent="0.35">
      <c r="A34" s="18">
        <v>12</v>
      </c>
      <c r="B34" s="18">
        <v>3</v>
      </c>
      <c r="C34" s="18">
        <v>2026</v>
      </c>
      <c r="D34" s="21"/>
      <c r="E34" s="25" t="s">
        <v>22</v>
      </c>
      <c r="F34" s="16">
        <v>0</v>
      </c>
      <c r="G34" s="12">
        <v>843.3</v>
      </c>
      <c r="H34" s="12">
        <v>0</v>
      </c>
      <c r="I34" s="12">
        <v>0</v>
      </c>
      <c r="J34" s="12">
        <v>0</v>
      </c>
      <c r="K34" s="12">
        <v>283.39999999999998</v>
      </c>
      <c r="L34" s="12">
        <v>41.5</v>
      </c>
      <c r="M34" s="12">
        <v>0</v>
      </c>
      <c r="N34" s="13">
        <v>1168.1999999999998</v>
      </c>
      <c r="AH34">
        <v>9</v>
      </c>
      <c r="AI34">
        <v>2024</v>
      </c>
      <c r="AJ34" s="1">
        <f t="shared" si="28"/>
        <v>4376.2000000000016</v>
      </c>
      <c r="AK34" s="1">
        <f t="shared" si="28"/>
        <v>2458.2000000000003</v>
      </c>
      <c r="AL34" s="1">
        <f t="shared" si="28"/>
        <v>3039.3</v>
      </c>
      <c r="AM34" s="1">
        <f t="shared" si="28"/>
        <v>775.00000000000011</v>
      </c>
      <c r="AN34" s="1">
        <f t="shared" si="28"/>
        <v>730.1</v>
      </c>
      <c r="AO34" s="1">
        <f t="shared" si="28"/>
        <v>1452.4999999999998</v>
      </c>
      <c r="AP34" s="1">
        <f t="shared" si="28"/>
        <v>1219.3000000000002</v>
      </c>
      <c r="AQ34" s="1">
        <f t="shared" si="28"/>
        <v>1208.3999999999999</v>
      </c>
      <c r="AR34" s="1">
        <f t="shared" si="28"/>
        <v>194.5</v>
      </c>
      <c r="AS34" s="1">
        <f t="shared" si="28"/>
        <v>511.89999999999992</v>
      </c>
      <c r="AT34" s="1">
        <f t="shared" si="28"/>
        <v>1190.7000000000003</v>
      </c>
      <c r="AU34" s="1">
        <f t="shared" si="28"/>
        <v>96.9</v>
      </c>
      <c r="AV34" s="1">
        <f t="shared" si="28"/>
        <v>10.8</v>
      </c>
      <c r="AW34" s="1">
        <f t="shared" si="28"/>
        <v>2.6</v>
      </c>
      <c r="AX34" s="1">
        <f t="shared" si="28"/>
        <v>0</v>
      </c>
    </row>
    <row r="35" spans="1:50" x14ac:dyDescent="0.35">
      <c r="A35" s="19">
        <v>9</v>
      </c>
      <c r="B35" s="19">
        <v>2</v>
      </c>
      <c r="C35" s="19">
        <v>2026</v>
      </c>
      <c r="D35" s="20"/>
      <c r="E35" s="24" t="s">
        <v>0</v>
      </c>
      <c r="F35" s="15">
        <v>883.79999999999973</v>
      </c>
      <c r="G35" s="10">
        <v>161.89999999999998</v>
      </c>
      <c r="H35" s="10">
        <v>364.2000000000001</v>
      </c>
      <c r="I35" s="10">
        <v>0</v>
      </c>
      <c r="J35" s="10">
        <v>1010.2999999999998</v>
      </c>
      <c r="K35" s="10">
        <v>1873.8</v>
      </c>
      <c r="L35" s="10">
        <v>2539.1000000000004</v>
      </c>
      <c r="M35" s="10">
        <v>193.4</v>
      </c>
      <c r="N35" s="11">
        <v>7026.5</v>
      </c>
      <c r="AH35">
        <v>10</v>
      </c>
      <c r="AI35">
        <v>2024</v>
      </c>
      <c r="AJ35" s="1">
        <f t="shared" si="28"/>
        <v>4376.2000000000016</v>
      </c>
      <c r="AK35" s="1">
        <f t="shared" si="28"/>
        <v>2470.2000000000003</v>
      </c>
      <c r="AL35" s="1">
        <f t="shared" si="28"/>
        <v>3039.3</v>
      </c>
      <c r="AM35" s="1">
        <f t="shared" si="28"/>
        <v>853.00000000000011</v>
      </c>
      <c r="AN35" s="1">
        <f t="shared" si="28"/>
        <v>730.1</v>
      </c>
      <c r="AO35" s="1">
        <f t="shared" si="28"/>
        <v>1452.4999999999998</v>
      </c>
      <c r="AP35" s="1">
        <f t="shared" si="28"/>
        <v>1219.3000000000002</v>
      </c>
      <c r="AQ35" s="1">
        <f t="shared" si="28"/>
        <v>1208.3999999999999</v>
      </c>
      <c r="AR35" s="1">
        <f t="shared" si="28"/>
        <v>194.5</v>
      </c>
      <c r="AS35" s="1">
        <f t="shared" si="28"/>
        <v>511.89999999999992</v>
      </c>
      <c r="AT35" s="1">
        <f t="shared" si="28"/>
        <v>1190.7000000000003</v>
      </c>
      <c r="AU35" s="1">
        <f t="shared" si="28"/>
        <v>96.9</v>
      </c>
      <c r="AV35" s="1">
        <f t="shared" si="28"/>
        <v>10.8</v>
      </c>
      <c r="AW35" s="1">
        <f t="shared" si="28"/>
        <v>2.6</v>
      </c>
      <c r="AX35" s="1">
        <f t="shared" si="28"/>
        <v>0</v>
      </c>
    </row>
    <row r="36" spans="1:50" x14ac:dyDescent="0.35">
      <c r="A36" s="17">
        <v>9</v>
      </c>
      <c r="B36" s="17">
        <v>2</v>
      </c>
      <c r="C36" s="17">
        <v>2026</v>
      </c>
      <c r="D36" s="20"/>
      <c r="E36" s="24" t="s">
        <v>1</v>
      </c>
      <c r="F36" s="15">
        <v>115.69999999999999</v>
      </c>
      <c r="G36" s="10">
        <v>0</v>
      </c>
      <c r="H36" s="10">
        <v>242.8</v>
      </c>
      <c r="I36" s="10">
        <v>0</v>
      </c>
      <c r="J36" s="10">
        <v>0</v>
      </c>
      <c r="K36" s="10">
        <v>211.10000000000002</v>
      </c>
      <c r="L36" s="10">
        <v>3892</v>
      </c>
      <c r="M36" s="10">
        <v>0</v>
      </c>
      <c r="N36" s="11">
        <v>4461.6000000000004</v>
      </c>
      <c r="AH36">
        <v>11</v>
      </c>
      <c r="AI36">
        <v>2024</v>
      </c>
      <c r="AJ36" s="1">
        <f t="shared" si="28"/>
        <v>4376.2000000000007</v>
      </c>
      <c r="AK36" s="1">
        <f t="shared" si="28"/>
        <v>2521.1000000000004</v>
      </c>
      <c r="AL36" s="1">
        <f t="shared" si="28"/>
        <v>3042.3</v>
      </c>
      <c r="AM36" s="1">
        <f t="shared" si="28"/>
        <v>853.00000000000011</v>
      </c>
      <c r="AN36" s="1">
        <f t="shared" si="28"/>
        <v>730.1</v>
      </c>
      <c r="AO36" s="1">
        <f t="shared" si="28"/>
        <v>1452.4999999999998</v>
      </c>
      <c r="AP36" s="1">
        <f t="shared" si="28"/>
        <v>1252.9000000000001</v>
      </c>
      <c r="AQ36" s="1">
        <f t="shared" si="28"/>
        <v>1047.9000000000001</v>
      </c>
      <c r="AR36" s="1">
        <f t="shared" si="28"/>
        <v>339</v>
      </c>
      <c r="AS36" s="1">
        <f t="shared" si="28"/>
        <v>511.89999999999992</v>
      </c>
      <c r="AT36" s="1">
        <f t="shared" si="28"/>
        <v>1199.7000000000003</v>
      </c>
      <c r="AU36" s="1">
        <f t="shared" si="28"/>
        <v>134.49999999999997</v>
      </c>
      <c r="AV36" s="1">
        <f t="shared" si="28"/>
        <v>10.8</v>
      </c>
      <c r="AW36" s="1">
        <f t="shared" si="28"/>
        <v>2.6</v>
      </c>
      <c r="AX36" s="1">
        <f t="shared" si="28"/>
        <v>0</v>
      </c>
    </row>
    <row r="37" spans="1:50" x14ac:dyDescent="0.35">
      <c r="A37" s="17">
        <v>9</v>
      </c>
      <c r="B37" s="17">
        <v>2</v>
      </c>
      <c r="C37" s="17">
        <v>2026</v>
      </c>
      <c r="D37" s="20"/>
      <c r="E37" s="24" t="s">
        <v>2</v>
      </c>
      <c r="F37" s="15">
        <v>320.7</v>
      </c>
      <c r="G37" s="10">
        <v>12.1</v>
      </c>
      <c r="H37" s="10">
        <v>155.4</v>
      </c>
      <c r="I37" s="10">
        <v>0</v>
      </c>
      <c r="J37" s="10">
        <v>249.5</v>
      </c>
      <c r="K37" s="10">
        <v>4865.4000000000005</v>
      </c>
      <c r="L37" s="10">
        <v>960.80000000000007</v>
      </c>
      <c r="M37" s="10">
        <v>49.6</v>
      </c>
      <c r="N37" s="11">
        <v>6613.5000000000009</v>
      </c>
      <c r="AH37">
        <v>12</v>
      </c>
      <c r="AI37">
        <v>2024</v>
      </c>
      <c r="AJ37" s="1">
        <f t="shared" si="28"/>
        <v>4350.2000000000007</v>
      </c>
      <c r="AK37" s="1">
        <f t="shared" si="28"/>
        <v>2521.1000000000004</v>
      </c>
      <c r="AL37" s="1">
        <f t="shared" si="28"/>
        <v>3042.3</v>
      </c>
      <c r="AM37" s="1">
        <f t="shared" si="28"/>
        <v>853.00000000000011</v>
      </c>
      <c r="AN37" s="1">
        <f t="shared" si="28"/>
        <v>730.1</v>
      </c>
      <c r="AO37" s="1">
        <f t="shared" si="28"/>
        <v>1452.4999999999998</v>
      </c>
      <c r="AP37" s="1">
        <f t="shared" si="28"/>
        <v>1272.9000000000001</v>
      </c>
      <c r="AQ37" s="1">
        <f t="shared" si="28"/>
        <v>1047.9000000000001</v>
      </c>
      <c r="AR37" s="1">
        <f t="shared" si="28"/>
        <v>339</v>
      </c>
      <c r="AS37" s="1">
        <f t="shared" si="28"/>
        <v>511.89999999999992</v>
      </c>
      <c r="AT37" s="1">
        <f t="shared" si="28"/>
        <v>1199.7000000000003</v>
      </c>
      <c r="AU37" s="1">
        <f t="shared" si="28"/>
        <v>134.49999999999997</v>
      </c>
      <c r="AV37" s="1">
        <f t="shared" si="28"/>
        <v>10.8</v>
      </c>
      <c r="AW37" s="1">
        <f t="shared" si="28"/>
        <v>2.6</v>
      </c>
      <c r="AX37" s="1">
        <f t="shared" si="28"/>
        <v>0</v>
      </c>
    </row>
    <row r="38" spans="1:50" x14ac:dyDescent="0.35">
      <c r="A38" s="17">
        <v>9</v>
      </c>
      <c r="B38" s="17">
        <v>2</v>
      </c>
      <c r="C38" s="17">
        <v>2026</v>
      </c>
      <c r="D38" s="20"/>
      <c r="E38" s="24" t="s">
        <v>3</v>
      </c>
      <c r="F38" s="15">
        <v>494.70000000000005</v>
      </c>
      <c r="G38" s="10">
        <v>1849.8999999999999</v>
      </c>
      <c r="H38" s="10">
        <v>333.80000000000007</v>
      </c>
      <c r="I38" s="10">
        <v>360.4</v>
      </c>
      <c r="J38" s="10">
        <v>0</v>
      </c>
      <c r="K38" s="10">
        <v>821.09999999999991</v>
      </c>
      <c r="L38" s="10">
        <v>1433.8999999999999</v>
      </c>
      <c r="M38" s="10">
        <v>12.2</v>
      </c>
      <c r="N38" s="11">
        <v>5306</v>
      </c>
      <c r="AH38">
        <v>2</v>
      </c>
      <c r="AI38">
        <v>2025</v>
      </c>
      <c r="AJ38" s="1">
        <f t="shared" ref="AJ38:AX51" si="29">+SUMIFS($L:$L,$C:$C,$AI38,$B:$B,$AH38,$E:$E,AJ$27)</f>
        <v>8652.2000000000025</v>
      </c>
      <c r="AK38" s="1">
        <f t="shared" si="29"/>
        <v>5042.2000000000007</v>
      </c>
      <c r="AL38" s="1">
        <f t="shared" si="29"/>
        <v>5998.5</v>
      </c>
      <c r="AM38" s="1">
        <f t="shared" si="29"/>
        <v>2099.6</v>
      </c>
      <c r="AN38" s="1">
        <f t="shared" si="29"/>
        <v>1648.2000000000003</v>
      </c>
      <c r="AO38" s="1">
        <f t="shared" si="29"/>
        <v>2904.9999999999995</v>
      </c>
      <c r="AP38" s="1">
        <f t="shared" si="29"/>
        <v>2357.8000000000002</v>
      </c>
      <c r="AQ38" s="1">
        <f t="shared" si="29"/>
        <v>2203</v>
      </c>
      <c r="AR38" s="1">
        <f t="shared" si="29"/>
        <v>678</v>
      </c>
      <c r="AS38" s="1">
        <f t="shared" si="29"/>
        <v>1175.8</v>
      </c>
      <c r="AT38" s="1">
        <f t="shared" si="29"/>
        <v>2274.2000000000007</v>
      </c>
      <c r="AU38" s="1">
        <f t="shared" si="29"/>
        <v>268.99999999999994</v>
      </c>
      <c r="AV38" s="1">
        <f t="shared" si="29"/>
        <v>21.6</v>
      </c>
      <c r="AW38" s="1">
        <f t="shared" si="29"/>
        <v>5.2</v>
      </c>
      <c r="AX38" s="1">
        <f t="shared" si="29"/>
        <v>0</v>
      </c>
    </row>
    <row r="39" spans="1:50" x14ac:dyDescent="0.35">
      <c r="A39" s="17">
        <v>9</v>
      </c>
      <c r="B39" s="17">
        <v>2</v>
      </c>
      <c r="C39" s="17">
        <v>2026</v>
      </c>
      <c r="D39" s="20"/>
      <c r="E39" s="24" t="s">
        <v>4</v>
      </c>
      <c r="F39" s="15">
        <v>34.299999999999997</v>
      </c>
      <c r="G39" s="10">
        <v>1989.7</v>
      </c>
      <c r="H39" s="10">
        <v>77.3</v>
      </c>
      <c r="I39" s="10">
        <v>0</v>
      </c>
      <c r="J39" s="10">
        <v>0</v>
      </c>
      <c r="K39" s="10">
        <v>219</v>
      </c>
      <c r="L39" s="10">
        <v>1068.8000000000002</v>
      </c>
      <c r="M39" s="10">
        <v>0</v>
      </c>
      <c r="N39" s="11">
        <v>3389.1000000000004</v>
      </c>
      <c r="R39"/>
      <c r="S39"/>
      <c r="T39"/>
      <c r="U39"/>
      <c r="V39"/>
      <c r="W39"/>
      <c r="X39"/>
      <c r="AH39">
        <v>3</v>
      </c>
      <c r="AI39">
        <v>2025</v>
      </c>
      <c r="AJ39" s="1">
        <f t="shared" si="29"/>
        <v>4327.7000000000016</v>
      </c>
      <c r="AK39" s="1">
        <f t="shared" si="29"/>
        <v>2521.1000000000004</v>
      </c>
      <c r="AL39" s="1">
        <f t="shared" si="29"/>
        <v>3058.5</v>
      </c>
      <c r="AM39" s="1">
        <f t="shared" si="29"/>
        <v>1157.1999999999998</v>
      </c>
      <c r="AN39" s="1">
        <f t="shared" si="29"/>
        <v>824.10000000000014</v>
      </c>
      <c r="AO39" s="1">
        <f t="shared" si="29"/>
        <v>1452.4999999999998</v>
      </c>
      <c r="AP39" s="1">
        <f t="shared" si="29"/>
        <v>1178.9000000000001</v>
      </c>
      <c r="AQ39" s="1">
        <f t="shared" si="29"/>
        <v>1101.5</v>
      </c>
      <c r="AR39" s="1">
        <f t="shared" si="29"/>
        <v>339</v>
      </c>
      <c r="AS39" s="1">
        <f t="shared" si="29"/>
        <v>587.9</v>
      </c>
      <c r="AT39" s="1">
        <f t="shared" si="29"/>
        <v>1137.1000000000004</v>
      </c>
      <c r="AU39" s="1">
        <f t="shared" si="29"/>
        <v>134.49999999999997</v>
      </c>
      <c r="AV39" s="1">
        <f t="shared" si="29"/>
        <v>10.8</v>
      </c>
      <c r="AW39" s="1">
        <f t="shared" si="29"/>
        <v>2.6</v>
      </c>
      <c r="AX39" s="1">
        <f t="shared" si="29"/>
        <v>0</v>
      </c>
    </row>
    <row r="40" spans="1:50" x14ac:dyDescent="0.35">
      <c r="A40" s="17">
        <v>9</v>
      </c>
      <c r="B40" s="17">
        <v>2</v>
      </c>
      <c r="C40" s="17">
        <v>2026</v>
      </c>
      <c r="D40" s="20"/>
      <c r="E40" s="24" t="s">
        <v>5</v>
      </c>
      <c r="F40" s="15">
        <v>194</v>
      </c>
      <c r="G40" s="10">
        <v>301.60000000000002</v>
      </c>
      <c r="H40" s="10">
        <v>215.10000000000002</v>
      </c>
      <c r="I40" s="10">
        <v>0</v>
      </c>
      <c r="J40" s="10">
        <v>99.8</v>
      </c>
      <c r="K40" s="10">
        <v>4771.0000000000009</v>
      </c>
      <c r="L40" s="10">
        <v>2503.5000000000005</v>
      </c>
      <c r="M40" s="10">
        <v>1.6</v>
      </c>
      <c r="N40" s="11">
        <v>8086.6000000000022</v>
      </c>
      <c r="R40"/>
      <c r="S40"/>
      <c r="T40"/>
      <c r="U40"/>
      <c r="V40"/>
      <c r="W40"/>
      <c r="X40"/>
      <c r="AH40">
        <v>4</v>
      </c>
      <c r="AI40">
        <v>2025</v>
      </c>
      <c r="AJ40" s="1">
        <f t="shared" si="29"/>
        <v>4327.7000000000016</v>
      </c>
      <c r="AK40" s="1">
        <f t="shared" si="29"/>
        <v>2519.3000000000006</v>
      </c>
      <c r="AL40" s="1">
        <f t="shared" si="29"/>
        <v>2708.8000000000006</v>
      </c>
      <c r="AM40" s="1">
        <f t="shared" si="29"/>
        <v>1156.6999999999998</v>
      </c>
      <c r="AN40" s="1">
        <f t="shared" si="29"/>
        <v>824.10000000000014</v>
      </c>
      <c r="AO40" s="1">
        <f t="shared" si="29"/>
        <v>1452.4999999999998</v>
      </c>
      <c r="AP40" s="1">
        <f t="shared" si="29"/>
        <v>1180.5</v>
      </c>
      <c r="AQ40" s="1">
        <f t="shared" si="29"/>
        <v>1101.5</v>
      </c>
      <c r="AR40" s="1">
        <f t="shared" si="29"/>
        <v>339</v>
      </c>
      <c r="AS40" s="1">
        <f t="shared" si="29"/>
        <v>587.9</v>
      </c>
      <c r="AT40" s="1">
        <f t="shared" si="29"/>
        <v>1137.1000000000004</v>
      </c>
      <c r="AU40" s="1">
        <f t="shared" si="29"/>
        <v>134.49999999999997</v>
      </c>
      <c r="AV40" s="1">
        <f t="shared" si="29"/>
        <v>10.8</v>
      </c>
      <c r="AW40" s="1">
        <f t="shared" si="29"/>
        <v>2.6</v>
      </c>
      <c r="AX40" s="1">
        <f t="shared" si="29"/>
        <v>0</v>
      </c>
    </row>
    <row r="41" spans="1:50" x14ac:dyDescent="0.35">
      <c r="A41" s="17">
        <v>9</v>
      </c>
      <c r="B41" s="17">
        <v>2</v>
      </c>
      <c r="C41" s="17">
        <v>2026</v>
      </c>
      <c r="D41" s="20"/>
      <c r="E41" s="24" t="s">
        <v>6</v>
      </c>
      <c r="F41" s="15">
        <v>216.39999999999998</v>
      </c>
      <c r="G41" s="10">
        <v>9.1999999999999993</v>
      </c>
      <c r="H41" s="10">
        <v>248.69999999999996</v>
      </c>
      <c r="I41" s="10">
        <v>0</v>
      </c>
      <c r="J41" s="10">
        <v>117</v>
      </c>
      <c r="K41" s="10">
        <v>3772.1000000000004</v>
      </c>
      <c r="L41" s="10">
        <v>723.89999999999986</v>
      </c>
      <c r="M41" s="10">
        <v>25.9</v>
      </c>
      <c r="N41" s="11">
        <v>5113.2</v>
      </c>
      <c r="R41"/>
      <c r="S41"/>
      <c r="T41"/>
      <c r="U41"/>
      <c r="V41"/>
      <c r="W41"/>
      <c r="X41"/>
      <c r="AH41">
        <v>5</v>
      </c>
      <c r="AI41">
        <v>2025</v>
      </c>
      <c r="AJ41" s="1">
        <f t="shared" si="29"/>
        <v>4327.7000000000016</v>
      </c>
      <c r="AK41" s="1">
        <f t="shared" si="29"/>
        <v>2540.3000000000006</v>
      </c>
      <c r="AL41" s="1">
        <f t="shared" si="29"/>
        <v>2719.8000000000006</v>
      </c>
      <c r="AM41" s="1">
        <f t="shared" si="29"/>
        <v>1171.0999999999999</v>
      </c>
      <c r="AN41" s="1">
        <f t="shared" si="29"/>
        <v>824.10000000000014</v>
      </c>
      <c r="AO41" s="1">
        <f t="shared" si="29"/>
        <v>1431.4999999999998</v>
      </c>
      <c r="AP41" s="1">
        <f t="shared" si="29"/>
        <v>1229.3000000000002</v>
      </c>
      <c r="AQ41" s="1">
        <f t="shared" si="29"/>
        <v>1101.5</v>
      </c>
      <c r="AR41" s="1">
        <f t="shared" si="29"/>
        <v>339</v>
      </c>
      <c r="AS41" s="1">
        <f t="shared" si="29"/>
        <v>587.9</v>
      </c>
      <c r="AT41" s="1">
        <f t="shared" si="29"/>
        <v>1137.1000000000004</v>
      </c>
      <c r="AU41" s="1">
        <f t="shared" si="29"/>
        <v>134.49999999999997</v>
      </c>
      <c r="AV41" s="1">
        <f t="shared" si="29"/>
        <v>34.1</v>
      </c>
      <c r="AW41" s="1">
        <f t="shared" si="29"/>
        <v>2.6</v>
      </c>
      <c r="AX41" s="1">
        <f t="shared" si="29"/>
        <v>0</v>
      </c>
    </row>
    <row r="42" spans="1:50" x14ac:dyDescent="0.35">
      <c r="A42" s="17">
        <v>9</v>
      </c>
      <c r="B42" s="17">
        <v>2</v>
      </c>
      <c r="C42" s="17">
        <v>2026</v>
      </c>
      <c r="D42" s="20"/>
      <c r="E42" s="24" t="s">
        <v>7</v>
      </c>
      <c r="F42" s="15">
        <v>220.3</v>
      </c>
      <c r="G42" s="10">
        <v>53.000000000000007</v>
      </c>
      <c r="H42" s="10">
        <v>140.30000000000001</v>
      </c>
      <c r="I42" s="10">
        <v>0</v>
      </c>
      <c r="J42" s="10">
        <v>0</v>
      </c>
      <c r="K42" s="10">
        <v>1279.2000000000005</v>
      </c>
      <c r="L42" s="10">
        <v>703.09999999999991</v>
      </c>
      <c r="M42" s="10">
        <v>26.099999999999998</v>
      </c>
      <c r="N42" s="11">
        <v>2422.0000000000005</v>
      </c>
      <c r="R42"/>
      <c r="S42"/>
      <c r="T42"/>
      <c r="U42"/>
      <c r="V42"/>
      <c r="W42"/>
      <c r="X42"/>
      <c r="AH42">
        <v>6</v>
      </c>
      <c r="AI42">
        <v>2025</v>
      </c>
      <c r="AJ42" s="1">
        <f t="shared" si="29"/>
        <v>4327.7000000000016</v>
      </c>
      <c r="AK42" s="1">
        <f t="shared" si="29"/>
        <v>2585.3000000000006</v>
      </c>
      <c r="AL42" s="1">
        <f t="shared" si="29"/>
        <v>2746.2000000000007</v>
      </c>
      <c r="AM42" s="1">
        <f t="shared" si="29"/>
        <v>1210</v>
      </c>
      <c r="AN42" s="1">
        <f t="shared" si="29"/>
        <v>824.10000000000014</v>
      </c>
      <c r="AO42" s="1">
        <f t="shared" si="29"/>
        <v>1374.7</v>
      </c>
      <c r="AP42" s="1">
        <f t="shared" si="29"/>
        <v>1229.3000000000002</v>
      </c>
      <c r="AQ42" s="1">
        <f t="shared" si="29"/>
        <v>1101.5</v>
      </c>
      <c r="AR42" s="1">
        <f t="shared" si="29"/>
        <v>339</v>
      </c>
      <c r="AS42" s="1">
        <f t="shared" si="29"/>
        <v>587.9</v>
      </c>
      <c r="AT42" s="1">
        <f t="shared" si="29"/>
        <v>1137.1000000000004</v>
      </c>
      <c r="AU42" s="1">
        <f t="shared" si="29"/>
        <v>134.49999999999997</v>
      </c>
      <c r="AV42" s="1">
        <f t="shared" si="29"/>
        <v>82.1</v>
      </c>
      <c r="AW42" s="1">
        <f t="shared" si="29"/>
        <v>2.6</v>
      </c>
      <c r="AX42" s="1">
        <f t="shared" si="29"/>
        <v>0</v>
      </c>
    </row>
    <row r="43" spans="1:50" x14ac:dyDescent="0.35">
      <c r="A43" s="17">
        <v>9</v>
      </c>
      <c r="B43" s="17">
        <v>2</v>
      </c>
      <c r="C43" s="17">
        <v>2026</v>
      </c>
      <c r="D43" s="20"/>
      <c r="E43" s="24" t="s">
        <v>8</v>
      </c>
      <c r="F43" s="15">
        <v>139.1</v>
      </c>
      <c r="G43" s="10">
        <v>39.5</v>
      </c>
      <c r="H43" s="10">
        <v>63.7</v>
      </c>
      <c r="I43" s="10">
        <v>0</v>
      </c>
      <c r="J43" s="10">
        <v>249.9</v>
      </c>
      <c r="K43" s="10">
        <v>775.2</v>
      </c>
      <c r="L43" s="10">
        <v>1041.5</v>
      </c>
      <c r="M43" s="10">
        <v>156.1</v>
      </c>
      <c r="N43" s="11">
        <v>2465</v>
      </c>
      <c r="R43"/>
      <c r="S43"/>
      <c r="T43"/>
      <c r="U43"/>
      <c r="V43"/>
      <c r="W43"/>
      <c r="X43"/>
      <c r="AH43">
        <v>7</v>
      </c>
      <c r="AI43">
        <v>2025</v>
      </c>
      <c r="AJ43" s="1">
        <f t="shared" si="29"/>
        <v>4327.7000000000016</v>
      </c>
      <c r="AK43" s="1">
        <f t="shared" si="29"/>
        <v>2585.3000000000006</v>
      </c>
      <c r="AL43" s="1">
        <f t="shared" si="29"/>
        <v>2745.0000000000009</v>
      </c>
      <c r="AM43" s="1">
        <f t="shared" si="29"/>
        <v>1294.4000000000001</v>
      </c>
      <c r="AN43" s="1">
        <f t="shared" si="29"/>
        <v>823.10000000000014</v>
      </c>
      <c r="AO43" s="1">
        <f t="shared" si="29"/>
        <v>1374.7</v>
      </c>
      <c r="AP43" s="1">
        <f t="shared" si="29"/>
        <v>1229.3000000000002</v>
      </c>
      <c r="AQ43" s="1">
        <f t="shared" si="29"/>
        <v>1101.5</v>
      </c>
      <c r="AR43" s="1">
        <f t="shared" si="29"/>
        <v>160.5</v>
      </c>
      <c r="AS43" s="1">
        <f t="shared" si="29"/>
        <v>676.39999999999986</v>
      </c>
      <c r="AT43" s="1">
        <f t="shared" si="29"/>
        <v>1137.1000000000004</v>
      </c>
      <c r="AU43" s="1">
        <f t="shared" si="29"/>
        <v>224.49999999999997</v>
      </c>
      <c r="AV43" s="1">
        <f t="shared" si="29"/>
        <v>81.399999999999991</v>
      </c>
      <c r="AW43" s="1">
        <f t="shared" si="29"/>
        <v>2.6</v>
      </c>
      <c r="AX43" s="1">
        <f t="shared" si="29"/>
        <v>0</v>
      </c>
    </row>
    <row r="44" spans="1:50" x14ac:dyDescent="0.35">
      <c r="A44" s="17">
        <v>9</v>
      </c>
      <c r="B44" s="17">
        <v>2</v>
      </c>
      <c r="C44" s="17">
        <v>2026</v>
      </c>
      <c r="D44" s="20"/>
      <c r="E44" s="24" t="s">
        <v>9</v>
      </c>
      <c r="F44" s="15">
        <v>91.9</v>
      </c>
      <c r="G44" s="10">
        <v>414</v>
      </c>
      <c r="H44" s="10">
        <v>0</v>
      </c>
      <c r="I44" s="10">
        <v>0</v>
      </c>
      <c r="J44" s="10">
        <v>0</v>
      </c>
      <c r="K44" s="10">
        <v>1132.7</v>
      </c>
      <c r="L44" s="10">
        <v>1251.7000000000003</v>
      </c>
      <c r="M44" s="10">
        <v>0</v>
      </c>
      <c r="N44" s="11">
        <v>2890.3</v>
      </c>
      <c r="R44"/>
      <c r="S44"/>
      <c r="T44"/>
      <c r="U44"/>
      <c r="V44"/>
      <c r="W44"/>
      <c r="X44"/>
      <c r="AH44">
        <v>8</v>
      </c>
      <c r="AI44">
        <v>2025</v>
      </c>
      <c r="AJ44" s="1">
        <f t="shared" si="29"/>
        <v>4302.7000000000007</v>
      </c>
      <c r="AK44" s="1">
        <f t="shared" si="29"/>
        <v>2585.3000000000006</v>
      </c>
      <c r="AL44" s="1">
        <f t="shared" si="29"/>
        <v>2767.5000000000009</v>
      </c>
      <c r="AM44" s="1">
        <f t="shared" si="29"/>
        <v>1288</v>
      </c>
      <c r="AN44" s="1">
        <f t="shared" si="29"/>
        <v>821.7</v>
      </c>
      <c r="AO44" s="1">
        <f t="shared" si="29"/>
        <v>1411.1</v>
      </c>
      <c r="AP44" s="1">
        <f t="shared" si="29"/>
        <v>1269.3000000000002</v>
      </c>
      <c r="AQ44" s="1">
        <f t="shared" si="29"/>
        <v>1086.1000000000001</v>
      </c>
      <c r="AR44" s="1">
        <f t="shared" si="29"/>
        <v>160.5</v>
      </c>
      <c r="AS44" s="1">
        <f t="shared" si="29"/>
        <v>676.39999999999986</v>
      </c>
      <c r="AT44" s="1">
        <f t="shared" si="29"/>
        <v>1095.6000000000001</v>
      </c>
      <c r="AU44" s="1">
        <f t="shared" si="29"/>
        <v>224.49999999999997</v>
      </c>
      <c r="AV44" s="1">
        <f t="shared" si="29"/>
        <v>125.39999999999999</v>
      </c>
      <c r="AW44" s="1">
        <f t="shared" si="29"/>
        <v>2.6</v>
      </c>
      <c r="AX44" s="1">
        <f t="shared" si="29"/>
        <v>0</v>
      </c>
    </row>
    <row r="45" spans="1:50" x14ac:dyDescent="0.35">
      <c r="A45" s="17">
        <v>9</v>
      </c>
      <c r="B45" s="17">
        <v>2</v>
      </c>
      <c r="C45" s="17">
        <v>2026</v>
      </c>
      <c r="D45" s="20"/>
      <c r="E45" s="24" t="s">
        <v>10</v>
      </c>
      <c r="F45" s="15">
        <v>2.2000000000000002</v>
      </c>
      <c r="G45" s="10">
        <v>0</v>
      </c>
      <c r="H45" s="10">
        <v>46.5</v>
      </c>
      <c r="I45" s="10">
        <v>0</v>
      </c>
      <c r="J45" s="10">
        <v>320.10000000000002</v>
      </c>
      <c r="K45" s="10">
        <v>2809.7000000000003</v>
      </c>
      <c r="L45" s="10">
        <v>409.9</v>
      </c>
      <c r="M45" s="10">
        <v>1.8</v>
      </c>
      <c r="N45" s="11">
        <v>3590.2000000000007</v>
      </c>
      <c r="R45"/>
      <c r="S45"/>
      <c r="T45"/>
      <c r="U45"/>
      <c r="V45"/>
      <c r="W45"/>
      <c r="X45"/>
      <c r="AH45">
        <v>9</v>
      </c>
      <c r="AI45">
        <v>2025</v>
      </c>
      <c r="AJ45" s="1">
        <f t="shared" si="29"/>
        <v>4302.7000000000007</v>
      </c>
      <c r="AK45" s="1">
        <f t="shared" si="29"/>
        <v>2585.3000000000006</v>
      </c>
      <c r="AL45" s="1">
        <f t="shared" si="29"/>
        <v>2767.5000000000009</v>
      </c>
      <c r="AM45" s="1">
        <f t="shared" si="29"/>
        <v>1288</v>
      </c>
      <c r="AN45" s="1">
        <f t="shared" si="29"/>
        <v>821.7</v>
      </c>
      <c r="AO45" s="1">
        <f t="shared" si="29"/>
        <v>1411.1</v>
      </c>
      <c r="AP45" s="1">
        <f t="shared" si="29"/>
        <v>1269.3000000000002</v>
      </c>
      <c r="AQ45" s="1">
        <f t="shared" si="29"/>
        <v>1086.1000000000001</v>
      </c>
      <c r="AR45" s="1">
        <f t="shared" si="29"/>
        <v>160.5</v>
      </c>
      <c r="AS45" s="1">
        <f t="shared" si="29"/>
        <v>676.39999999999986</v>
      </c>
      <c r="AT45" s="1">
        <f t="shared" si="29"/>
        <v>1095.6000000000001</v>
      </c>
      <c r="AU45" s="1">
        <f t="shared" si="29"/>
        <v>224.49999999999997</v>
      </c>
      <c r="AV45" s="1">
        <f t="shared" si="29"/>
        <v>125.39999999999999</v>
      </c>
      <c r="AW45" s="1">
        <f t="shared" si="29"/>
        <v>2.6</v>
      </c>
      <c r="AX45" s="1">
        <f t="shared" si="29"/>
        <v>0</v>
      </c>
    </row>
    <row r="46" spans="1:50" x14ac:dyDescent="0.35">
      <c r="A46" s="17">
        <v>9</v>
      </c>
      <c r="B46" s="17">
        <v>2</v>
      </c>
      <c r="C46" s="17">
        <v>2026</v>
      </c>
      <c r="D46" s="20"/>
      <c r="E46" s="24" t="s">
        <v>11</v>
      </c>
      <c r="F46" s="15">
        <v>22.8</v>
      </c>
      <c r="G46" s="10">
        <v>0</v>
      </c>
      <c r="H46" s="10">
        <v>0</v>
      </c>
      <c r="I46" s="10">
        <v>0</v>
      </c>
      <c r="J46" s="10">
        <v>0</v>
      </c>
      <c r="K46" s="10">
        <v>254.70000000000002</v>
      </c>
      <c r="L46" s="10">
        <v>0</v>
      </c>
      <c r="M46" s="10">
        <v>0</v>
      </c>
      <c r="N46" s="11">
        <v>277.5</v>
      </c>
      <c r="R46"/>
      <c r="S46"/>
      <c r="T46"/>
      <c r="U46"/>
      <c r="V46"/>
      <c r="W46"/>
      <c r="X46"/>
      <c r="AH46">
        <v>10</v>
      </c>
      <c r="AI46">
        <v>2025</v>
      </c>
      <c r="AJ46" s="1">
        <f t="shared" si="29"/>
        <v>4302.7000000000007</v>
      </c>
      <c r="AK46" s="1">
        <f t="shared" si="29"/>
        <v>2585.3000000000006</v>
      </c>
      <c r="AL46" s="1">
        <f t="shared" si="29"/>
        <v>2767.5000000000009</v>
      </c>
      <c r="AM46" s="1">
        <f t="shared" si="29"/>
        <v>1433.8999999999999</v>
      </c>
      <c r="AN46" s="1">
        <f t="shared" si="29"/>
        <v>821.7</v>
      </c>
      <c r="AO46" s="1">
        <f t="shared" si="29"/>
        <v>1411.1</v>
      </c>
      <c r="AP46" s="1">
        <f t="shared" si="29"/>
        <v>1269.3000000000002</v>
      </c>
      <c r="AQ46" s="1">
        <f t="shared" si="29"/>
        <v>1086.1000000000001</v>
      </c>
      <c r="AR46" s="1">
        <f t="shared" si="29"/>
        <v>160.5</v>
      </c>
      <c r="AS46" s="1">
        <f t="shared" si="29"/>
        <v>676.39999999999986</v>
      </c>
      <c r="AT46" s="1">
        <f t="shared" si="29"/>
        <v>1095.6000000000001</v>
      </c>
      <c r="AU46" s="1">
        <f t="shared" si="29"/>
        <v>224.49999999999997</v>
      </c>
      <c r="AV46" s="1">
        <f t="shared" si="29"/>
        <v>125.39999999999999</v>
      </c>
      <c r="AW46" s="1">
        <f t="shared" si="29"/>
        <v>2.6</v>
      </c>
      <c r="AX46" s="1">
        <f t="shared" si="29"/>
        <v>0</v>
      </c>
    </row>
    <row r="47" spans="1:50" x14ac:dyDescent="0.35">
      <c r="A47" s="17">
        <v>9</v>
      </c>
      <c r="B47" s="17">
        <v>2</v>
      </c>
      <c r="C47" s="17">
        <v>2026</v>
      </c>
      <c r="D47" s="20"/>
      <c r="E47" s="24" t="s">
        <v>12</v>
      </c>
      <c r="F47" s="15">
        <v>612.00000000000011</v>
      </c>
      <c r="G47" s="10">
        <v>1267.9000000000001</v>
      </c>
      <c r="H47" s="10">
        <v>58.800000000000004</v>
      </c>
      <c r="I47" s="10">
        <v>0</v>
      </c>
      <c r="J47" s="10">
        <v>0</v>
      </c>
      <c r="K47" s="10">
        <v>8.1</v>
      </c>
      <c r="L47" s="10">
        <v>31.400000000000002</v>
      </c>
      <c r="M47" s="10">
        <v>65</v>
      </c>
      <c r="N47" s="11">
        <v>2043.2</v>
      </c>
      <c r="R47"/>
      <c r="S47"/>
      <c r="T47"/>
      <c r="U47"/>
      <c r="V47"/>
      <c r="W47"/>
      <c r="X47"/>
      <c r="AH47">
        <v>11</v>
      </c>
      <c r="AI47">
        <v>2025</v>
      </c>
      <c r="AJ47" s="1">
        <f t="shared" si="29"/>
        <v>4344.300000000002</v>
      </c>
      <c r="AK47" s="1">
        <f t="shared" si="29"/>
        <v>2547.8000000000006</v>
      </c>
      <c r="AL47" s="1">
        <f t="shared" si="29"/>
        <v>2697.5000000000009</v>
      </c>
      <c r="AM47" s="1">
        <f t="shared" si="29"/>
        <v>1433.8999999999999</v>
      </c>
      <c r="AN47" s="1">
        <f t="shared" si="29"/>
        <v>821.7</v>
      </c>
      <c r="AO47" s="1">
        <f t="shared" si="29"/>
        <v>1411.1</v>
      </c>
      <c r="AP47" s="1">
        <f t="shared" si="29"/>
        <v>1268.3000000000002</v>
      </c>
      <c r="AQ47" s="1">
        <f t="shared" si="29"/>
        <v>1048.0999999999999</v>
      </c>
      <c r="AR47" s="1">
        <f t="shared" si="29"/>
        <v>160.5</v>
      </c>
      <c r="AS47" s="1">
        <f t="shared" si="29"/>
        <v>678.39999999999986</v>
      </c>
      <c r="AT47" s="1">
        <f t="shared" si="29"/>
        <v>1065.5999999999999</v>
      </c>
      <c r="AU47" s="1">
        <f t="shared" si="29"/>
        <v>224.49999999999997</v>
      </c>
      <c r="AV47" s="1">
        <f t="shared" si="29"/>
        <v>125.39999999999999</v>
      </c>
      <c r="AW47" s="1">
        <f t="shared" si="29"/>
        <v>2.6</v>
      </c>
      <c r="AX47" s="1">
        <f t="shared" si="29"/>
        <v>0</v>
      </c>
    </row>
    <row r="48" spans="1:50" x14ac:dyDescent="0.35">
      <c r="A48" s="17">
        <v>9</v>
      </c>
      <c r="B48" s="17">
        <v>2</v>
      </c>
      <c r="C48" s="17">
        <v>2026</v>
      </c>
      <c r="D48" s="20"/>
      <c r="E48" s="24" t="s">
        <v>13</v>
      </c>
      <c r="F48" s="15">
        <v>0</v>
      </c>
      <c r="G48" s="10">
        <v>0</v>
      </c>
      <c r="H48" s="10">
        <v>13.9</v>
      </c>
      <c r="I48" s="10">
        <v>0</v>
      </c>
      <c r="J48" s="10">
        <v>0</v>
      </c>
      <c r="K48" s="10">
        <v>1244.5999999999999</v>
      </c>
      <c r="L48" s="10">
        <v>125.39999999999999</v>
      </c>
      <c r="M48" s="10">
        <v>18.600000000000001</v>
      </c>
      <c r="N48" s="11">
        <v>1402.5</v>
      </c>
      <c r="R48"/>
      <c r="S48"/>
      <c r="T48"/>
      <c r="U48"/>
      <c r="V48"/>
      <c r="W48"/>
      <c r="X48"/>
      <c r="AH48">
        <v>12</v>
      </c>
      <c r="AI48">
        <v>2025</v>
      </c>
      <c r="AJ48" s="1">
        <f t="shared" si="29"/>
        <v>4344.300000000002</v>
      </c>
      <c r="AK48" s="1">
        <f t="shared" si="29"/>
        <v>2547.8000000000006</v>
      </c>
      <c r="AL48" s="1">
        <f t="shared" si="29"/>
        <v>2734.5000000000009</v>
      </c>
      <c r="AM48" s="1">
        <f t="shared" si="29"/>
        <v>1433.8999999999999</v>
      </c>
      <c r="AN48" s="1">
        <f t="shared" si="29"/>
        <v>822.59999999999991</v>
      </c>
      <c r="AO48" s="1">
        <f t="shared" si="29"/>
        <v>1407.8999999999999</v>
      </c>
      <c r="AP48" s="1">
        <f t="shared" si="29"/>
        <v>1324.9</v>
      </c>
      <c r="AQ48" s="1">
        <f t="shared" si="29"/>
        <v>1048.0999999999999</v>
      </c>
      <c r="AR48" s="1">
        <f t="shared" si="29"/>
        <v>410.4</v>
      </c>
      <c r="AS48" s="1">
        <f t="shared" si="29"/>
        <v>703.39999999999986</v>
      </c>
      <c r="AT48" s="1">
        <f t="shared" si="29"/>
        <v>693.19999999999993</v>
      </c>
      <c r="AU48" s="1">
        <f t="shared" si="29"/>
        <v>332</v>
      </c>
      <c r="AV48" s="1">
        <f t="shared" si="29"/>
        <v>125.39999999999999</v>
      </c>
      <c r="AW48" s="1">
        <f t="shared" si="29"/>
        <v>31.400000000000002</v>
      </c>
      <c r="AX48" s="1">
        <f t="shared" si="29"/>
        <v>0</v>
      </c>
    </row>
    <row r="49" spans="1:50" x14ac:dyDescent="0.35">
      <c r="A49" s="17">
        <v>9</v>
      </c>
      <c r="B49" s="17">
        <v>2</v>
      </c>
      <c r="C49" s="17">
        <v>2026</v>
      </c>
      <c r="D49" s="20"/>
      <c r="E49" s="24" t="s">
        <v>28</v>
      </c>
      <c r="F49" s="15">
        <v>0</v>
      </c>
      <c r="G49" s="10">
        <v>0</v>
      </c>
      <c r="H49" s="10">
        <v>0</v>
      </c>
      <c r="I49" s="10">
        <v>0</v>
      </c>
      <c r="J49" s="10">
        <v>199.70000000000002</v>
      </c>
      <c r="K49" s="10">
        <v>1296.9000000000001</v>
      </c>
      <c r="L49" s="10">
        <v>849.9</v>
      </c>
      <c r="M49" s="10">
        <v>0</v>
      </c>
      <c r="N49" s="11">
        <v>2346.5</v>
      </c>
      <c r="R49"/>
      <c r="S49"/>
      <c r="T49"/>
      <c r="U49"/>
      <c r="V49"/>
      <c r="W49"/>
      <c r="X49"/>
      <c r="AH49">
        <v>1</v>
      </c>
      <c r="AI49">
        <v>2026</v>
      </c>
      <c r="AJ49" s="1">
        <f t="shared" si="29"/>
        <v>4344.300000000002</v>
      </c>
      <c r="AK49" s="1">
        <f t="shared" si="29"/>
        <v>2547.8000000000006</v>
      </c>
      <c r="AL49" s="1">
        <f t="shared" si="29"/>
        <v>2736.5000000000009</v>
      </c>
      <c r="AM49" s="1">
        <f t="shared" si="29"/>
        <v>1433.8999999999999</v>
      </c>
      <c r="AN49" s="1">
        <f t="shared" si="29"/>
        <v>822.59999999999991</v>
      </c>
      <c r="AO49" s="1">
        <f t="shared" si="29"/>
        <v>1407.8999999999999</v>
      </c>
      <c r="AP49" s="1">
        <f t="shared" si="29"/>
        <v>1388.7</v>
      </c>
      <c r="AQ49" s="1">
        <f t="shared" si="29"/>
        <v>1048.0999999999999</v>
      </c>
      <c r="AR49" s="1">
        <f t="shared" si="29"/>
        <v>410.4</v>
      </c>
      <c r="AS49" s="1">
        <f t="shared" si="29"/>
        <v>703.39999999999986</v>
      </c>
      <c r="AT49" s="1">
        <f t="shared" si="29"/>
        <v>693.19999999999993</v>
      </c>
      <c r="AU49" s="1">
        <f t="shared" si="29"/>
        <v>332</v>
      </c>
      <c r="AV49" s="1">
        <f t="shared" si="29"/>
        <v>125.39999999999999</v>
      </c>
      <c r="AW49" s="1">
        <f t="shared" si="29"/>
        <v>31.400000000000002</v>
      </c>
      <c r="AX49" s="1">
        <f t="shared" si="29"/>
        <v>0</v>
      </c>
    </row>
    <row r="50" spans="1:50" x14ac:dyDescent="0.35">
      <c r="A50" s="18">
        <v>9</v>
      </c>
      <c r="B50" s="18">
        <v>2</v>
      </c>
      <c r="C50" s="18">
        <v>2026</v>
      </c>
      <c r="D50" s="21"/>
      <c r="E50" s="25" t="s">
        <v>22</v>
      </c>
      <c r="F50" s="16">
        <v>0</v>
      </c>
      <c r="G50" s="12">
        <v>843.3</v>
      </c>
      <c r="H50" s="12">
        <v>0</v>
      </c>
      <c r="I50" s="12">
        <v>0</v>
      </c>
      <c r="J50" s="12">
        <v>0</v>
      </c>
      <c r="K50" s="12">
        <v>283.39999999999998</v>
      </c>
      <c r="L50" s="12">
        <v>41.5</v>
      </c>
      <c r="M50" s="12">
        <v>0</v>
      </c>
      <c r="N50" s="13">
        <v>1168.1999999999998</v>
      </c>
      <c r="R50"/>
      <c r="S50"/>
      <c r="T50"/>
      <c r="U50"/>
      <c r="V50"/>
      <c r="W50"/>
      <c r="X50"/>
      <c r="AH50">
        <v>2</v>
      </c>
      <c r="AI50">
        <v>2026</v>
      </c>
      <c r="AJ50" s="1">
        <f t="shared" si="29"/>
        <v>3892</v>
      </c>
      <c r="AK50" s="1">
        <f t="shared" si="29"/>
        <v>2503.5000000000005</v>
      </c>
      <c r="AL50" s="1">
        <f t="shared" si="29"/>
        <v>2539.1000000000004</v>
      </c>
      <c r="AM50" s="1">
        <f t="shared" si="29"/>
        <v>1433.8999999999999</v>
      </c>
      <c r="AN50" s="1">
        <f t="shared" si="29"/>
        <v>1251.7000000000003</v>
      </c>
      <c r="AO50" s="1">
        <f t="shared" si="29"/>
        <v>1068.8000000000002</v>
      </c>
      <c r="AP50" s="1">
        <f t="shared" si="29"/>
        <v>1041.5</v>
      </c>
      <c r="AQ50" s="1">
        <f t="shared" si="29"/>
        <v>960.80000000000007</v>
      </c>
      <c r="AR50" s="1">
        <f t="shared" si="29"/>
        <v>849.9</v>
      </c>
      <c r="AS50" s="1">
        <f t="shared" si="29"/>
        <v>723.89999999999986</v>
      </c>
      <c r="AT50" s="1">
        <f t="shared" si="29"/>
        <v>703.09999999999991</v>
      </c>
      <c r="AU50" s="1">
        <f t="shared" si="29"/>
        <v>409.9</v>
      </c>
      <c r="AV50" s="1">
        <f t="shared" si="29"/>
        <v>125.39999999999999</v>
      </c>
      <c r="AW50" s="1">
        <f t="shared" si="29"/>
        <v>31.400000000000002</v>
      </c>
      <c r="AX50" s="1">
        <f t="shared" si="29"/>
        <v>0</v>
      </c>
    </row>
    <row r="51" spans="1:50" x14ac:dyDescent="0.35">
      <c r="A51" s="17">
        <v>12</v>
      </c>
      <c r="B51" s="17">
        <v>1</v>
      </c>
      <c r="C51" s="17">
        <v>2026</v>
      </c>
      <c r="D51" s="20"/>
      <c r="E51" s="24" t="s">
        <v>0</v>
      </c>
      <c r="F51" s="15">
        <v>883.79999999999973</v>
      </c>
      <c r="G51" s="10">
        <v>161.89999999999998</v>
      </c>
      <c r="H51" s="10">
        <v>364.2000000000001</v>
      </c>
      <c r="I51" s="10">
        <v>0</v>
      </c>
      <c r="J51" s="10">
        <v>1010.2999999999998</v>
      </c>
      <c r="K51" s="10">
        <v>1873.8</v>
      </c>
      <c r="L51" s="10">
        <v>2736.5000000000009</v>
      </c>
      <c r="M51" s="10">
        <v>193.4</v>
      </c>
      <c r="N51" s="11">
        <v>7223.9000000000005</v>
      </c>
      <c r="R51"/>
      <c r="S51"/>
      <c r="T51"/>
      <c r="U51"/>
      <c r="V51"/>
      <c r="W51"/>
      <c r="X51"/>
      <c r="AH51">
        <v>3</v>
      </c>
      <c r="AI51">
        <v>2026</v>
      </c>
      <c r="AJ51" s="1">
        <f t="shared" si="29"/>
        <v>3863.2</v>
      </c>
      <c r="AK51" s="1">
        <f t="shared" si="29"/>
        <v>2544.4</v>
      </c>
      <c r="AL51" s="1">
        <f t="shared" si="29"/>
        <v>2542.2000000000007</v>
      </c>
      <c r="AM51" s="1">
        <f t="shared" si="29"/>
        <v>1278.7</v>
      </c>
      <c r="AN51" s="1">
        <f t="shared" si="29"/>
        <v>1251.7000000000003</v>
      </c>
      <c r="AO51" s="1">
        <f t="shared" si="29"/>
        <v>1068.8000000000002</v>
      </c>
      <c r="AP51" s="1">
        <f t="shared" si="29"/>
        <v>1053.6999999999998</v>
      </c>
      <c r="AQ51" s="1">
        <f t="shared" si="29"/>
        <v>960.80000000000007</v>
      </c>
      <c r="AR51" s="1">
        <f t="shared" si="29"/>
        <v>849.9</v>
      </c>
      <c r="AS51" s="1">
        <f t="shared" si="29"/>
        <v>723.89999999999986</v>
      </c>
      <c r="AT51" s="1">
        <f t="shared" si="29"/>
        <v>703.09999999999991</v>
      </c>
      <c r="AU51" s="1">
        <f t="shared" si="29"/>
        <v>459.79999999999995</v>
      </c>
      <c r="AV51" s="1">
        <f t="shared" si="29"/>
        <v>125.39999999999999</v>
      </c>
      <c r="AW51" s="1">
        <f t="shared" si="29"/>
        <v>31.400000000000002</v>
      </c>
      <c r="AX51" s="1">
        <f t="shared" si="29"/>
        <v>0</v>
      </c>
    </row>
    <row r="52" spans="1:50" x14ac:dyDescent="0.35">
      <c r="A52" s="17">
        <v>12</v>
      </c>
      <c r="B52" s="17">
        <v>1</v>
      </c>
      <c r="C52" s="17">
        <v>2026</v>
      </c>
      <c r="D52" s="20"/>
      <c r="E52" s="24" t="s">
        <v>1</v>
      </c>
      <c r="F52" s="15">
        <v>115.69999999999999</v>
      </c>
      <c r="G52" s="10">
        <v>0</v>
      </c>
      <c r="H52" s="10">
        <v>242.8</v>
      </c>
      <c r="I52" s="10">
        <v>0</v>
      </c>
      <c r="J52" s="10">
        <v>0</v>
      </c>
      <c r="K52" s="10">
        <v>211.10000000000002</v>
      </c>
      <c r="L52" s="10">
        <v>4344.300000000002</v>
      </c>
      <c r="M52" s="10">
        <v>0</v>
      </c>
      <c r="N52" s="11">
        <v>4913.9000000000024</v>
      </c>
      <c r="R52"/>
      <c r="S52"/>
      <c r="T52"/>
      <c r="U52"/>
      <c r="V52"/>
      <c r="W52"/>
      <c r="X52"/>
    </row>
    <row r="53" spans="1:50" x14ac:dyDescent="0.35">
      <c r="A53" s="17">
        <v>12</v>
      </c>
      <c r="B53" s="17">
        <v>1</v>
      </c>
      <c r="C53" s="17">
        <v>2026</v>
      </c>
      <c r="D53" s="20"/>
      <c r="E53" s="24" t="s">
        <v>2</v>
      </c>
      <c r="F53" s="15">
        <v>427.4</v>
      </c>
      <c r="G53" s="10">
        <v>12.1</v>
      </c>
      <c r="H53" s="10">
        <v>155.4</v>
      </c>
      <c r="I53" s="10">
        <v>0</v>
      </c>
      <c r="J53" s="10">
        <v>249.5</v>
      </c>
      <c r="K53" s="10">
        <v>4590.6000000000022</v>
      </c>
      <c r="L53" s="10">
        <v>1048.0999999999999</v>
      </c>
      <c r="M53" s="10">
        <v>49.6</v>
      </c>
      <c r="N53" s="11">
        <v>6532.7000000000025</v>
      </c>
      <c r="R53"/>
      <c r="S53"/>
      <c r="T53"/>
      <c r="U53"/>
      <c r="V53"/>
      <c r="W53"/>
      <c r="X53"/>
    </row>
    <row r="54" spans="1:50" x14ac:dyDescent="0.35">
      <c r="A54" s="17">
        <v>12</v>
      </c>
      <c r="B54" s="17">
        <v>1</v>
      </c>
      <c r="C54" s="17">
        <v>2026</v>
      </c>
      <c r="D54" s="20"/>
      <c r="E54" s="24" t="s">
        <v>3</v>
      </c>
      <c r="F54" s="15">
        <v>494.70000000000005</v>
      </c>
      <c r="G54" s="10">
        <v>1849.8999999999999</v>
      </c>
      <c r="H54" s="10">
        <v>333.80000000000007</v>
      </c>
      <c r="I54" s="10">
        <v>360.4</v>
      </c>
      <c r="J54" s="10">
        <v>0</v>
      </c>
      <c r="K54" s="10">
        <v>746.90000000000009</v>
      </c>
      <c r="L54" s="10">
        <v>1433.8999999999999</v>
      </c>
      <c r="M54" s="10">
        <v>12.2</v>
      </c>
      <c r="N54" s="11">
        <v>5231.8</v>
      </c>
    </row>
    <row r="55" spans="1:50" x14ac:dyDescent="0.35">
      <c r="A55" s="17">
        <v>12</v>
      </c>
      <c r="B55" s="17">
        <v>1</v>
      </c>
      <c r="C55" s="17">
        <v>2026</v>
      </c>
      <c r="D55" s="20"/>
      <c r="E55" s="24" t="s">
        <v>4</v>
      </c>
      <c r="F55" s="15">
        <v>34.299999999999997</v>
      </c>
      <c r="G55" s="10">
        <v>1989.7</v>
      </c>
      <c r="H55" s="10">
        <v>77.3</v>
      </c>
      <c r="I55" s="10">
        <v>0</v>
      </c>
      <c r="J55" s="10">
        <v>0</v>
      </c>
      <c r="K55" s="10">
        <v>177</v>
      </c>
      <c r="L55" s="10">
        <v>1407.8999999999999</v>
      </c>
      <c r="M55" s="10">
        <v>0</v>
      </c>
      <c r="N55" s="11">
        <v>3686.2</v>
      </c>
    </row>
    <row r="56" spans="1:50" x14ac:dyDescent="0.35">
      <c r="A56" s="17">
        <v>12</v>
      </c>
      <c r="B56" s="17">
        <v>1</v>
      </c>
      <c r="C56" s="17">
        <v>2026</v>
      </c>
      <c r="D56" s="20"/>
      <c r="E56" s="24" t="s">
        <v>5</v>
      </c>
      <c r="F56" s="15">
        <v>194</v>
      </c>
      <c r="G56" s="10">
        <v>301.60000000000002</v>
      </c>
      <c r="H56" s="10">
        <v>215.10000000000002</v>
      </c>
      <c r="I56" s="10">
        <v>0</v>
      </c>
      <c r="J56" s="10">
        <v>99.8</v>
      </c>
      <c r="K56" s="10">
        <v>4684.9000000000015</v>
      </c>
      <c r="L56" s="10">
        <v>2547.8000000000006</v>
      </c>
      <c r="M56" s="10">
        <v>1.6</v>
      </c>
      <c r="N56" s="11">
        <v>8044.8000000000029</v>
      </c>
    </row>
    <row r="57" spans="1:50" x14ac:dyDescent="0.35">
      <c r="A57" s="17">
        <v>12</v>
      </c>
      <c r="B57" s="17">
        <v>1</v>
      </c>
      <c r="C57" s="17">
        <v>2026</v>
      </c>
      <c r="D57" s="20"/>
      <c r="E57" s="24" t="s">
        <v>6</v>
      </c>
      <c r="F57" s="15">
        <v>216.39999999999998</v>
      </c>
      <c r="G57" s="10">
        <v>9.1999999999999993</v>
      </c>
      <c r="H57" s="10">
        <v>248.69999999999996</v>
      </c>
      <c r="I57" s="10">
        <v>0</v>
      </c>
      <c r="J57" s="10">
        <v>366.9</v>
      </c>
      <c r="K57" s="10">
        <v>3650.2999999999993</v>
      </c>
      <c r="L57" s="10">
        <v>703.39999999999986</v>
      </c>
      <c r="M57" s="10">
        <v>25.9</v>
      </c>
      <c r="N57" s="11">
        <v>5220.7999999999984</v>
      </c>
    </row>
    <row r="58" spans="1:50" x14ac:dyDescent="0.35">
      <c r="A58" s="17">
        <v>12</v>
      </c>
      <c r="B58" s="17">
        <v>1</v>
      </c>
      <c r="C58" s="17">
        <v>2026</v>
      </c>
      <c r="D58" s="20"/>
      <c r="E58" s="24" t="s">
        <v>7</v>
      </c>
      <c r="F58" s="15">
        <v>220.3</v>
      </c>
      <c r="G58" s="10">
        <v>53.000000000000007</v>
      </c>
      <c r="H58" s="10">
        <v>140.30000000000001</v>
      </c>
      <c r="I58" s="10">
        <v>0</v>
      </c>
      <c r="J58" s="10">
        <v>0</v>
      </c>
      <c r="K58" s="10">
        <v>1175.6000000000004</v>
      </c>
      <c r="L58" s="10">
        <v>693.19999999999993</v>
      </c>
      <c r="M58" s="10">
        <v>26.099999999999998</v>
      </c>
      <c r="N58" s="11">
        <v>2308.5</v>
      </c>
    </row>
    <row r="59" spans="1:50" x14ac:dyDescent="0.35">
      <c r="A59" s="17">
        <v>12</v>
      </c>
      <c r="B59" s="17">
        <v>1</v>
      </c>
      <c r="C59" s="17">
        <v>2026</v>
      </c>
      <c r="D59" s="20"/>
      <c r="E59" s="24" t="s">
        <v>8</v>
      </c>
      <c r="F59" s="15">
        <v>139.1</v>
      </c>
      <c r="G59" s="10">
        <v>39.5</v>
      </c>
      <c r="H59" s="10">
        <v>63.7</v>
      </c>
      <c r="I59" s="10">
        <v>0</v>
      </c>
      <c r="J59" s="10">
        <v>0</v>
      </c>
      <c r="K59" s="10">
        <v>792.40000000000009</v>
      </c>
      <c r="L59" s="10">
        <v>1388.7</v>
      </c>
      <c r="M59" s="10">
        <v>156.1</v>
      </c>
      <c r="N59" s="11">
        <v>2579.5</v>
      </c>
    </row>
    <row r="60" spans="1:50" x14ac:dyDescent="0.35">
      <c r="A60" s="17">
        <v>12</v>
      </c>
      <c r="B60" s="17">
        <v>1</v>
      </c>
      <c r="C60" s="17">
        <v>2026</v>
      </c>
      <c r="D60" s="20"/>
      <c r="E60" s="24" t="s">
        <v>9</v>
      </c>
      <c r="F60" s="15">
        <v>91.9</v>
      </c>
      <c r="G60" s="10">
        <v>414</v>
      </c>
      <c r="H60" s="10">
        <v>0</v>
      </c>
      <c r="I60" s="10">
        <v>0</v>
      </c>
      <c r="J60" s="10">
        <v>0</v>
      </c>
      <c r="K60" s="10">
        <v>1102.6999999999998</v>
      </c>
      <c r="L60" s="10">
        <v>822.59999999999991</v>
      </c>
      <c r="M60" s="10">
        <v>0</v>
      </c>
      <c r="N60" s="11">
        <v>2431.1999999999998</v>
      </c>
    </row>
    <row r="61" spans="1:50" x14ac:dyDescent="0.35">
      <c r="A61" s="17">
        <v>12</v>
      </c>
      <c r="B61" s="17">
        <v>1</v>
      </c>
      <c r="C61" s="17">
        <v>2026</v>
      </c>
      <c r="D61" s="20"/>
      <c r="E61" s="24" t="s">
        <v>10</v>
      </c>
      <c r="F61" s="15">
        <v>2.2000000000000002</v>
      </c>
      <c r="G61" s="10">
        <v>0</v>
      </c>
      <c r="H61" s="10">
        <v>46.599999999999994</v>
      </c>
      <c r="I61" s="10">
        <v>0</v>
      </c>
      <c r="J61" s="10">
        <v>320.10000000000002</v>
      </c>
      <c r="K61" s="10">
        <v>2612.2000000000003</v>
      </c>
      <c r="L61" s="10">
        <v>332</v>
      </c>
      <c r="M61" s="10">
        <v>1.8</v>
      </c>
      <c r="N61" s="11">
        <v>3314.9000000000005</v>
      </c>
    </row>
    <row r="62" spans="1:50" x14ac:dyDescent="0.35">
      <c r="A62" s="17">
        <v>12</v>
      </c>
      <c r="B62" s="17">
        <v>1</v>
      </c>
      <c r="C62" s="17">
        <v>2026</v>
      </c>
      <c r="D62" s="20"/>
      <c r="E62" s="24" t="s">
        <v>11</v>
      </c>
      <c r="F62" s="15">
        <v>22.8</v>
      </c>
      <c r="G62" s="10">
        <v>0</v>
      </c>
      <c r="H62" s="10">
        <v>0</v>
      </c>
      <c r="I62" s="10">
        <v>0</v>
      </c>
      <c r="J62" s="10">
        <v>0</v>
      </c>
      <c r="K62" s="10">
        <v>256.5</v>
      </c>
      <c r="L62" s="10">
        <v>0</v>
      </c>
      <c r="M62" s="10">
        <v>0</v>
      </c>
      <c r="N62" s="11">
        <v>279.3</v>
      </c>
    </row>
    <row r="63" spans="1:50" x14ac:dyDescent="0.35">
      <c r="A63" s="17">
        <v>12</v>
      </c>
      <c r="B63" s="17">
        <v>1</v>
      </c>
      <c r="C63" s="17">
        <v>2026</v>
      </c>
      <c r="D63" s="20"/>
      <c r="E63" s="24" t="s">
        <v>12</v>
      </c>
      <c r="F63" s="15">
        <v>621.80000000000007</v>
      </c>
      <c r="G63" s="10">
        <v>1267.9000000000001</v>
      </c>
      <c r="H63" s="10">
        <v>61.1</v>
      </c>
      <c r="I63" s="10">
        <v>0</v>
      </c>
      <c r="J63" s="10">
        <v>0</v>
      </c>
      <c r="K63" s="10">
        <v>8.1</v>
      </c>
      <c r="L63" s="10">
        <v>31.400000000000002</v>
      </c>
      <c r="M63" s="10">
        <v>65</v>
      </c>
      <c r="N63" s="11">
        <v>2055.3000000000002</v>
      </c>
    </row>
    <row r="64" spans="1:50" x14ac:dyDescent="0.35">
      <c r="A64" s="17">
        <v>12</v>
      </c>
      <c r="B64" s="17">
        <v>1</v>
      </c>
      <c r="C64" s="17">
        <v>2026</v>
      </c>
      <c r="D64" s="20"/>
      <c r="E64" s="24" t="s">
        <v>13</v>
      </c>
      <c r="F64" s="15">
        <v>0</v>
      </c>
      <c r="G64" s="10">
        <v>0</v>
      </c>
      <c r="H64" s="10">
        <v>13.9</v>
      </c>
      <c r="I64" s="10">
        <v>0</v>
      </c>
      <c r="J64" s="10">
        <v>0</v>
      </c>
      <c r="K64" s="10">
        <v>1216.5999999999999</v>
      </c>
      <c r="L64" s="10">
        <v>125.39999999999999</v>
      </c>
      <c r="M64" s="10">
        <v>18.600000000000001</v>
      </c>
      <c r="N64" s="11">
        <v>1374.5</v>
      </c>
    </row>
    <row r="65" spans="1:14" x14ac:dyDescent="0.35">
      <c r="A65" s="17">
        <v>12</v>
      </c>
      <c r="B65" s="17">
        <v>1</v>
      </c>
      <c r="C65" s="17">
        <v>2026</v>
      </c>
      <c r="D65" s="20"/>
      <c r="E65" s="24" t="s">
        <v>28</v>
      </c>
      <c r="F65" s="15">
        <v>0</v>
      </c>
      <c r="G65" s="10">
        <v>0</v>
      </c>
      <c r="H65" s="10">
        <v>0</v>
      </c>
      <c r="I65" s="10">
        <v>0</v>
      </c>
      <c r="J65" s="10">
        <v>199.70000000000002</v>
      </c>
      <c r="K65" s="10">
        <v>1416.9000000000005</v>
      </c>
      <c r="L65" s="10">
        <v>410.4</v>
      </c>
      <c r="M65" s="10">
        <v>0</v>
      </c>
      <c r="N65" s="11">
        <v>2027.0000000000005</v>
      </c>
    </row>
    <row r="66" spans="1:14" x14ac:dyDescent="0.35">
      <c r="A66" s="18">
        <v>12</v>
      </c>
      <c r="B66" s="18">
        <v>1</v>
      </c>
      <c r="C66" s="18">
        <v>2026</v>
      </c>
      <c r="D66" s="21"/>
      <c r="E66" s="25" t="s">
        <v>22</v>
      </c>
      <c r="F66" s="16">
        <v>0</v>
      </c>
      <c r="G66" s="12">
        <v>843.3</v>
      </c>
      <c r="H66" s="12">
        <v>0</v>
      </c>
      <c r="I66" s="12">
        <v>0</v>
      </c>
      <c r="J66" s="12">
        <v>0</v>
      </c>
      <c r="K66" s="12">
        <v>277.39999999999998</v>
      </c>
      <c r="L66" s="12">
        <v>41.5</v>
      </c>
      <c r="M66" s="12">
        <v>0</v>
      </c>
      <c r="N66" s="13">
        <v>1162.1999999999998</v>
      </c>
    </row>
    <row r="67" spans="1:14" x14ac:dyDescent="0.35">
      <c r="A67" s="17">
        <v>9</v>
      </c>
      <c r="B67" s="17">
        <v>12</v>
      </c>
      <c r="C67" s="17">
        <v>2025</v>
      </c>
      <c r="D67" s="20"/>
      <c r="E67" s="24" t="s">
        <v>0</v>
      </c>
      <c r="F67" s="15">
        <v>883.79999999999973</v>
      </c>
      <c r="G67" s="10">
        <v>161.89999999999998</v>
      </c>
      <c r="H67" s="10">
        <v>364.2000000000001</v>
      </c>
      <c r="I67" s="10">
        <v>0</v>
      </c>
      <c r="J67" s="10">
        <v>1010.2999999999998</v>
      </c>
      <c r="K67" s="10">
        <v>1873.8</v>
      </c>
      <c r="L67" s="10">
        <v>2734.5000000000009</v>
      </c>
      <c r="M67" s="10">
        <v>193.4</v>
      </c>
      <c r="N67" s="11">
        <v>7221.9000000000005</v>
      </c>
    </row>
    <row r="68" spans="1:14" x14ac:dyDescent="0.35">
      <c r="A68" s="17">
        <v>9</v>
      </c>
      <c r="B68" s="17">
        <v>12</v>
      </c>
      <c r="C68" s="17">
        <v>2025</v>
      </c>
      <c r="D68" s="20"/>
      <c r="E68" s="24" t="s">
        <v>1</v>
      </c>
      <c r="F68" s="15">
        <v>115.69999999999999</v>
      </c>
      <c r="G68" s="10">
        <v>0</v>
      </c>
      <c r="H68" s="10">
        <v>242.8</v>
      </c>
      <c r="I68" s="10">
        <v>0</v>
      </c>
      <c r="J68" s="10">
        <v>0</v>
      </c>
      <c r="K68" s="10">
        <v>211.10000000000002</v>
      </c>
      <c r="L68" s="10">
        <v>4344.300000000002</v>
      </c>
      <c r="M68" s="10">
        <v>0</v>
      </c>
      <c r="N68" s="11">
        <v>4913.9000000000024</v>
      </c>
    </row>
    <row r="69" spans="1:14" x14ac:dyDescent="0.35">
      <c r="A69" s="17">
        <v>9</v>
      </c>
      <c r="B69" s="17">
        <v>12</v>
      </c>
      <c r="C69" s="17">
        <v>2025</v>
      </c>
      <c r="D69" s="20"/>
      <c r="E69" s="24" t="s">
        <v>2</v>
      </c>
      <c r="F69" s="15">
        <v>427.4</v>
      </c>
      <c r="G69" s="10">
        <v>12.1</v>
      </c>
      <c r="H69" s="10">
        <v>155.4</v>
      </c>
      <c r="I69" s="10">
        <v>0</v>
      </c>
      <c r="J69" s="10">
        <v>249.5</v>
      </c>
      <c r="K69" s="10">
        <v>4576.6000000000022</v>
      </c>
      <c r="L69" s="10">
        <v>1048.0999999999999</v>
      </c>
      <c r="M69" s="10">
        <v>49.6</v>
      </c>
      <c r="N69" s="11">
        <v>6518.7000000000025</v>
      </c>
    </row>
    <row r="70" spans="1:14" x14ac:dyDescent="0.35">
      <c r="A70" s="17">
        <v>9</v>
      </c>
      <c r="B70" s="17">
        <v>12</v>
      </c>
      <c r="C70" s="17">
        <v>2025</v>
      </c>
      <c r="D70" s="20"/>
      <c r="E70" s="24" t="s">
        <v>3</v>
      </c>
      <c r="F70" s="15">
        <v>494.70000000000005</v>
      </c>
      <c r="G70" s="10">
        <v>1849.8999999999999</v>
      </c>
      <c r="H70" s="10">
        <v>333.80000000000007</v>
      </c>
      <c r="I70" s="10">
        <v>360.4</v>
      </c>
      <c r="J70" s="10">
        <v>0</v>
      </c>
      <c r="K70" s="10">
        <v>746.90000000000009</v>
      </c>
      <c r="L70" s="10">
        <v>1433.8999999999999</v>
      </c>
      <c r="M70" s="10">
        <v>12.2</v>
      </c>
      <c r="N70" s="11">
        <v>5231.8</v>
      </c>
    </row>
    <row r="71" spans="1:14" x14ac:dyDescent="0.35">
      <c r="A71" s="17">
        <v>9</v>
      </c>
      <c r="B71" s="17">
        <v>12</v>
      </c>
      <c r="C71" s="17">
        <v>2025</v>
      </c>
      <c r="D71" s="20"/>
      <c r="E71" s="24" t="s">
        <v>4</v>
      </c>
      <c r="F71" s="15">
        <v>34.299999999999997</v>
      </c>
      <c r="G71" s="10">
        <v>1989.7</v>
      </c>
      <c r="H71" s="10">
        <v>77.3</v>
      </c>
      <c r="I71" s="10">
        <v>0</v>
      </c>
      <c r="J71" s="10">
        <v>0</v>
      </c>
      <c r="K71" s="10">
        <v>177</v>
      </c>
      <c r="L71" s="10">
        <v>1407.8999999999999</v>
      </c>
      <c r="M71" s="10">
        <v>0</v>
      </c>
      <c r="N71" s="11">
        <v>3686.2</v>
      </c>
    </row>
    <row r="72" spans="1:14" x14ac:dyDescent="0.35">
      <c r="A72" s="17">
        <v>9</v>
      </c>
      <c r="B72" s="17">
        <v>12</v>
      </c>
      <c r="C72" s="17">
        <v>2025</v>
      </c>
      <c r="D72" s="20"/>
      <c r="E72" s="24" t="s">
        <v>5</v>
      </c>
      <c r="F72" s="15">
        <v>194</v>
      </c>
      <c r="G72" s="10">
        <v>301.60000000000002</v>
      </c>
      <c r="H72" s="10">
        <v>215.1</v>
      </c>
      <c r="I72" s="10">
        <v>0</v>
      </c>
      <c r="J72" s="10">
        <v>99.8</v>
      </c>
      <c r="K72" s="10">
        <v>4650.2000000000025</v>
      </c>
      <c r="L72" s="10">
        <v>2547.8000000000006</v>
      </c>
      <c r="M72" s="10">
        <v>1.6</v>
      </c>
      <c r="N72" s="11">
        <v>8010.100000000004</v>
      </c>
    </row>
    <row r="73" spans="1:14" x14ac:dyDescent="0.35">
      <c r="A73" s="17">
        <v>9</v>
      </c>
      <c r="B73" s="17">
        <v>12</v>
      </c>
      <c r="C73" s="17">
        <v>2025</v>
      </c>
      <c r="D73" s="20"/>
      <c r="E73" s="24" t="s">
        <v>6</v>
      </c>
      <c r="F73" s="15">
        <v>216.39999999999998</v>
      </c>
      <c r="G73" s="10">
        <v>9.1999999999999993</v>
      </c>
      <c r="H73" s="10">
        <v>248.69999999999996</v>
      </c>
      <c r="I73" s="10">
        <v>0</v>
      </c>
      <c r="J73" s="10">
        <v>366.9</v>
      </c>
      <c r="K73" s="10">
        <v>3450.2999999999997</v>
      </c>
      <c r="L73" s="10">
        <v>703.39999999999986</v>
      </c>
      <c r="M73" s="10">
        <v>25.9</v>
      </c>
      <c r="N73" s="11">
        <v>5020.7999999999993</v>
      </c>
    </row>
    <row r="74" spans="1:14" x14ac:dyDescent="0.35">
      <c r="A74" s="17">
        <v>9</v>
      </c>
      <c r="B74" s="17">
        <v>12</v>
      </c>
      <c r="C74" s="17">
        <v>2025</v>
      </c>
      <c r="D74" s="20"/>
      <c r="E74" s="24" t="s">
        <v>7</v>
      </c>
      <c r="F74" s="15">
        <v>220.3</v>
      </c>
      <c r="G74" s="10">
        <v>53.000000000000007</v>
      </c>
      <c r="H74" s="10">
        <v>140.30000000000001</v>
      </c>
      <c r="I74" s="10">
        <v>0</v>
      </c>
      <c r="J74" s="10">
        <v>0</v>
      </c>
      <c r="K74" s="10">
        <v>1175.6000000000004</v>
      </c>
      <c r="L74" s="10">
        <v>693.19999999999993</v>
      </c>
      <c r="M74" s="10">
        <v>26.099999999999998</v>
      </c>
      <c r="N74" s="11">
        <v>2308.5</v>
      </c>
    </row>
    <row r="75" spans="1:14" x14ac:dyDescent="0.35">
      <c r="A75" s="17">
        <v>9</v>
      </c>
      <c r="B75" s="17">
        <v>12</v>
      </c>
      <c r="C75" s="17">
        <v>2025</v>
      </c>
      <c r="D75" s="20"/>
      <c r="E75" s="24" t="s">
        <v>8</v>
      </c>
      <c r="F75" s="15">
        <v>139.1</v>
      </c>
      <c r="G75" s="10">
        <v>39.5</v>
      </c>
      <c r="H75" s="10">
        <v>63.7</v>
      </c>
      <c r="I75" s="10">
        <v>0</v>
      </c>
      <c r="J75" s="10">
        <v>0</v>
      </c>
      <c r="K75" s="10">
        <v>792.40000000000009</v>
      </c>
      <c r="L75" s="10">
        <v>1324.9</v>
      </c>
      <c r="M75" s="10">
        <v>156.1</v>
      </c>
      <c r="N75" s="11">
        <v>2515.7000000000003</v>
      </c>
    </row>
    <row r="76" spans="1:14" x14ac:dyDescent="0.35">
      <c r="A76" s="17">
        <v>9</v>
      </c>
      <c r="B76" s="17">
        <v>12</v>
      </c>
      <c r="C76" s="17">
        <v>2025</v>
      </c>
      <c r="D76" s="20"/>
      <c r="E76" s="24" t="s">
        <v>9</v>
      </c>
      <c r="F76" s="15">
        <v>91.9</v>
      </c>
      <c r="G76" s="10">
        <v>414</v>
      </c>
      <c r="H76" s="10">
        <v>0</v>
      </c>
      <c r="I76" s="10">
        <v>0</v>
      </c>
      <c r="J76" s="10">
        <v>0</v>
      </c>
      <c r="K76" s="10">
        <v>1102.6999999999998</v>
      </c>
      <c r="L76" s="10">
        <v>822.59999999999991</v>
      </c>
      <c r="M76" s="10">
        <v>0</v>
      </c>
      <c r="N76" s="11">
        <v>2431.1999999999998</v>
      </c>
    </row>
    <row r="77" spans="1:14" x14ac:dyDescent="0.35">
      <c r="A77" s="17">
        <v>9</v>
      </c>
      <c r="B77" s="17">
        <v>12</v>
      </c>
      <c r="C77" s="17">
        <v>2025</v>
      </c>
      <c r="D77" s="20"/>
      <c r="E77" s="24" t="s">
        <v>10</v>
      </c>
      <c r="F77" s="15">
        <v>2.2000000000000002</v>
      </c>
      <c r="G77" s="10">
        <v>0</v>
      </c>
      <c r="H77" s="10">
        <v>46.599999999999994</v>
      </c>
      <c r="I77" s="10">
        <v>0</v>
      </c>
      <c r="J77" s="10">
        <v>320.10000000000002</v>
      </c>
      <c r="K77" s="10">
        <v>2612.2000000000003</v>
      </c>
      <c r="L77" s="10">
        <v>332</v>
      </c>
      <c r="M77" s="10">
        <v>1.8</v>
      </c>
      <c r="N77" s="11">
        <v>3314.9000000000005</v>
      </c>
    </row>
    <row r="78" spans="1:14" x14ac:dyDescent="0.35">
      <c r="A78" s="17">
        <v>9</v>
      </c>
      <c r="B78" s="17">
        <v>12</v>
      </c>
      <c r="C78" s="17">
        <v>2025</v>
      </c>
      <c r="D78" s="20"/>
      <c r="E78" s="24" t="s">
        <v>11</v>
      </c>
      <c r="F78" s="15">
        <v>22.8</v>
      </c>
      <c r="G78" s="10">
        <v>0</v>
      </c>
      <c r="H78" s="10">
        <v>0</v>
      </c>
      <c r="I78" s="10">
        <v>0</v>
      </c>
      <c r="J78" s="10">
        <v>0</v>
      </c>
      <c r="K78" s="10">
        <v>256.5</v>
      </c>
      <c r="L78" s="10">
        <v>0</v>
      </c>
      <c r="M78" s="10">
        <v>0</v>
      </c>
      <c r="N78" s="11">
        <v>279.3</v>
      </c>
    </row>
    <row r="79" spans="1:14" x14ac:dyDescent="0.35">
      <c r="A79" s="17">
        <v>9</v>
      </c>
      <c r="B79" s="17">
        <v>12</v>
      </c>
      <c r="C79" s="17">
        <v>2025</v>
      </c>
      <c r="D79" s="20"/>
      <c r="E79" s="24" t="s">
        <v>12</v>
      </c>
      <c r="F79" s="15">
        <v>621.80000000000007</v>
      </c>
      <c r="G79" s="10">
        <v>1267.9000000000001</v>
      </c>
      <c r="H79" s="10">
        <v>61.1</v>
      </c>
      <c r="I79" s="10">
        <v>0</v>
      </c>
      <c r="J79" s="10">
        <v>0</v>
      </c>
      <c r="K79" s="10">
        <v>8.1</v>
      </c>
      <c r="L79" s="10">
        <v>31.400000000000002</v>
      </c>
      <c r="M79" s="10">
        <v>65</v>
      </c>
      <c r="N79" s="11">
        <v>2055.3000000000002</v>
      </c>
    </row>
    <row r="80" spans="1:14" x14ac:dyDescent="0.35">
      <c r="A80" s="17">
        <v>9</v>
      </c>
      <c r="B80" s="17">
        <v>12</v>
      </c>
      <c r="C80" s="17">
        <v>2025</v>
      </c>
      <c r="D80" s="20"/>
      <c r="E80" s="24" t="s">
        <v>13</v>
      </c>
      <c r="F80" s="15">
        <v>0</v>
      </c>
      <c r="G80" s="10">
        <v>0</v>
      </c>
      <c r="H80" s="10">
        <v>13.9</v>
      </c>
      <c r="I80" s="10">
        <v>0</v>
      </c>
      <c r="J80" s="10">
        <v>0</v>
      </c>
      <c r="K80" s="10">
        <v>1216.5999999999999</v>
      </c>
      <c r="L80" s="10">
        <v>125.39999999999999</v>
      </c>
      <c r="M80" s="10">
        <v>18.600000000000001</v>
      </c>
      <c r="N80" s="11">
        <v>1374.5</v>
      </c>
    </row>
    <row r="81" spans="1:26" x14ac:dyDescent="0.35">
      <c r="A81" s="18">
        <v>9</v>
      </c>
      <c r="B81" s="18">
        <v>12</v>
      </c>
      <c r="C81" s="18">
        <v>2025</v>
      </c>
      <c r="D81" s="21"/>
      <c r="E81" s="25" t="s">
        <v>28</v>
      </c>
      <c r="F81" s="16">
        <v>0</v>
      </c>
      <c r="G81" s="12">
        <v>0</v>
      </c>
      <c r="H81" s="12">
        <v>0</v>
      </c>
      <c r="I81" s="12">
        <v>0</v>
      </c>
      <c r="J81" s="12">
        <v>199.70000000000002</v>
      </c>
      <c r="K81" s="12">
        <v>1416.9000000000005</v>
      </c>
      <c r="L81" s="12">
        <v>410.4</v>
      </c>
      <c r="M81" s="12">
        <v>0</v>
      </c>
      <c r="N81" s="13">
        <v>2027.0000000000005</v>
      </c>
    </row>
    <row r="82" spans="1:26" x14ac:dyDescent="0.35">
      <c r="A82" s="17">
        <v>7</v>
      </c>
      <c r="B82" s="17">
        <v>11</v>
      </c>
      <c r="C82" s="17">
        <v>2025</v>
      </c>
      <c r="D82" s="20"/>
      <c r="E82" s="24" t="s">
        <v>0</v>
      </c>
      <c r="F82" s="15">
        <v>883.79999999999973</v>
      </c>
      <c r="G82" s="10">
        <v>161.89999999999998</v>
      </c>
      <c r="H82" s="10">
        <v>364.30000000000007</v>
      </c>
      <c r="I82" s="10">
        <v>0</v>
      </c>
      <c r="J82" s="10">
        <v>1010.2999999999998</v>
      </c>
      <c r="K82" s="10">
        <v>1794.3999999999996</v>
      </c>
      <c r="L82" s="10">
        <v>2697.5000000000009</v>
      </c>
      <c r="M82" s="10">
        <v>193.4</v>
      </c>
      <c r="N82" s="11">
        <v>7105.5999999999995</v>
      </c>
    </row>
    <row r="83" spans="1:26" x14ac:dyDescent="0.35">
      <c r="A83" s="17">
        <v>7</v>
      </c>
      <c r="B83" s="17">
        <v>11</v>
      </c>
      <c r="C83" s="17">
        <v>2025</v>
      </c>
      <c r="D83" s="20"/>
      <c r="E83" s="24" t="s">
        <v>1</v>
      </c>
      <c r="F83" s="15">
        <v>115.69999999999999</v>
      </c>
      <c r="G83" s="10">
        <v>0</v>
      </c>
      <c r="H83" s="10">
        <v>242.8</v>
      </c>
      <c r="I83" s="10">
        <v>0</v>
      </c>
      <c r="J83" s="10">
        <v>0</v>
      </c>
      <c r="K83" s="10">
        <v>211.10000000000002</v>
      </c>
      <c r="L83" s="10">
        <v>4344.300000000002</v>
      </c>
      <c r="M83" s="10">
        <v>0</v>
      </c>
      <c r="N83" s="11">
        <v>4913.9000000000024</v>
      </c>
    </row>
    <row r="84" spans="1:26" x14ac:dyDescent="0.35">
      <c r="A84" s="17">
        <v>7</v>
      </c>
      <c r="B84" s="17">
        <v>11</v>
      </c>
      <c r="C84" s="17">
        <v>2025</v>
      </c>
      <c r="D84" s="20"/>
      <c r="E84" s="24" t="s">
        <v>2</v>
      </c>
      <c r="F84" s="15">
        <v>427.4</v>
      </c>
      <c r="G84" s="10">
        <v>12.1</v>
      </c>
      <c r="H84" s="10">
        <v>142.40000000000003</v>
      </c>
      <c r="I84" s="10">
        <v>0</v>
      </c>
      <c r="J84" s="10">
        <v>249.5</v>
      </c>
      <c r="K84" s="10">
        <v>4600.2000000000016</v>
      </c>
      <c r="L84" s="10">
        <v>1048.0999999999999</v>
      </c>
      <c r="M84" s="10">
        <v>49.6</v>
      </c>
      <c r="N84" s="11">
        <v>6529.3000000000029</v>
      </c>
    </row>
    <row r="85" spans="1:26" x14ac:dyDescent="0.35">
      <c r="A85" s="17">
        <v>7</v>
      </c>
      <c r="B85" s="17">
        <v>11</v>
      </c>
      <c r="C85" s="17">
        <v>2025</v>
      </c>
      <c r="D85" s="20"/>
      <c r="E85" s="24" t="s">
        <v>3</v>
      </c>
      <c r="F85" s="15">
        <v>494.70000000000005</v>
      </c>
      <c r="G85" s="10">
        <v>1849.8999999999999</v>
      </c>
      <c r="H85" s="10">
        <v>333.80000000000007</v>
      </c>
      <c r="I85" s="10">
        <v>360.4</v>
      </c>
      <c r="J85" s="10">
        <v>0</v>
      </c>
      <c r="K85" s="10">
        <v>746.90000000000009</v>
      </c>
      <c r="L85" s="10">
        <v>1433.8999999999999</v>
      </c>
      <c r="M85" s="10">
        <v>12.2</v>
      </c>
      <c r="N85" s="11">
        <v>5231.8</v>
      </c>
    </row>
    <row r="86" spans="1:26" x14ac:dyDescent="0.35">
      <c r="A86" s="17">
        <v>7</v>
      </c>
      <c r="B86" s="17">
        <v>11</v>
      </c>
      <c r="C86" s="17">
        <v>2025</v>
      </c>
      <c r="D86" s="20"/>
      <c r="E86" s="24" t="s">
        <v>4</v>
      </c>
      <c r="F86" s="15">
        <v>34.299999999999997</v>
      </c>
      <c r="G86" s="10">
        <v>1989.7</v>
      </c>
      <c r="H86" s="10">
        <v>77.3</v>
      </c>
      <c r="I86" s="10">
        <v>0</v>
      </c>
      <c r="J86" s="10">
        <v>0</v>
      </c>
      <c r="K86" s="10">
        <v>177</v>
      </c>
      <c r="L86" s="10">
        <v>1411.1</v>
      </c>
      <c r="M86" s="10">
        <v>0</v>
      </c>
      <c r="N86" s="11">
        <v>3689.4</v>
      </c>
      <c r="R86" s="3">
        <f t="shared" ref="R86:Y86" si="30">+SUM(R88:R103)</f>
        <v>26175.500000000004</v>
      </c>
      <c r="S86" s="3">
        <f t="shared" si="30"/>
        <v>17498.500000000004</v>
      </c>
      <c r="T86" s="3">
        <f t="shared" si="30"/>
        <v>6942.0999999999995</v>
      </c>
      <c r="U86" s="3">
        <f t="shared" si="30"/>
        <v>3370.9999999999995</v>
      </c>
      <c r="V86" s="3">
        <f t="shared" si="30"/>
        <v>2246.2999999999997</v>
      </c>
      <c r="W86" s="3">
        <f t="shared" si="30"/>
        <v>1960.5000000000002</v>
      </c>
      <c r="X86" s="3">
        <f t="shared" si="30"/>
        <v>550.30000000000007</v>
      </c>
      <c r="Y86" s="3">
        <f t="shared" si="30"/>
        <v>360.4</v>
      </c>
      <c r="Z86" s="3">
        <f t="shared" ref="Z86" si="31">+SUM(Z88:Z103)</f>
        <v>59104.599999999991</v>
      </c>
    </row>
    <row r="87" spans="1:26" x14ac:dyDescent="0.35">
      <c r="A87" s="17">
        <v>7</v>
      </c>
      <c r="B87" s="17">
        <v>11</v>
      </c>
      <c r="C87" s="17">
        <v>2025</v>
      </c>
      <c r="D87" s="20"/>
      <c r="E87" s="24" t="s">
        <v>5</v>
      </c>
      <c r="F87" s="15">
        <v>194</v>
      </c>
      <c r="G87" s="10">
        <v>301.60000000000002</v>
      </c>
      <c r="H87" s="10">
        <v>215.1</v>
      </c>
      <c r="I87" s="10">
        <v>0</v>
      </c>
      <c r="J87" s="10">
        <v>99.8</v>
      </c>
      <c r="K87" s="10">
        <v>4379.7000000000016</v>
      </c>
      <c r="L87" s="10">
        <v>2547.8000000000006</v>
      </c>
      <c r="M87" s="10">
        <v>1.6</v>
      </c>
      <c r="N87" s="11">
        <v>7739.6000000000022</v>
      </c>
      <c r="Q87" t="s">
        <v>29</v>
      </c>
      <c r="R87" s="3" t="s">
        <v>19</v>
      </c>
      <c r="S87" s="3" t="s">
        <v>20</v>
      </c>
      <c r="T87" s="3" t="s">
        <v>15</v>
      </c>
      <c r="U87" s="3" t="s">
        <v>14</v>
      </c>
      <c r="V87" s="3" t="s">
        <v>18</v>
      </c>
      <c r="W87" s="3" t="s">
        <v>16</v>
      </c>
      <c r="X87" t="s">
        <v>21</v>
      </c>
      <c r="Y87" s="3" t="s">
        <v>17</v>
      </c>
      <c r="Z87" s="3" t="s">
        <v>22</v>
      </c>
    </row>
    <row r="88" spans="1:26" x14ac:dyDescent="0.35">
      <c r="A88" s="17">
        <v>7</v>
      </c>
      <c r="B88" s="17">
        <v>11</v>
      </c>
      <c r="C88" s="17">
        <v>2025</v>
      </c>
      <c r="D88" s="20"/>
      <c r="E88" s="24" t="s">
        <v>6</v>
      </c>
      <c r="F88" s="15">
        <v>216.39999999999998</v>
      </c>
      <c r="G88" s="10">
        <v>9.1999999999999993</v>
      </c>
      <c r="H88" s="10">
        <v>248.69999999999996</v>
      </c>
      <c r="I88" s="10">
        <v>0</v>
      </c>
      <c r="J88" s="10">
        <v>366.9</v>
      </c>
      <c r="K88" s="10">
        <v>3401.7999999999993</v>
      </c>
      <c r="L88" s="10">
        <v>678.39999999999986</v>
      </c>
      <c r="M88" s="10">
        <v>25.9</v>
      </c>
      <c r="N88" s="11">
        <v>4947.2999999999984</v>
      </c>
      <c r="Q88" t="s">
        <v>5</v>
      </c>
      <c r="R88" s="43">
        <f t="shared" ref="R88:Z97" si="32">+VLOOKUP($Q88,$E$19:$N$34,MATCH(R$87,$F$2:$N$2,0)+1,0)</f>
        <v>4858.0000000000009</v>
      </c>
      <c r="S88" s="43">
        <f t="shared" si="32"/>
        <v>2544.4</v>
      </c>
      <c r="T88" s="43">
        <f t="shared" si="32"/>
        <v>301.60000000000002</v>
      </c>
      <c r="U88" s="43">
        <f t="shared" si="32"/>
        <v>120.10000000000001</v>
      </c>
      <c r="V88" s="43">
        <f t="shared" si="32"/>
        <v>99.8</v>
      </c>
      <c r="W88" s="43">
        <f t="shared" si="32"/>
        <v>215.10000000000002</v>
      </c>
      <c r="X88" s="44">
        <f t="shared" si="32"/>
        <v>1.6</v>
      </c>
      <c r="Y88" s="43">
        <f t="shared" si="32"/>
        <v>0</v>
      </c>
      <c r="Z88" s="44">
        <f t="shared" si="32"/>
        <v>8140.6000000000022</v>
      </c>
    </row>
    <row r="89" spans="1:26" x14ac:dyDescent="0.35">
      <c r="A89" s="17">
        <v>7</v>
      </c>
      <c r="B89" s="17">
        <v>11</v>
      </c>
      <c r="C89" s="17">
        <v>2025</v>
      </c>
      <c r="D89" s="20"/>
      <c r="E89" s="24" t="s">
        <v>7</v>
      </c>
      <c r="F89" s="15">
        <v>226.6</v>
      </c>
      <c r="G89" s="10">
        <v>53.000000000000007</v>
      </c>
      <c r="H89" s="10">
        <v>140.30000000000001</v>
      </c>
      <c r="I89" s="10">
        <v>0</v>
      </c>
      <c r="J89" s="10">
        <v>99.8</v>
      </c>
      <c r="K89" s="10">
        <v>1141.0000000000005</v>
      </c>
      <c r="L89" s="10">
        <v>1065.5999999999999</v>
      </c>
      <c r="M89" s="10">
        <v>26.099999999999998</v>
      </c>
      <c r="N89" s="11">
        <v>2752.4</v>
      </c>
      <c r="Q89" t="s">
        <v>0</v>
      </c>
      <c r="R89" s="43">
        <f t="shared" si="32"/>
        <v>1876.5</v>
      </c>
      <c r="S89" s="43">
        <f t="shared" si="32"/>
        <v>2542.2000000000007</v>
      </c>
      <c r="T89" s="43">
        <f t="shared" si="32"/>
        <v>161.89999999999998</v>
      </c>
      <c r="U89" s="43">
        <f t="shared" si="32"/>
        <v>987.89999999999964</v>
      </c>
      <c r="V89" s="43">
        <f t="shared" si="32"/>
        <v>1010.2999999999998</v>
      </c>
      <c r="W89" s="43">
        <f t="shared" si="32"/>
        <v>364.2000000000001</v>
      </c>
      <c r="X89" s="44">
        <f t="shared" si="32"/>
        <v>193.4</v>
      </c>
      <c r="Y89" s="43">
        <f t="shared" si="32"/>
        <v>0</v>
      </c>
      <c r="Z89" s="44">
        <f t="shared" si="32"/>
        <v>7136.4</v>
      </c>
    </row>
    <row r="90" spans="1:26" x14ac:dyDescent="0.35">
      <c r="A90" s="17">
        <v>7</v>
      </c>
      <c r="B90" s="17">
        <v>11</v>
      </c>
      <c r="C90" s="17">
        <v>2025</v>
      </c>
      <c r="D90" s="20"/>
      <c r="E90" s="24" t="s">
        <v>8</v>
      </c>
      <c r="F90" s="15">
        <v>139.1</v>
      </c>
      <c r="G90" s="10">
        <v>39.5</v>
      </c>
      <c r="H90" s="10">
        <v>63.7</v>
      </c>
      <c r="I90" s="10">
        <v>0</v>
      </c>
      <c r="J90" s="10">
        <v>0</v>
      </c>
      <c r="K90" s="10">
        <v>792.40000000000009</v>
      </c>
      <c r="L90" s="10">
        <v>1268.3000000000002</v>
      </c>
      <c r="M90" s="10">
        <v>156.1</v>
      </c>
      <c r="N90" s="11">
        <v>2459.1</v>
      </c>
      <c r="Q90" t="s">
        <v>2</v>
      </c>
      <c r="R90" s="43">
        <f t="shared" si="32"/>
        <v>5092.7000000000016</v>
      </c>
      <c r="S90" s="43">
        <f t="shared" si="32"/>
        <v>960.80000000000007</v>
      </c>
      <c r="T90" s="43">
        <f t="shared" si="32"/>
        <v>12.1</v>
      </c>
      <c r="U90" s="43">
        <f t="shared" si="32"/>
        <v>320.7</v>
      </c>
      <c r="V90" s="43">
        <f t="shared" si="32"/>
        <v>249.5</v>
      </c>
      <c r="W90" s="43">
        <f t="shared" si="32"/>
        <v>155.4</v>
      </c>
      <c r="X90" s="44">
        <f t="shared" si="32"/>
        <v>49.6</v>
      </c>
      <c r="Y90" s="43">
        <f t="shared" si="32"/>
        <v>0</v>
      </c>
      <c r="Z90" s="44">
        <f t="shared" si="32"/>
        <v>6840.800000000002</v>
      </c>
    </row>
    <row r="91" spans="1:26" x14ac:dyDescent="0.35">
      <c r="A91" s="17">
        <v>7</v>
      </c>
      <c r="B91" s="17">
        <v>11</v>
      </c>
      <c r="C91" s="17">
        <v>2025</v>
      </c>
      <c r="D91" s="20"/>
      <c r="E91" s="24" t="s">
        <v>9</v>
      </c>
      <c r="F91" s="15">
        <v>91.9</v>
      </c>
      <c r="G91" s="10">
        <v>414</v>
      </c>
      <c r="H91" s="10">
        <v>0</v>
      </c>
      <c r="I91" s="10">
        <v>0</v>
      </c>
      <c r="J91" s="10">
        <v>0</v>
      </c>
      <c r="K91" s="10">
        <v>1083.0999999999999</v>
      </c>
      <c r="L91" s="10">
        <v>821.7</v>
      </c>
      <c r="M91" s="10">
        <v>0</v>
      </c>
      <c r="N91" s="11">
        <v>2410.6999999999998</v>
      </c>
      <c r="Q91" t="s">
        <v>6</v>
      </c>
      <c r="R91" s="43">
        <f t="shared" si="32"/>
        <v>3891.9999999999995</v>
      </c>
      <c r="S91" s="43">
        <f t="shared" si="32"/>
        <v>723.89999999999986</v>
      </c>
      <c r="T91" s="43">
        <f t="shared" si="32"/>
        <v>9.1999999999999993</v>
      </c>
      <c r="U91" s="43">
        <f t="shared" si="32"/>
        <v>216.39999999999998</v>
      </c>
      <c r="V91" s="43">
        <f t="shared" si="32"/>
        <v>117</v>
      </c>
      <c r="W91" s="43">
        <f t="shared" si="32"/>
        <v>248.69999999999996</v>
      </c>
      <c r="X91" s="44">
        <f t="shared" si="32"/>
        <v>25.9</v>
      </c>
      <c r="Y91" s="43">
        <f t="shared" si="32"/>
        <v>0</v>
      </c>
      <c r="Z91" s="44">
        <f t="shared" si="32"/>
        <v>5233.0999999999985</v>
      </c>
    </row>
    <row r="92" spans="1:26" x14ac:dyDescent="0.35">
      <c r="A92" s="17">
        <v>7</v>
      </c>
      <c r="B92" s="17">
        <v>11</v>
      </c>
      <c r="C92" s="17">
        <v>2025</v>
      </c>
      <c r="D92" s="20"/>
      <c r="E92" s="24" t="s">
        <v>10</v>
      </c>
      <c r="F92" s="15">
        <v>2.2000000000000002</v>
      </c>
      <c r="G92" s="10">
        <v>0</v>
      </c>
      <c r="H92" s="10">
        <v>46.599999999999994</v>
      </c>
      <c r="I92" s="10">
        <v>0</v>
      </c>
      <c r="J92" s="10">
        <v>270.2</v>
      </c>
      <c r="K92" s="10">
        <v>2607.8000000000006</v>
      </c>
      <c r="L92" s="10">
        <v>224.49999999999997</v>
      </c>
      <c r="M92" s="10">
        <v>1.8</v>
      </c>
      <c r="N92" s="11">
        <v>3153.1000000000008</v>
      </c>
      <c r="Q92" t="s">
        <v>3</v>
      </c>
      <c r="R92" s="43">
        <f t="shared" si="32"/>
        <v>821.09999999999991</v>
      </c>
      <c r="S92" s="43">
        <f t="shared" si="32"/>
        <v>1278.7</v>
      </c>
      <c r="T92" s="43">
        <f t="shared" si="32"/>
        <v>1849.8999999999999</v>
      </c>
      <c r="U92" s="43">
        <f t="shared" si="32"/>
        <v>494.70000000000005</v>
      </c>
      <c r="V92" s="43">
        <f t="shared" si="32"/>
        <v>0</v>
      </c>
      <c r="W92" s="43">
        <f t="shared" si="32"/>
        <v>333.80000000000007</v>
      </c>
      <c r="X92" s="44">
        <f t="shared" si="32"/>
        <v>12.2</v>
      </c>
      <c r="Y92" s="43">
        <f t="shared" si="32"/>
        <v>360.4</v>
      </c>
      <c r="Z92" s="44">
        <f t="shared" si="32"/>
        <v>5150.8</v>
      </c>
    </row>
    <row r="93" spans="1:26" x14ac:dyDescent="0.35">
      <c r="A93" s="17">
        <v>7</v>
      </c>
      <c r="B93" s="17">
        <v>11</v>
      </c>
      <c r="C93" s="17">
        <v>2025</v>
      </c>
      <c r="D93" s="20"/>
      <c r="E93" s="24" t="s">
        <v>11</v>
      </c>
      <c r="F93" s="15">
        <v>22.8</v>
      </c>
      <c r="G93" s="10">
        <v>0</v>
      </c>
      <c r="H93" s="10">
        <v>0</v>
      </c>
      <c r="I93" s="10">
        <v>0</v>
      </c>
      <c r="J93" s="10">
        <v>0</v>
      </c>
      <c r="K93" s="10">
        <v>256.90000000000003</v>
      </c>
      <c r="L93" s="10">
        <v>0</v>
      </c>
      <c r="M93" s="10">
        <v>0</v>
      </c>
      <c r="N93" s="11">
        <v>279.70000000000005</v>
      </c>
      <c r="Q93" t="s">
        <v>1</v>
      </c>
      <c r="R93" s="43">
        <f t="shared" si="32"/>
        <v>211.10000000000002</v>
      </c>
      <c r="S93" s="43">
        <f t="shared" si="32"/>
        <v>3863.2</v>
      </c>
      <c r="T93" s="43">
        <f t="shared" si="32"/>
        <v>0</v>
      </c>
      <c r="U93" s="43">
        <f t="shared" si="32"/>
        <v>115.69999999999999</v>
      </c>
      <c r="V93" s="43">
        <f t="shared" si="32"/>
        <v>0</v>
      </c>
      <c r="W93" s="43">
        <f t="shared" si="32"/>
        <v>242.8</v>
      </c>
      <c r="X93" s="44">
        <f t="shared" si="32"/>
        <v>0</v>
      </c>
      <c r="Y93" s="43">
        <f t="shared" si="32"/>
        <v>0</v>
      </c>
      <c r="Z93" s="44">
        <f t="shared" si="32"/>
        <v>4432.8</v>
      </c>
    </row>
    <row r="94" spans="1:26" x14ac:dyDescent="0.35">
      <c r="A94" s="17">
        <v>7</v>
      </c>
      <c r="B94" s="17">
        <v>11</v>
      </c>
      <c r="C94" s="17">
        <v>2025</v>
      </c>
      <c r="D94" s="20"/>
      <c r="E94" s="24" t="s">
        <v>12</v>
      </c>
      <c r="F94" s="15">
        <v>422.90000000000003</v>
      </c>
      <c r="G94" s="10">
        <v>95.4</v>
      </c>
      <c r="H94" s="10">
        <v>61.1</v>
      </c>
      <c r="I94" s="10">
        <v>0</v>
      </c>
      <c r="J94" s="10">
        <v>0</v>
      </c>
      <c r="K94" s="10">
        <v>8.1999999999999993</v>
      </c>
      <c r="L94" s="10">
        <v>2.6</v>
      </c>
      <c r="M94" s="10">
        <v>28.299999999999997</v>
      </c>
      <c r="N94" s="11">
        <v>618.50000000000011</v>
      </c>
      <c r="Q94" t="s">
        <v>10</v>
      </c>
      <c r="R94" s="43">
        <f t="shared" si="32"/>
        <v>3007.0000000000009</v>
      </c>
      <c r="S94" s="43">
        <f t="shared" si="32"/>
        <v>459.79999999999995</v>
      </c>
      <c r="T94" s="43">
        <f t="shared" si="32"/>
        <v>0</v>
      </c>
      <c r="U94" s="43">
        <f t="shared" si="32"/>
        <v>2.2000000000000002</v>
      </c>
      <c r="V94" s="43">
        <f t="shared" si="32"/>
        <v>320.10000000000002</v>
      </c>
      <c r="W94" s="43">
        <f t="shared" si="32"/>
        <v>46.5</v>
      </c>
      <c r="X94" s="44">
        <f t="shared" si="32"/>
        <v>1.8</v>
      </c>
      <c r="Y94" s="43">
        <f t="shared" si="32"/>
        <v>0</v>
      </c>
      <c r="Z94" s="44">
        <f t="shared" si="32"/>
        <v>3837.4000000000015</v>
      </c>
    </row>
    <row r="95" spans="1:26" x14ac:dyDescent="0.35">
      <c r="A95" s="17">
        <v>7</v>
      </c>
      <c r="B95" s="17">
        <v>11</v>
      </c>
      <c r="C95" s="17">
        <v>2025</v>
      </c>
      <c r="D95" s="20"/>
      <c r="E95" s="24" t="s">
        <v>13</v>
      </c>
      <c r="F95" s="15">
        <v>0</v>
      </c>
      <c r="G95" s="10">
        <v>0</v>
      </c>
      <c r="H95" s="10">
        <v>13.9</v>
      </c>
      <c r="I95" s="10">
        <v>0</v>
      </c>
      <c r="J95" s="10">
        <v>0</v>
      </c>
      <c r="K95" s="10">
        <v>1216.5999999999999</v>
      </c>
      <c r="L95" s="10">
        <v>125.39999999999999</v>
      </c>
      <c r="M95" s="10">
        <v>17.600000000000001</v>
      </c>
      <c r="N95" s="11">
        <v>1373.5</v>
      </c>
      <c r="Q95" t="s">
        <v>4</v>
      </c>
      <c r="R95" s="43">
        <f t="shared" si="32"/>
        <v>219</v>
      </c>
      <c r="S95" s="43">
        <f t="shared" si="32"/>
        <v>1068.8000000000002</v>
      </c>
      <c r="T95" s="43">
        <f t="shared" si="32"/>
        <v>1989.7</v>
      </c>
      <c r="U95" s="43">
        <f t="shared" si="32"/>
        <v>34.299999999999997</v>
      </c>
      <c r="V95" s="43">
        <f t="shared" si="32"/>
        <v>0</v>
      </c>
      <c r="W95" s="43">
        <f t="shared" si="32"/>
        <v>77.3</v>
      </c>
      <c r="X95" s="44">
        <f t="shared" si="32"/>
        <v>0</v>
      </c>
      <c r="Y95" s="43">
        <f t="shared" si="32"/>
        <v>0</v>
      </c>
      <c r="Z95" s="44">
        <f t="shared" si="32"/>
        <v>3389.1000000000004</v>
      </c>
    </row>
    <row r="96" spans="1:26" x14ac:dyDescent="0.35">
      <c r="A96" s="18">
        <v>7</v>
      </c>
      <c r="B96" s="18">
        <v>11</v>
      </c>
      <c r="C96" s="18">
        <v>2025</v>
      </c>
      <c r="D96" s="21"/>
      <c r="E96" s="25" t="s">
        <v>28</v>
      </c>
      <c r="F96" s="16">
        <v>0</v>
      </c>
      <c r="G96" s="12">
        <v>0</v>
      </c>
      <c r="H96" s="12">
        <v>0</v>
      </c>
      <c r="I96" s="12">
        <v>0</v>
      </c>
      <c r="J96" s="12">
        <v>149.80000000000001</v>
      </c>
      <c r="K96" s="12">
        <v>1416.9000000000005</v>
      </c>
      <c r="L96" s="12">
        <v>160.5</v>
      </c>
      <c r="M96" s="12">
        <v>0</v>
      </c>
      <c r="N96" s="13">
        <v>1727.2000000000005</v>
      </c>
      <c r="Q96" t="s">
        <v>9</v>
      </c>
      <c r="R96" s="43">
        <f t="shared" si="32"/>
        <v>1157.9000000000001</v>
      </c>
      <c r="S96" s="43">
        <f t="shared" si="32"/>
        <v>1251.7000000000003</v>
      </c>
      <c r="T96" s="43">
        <f t="shared" si="32"/>
        <v>414</v>
      </c>
      <c r="U96" s="43">
        <f t="shared" si="32"/>
        <v>91.9</v>
      </c>
      <c r="V96" s="43">
        <f t="shared" si="32"/>
        <v>0</v>
      </c>
      <c r="W96" s="43">
        <f t="shared" si="32"/>
        <v>0</v>
      </c>
      <c r="X96" s="44">
        <f t="shared" si="32"/>
        <v>0</v>
      </c>
      <c r="Y96" s="43">
        <f t="shared" si="32"/>
        <v>0</v>
      </c>
      <c r="Z96" s="44">
        <f t="shared" si="32"/>
        <v>2915.5000000000005</v>
      </c>
    </row>
    <row r="97" spans="1:26" x14ac:dyDescent="0.35">
      <c r="A97" s="17">
        <v>7</v>
      </c>
      <c r="B97" s="17">
        <v>10</v>
      </c>
      <c r="C97" s="17">
        <v>2025</v>
      </c>
      <c r="D97" s="20"/>
      <c r="E97" s="24" t="s">
        <v>0</v>
      </c>
      <c r="F97" s="15">
        <v>883.79999999999973</v>
      </c>
      <c r="G97" s="10">
        <v>161.89999999999998</v>
      </c>
      <c r="H97" s="10">
        <v>364.30000000000007</v>
      </c>
      <c r="I97" s="10">
        <v>0</v>
      </c>
      <c r="J97" s="10">
        <v>1010.2999999999998</v>
      </c>
      <c r="K97" s="10">
        <v>1782.3999999999996</v>
      </c>
      <c r="L97" s="10">
        <v>2767.5000000000009</v>
      </c>
      <c r="M97" s="10">
        <v>193.6</v>
      </c>
      <c r="N97" s="11">
        <v>7163.8</v>
      </c>
      <c r="Q97" t="s">
        <v>8</v>
      </c>
      <c r="R97" s="43">
        <f t="shared" si="32"/>
        <v>775.2</v>
      </c>
      <c r="S97" s="43">
        <f t="shared" si="32"/>
        <v>1053.6999999999998</v>
      </c>
      <c r="T97" s="43">
        <f t="shared" si="32"/>
        <v>39.5</v>
      </c>
      <c r="U97" s="43">
        <f t="shared" si="32"/>
        <v>139.1</v>
      </c>
      <c r="V97" s="43">
        <f t="shared" si="32"/>
        <v>249.9</v>
      </c>
      <c r="W97" s="43">
        <f t="shared" si="32"/>
        <v>63.7</v>
      </c>
      <c r="X97" s="44">
        <f t="shared" si="32"/>
        <v>156.1</v>
      </c>
      <c r="Y97" s="43">
        <f t="shared" si="32"/>
        <v>0</v>
      </c>
      <c r="Z97" s="44">
        <f t="shared" si="32"/>
        <v>2477.1999999999998</v>
      </c>
    </row>
    <row r="98" spans="1:26" x14ac:dyDescent="0.35">
      <c r="A98" s="17">
        <v>7</v>
      </c>
      <c r="B98" s="17">
        <v>10</v>
      </c>
      <c r="C98" s="17">
        <v>2025</v>
      </c>
      <c r="D98" s="20"/>
      <c r="E98" s="24" t="s">
        <v>1</v>
      </c>
      <c r="F98" s="15">
        <v>115.69999999999999</v>
      </c>
      <c r="G98" s="10">
        <v>0</v>
      </c>
      <c r="H98" s="10">
        <v>242.8</v>
      </c>
      <c r="I98" s="10">
        <v>0</v>
      </c>
      <c r="J98" s="10">
        <v>0</v>
      </c>
      <c r="K98" s="10">
        <v>211.10000000000002</v>
      </c>
      <c r="L98" s="10">
        <v>4302.7000000000007</v>
      </c>
      <c r="M98" s="10">
        <v>0</v>
      </c>
      <c r="N98" s="11">
        <v>4872.3000000000011</v>
      </c>
      <c r="Q98" t="s">
        <v>7</v>
      </c>
      <c r="R98" s="43">
        <f t="shared" ref="R98:Z103" si="33">+VLOOKUP($Q98,$E$19:$N$34,MATCH(R$87,$F$2:$N$2,0)+1,0)</f>
        <v>1278.9000000000005</v>
      </c>
      <c r="S98" s="43">
        <f t="shared" si="33"/>
        <v>703.09999999999991</v>
      </c>
      <c r="T98" s="43">
        <f t="shared" si="33"/>
        <v>53.000000000000007</v>
      </c>
      <c r="U98" s="43">
        <f t="shared" si="33"/>
        <v>220.3</v>
      </c>
      <c r="V98" s="43">
        <f t="shared" si="33"/>
        <v>0</v>
      </c>
      <c r="W98" s="43">
        <f t="shared" si="33"/>
        <v>140.30000000000001</v>
      </c>
      <c r="X98" s="44">
        <f t="shared" si="33"/>
        <v>26.099999999999998</v>
      </c>
      <c r="Y98" s="43">
        <f t="shared" si="33"/>
        <v>0</v>
      </c>
      <c r="Z98" s="44">
        <f t="shared" si="33"/>
        <v>2421.7000000000003</v>
      </c>
    </row>
    <row r="99" spans="1:26" x14ac:dyDescent="0.35">
      <c r="A99" s="17">
        <v>7</v>
      </c>
      <c r="B99" s="17">
        <v>10</v>
      </c>
      <c r="C99" s="17">
        <v>2025</v>
      </c>
      <c r="D99" s="20"/>
      <c r="E99" s="24" t="s">
        <v>2</v>
      </c>
      <c r="F99" s="15">
        <v>427.4</v>
      </c>
      <c r="G99" s="10">
        <v>12.1</v>
      </c>
      <c r="H99" s="10">
        <v>142.80000000000001</v>
      </c>
      <c r="I99" s="10">
        <v>0</v>
      </c>
      <c r="J99" s="10">
        <v>249.5</v>
      </c>
      <c r="K99" s="10">
        <v>4472.800000000002</v>
      </c>
      <c r="L99" s="10">
        <v>1086.1000000000001</v>
      </c>
      <c r="M99" s="10">
        <v>50.699999999999996</v>
      </c>
      <c r="N99" s="11">
        <v>6441.4000000000024</v>
      </c>
      <c r="Q99" t="s">
        <v>28</v>
      </c>
      <c r="R99" s="43">
        <f t="shared" si="33"/>
        <v>1195.4000000000001</v>
      </c>
      <c r="S99" s="43">
        <f t="shared" si="33"/>
        <v>849.9</v>
      </c>
      <c r="T99" s="43">
        <f t="shared" si="33"/>
        <v>0</v>
      </c>
      <c r="U99" s="43">
        <f t="shared" si="33"/>
        <v>0</v>
      </c>
      <c r="V99" s="43">
        <f t="shared" si="33"/>
        <v>199.70000000000002</v>
      </c>
      <c r="W99" s="43">
        <f t="shared" si="33"/>
        <v>0</v>
      </c>
      <c r="X99" s="44">
        <f t="shared" si="33"/>
        <v>0</v>
      </c>
      <c r="Y99" s="43">
        <f t="shared" si="33"/>
        <v>0</v>
      </c>
      <c r="Z99" s="44">
        <f t="shared" si="33"/>
        <v>2245</v>
      </c>
    </row>
    <row r="100" spans="1:26" x14ac:dyDescent="0.35">
      <c r="A100" s="17">
        <v>7</v>
      </c>
      <c r="B100" s="17">
        <v>10</v>
      </c>
      <c r="C100" s="17">
        <v>2025</v>
      </c>
      <c r="D100" s="20"/>
      <c r="E100" s="24" t="s">
        <v>3</v>
      </c>
      <c r="F100" s="15">
        <v>494.70000000000005</v>
      </c>
      <c r="G100" s="10">
        <v>1849.8999999999999</v>
      </c>
      <c r="H100" s="10">
        <v>333.80000000000007</v>
      </c>
      <c r="I100" s="10">
        <v>360.4</v>
      </c>
      <c r="J100" s="10">
        <v>0</v>
      </c>
      <c r="K100" s="10">
        <v>704.4</v>
      </c>
      <c r="L100" s="10">
        <v>1433.8999999999999</v>
      </c>
      <c r="M100" s="10">
        <v>12.2</v>
      </c>
      <c r="N100" s="11">
        <v>5189.3</v>
      </c>
      <c r="Q100" t="s">
        <v>12</v>
      </c>
      <c r="R100" s="43">
        <f t="shared" si="33"/>
        <v>8.1</v>
      </c>
      <c r="S100" s="43">
        <f t="shared" si="33"/>
        <v>31.400000000000002</v>
      </c>
      <c r="T100" s="43">
        <f t="shared" si="33"/>
        <v>1267.9000000000001</v>
      </c>
      <c r="U100" s="43">
        <f t="shared" si="33"/>
        <v>604.90000000000009</v>
      </c>
      <c r="V100" s="43">
        <f t="shared" si="33"/>
        <v>0</v>
      </c>
      <c r="W100" s="43">
        <f t="shared" si="33"/>
        <v>58.800000000000004</v>
      </c>
      <c r="X100" s="44">
        <f t="shared" si="33"/>
        <v>65</v>
      </c>
      <c r="Y100" s="43">
        <f t="shared" si="33"/>
        <v>0</v>
      </c>
      <c r="Z100" s="44">
        <f t="shared" si="33"/>
        <v>2036.1000000000001</v>
      </c>
    </row>
    <row r="101" spans="1:26" x14ac:dyDescent="0.35">
      <c r="A101" s="17">
        <v>7</v>
      </c>
      <c r="B101" s="17">
        <v>10</v>
      </c>
      <c r="C101" s="17">
        <v>2025</v>
      </c>
      <c r="D101" s="20"/>
      <c r="E101" s="24" t="s">
        <v>4</v>
      </c>
      <c r="F101" s="15">
        <v>34.299999999999997</v>
      </c>
      <c r="G101" s="10">
        <v>1989.7</v>
      </c>
      <c r="H101" s="10">
        <v>77.3</v>
      </c>
      <c r="I101" s="10">
        <v>0</v>
      </c>
      <c r="J101" s="10">
        <v>0</v>
      </c>
      <c r="K101" s="10">
        <v>177</v>
      </c>
      <c r="L101" s="10">
        <v>1411.1</v>
      </c>
      <c r="M101" s="10">
        <v>0</v>
      </c>
      <c r="N101" s="11">
        <v>3689.4</v>
      </c>
      <c r="Q101" t="s">
        <v>13</v>
      </c>
      <c r="R101" s="43">
        <f t="shared" si="33"/>
        <v>1244.5999999999999</v>
      </c>
      <c r="S101" s="43">
        <f t="shared" si="33"/>
        <v>125.39999999999999</v>
      </c>
      <c r="T101" s="43">
        <f t="shared" si="33"/>
        <v>0</v>
      </c>
      <c r="U101" s="43">
        <f t="shared" si="33"/>
        <v>0</v>
      </c>
      <c r="V101" s="43">
        <f t="shared" si="33"/>
        <v>0</v>
      </c>
      <c r="W101" s="43">
        <f t="shared" si="33"/>
        <v>13.9</v>
      </c>
      <c r="X101" s="44">
        <f t="shared" si="33"/>
        <v>18.600000000000001</v>
      </c>
      <c r="Y101" s="43">
        <f t="shared" si="33"/>
        <v>0</v>
      </c>
      <c r="Z101" s="44">
        <f t="shared" si="33"/>
        <v>1402.5</v>
      </c>
    </row>
    <row r="102" spans="1:26" x14ac:dyDescent="0.35">
      <c r="A102" s="17">
        <v>7</v>
      </c>
      <c r="B102" s="17">
        <v>10</v>
      </c>
      <c r="C102" s="17">
        <v>2025</v>
      </c>
      <c r="D102" s="20"/>
      <c r="E102" s="24" t="s">
        <v>5</v>
      </c>
      <c r="F102" s="15">
        <v>194</v>
      </c>
      <c r="G102" s="10">
        <v>301.60000000000002</v>
      </c>
      <c r="H102" s="10">
        <v>215.1</v>
      </c>
      <c r="I102" s="10">
        <v>0</v>
      </c>
      <c r="J102" s="10">
        <v>99.8</v>
      </c>
      <c r="K102" s="10">
        <v>4379.7000000000016</v>
      </c>
      <c r="L102" s="10">
        <v>2585.3000000000006</v>
      </c>
      <c r="M102" s="10">
        <v>1.6</v>
      </c>
      <c r="N102" s="11">
        <v>7777.1000000000022</v>
      </c>
      <c r="Q102" t="s">
        <v>22</v>
      </c>
      <c r="R102" s="43">
        <f t="shared" si="33"/>
        <v>283.39999999999998</v>
      </c>
      <c r="S102" s="43">
        <f t="shared" si="33"/>
        <v>41.5</v>
      </c>
      <c r="T102" s="43">
        <f t="shared" si="33"/>
        <v>843.3</v>
      </c>
      <c r="U102" s="43">
        <f t="shared" si="33"/>
        <v>0</v>
      </c>
      <c r="V102" s="43">
        <f t="shared" si="33"/>
        <v>0</v>
      </c>
      <c r="W102" s="43">
        <f t="shared" si="33"/>
        <v>0</v>
      </c>
      <c r="X102" s="44">
        <f t="shared" si="33"/>
        <v>0</v>
      </c>
      <c r="Y102" s="43">
        <f t="shared" si="33"/>
        <v>0</v>
      </c>
      <c r="Z102" s="44">
        <f t="shared" si="33"/>
        <v>1168.1999999999998</v>
      </c>
    </row>
    <row r="103" spans="1:26" x14ac:dyDescent="0.35">
      <c r="A103" s="17">
        <v>7</v>
      </c>
      <c r="B103" s="17">
        <v>10</v>
      </c>
      <c r="C103" s="17">
        <v>2025</v>
      </c>
      <c r="D103" s="20"/>
      <c r="E103" s="24" t="s">
        <v>6</v>
      </c>
      <c r="F103" s="15">
        <v>216.39999999999998</v>
      </c>
      <c r="G103" s="10">
        <v>9.1999999999999993</v>
      </c>
      <c r="H103" s="10">
        <v>248.69999999999996</v>
      </c>
      <c r="I103" s="10">
        <v>0</v>
      </c>
      <c r="J103" s="10">
        <v>366.9</v>
      </c>
      <c r="K103" s="10">
        <v>3391.9999999999995</v>
      </c>
      <c r="L103" s="10">
        <v>676.39999999999986</v>
      </c>
      <c r="M103" s="10">
        <v>25.9</v>
      </c>
      <c r="N103" s="11">
        <v>4935.4999999999991</v>
      </c>
      <c r="Q103" t="s">
        <v>11</v>
      </c>
      <c r="R103" s="43">
        <f t="shared" si="33"/>
        <v>254.60000000000002</v>
      </c>
      <c r="S103" s="43">
        <f t="shared" si="33"/>
        <v>0</v>
      </c>
      <c r="T103" s="43">
        <f t="shared" si="33"/>
        <v>0</v>
      </c>
      <c r="U103" s="43">
        <f t="shared" si="33"/>
        <v>22.8</v>
      </c>
      <c r="V103" s="43">
        <f t="shared" si="33"/>
        <v>0</v>
      </c>
      <c r="W103" s="43">
        <f t="shared" si="33"/>
        <v>0</v>
      </c>
      <c r="X103" s="44">
        <f t="shared" si="33"/>
        <v>0</v>
      </c>
      <c r="Y103" s="43">
        <f t="shared" si="33"/>
        <v>0</v>
      </c>
      <c r="Z103" s="44">
        <f t="shared" si="33"/>
        <v>277.40000000000003</v>
      </c>
    </row>
    <row r="104" spans="1:26" x14ac:dyDescent="0.35">
      <c r="A104" s="17">
        <v>7</v>
      </c>
      <c r="B104" s="17">
        <v>10</v>
      </c>
      <c r="C104" s="17">
        <v>2025</v>
      </c>
      <c r="D104" s="20"/>
      <c r="E104" s="24" t="s">
        <v>7</v>
      </c>
      <c r="F104" s="15">
        <v>226.6</v>
      </c>
      <c r="G104" s="10">
        <v>53.000000000000007</v>
      </c>
      <c r="H104" s="10">
        <v>140.30000000000001</v>
      </c>
      <c r="I104" s="10">
        <v>0</v>
      </c>
      <c r="J104" s="10">
        <v>99.8</v>
      </c>
      <c r="K104" s="10">
        <v>1028.5000000000005</v>
      </c>
      <c r="L104" s="10">
        <v>1095.6000000000001</v>
      </c>
      <c r="M104" s="10">
        <v>26.099999999999998</v>
      </c>
      <c r="N104" s="11">
        <v>2669.9000000000005</v>
      </c>
    </row>
    <row r="105" spans="1:26" x14ac:dyDescent="0.35">
      <c r="A105" s="17">
        <v>7</v>
      </c>
      <c r="B105" s="17">
        <v>10</v>
      </c>
      <c r="C105" s="17">
        <v>2025</v>
      </c>
      <c r="D105" s="20"/>
      <c r="E105" s="24" t="s">
        <v>8</v>
      </c>
      <c r="F105" s="15">
        <v>139.1</v>
      </c>
      <c r="G105" s="10">
        <v>39.5</v>
      </c>
      <c r="H105" s="10">
        <v>63.7</v>
      </c>
      <c r="I105" s="10">
        <v>0</v>
      </c>
      <c r="J105" s="10">
        <v>0</v>
      </c>
      <c r="K105" s="10">
        <v>791.59999999999991</v>
      </c>
      <c r="L105" s="10">
        <v>1269.3000000000002</v>
      </c>
      <c r="M105" s="10">
        <v>156.1</v>
      </c>
      <c r="N105" s="11">
        <v>2459.2999999999997</v>
      </c>
    </row>
    <row r="106" spans="1:26" x14ac:dyDescent="0.35">
      <c r="A106" s="17">
        <v>7</v>
      </c>
      <c r="B106" s="17">
        <v>10</v>
      </c>
      <c r="C106" s="17">
        <v>2025</v>
      </c>
      <c r="D106" s="20"/>
      <c r="E106" s="24" t="s">
        <v>9</v>
      </c>
      <c r="F106" s="15">
        <v>91.9</v>
      </c>
      <c r="G106" s="10">
        <v>414</v>
      </c>
      <c r="H106" s="10">
        <v>0</v>
      </c>
      <c r="I106" s="10">
        <v>0</v>
      </c>
      <c r="J106" s="10">
        <v>0</v>
      </c>
      <c r="K106" s="10">
        <v>958.1</v>
      </c>
      <c r="L106" s="10">
        <v>821.7</v>
      </c>
      <c r="M106" s="10">
        <v>0</v>
      </c>
      <c r="N106" s="11">
        <v>2285.6999999999998</v>
      </c>
    </row>
    <row r="107" spans="1:26" x14ac:dyDescent="0.35">
      <c r="A107" s="17">
        <v>7</v>
      </c>
      <c r="B107" s="17">
        <v>10</v>
      </c>
      <c r="C107" s="17">
        <v>2025</v>
      </c>
      <c r="D107" s="20"/>
      <c r="E107" s="24" t="s">
        <v>10</v>
      </c>
      <c r="F107" s="15">
        <v>2.2000000000000002</v>
      </c>
      <c r="G107" s="10">
        <v>0</v>
      </c>
      <c r="H107" s="10">
        <v>46.599999999999994</v>
      </c>
      <c r="I107" s="10">
        <v>0</v>
      </c>
      <c r="J107" s="10">
        <v>270.2</v>
      </c>
      <c r="K107" s="10">
        <v>2597.2000000000003</v>
      </c>
      <c r="L107" s="10">
        <v>224.49999999999997</v>
      </c>
      <c r="M107" s="10">
        <v>1.8</v>
      </c>
      <c r="N107" s="11">
        <v>3142.5000000000005</v>
      </c>
    </row>
    <row r="108" spans="1:26" x14ac:dyDescent="0.35">
      <c r="A108" s="17">
        <v>7</v>
      </c>
      <c r="B108" s="17">
        <v>10</v>
      </c>
      <c r="C108" s="17">
        <v>2025</v>
      </c>
      <c r="D108" s="20"/>
      <c r="E108" s="24" t="s">
        <v>11</v>
      </c>
      <c r="F108" s="15">
        <v>22.8</v>
      </c>
      <c r="G108" s="10">
        <v>0</v>
      </c>
      <c r="H108" s="10">
        <v>0</v>
      </c>
      <c r="I108" s="10">
        <v>0</v>
      </c>
      <c r="J108" s="10">
        <v>0</v>
      </c>
      <c r="K108" s="10">
        <v>257.20000000000005</v>
      </c>
      <c r="L108" s="10">
        <v>0</v>
      </c>
      <c r="M108" s="10">
        <v>0</v>
      </c>
      <c r="N108" s="11">
        <v>280.00000000000006</v>
      </c>
    </row>
    <row r="109" spans="1:26" x14ac:dyDescent="0.35">
      <c r="A109" s="17">
        <v>7</v>
      </c>
      <c r="B109" s="17">
        <v>10</v>
      </c>
      <c r="C109" s="17">
        <v>2025</v>
      </c>
      <c r="D109" s="20"/>
      <c r="E109" s="24" t="s">
        <v>12</v>
      </c>
      <c r="F109" s="15">
        <v>422.00000000000006</v>
      </c>
      <c r="G109" s="10">
        <v>95.4</v>
      </c>
      <c r="H109" s="10">
        <v>61.199999999999996</v>
      </c>
      <c r="I109" s="10">
        <v>0</v>
      </c>
      <c r="J109" s="10">
        <v>0</v>
      </c>
      <c r="K109" s="10">
        <v>8.1999999999999993</v>
      </c>
      <c r="L109" s="10">
        <v>2.6</v>
      </c>
      <c r="M109" s="10">
        <v>28.299999999999997</v>
      </c>
      <c r="N109" s="11">
        <v>617.70000000000016</v>
      </c>
    </row>
    <row r="110" spans="1:26" x14ac:dyDescent="0.35">
      <c r="A110" s="17">
        <v>7</v>
      </c>
      <c r="B110" s="17">
        <v>10</v>
      </c>
      <c r="C110" s="17">
        <v>2025</v>
      </c>
      <c r="D110" s="20"/>
      <c r="E110" s="24" t="s">
        <v>13</v>
      </c>
      <c r="F110" s="15">
        <v>0</v>
      </c>
      <c r="G110" s="10">
        <v>0</v>
      </c>
      <c r="H110" s="10">
        <v>13.9</v>
      </c>
      <c r="I110" s="10">
        <v>0</v>
      </c>
      <c r="J110" s="10">
        <v>0</v>
      </c>
      <c r="K110" s="10">
        <v>1196.5999999999999</v>
      </c>
      <c r="L110" s="10">
        <v>125.39999999999999</v>
      </c>
      <c r="M110" s="10">
        <v>17.600000000000001</v>
      </c>
      <c r="N110" s="11">
        <v>1353.5</v>
      </c>
    </row>
    <row r="111" spans="1:26" x14ac:dyDescent="0.35">
      <c r="A111" s="18">
        <v>7</v>
      </c>
      <c r="B111" s="18">
        <v>10</v>
      </c>
      <c r="C111" s="18">
        <v>2025</v>
      </c>
      <c r="D111" s="21"/>
      <c r="E111" s="25" t="s">
        <v>28</v>
      </c>
      <c r="F111" s="16">
        <v>0</v>
      </c>
      <c r="G111" s="12">
        <v>0</v>
      </c>
      <c r="H111" s="12">
        <v>0</v>
      </c>
      <c r="I111" s="12">
        <v>0</v>
      </c>
      <c r="J111" s="12">
        <v>149.80000000000001</v>
      </c>
      <c r="K111" s="12">
        <v>1322.8000000000006</v>
      </c>
      <c r="L111" s="12">
        <v>160.5</v>
      </c>
      <c r="M111" s="12">
        <v>0</v>
      </c>
      <c r="N111" s="13">
        <v>1633.1000000000006</v>
      </c>
    </row>
    <row r="112" spans="1:26" x14ac:dyDescent="0.35">
      <c r="A112" s="19">
        <v>8</v>
      </c>
      <c r="B112" s="19">
        <v>9</v>
      </c>
      <c r="C112" s="19">
        <v>2025</v>
      </c>
      <c r="D112" s="20"/>
      <c r="E112" s="24" t="s">
        <v>0</v>
      </c>
      <c r="F112" s="15">
        <v>858.99999999999977</v>
      </c>
      <c r="G112" s="10">
        <v>161.89999999999998</v>
      </c>
      <c r="H112" s="10">
        <v>364.5</v>
      </c>
      <c r="I112" s="10">
        <v>0</v>
      </c>
      <c r="J112" s="10">
        <v>1010.2999999999998</v>
      </c>
      <c r="K112" s="10">
        <v>1738.7999999999997</v>
      </c>
      <c r="L112" s="10">
        <v>2767.5000000000009</v>
      </c>
      <c r="M112" s="10">
        <v>193.6</v>
      </c>
      <c r="N112" s="11">
        <v>7095.6</v>
      </c>
    </row>
    <row r="113" spans="1:14" x14ac:dyDescent="0.35">
      <c r="A113" s="17">
        <v>8</v>
      </c>
      <c r="B113" s="17">
        <v>9</v>
      </c>
      <c r="C113" s="17">
        <v>2025</v>
      </c>
      <c r="D113" s="20"/>
      <c r="E113" s="24" t="s">
        <v>1</v>
      </c>
      <c r="F113" s="15">
        <v>115.69999999999999</v>
      </c>
      <c r="G113" s="10">
        <v>0</v>
      </c>
      <c r="H113" s="10">
        <v>242.8</v>
      </c>
      <c r="I113" s="10">
        <v>0</v>
      </c>
      <c r="J113" s="10">
        <v>0</v>
      </c>
      <c r="K113" s="10">
        <v>211.10000000000002</v>
      </c>
      <c r="L113" s="10">
        <v>4302.7000000000007</v>
      </c>
      <c r="M113" s="10">
        <v>0</v>
      </c>
      <c r="N113" s="11">
        <v>4872.3000000000011</v>
      </c>
    </row>
    <row r="114" spans="1:14" x14ac:dyDescent="0.35">
      <c r="A114" s="17">
        <v>8</v>
      </c>
      <c r="B114" s="17">
        <v>9</v>
      </c>
      <c r="C114" s="17">
        <v>2025</v>
      </c>
      <c r="D114" s="20"/>
      <c r="E114" s="24" t="s">
        <v>2</v>
      </c>
      <c r="F114" s="15">
        <v>427.4</v>
      </c>
      <c r="G114" s="10">
        <v>12.1</v>
      </c>
      <c r="H114" s="10">
        <v>142.80000000000001</v>
      </c>
      <c r="I114" s="10">
        <v>0</v>
      </c>
      <c r="J114" s="10">
        <v>249.5</v>
      </c>
      <c r="K114" s="10">
        <v>4420.1000000000022</v>
      </c>
      <c r="L114" s="10">
        <v>1086.1000000000001</v>
      </c>
      <c r="M114" s="10">
        <v>50.699999999999996</v>
      </c>
      <c r="N114" s="11">
        <v>6388.7000000000025</v>
      </c>
    </row>
    <row r="115" spans="1:14" x14ac:dyDescent="0.35">
      <c r="A115" s="17">
        <v>8</v>
      </c>
      <c r="B115" s="17">
        <v>9</v>
      </c>
      <c r="C115" s="17">
        <v>2025</v>
      </c>
      <c r="D115" s="20"/>
      <c r="E115" s="24" t="s">
        <v>3</v>
      </c>
      <c r="F115" s="15">
        <v>494.69999999999993</v>
      </c>
      <c r="G115" s="10">
        <v>1849.8999999999999</v>
      </c>
      <c r="H115" s="10">
        <v>333.80000000000007</v>
      </c>
      <c r="I115" s="10">
        <v>360.4</v>
      </c>
      <c r="J115" s="10">
        <v>0</v>
      </c>
      <c r="K115" s="10">
        <v>619.4</v>
      </c>
      <c r="L115" s="10">
        <v>1288</v>
      </c>
      <c r="M115" s="10">
        <v>12.2</v>
      </c>
      <c r="N115" s="11">
        <v>4958.4000000000005</v>
      </c>
    </row>
    <row r="116" spans="1:14" x14ac:dyDescent="0.35">
      <c r="A116" s="17">
        <v>8</v>
      </c>
      <c r="B116" s="17">
        <v>9</v>
      </c>
      <c r="C116" s="17">
        <v>2025</v>
      </c>
      <c r="D116" s="20"/>
      <c r="E116" s="24" t="s">
        <v>4</v>
      </c>
      <c r="F116" s="15">
        <v>34.299999999999997</v>
      </c>
      <c r="G116" s="10">
        <v>1989.7</v>
      </c>
      <c r="H116" s="10">
        <v>77.3</v>
      </c>
      <c r="I116" s="10">
        <v>0</v>
      </c>
      <c r="J116" s="10">
        <v>0</v>
      </c>
      <c r="K116" s="10">
        <v>179.9</v>
      </c>
      <c r="L116" s="10">
        <v>1411.1</v>
      </c>
      <c r="M116" s="10">
        <v>0</v>
      </c>
      <c r="N116" s="11">
        <v>3692.3</v>
      </c>
    </row>
    <row r="117" spans="1:14" x14ac:dyDescent="0.35">
      <c r="A117" s="17">
        <v>8</v>
      </c>
      <c r="B117" s="17">
        <v>9</v>
      </c>
      <c r="C117" s="17">
        <v>2025</v>
      </c>
      <c r="D117" s="20"/>
      <c r="E117" s="24" t="s">
        <v>5</v>
      </c>
      <c r="F117" s="15">
        <v>194</v>
      </c>
      <c r="G117" s="10">
        <v>301.60000000000002</v>
      </c>
      <c r="H117" s="10">
        <v>215.1</v>
      </c>
      <c r="I117" s="10">
        <v>0</v>
      </c>
      <c r="J117" s="10">
        <v>99.8</v>
      </c>
      <c r="K117" s="10">
        <v>4282.1000000000013</v>
      </c>
      <c r="L117" s="10">
        <v>2585.3000000000006</v>
      </c>
      <c r="M117" s="10">
        <v>1.6</v>
      </c>
      <c r="N117" s="11">
        <v>7679.5000000000018</v>
      </c>
    </row>
    <row r="118" spans="1:14" x14ac:dyDescent="0.35">
      <c r="A118" s="17">
        <v>8</v>
      </c>
      <c r="B118" s="17">
        <v>9</v>
      </c>
      <c r="C118" s="17">
        <v>2025</v>
      </c>
      <c r="D118" s="20"/>
      <c r="E118" s="24" t="s">
        <v>6</v>
      </c>
      <c r="F118" s="15">
        <v>216.39999999999998</v>
      </c>
      <c r="G118" s="10">
        <v>9.1999999999999993</v>
      </c>
      <c r="H118" s="10">
        <v>248.69999999999996</v>
      </c>
      <c r="I118" s="10">
        <v>0</v>
      </c>
      <c r="J118" s="10">
        <v>366.9</v>
      </c>
      <c r="K118" s="10">
        <v>3215.8999999999996</v>
      </c>
      <c r="L118" s="10">
        <v>676.39999999999986</v>
      </c>
      <c r="M118" s="10">
        <v>25.9</v>
      </c>
      <c r="N118" s="11">
        <v>4759.3999999999987</v>
      </c>
    </row>
    <row r="119" spans="1:14" x14ac:dyDescent="0.35">
      <c r="A119" s="17">
        <v>8</v>
      </c>
      <c r="B119" s="17">
        <v>9</v>
      </c>
      <c r="C119" s="17">
        <v>2025</v>
      </c>
      <c r="D119" s="20"/>
      <c r="E119" s="24" t="s">
        <v>7</v>
      </c>
      <c r="F119" s="15">
        <v>226.6</v>
      </c>
      <c r="G119" s="10">
        <v>53.000000000000007</v>
      </c>
      <c r="H119" s="10">
        <v>140.30000000000001</v>
      </c>
      <c r="I119" s="10">
        <v>0</v>
      </c>
      <c r="J119" s="10">
        <v>99.8</v>
      </c>
      <c r="K119" s="10">
        <v>973.30000000000041</v>
      </c>
      <c r="L119" s="10">
        <v>1095.6000000000001</v>
      </c>
      <c r="M119" s="10">
        <v>26.099999999999998</v>
      </c>
      <c r="N119" s="11">
        <v>2614.7000000000003</v>
      </c>
    </row>
    <row r="120" spans="1:14" x14ac:dyDescent="0.35">
      <c r="A120" s="17">
        <v>8</v>
      </c>
      <c r="B120" s="17">
        <v>9</v>
      </c>
      <c r="C120" s="17">
        <v>2025</v>
      </c>
      <c r="D120" s="20"/>
      <c r="E120" s="24" t="s">
        <v>8</v>
      </c>
      <c r="F120" s="15">
        <v>145.70000000000002</v>
      </c>
      <c r="G120" s="10">
        <v>39.5</v>
      </c>
      <c r="H120" s="10">
        <v>63.7</v>
      </c>
      <c r="I120" s="10">
        <v>0</v>
      </c>
      <c r="J120" s="10">
        <v>0</v>
      </c>
      <c r="K120" s="10">
        <v>781.79999999999984</v>
      </c>
      <c r="L120" s="10">
        <v>1269.3000000000002</v>
      </c>
      <c r="M120" s="10">
        <v>156.1</v>
      </c>
      <c r="N120" s="11">
        <v>2456.1</v>
      </c>
    </row>
    <row r="121" spans="1:14" x14ac:dyDescent="0.35">
      <c r="A121" s="17">
        <v>8</v>
      </c>
      <c r="B121" s="17">
        <v>9</v>
      </c>
      <c r="C121" s="17">
        <v>2025</v>
      </c>
      <c r="D121" s="20"/>
      <c r="E121" s="24" t="s">
        <v>9</v>
      </c>
      <c r="F121" s="15">
        <v>163</v>
      </c>
      <c r="G121" s="10">
        <v>414</v>
      </c>
      <c r="H121" s="10">
        <v>0</v>
      </c>
      <c r="I121" s="10">
        <v>0</v>
      </c>
      <c r="J121" s="10">
        <v>0</v>
      </c>
      <c r="K121" s="10">
        <v>958.1</v>
      </c>
      <c r="L121" s="10">
        <v>821.7</v>
      </c>
      <c r="M121" s="10">
        <v>0</v>
      </c>
      <c r="N121" s="11">
        <v>2356.8000000000002</v>
      </c>
    </row>
    <row r="122" spans="1:14" x14ac:dyDescent="0.35">
      <c r="A122" s="17">
        <v>8</v>
      </c>
      <c r="B122" s="17">
        <v>9</v>
      </c>
      <c r="C122" s="17">
        <v>2025</v>
      </c>
      <c r="D122" s="20"/>
      <c r="E122" s="24" t="s">
        <v>10</v>
      </c>
      <c r="F122" s="15">
        <v>2.2000000000000002</v>
      </c>
      <c r="G122" s="10">
        <v>0</v>
      </c>
      <c r="H122" s="10">
        <v>46.8</v>
      </c>
      <c r="I122" s="10">
        <v>0</v>
      </c>
      <c r="J122" s="10">
        <v>220.20000000000002</v>
      </c>
      <c r="K122" s="10">
        <v>2694.5</v>
      </c>
      <c r="L122" s="10">
        <v>224.49999999999997</v>
      </c>
      <c r="M122" s="10">
        <v>1.8</v>
      </c>
      <c r="N122" s="11">
        <v>3190</v>
      </c>
    </row>
    <row r="123" spans="1:14" x14ac:dyDescent="0.35">
      <c r="A123" s="17">
        <v>8</v>
      </c>
      <c r="B123" s="17">
        <v>9</v>
      </c>
      <c r="C123" s="17">
        <v>2025</v>
      </c>
      <c r="D123" s="20"/>
      <c r="E123" s="24" t="s">
        <v>11</v>
      </c>
      <c r="F123" s="15">
        <v>22.8</v>
      </c>
      <c r="G123" s="10">
        <v>0</v>
      </c>
      <c r="H123" s="10">
        <v>0</v>
      </c>
      <c r="I123" s="10">
        <v>0</v>
      </c>
      <c r="J123" s="10">
        <v>0</v>
      </c>
      <c r="K123" s="10">
        <v>272.10000000000002</v>
      </c>
      <c r="L123" s="10">
        <v>0</v>
      </c>
      <c r="M123" s="10">
        <v>0</v>
      </c>
      <c r="N123" s="11">
        <v>294.90000000000003</v>
      </c>
    </row>
    <row r="124" spans="1:14" x14ac:dyDescent="0.35">
      <c r="A124" s="17">
        <v>8</v>
      </c>
      <c r="B124" s="17">
        <v>9</v>
      </c>
      <c r="C124" s="17">
        <v>2025</v>
      </c>
      <c r="D124" s="20"/>
      <c r="E124" s="24" t="s">
        <v>12</v>
      </c>
      <c r="F124" s="15">
        <v>422.00000000000006</v>
      </c>
      <c r="G124" s="10">
        <v>95.4</v>
      </c>
      <c r="H124" s="10">
        <v>61.699999999999996</v>
      </c>
      <c r="I124" s="10">
        <v>0</v>
      </c>
      <c r="J124" s="10">
        <v>0</v>
      </c>
      <c r="K124" s="10">
        <v>8.1999999999999993</v>
      </c>
      <c r="L124" s="10">
        <v>2.6</v>
      </c>
      <c r="M124" s="10">
        <v>28.299999999999997</v>
      </c>
      <c r="N124" s="11">
        <v>618.20000000000016</v>
      </c>
    </row>
    <row r="125" spans="1:14" x14ac:dyDescent="0.35">
      <c r="A125" s="17">
        <v>8</v>
      </c>
      <c r="B125" s="17">
        <v>9</v>
      </c>
      <c r="C125" s="17">
        <v>2025</v>
      </c>
      <c r="D125" s="20"/>
      <c r="E125" s="24" t="s">
        <v>13</v>
      </c>
      <c r="F125" s="15">
        <v>0</v>
      </c>
      <c r="G125" s="10">
        <v>0</v>
      </c>
      <c r="H125" s="10">
        <v>13.9</v>
      </c>
      <c r="I125" s="10">
        <v>0</v>
      </c>
      <c r="J125" s="10">
        <v>0</v>
      </c>
      <c r="K125" s="10">
        <v>1176.5999999999999</v>
      </c>
      <c r="L125" s="10">
        <v>125.39999999999999</v>
      </c>
      <c r="M125" s="10">
        <v>17.600000000000001</v>
      </c>
      <c r="N125" s="11">
        <v>1333.5</v>
      </c>
    </row>
    <row r="126" spans="1:14" x14ac:dyDescent="0.35">
      <c r="A126" s="18">
        <v>8</v>
      </c>
      <c r="B126" s="18">
        <v>9</v>
      </c>
      <c r="C126" s="18">
        <v>2025</v>
      </c>
      <c r="D126" s="21"/>
      <c r="E126" s="25" t="s">
        <v>28</v>
      </c>
      <c r="F126" s="16">
        <v>0</v>
      </c>
      <c r="G126" s="12">
        <v>0</v>
      </c>
      <c r="H126" s="12">
        <v>0</v>
      </c>
      <c r="I126" s="12">
        <v>0</v>
      </c>
      <c r="J126" s="12">
        <v>149.80000000000001</v>
      </c>
      <c r="K126" s="12">
        <v>1322.8000000000006</v>
      </c>
      <c r="L126" s="12">
        <v>160.5</v>
      </c>
      <c r="M126" s="12">
        <v>0</v>
      </c>
      <c r="N126" s="13">
        <v>1633.1000000000006</v>
      </c>
    </row>
    <row r="127" spans="1:14" x14ac:dyDescent="0.35">
      <c r="A127" s="17">
        <v>26</v>
      </c>
      <c r="B127" s="17">
        <v>8</v>
      </c>
      <c r="C127" s="17">
        <v>2025</v>
      </c>
      <c r="D127" s="20"/>
      <c r="E127" s="24" t="s">
        <v>0</v>
      </c>
      <c r="F127" s="15">
        <v>858.99999999999977</v>
      </c>
      <c r="G127" s="10">
        <v>161.89999999999998</v>
      </c>
      <c r="H127" s="10">
        <v>364.5</v>
      </c>
      <c r="I127" s="10">
        <v>0</v>
      </c>
      <c r="J127" s="10">
        <v>1010.2999999999998</v>
      </c>
      <c r="K127" s="10">
        <v>1738.7999999999997</v>
      </c>
      <c r="L127" s="10">
        <v>2767.5000000000009</v>
      </c>
      <c r="M127" s="10">
        <v>193.6</v>
      </c>
      <c r="N127" s="11">
        <v>7095.6</v>
      </c>
    </row>
    <row r="128" spans="1:14" x14ac:dyDescent="0.35">
      <c r="A128" s="17">
        <v>26</v>
      </c>
      <c r="B128" s="17">
        <v>8</v>
      </c>
      <c r="C128" s="17">
        <v>2025</v>
      </c>
      <c r="D128" s="20"/>
      <c r="E128" s="24" t="s">
        <v>1</v>
      </c>
      <c r="F128" s="15">
        <v>65.8</v>
      </c>
      <c r="G128" s="10">
        <v>0</v>
      </c>
      <c r="H128" s="10">
        <v>242.8</v>
      </c>
      <c r="I128" s="10">
        <v>0</v>
      </c>
      <c r="J128" s="10">
        <v>0</v>
      </c>
      <c r="K128" s="10">
        <v>236</v>
      </c>
      <c r="L128" s="10">
        <v>4302.7000000000007</v>
      </c>
      <c r="M128" s="10">
        <v>0</v>
      </c>
      <c r="N128" s="11">
        <v>4847.3000000000011</v>
      </c>
    </row>
    <row r="129" spans="1:14" x14ac:dyDescent="0.35">
      <c r="A129" s="17">
        <v>26</v>
      </c>
      <c r="B129" s="17">
        <v>8</v>
      </c>
      <c r="C129" s="17">
        <v>2025</v>
      </c>
      <c r="D129" s="20"/>
      <c r="E129" s="24" t="s">
        <v>2</v>
      </c>
      <c r="F129" s="15">
        <v>427.4</v>
      </c>
      <c r="G129" s="10">
        <v>12.1</v>
      </c>
      <c r="H129" s="10">
        <v>142.80000000000001</v>
      </c>
      <c r="I129" s="10">
        <v>0</v>
      </c>
      <c r="J129" s="10">
        <v>249.5</v>
      </c>
      <c r="K129" s="10">
        <v>4359.5000000000018</v>
      </c>
      <c r="L129" s="10">
        <v>1086.1000000000001</v>
      </c>
      <c r="M129" s="10">
        <v>50.699999999999996</v>
      </c>
      <c r="N129" s="11">
        <v>6328.1000000000022</v>
      </c>
    </row>
    <row r="130" spans="1:14" x14ac:dyDescent="0.35">
      <c r="A130" s="17">
        <v>26</v>
      </c>
      <c r="B130" s="17">
        <v>8</v>
      </c>
      <c r="C130" s="17">
        <v>2025</v>
      </c>
      <c r="D130" s="20"/>
      <c r="E130" s="24" t="s">
        <v>3</v>
      </c>
      <c r="F130" s="15">
        <v>494.69999999999993</v>
      </c>
      <c r="G130" s="10">
        <v>1849.8999999999999</v>
      </c>
      <c r="H130" s="10">
        <v>333.80000000000007</v>
      </c>
      <c r="I130" s="10">
        <v>360.4</v>
      </c>
      <c r="J130" s="10">
        <v>0</v>
      </c>
      <c r="K130" s="10">
        <v>619.4</v>
      </c>
      <c r="L130" s="10">
        <v>1288</v>
      </c>
      <c r="M130" s="10">
        <v>12.2</v>
      </c>
      <c r="N130" s="11">
        <v>4958.4000000000005</v>
      </c>
    </row>
    <row r="131" spans="1:14" x14ac:dyDescent="0.35">
      <c r="A131" s="17">
        <v>26</v>
      </c>
      <c r="B131" s="17">
        <v>8</v>
      </c>
      <c r="C131" s="17">
        <v>2025</v>
      </c>
      <c r="D131" s="20"/>
      <c r="E131" s="24" t="s">
        <v>4</v>
      </c>
      <c r="F131" s="15">
        <v>34.299999999999997</v>
      </c>
      <c r="G131" s="10">
        <v>1989.7</v>
      </c>
      <c r="H131" s="10">
        <v>77.3</v>
      </c>
      <c r="I131" s="10">
        <v>0</v>
      </c>
      <c r="J131" s="10">
        <v>0</v>
      </c>
      <c r="K131" s="10">
        <v>179.9</v>
      </c>
      <c r="L131" s="10">
        <v>1411.1</v>
      </c>
      <c r="M131" s="10">
        <v>0</v>
      </c>
      <c r="N131" s="11">
        <v>3692.3</v>
      </c>
    </row>
    <row r="132" spans="1:14" x14ac:dyDescent="0.35">
      <c r="A132" s="17">
        <v>26</v>
      </c>
      <c r="B132" s="17">
        <v>8</v>
      </c>
      <c r="C132" s="17">
        <v>2025</v>
      </c>
      <c r="D132" s="20"/>
      <c r="E132" s="24" t="s">
        <v>5</v>
      </c>
      <c r="F132" s="15">
        <v>194</v>
      </c>
      <c r="G132" s="10">
        <v>301.60000000000002</v>
      </c>
      <c r="H132" s="10">
        <v>215.1</v>
      </c>
      <c r="I132" s="10">
        <v>0</v>
      </c>
      <c r="J132" s="10">
        <v>99.8</v>
      </c>
      <c r="K132" s="10">
        <v>4282.1000000000013</v>
      </c>
      <c r="L132" s="10">
        <v>2585.3000000000006</v>
      </c>
      <c r="M132" s="10">
        <v>1.6</v>
      </c>
      <c r="N132" s="11">
        <v>7679.5000000000018</v>
      </c>
    </row>
    <row r="133" spans="1:14" x14ac:dyDescent="0.35">
      <c r="A133" s="17">
        <v>26</v>
      </c>
      <c r="B133" s="17">
        <v>8</v>
      </c>
      <c r="C133" s="17">
        <v>2025</v>
      </c>
      <c r="D133" s="20"/>
      <c r="E133" s="24" t="s">
        <v>6</v>
      </c>
      <c r="F133" s="15">
        <v>216.39999999999998</v>
      </c>
      <c r="G133" s="10">
        <v>9.1999999999999993</v>
      </c>
      <c r="H133" s="10">
        <v>248.69999999999996</v>
      </c>
      <c r="I133" s="10">
        <v>0</v>
      </c>
      <c r="J133" s="10">
        <v>366.9</v>
      </c>
      <c r="K133" s="10">
        <v>3211.4999999999995</v>
      </c>
      <c r="L133" s="10">
        <v>676.39999999999986</v>
      </c>
      <c r="M133" s="10">
        <v>25.9</v>
      </c>
      <c r="N133" s="11">
        <v>4754.9999999999991</v>
      </c>
    </row>
    <row r="134" spans="1:14" x14ac:dyDescent="0.35">
      <c r="A134" s="17">
        <v>26</v>
      </c>
      <c r="B134" s="17">
        <v>8</v>
      </c>
      <c r="C134" s="17">
        <v>2025</v>
      </c>
      <c r="D134" s="20"/>
      <c r="E134" s="24" t="s">
        <v>7</v>
      </c>
      <c r="F134" s="15">
        <v>226.6</v>
      </c>
      <c r="G134" s="10">
        <v>53.000000000000007</v>
      </c>
      <c r="H134" s="10">
        <v>140.30000000000001</v>
      </c>
      <c r="I134" s="10">
        <v>0</v>
      </c>
      <c r="J134" s="10">
        <v>99.8</v>
      </c>
      <c r="K134" s="10">
        <v>859.80000000000041</v>
      </c>
      <c r="L134" s="10">
        <v>1095.6000000000001</v>
      </c>
      <c r="M134" s="10">
        <v>26.099999999999998</v>
      </c>
      <c r="N134" s="11">
        <v>2501.2000000000003</v>
      </c>
    </row>
    <row r="135" spans="1:14" x14ac:dyDescent="0.35">
      <c r="A135" s="17">
        <v>26</v>
      </c>
      <c r="B135" s="17">
        <v>8</v>
      </c>
      <c r="C135" s="17">
        <v>2025</v>
      </c>
      <c r="D135" s="20"/>
      <c r="E135" s="24" t="s">
        <v>8</v>
      </c>
      <c r="F135" s="15">
        <v>145.70000000000002</v>
      </c>
      <c r="G135" s="10">
        <v>39.5</v>
      </c>
      <c r="H135" s="10">
        <v>63.7</v>
      </c>
      <c r="I135" s="10">
        <v>0</v>
      </c>
      <c r="J135" s="10">
        <v>50</v>
      </c>
      <c r="K135" s="10">
        <v>781.79999999999984</v>
      </c>
      <c r="L135" s="10">
        <v>1269.3000000000002</v>
      </c>
      <c r="M135" s="10">
        <v>156.1</v>
      </c>
      <c r="N135" s="11">
        <v>2506.1</v>
      </c>
    </row>
    <row r="136" spans="1:14" x14ac:dyDescent="0.35">
      <c r="A136" s="17">
        <v>26</v>
      </c>
      <c r="B136" s="17">
        <v>8</v>
      </c>
      <c r="C136" s="17">
        <v>2025</v>
      </c>
      <c r="D136" s="20"/>
      <c r="E136" s="24" t="s">
        <v>9</v>
      </c>
      <c r="F136" s="15">
        <v>163</v>
      </c>
      <c r="G136" s="10">
        <v>414</v>
      </c>
      <c r="H136" s="10">
        <v>0</v>
      </c>
      <c r="I136" s="10">
        <v>0</v>
      </c>
      <c r="J136" s="10">
        <v>0</v>
      </c>
      <c r="K136" s="10">
        <v>942.1</v>
      </c>
      <c r="L136" s="10">
        <v>821.7</v>
      </c>
      <c r="M136" s="10">
        <v>0</v>
      </c>
      <c r="N136" s="11">
        <v>2340.8000000000002</v>
      </c>
    </row>
    <row r="137" spans="1:14" x14ac:dyDescent="0.35">
      <c r="A137" s="17">
        <v>26</v>
      </c>
      <c r="B137" s="17">
        <v>8</v>
      </c>
      <c r="C137" s="17">
        <v>2025</v>
      </c>
      <c r="D137" s="20"/>
      <c r="E137" s="24" t="s">
        <v>10</v>
      </c>
      <c r="F137" s="15">
        <v>2.2000000000000002</v>
      </c>
      <c r="G137" s="10">
        <v>0</v>
      </c>
      <c r="H137" s="10">
        <v>46.8</v>
      </c>
      <c r="I137" s="10">
        <v>0</v>
      </c>
      <c r="J137" s="10">
        <v>220.20000000000002</v>
      </c>
      <c r="K137" s="10">
        <v>2651.9000000000005</v>
      </c>
      <c r="L137" s="10">
        <v>224.49999999999997</v>
      </c>
      <c r="M137" s="10">
        <v>1.8</v>
      </c>
      <c r="N137" s="11">
        <v>3147.4000000000005</v>
      </c>
    </row>
    <row r="138" spans="1:14" x14ac:dyDescent="0.35">
      <c r="A138" s="17">
        <v>26</v>
      </c>
      <c r="B138" s="17">
        <v>8</v>
      </c>
      <c r="C138" s="17">
        <v>2025</v>
      </c>
      <c r="D138" s="20"/>
      <c r="E138" s="24" t="s">
        <v>11</v>
      </c>
      <c r="F138" s="15">
        <v>22.8</v>
      </c>
      <c r="G138" s="10">
        <v>0</v>
      </c>
      <c r="H138" s="10">
        <v>0</v>
      </c>
      <c r="I138" s="10">
        <v>0</v>
      </c>
      <c r="J138" s="10">
        <v>0</v>
      </c>
      <c r="K138" s="10">
        <v>272.10000000000002</v>
      </c>
      <c r="L138" s="10">
        <v>0</v>
      </c>
      <c r="M138" s="10">
        <v>0</v>
      </c>
      <c r="N138" s="11">
        <v>294.90000000000003</v>
      </c>
    </row>
    <row r="139" spans="1:14" x14ac:dyDescent="0.35">
      <c r="A139" s="17">
        <v>26</v>
      </c>
      <c r="B139" s="17">
        <v>8</v>
      </c>
      <c r="C139" s="17">
        <v>2025</v>
      </c>
      <c r="D139" s="20"/>
      <c r="E139" s="24" t="s">
        <v>12</v>
      </c>
      <c r="F139" s="15">
        <v>422.00000000000006</v>
      </c>
      <c r="G139" s="10">
        <v>95.4</v>
      </c>
      <c r="H139" s="10">
        <v>64.8</v>
      </c>
      <c r="I139" s="10">
        <v>0</v>
      </c>
      <c r="J139" s="10">
        <v>0</v>
      </c>
      <c r="K139" s="10">
        <v>8.1999999999999993</v>
      </c>
      <c r="L139" s="10">
        <v>2.6</v>
      </c>
      <c r="M139" s="10">
        <v>28.299999999999997</v>
      </c>
      <c r="N139" s="11">
        <v>621.30000000000007</v>
      </c>
    </row>
    <row r="140" spans="1:14" x14ac:dyDescent="0.35">
      <c r="A140" s="17">
        <v>26</v>
      </c>
      <c r="B140" s="17">
        <v>8</v>
      </c>
      <c r="C140" s="17">
        <v>2025</v>
      </c>
      <c r="D140" s="20"/>
      <c r="E140" s="24" t="s">
        <v>13</v>
      </c>
      <c r="F140" s="15">
        <v>0</v>
      </c>
      <c r="G140" s="10">
        <v>0</v>
      </c>
      <c r="H140" s="10">
        <v>13.9</v>
      </c>
      <c r="I140" s="10">
        <v>0</v>
      </c>
      <c r="J140" s="10">
        <v>0</v>
      </c>
      <c r="K140" s="10">
        <v>1176.5999999999999</v>
      </c>
      <c r="L140" s="10">
        <v>125.39999999999999</v>
      </c>
      <c r="M140" s="10">
        <v>17.600000000000001</v>
      </c>
      <c r="N140" s="11">
        <v>1333.5</v>
      </c>
    </row>
    <row r="141" spans="1:14" x14ac:dyDescent="0.35">
      <c r="A141" s="18">
        <v>26</v>
      </c>
      <c r="B141" s="18">
        <v>8</v>
      </c>
      <c r="C141" s="18">
        <v>2025</v>
      </c>
      <c r="D141" s="21"/>
      <c r="E141" s="25" t="s">
        <v>28</v>
      </c>
      <c r="F141" s="16">
        <v>0</v>
      </c>
      <c r="G141" s="12">
        <v>0</v>
      </c>
      <c r="H141" s="12">
        <v>0</v>
      </c>
      <c r="I141" s="12">
        <v>0</v>
      </c>
      <c r="J141" s="12">
        <v>149.80000000000001</v>
      </c>
      <c r="K141" s="12">
        <v>1322.8000000000006</v>
      </c>
      <c r="L141" s="12">
        <v>160.5</v>
      </c>
      <c r="M141" s="12">
        <v>0</v>
      </c>
      <c r="N141" s="13">
        <v>1633.1000000000006</v>
      </c>
    </row>
    <row r="142" spans="1:14" x14ac:dyDescent="0.35">
      <c r="A142" s="17">
        <v>7</v>
      </c>
      <c r="B142" s="17">
        <v>7</v>
      </c>
      <c r="C142" s="17">
        <v>2025</v>
      </c>
      <c r="D142" s="20"/>
      <c r="E142" s="24" t="s">
        <v>0</v>
      </c>
      <c r="F142" s="15">
        <v>870.89999999999964</v>
      </c>
      <c r="G142" s="10">
        <v>161.89999999999998</v>
      </c>
      <c r="H142" s="10">
        <v>364.5</v>
      </c>
      <c r="I142" s="10">
        <v>0</v>
      </c>
      <c r="J142" s="10">
        <v>1010.2999999999998</v>
      </c>
      <c r="K142" s="10">
        <v>1694.8</v>
      </c>
      <c r="L142" s="10">
        <v>2745.0000000000009</v>
      </c>
      <c r="M142" s="10">
        <v>193.6</v>
      </c>
      <c r="N142" s="11">
        <v>7041.0000000000009</v>
      </c>
    </row>
    <row r="143" spans="1:14" x14ac:dyDescent="0.35">
      <c r="A143" s="17">
        <v>7</v>
      </c>
      <c r="B143" s="17">
        <v>7</v>
      </c>
      <c r="C143" s="17">
        <v>2025</v>
      </c>
      <c r="D143" s="20"/>
      <c r="E143" s="24" t="s">
        <v>1</v>
      </c>
      <c r="F143" s="15">
        <v>65.8</v>
      </c>
      <c r="G143" s="10">
        <v>0</v>
      </c>
      <c r="H143" s="10">
        <v>242.8</v>
      </c>
      <c r="I143" s="10">
        <v>0</v>
      </c>
      <c r="J143" s="10">
        <v>0</v>
      </c>
      <c r="K143" s="10">
        <v>167.00000000000003</v>
      </c>
      <c r="L143" s="10">
        <v>4327.7000000000016</v>
      </c>
      <c r="M143" s="10">
        <v>0</v>
      </c>
      <c r="N143" s="11">
        <v>4803.300000000002</v>
      </c>
    </row>
    <row r="144" spans="1:14" x14ac:dyDescent="0.35">
      <c r="A144" s="17">
        <v>7</v>
      </c>
      <c r="B144" s="17">
        <v>7</v>
      </c>
      <c r="C144" s="17">
        <v>2025</v>
      </c>
      <c r="D144" s="20"/>
      <c r="E144" s="24" t="s">
        <v>2</v>
      </c>
      <c r="F144" s="15">
        <v>427.4</v>
      </c>
      <c r="G144" s="10">
        <v>14.5</v>
      </c>
      <c r="H144" s="10">
        <v>143.40000000000003</v>
      </c>
      <c r="I144" s="10">
        <v>0</v>
      </c>
      <c r="J144" s="10">
        <v>249.5</v>
      </c>
      <c r="K144" s="10">
        <v>4383.9000000000024</v>
      </c>
      <c r="L144" s="10">
        <v>1101.5</v>
      </c>
      <c r="M144" s="10">
        <v>50.699999999999996</v>
      </c>
      <c r="N144" s="11">
        <v>6370.9000000000024</v>
      </c>
    </row>
    <row r="145" spans="1:14" x14ac:dyDescent="0.35">
      <c r="A145" s="17">
        <v>7</v>
      </c>
      <c r="B145" s="17">
        <v>7</v>
      </c>
      <c r="C145" s="17">
        <v>2025</v>
      </c>
      <c r="D145" s="20"/>
      <c r="E145" s="24" t="s">
        <v>3</v>
      </c>
      <c r="F145" s="15">
        <v>494.69999999999993</v>
      </c>
      <c r="G145" s="10">
        <v>1849.8999999999999</v>
      </c>
      <c r="H145" s="10">
        <v>333.80000000000007</v>
      </c>
      <c r="I145" s="10">
        <v>360.4</v>
      </c>
      <c r="J145" s="10">
        <v>0</v>
      </c>
      <c r="K145" s="10">
        <v>619.4</v>
      </c>
      <c r="L145" s="10">
        <v>1294.4000000000001</v>
      </c>
      <c r="M145" s="10">
        <v>12.2</v>
      </c>
      <c r="N145" s="11">
        <v>4964.8</v>
      </c>
    </row>
    <row r="146" spans="1:14" x14ac:dyDescent="0.35">
      <c r="A146" s="17">
        <v>7</v>
      </c>
      <c r="B146" s="17">
        <v>7</v>
      </c>
      <c r="C146" s="17">
        <v>2025</v>
      </c>
      <c r="D146" s="20"/>
      <c r="E146" s="24" t="s">
        <v>4</v>
      </c>
      <c r="F146" s="15">
        <v>34.299999999999997</v>
      </c>
      <c r="G146" s="10">
        <v>1989.7</v>
      </c>
      <c r="H146" s="10">
        <v>77.3</v>
      </c>
      <c r="I146" s="10">
        <v>0</v>
      </c>
      <c r="J146" s="10">
        <v>0</v>
      </c>
      <c r="K146" s="10">
        <v>179.9</v>
      </c>
      <c r="L146" s="10">
        <v>1374.7</v>
      </c>
      <c r="M146" s="10">
        <v>0</v>
      </c>
      <c r="N146" s="11">
        <v>3655.9000000000005</v>
      </c>
    </row>
    <row r="147" spans="1:14" x14ac:dyDescent="0.35">
      <c r="A147" s="17">
        <v>7</v>
      </c>
      <c r="B147" s="17">
        <v>7</v>
      </c>
      <c r="C147" s="17">
        <v>2025</v>
      </c>
      <c r="D147" s="20"/>
      <c r="E147" s="24" t="s">
        <v>5</v>
      </c>
      <c r="F147" s="15">
        <v>194</v>
      </c>
      <c r="G147" s="10">
        <v>301.60000000000002</v>
      </c>
      <c r="H147" s="10">
        <v>215.1</v>
      </c>
      <c r="I147" s="10">
        <v>0</v>
      </c>
      <c r="J147" s="10">
        <v>99.8</v>
      </c>
      <c r="K147" s="10">
        <v>4429.6000000000004</v>
      </c>
      <c r="L147" s="10">
        <v>2585.3000000000006</v>
      </c>
      <c r="M147" s="10">
        <v>1.6</v>
      </c>
      <c r="N147" s="11">
        <v>7827.0000000000018</v>
      </c>
    </row>
    <row r="148" spans="1:14" x14ac:dyDescent="0.35">
      <c r="A148" s="17">
        <v>7</v>
      </c>
      <c r="B148" s="17">
        <v>7</v>
      </c>
      <c r="C148" s="17">
        <v>2025</v>
      </c>
      <c r="D148" s="20"/>
      <c r="E148" s="24" t="s">
        <v>6</v>
      </c>
      <c r="F148" s="15">
        <v>217.8</v>
      </c>
      <c r="G148" s="10">
        <v>9.1999999999999993</v>
      </c>
      <c r="H148" s="10">
        <v>248.29999999999995</v>
      </c>
      <c r="I148" s="10">
        <v>0</v>
      </c>
      <c r="J148" s="10">
        <v>366.9</v>
      </c>
      <c r="K148" s="10">
        <v>3199.8</v>
      </c>
      <c r="L148" s="10">
        <v>676.39999999999986</v>
      </c>
      <c r="M148" s="10">
        <v>25.9</v>
      </c>
      <c r="N148" s="11">
        <v>4744.2999999999993</v>
      </c>
    </row>
    <row r="149" spans="1:14" x14ac:dyDescent="0.35">
      <c r="A149" s="17">
        <v>7</v>
      </c>
      <c r="B149" s="17">
        <v>7</v>
      </c>
      <c r="C149" s="17">
        <v>2025</v>
      </c>
      <c r="D149" s="20"/>
      <c r="E149" s="24" t="s">
        <v>7</v>
      </c>
      <c r="F149" s="15">
        <v>226.6</v>
      </c>
      <c r="G149" s="10">
        <v>53.000000000000007</v>
      </c>
      <c r="H149" s="10">
        <v>154.19999999999999</v>
      </c>
      <c r="I149" s="10">
        <v>0</v>
      </c>
      <c r="J149" s="10">
        <v>99.8</v>
      </c>
      <c r="K149" s="10">
        <v>806.70000000000039</v>
      </c>
      <c r="L149" s="10">
        <v>1137.1000000000004</v>
      </c>
      <c r="M149" s="10">
        <v>26.2</v>
      </c>
      <c r="N149" s="11">
        <v>2503.6000000000004</v>
      </c>
    </row>
    <row r="150" spans="1:14" x14ac:dyDescent="0.35">
      <c r="A150" s="17">
        <v>7</v>
      </c>
      <c r="B150" s="17">
        <v>7</v>
      </c>
      <c r="C150" s="17">
        <v>2025</v>
      </c>
      <c r="D150" s="20"/>
      <c r="E150" s="24" t="s">
        <v>8</v>
      </c>
      <c r="F150" s="15">
        <v>146</v>
      </c>
      <c r="G150" s="10">
        <v>39.5</v>
      </c>
      <c r="H150" s="10">
        <v>63.7</v>
      </c>
      <c r="I150" s="10">
        <v>0</v>
      </c>
      <c r="J150" s="10">
        <v>50</v>
      </c>
      <c r="K150" s="10">
        <v>708.5999999999998</v>
      </c>
      <c r="L150" s="10">
        <v>1229.3000000000002</v>
      </c>
      <c r="M150" s="10">
        <v>156.1</v>
      </c>
      <c r="N150" s="11">
        <v>2393.1999999999998</v>
      </c>
    </row>
    <row r="151" spans="1:14" x14ac:dyDescent="0.35">
      <c r="A151" s="17">
        <v>7</v>
      </c>
      <c r="B151" s="17">
        <v>7</v>
      </c>
      <c r="C151" s="17">
        <v>2025</v>
      </c>
      <c r="D151" s="20"/>
      <c r="E151" s="24" t="s">
        <v>9</v>
      </c>
      <c r="F151" s="15">
        <v>163</v>
      </c>
      <c r="G151" s="10">
        <v>414</v>
      </c>
      <c r="H151" s="10">
        <v>0</v>
      </c>
      <c r="I151" s="10">
        <v>0</v>
      </c>
      <c r="J151" s="10">
        <v>0</v>
      </c>
      <c r="K151" s="10">
        <v>942.1</v>
      </c>
      <c r="L151" s="10">
        <v>823.10000000000014</v>
      </c>
      <c r="M151" s="10">
        <v>0</v>
      </c>
      <c r="N151" s="11">
        <v>2342.1999999999998</v>
      </c>
    </row>
    <row r="152" spans="1:14" x14ac:dyDescent="0.35">
      <c r="A152" s="17">
        <v>7</v>
      </c>
      <c r="B152" s="17">
        <v>7</v>
      </c>
      <c r="C152" s="17">
        <v>2025</v>
      </c>
      <c r="D152" s="20"/>
      <c r="E152" s="24" t="s">
        <v>10</v>
      </c>
      <c r="F152" s="15">
        <v>2.2000000000000002</v>
      </c>
      <c r="G152" s="10">
        <v>0</v>
      </c>
      <c r="H152" s="10">
        <v>46.8</v>
      </c>
      <c r="I152" s="10">
        <v>0</v>
      </c>
      <c r="J152" s="10">
        <v>220.20000000000002</v>
      </c>
      <c r="K152" s="10">
        <v>2319.1000000000004</v>
      </c>
      <c r="L152" s="10">
        <v>224.49999999999997</v>
      </c>
      <c r="M152" s="10">
        <v>1.8</v>
      </c>
      <c r="N152" s="11">
        <v>2814.6000000000004</v>
      </c>
    </row>
    <row r="153" spans="1:14" x14ac:dyDescent="0.35">
      <c r="A153" s="17">
        <v>7</v>
      </c>
      <c r="B153" s="17">
        <v>7</v>
      </c>
      <c r="C153" s="17">
        <v>2025</v>
      </c>
      <c r="D153" s="20"/>
      <c r="E153" s="24" t="s">
        <v>11</v>
      </c>
      <c r="F153" s="15">
        <v>22.8</v>
      </c>
      <c r="G153" s="10">
        <v>0</v>
      </c>
      <c r="H153" s="10">
        <v>0</v>
      </c>
      <c r="I153" s="10">
        <v>0</v>
      </c>
      <c r="J153" s="10">
        <v>0</v>
      </c>
      <c r="K153" s="10">
        <v>256.60000000000002</v>
      </c>
      <c r="L153" s="10">
        <v>0</v>
      </c>
      <c r="M153" s="10">
        <v>0</v>
      </c>
      <c r="N153" s="11">
        <v>279.40000000000003</v>
      </c>
    </row>
    <row r="154" spans="1:14" x14ac:dyDescent="0.35">
      <c r="A154" s="17">
        <v>7</v>
      </c>
      <c r="B154" s="17">
        <v>7</v>
      </c>
      <c r="C154" s="17">
        <v>2025</v>
      </c>
      <c r="D154" s="20"/>
      <c r="E154" s="24" t="s">
        <v>12</v>
      </c>
      <c r="F154" s="15">
        <v>427.5</v>
      </c>
      <c r="G154" s="10">
        <v>95.4</v>
      </c>
      <c r="H154" s="10">
        <v>64.8</v>
      </c>
      <c r="I154" s="10">
        <v>0</v>
      </c>
      <c r="J154" s="10">
        <v>0</v>
      </c>
      <c r="K154" s="10">
        <v>8.1999999999999993</v>
      </c>
      <c r="L154" s="10">
        <v>2.6</v>
      </c>
      <c r="M154" s="10">
        <v>28.299999999999997</v>
      </c>
      <c r="N154" s="11">
        <v>626.79999999999995</v>
      </c>
    </row>
    <row r="155" spans="1:14" x14ac:dyDescent="0.35">
      <c r="A155" s="17">
        <v>7</v>
      </c>
      <c r="B155" s="17">
        <v>7</v>
      </c>
      <c r="C155" s="17">
        <v>2025</v>
      </c>
      <c r="D155" s="20"/>
      <c r="E155" s="24" t="s">
        <v>13</v>
      </c>
      <c r="F155" s="15">
        <v>0</v>
      </c>
      <c r="G155" s="10">
        <v>0</v>
      </c>
      <c r="H155" s="10">
        <v>13.9</v>
      </c>
      <c r="I155" s="10">
        <v>0</v>
      </c>
      <c r="J155" s="10">
        <v>0</v>
      </c>
      <c r="K155" s="10">
        <v>1176.5999999999999</v>
      </c>
      <c r="L155" s="10">
        <v>81.399999999999991</v>
      </c>
      <c r="M155" s="10">
        <v>18</v>
      </c>
      <c r="N155" s="11">
        <v>1289.9000000000001</v>
      </c>
    </row>
    <row r="156" spans="1:14" x14ac:dyDescent="0.35">
      <c r="A156" s="18">
        <v>7</v>
      </c>
      <c r="B156" s="18">
        <v>7</v>
      </c>
      <c r="C156" s="18">
        <v>2025</v>
      </c>
      <c r="D156" s="21"/>
      <c r="E156" s="25" t="s">
        <v>28</v>
      </c>
      <c r="F156" s="16">
        <v>0</v>
      </c>
      <c r="G156" s="12">
        <v>0</v>
      </c>
      <c r="H156" s="12">
        <v>0</v>
      </c>
      <c r="I156" s="12">
        <v>0</v>
      </c>
      <c r="J156" s="12">
        <v>149.9</v>
      </c>
      <c r="K156" s="12">
        <v>1322.8000000000006</v>
      </c>
      <c r="L156" s="12">
        <v>160.5</v>
      </c>
      <c r="M156" s="12">
        <v>0</v>
      </c>
      <c r="N156" s="13">
        <v>1633.2000000000007</v>
      </c>
    </row>
    <row r="157" spans="1:14" x14ac:dyDescent="0.35">
      <c r="A157" s="17">
        <v>9</v>
      </c>
      <c r="B157" s="17">
        <v>6</v>
      </c>
      <c r="C157" s="17">
        <v>2025</v>
      </c>
      <c r="D157" s="20"/>
      <c r="E157" s="24" t="s">
        <v>0</v>
      </c>
      <c r="F157" s="15">
        <v>870.89999999999975</v>
      </c>
      <c r="G157" s="10">
        <v>168.29999999999998</v>
      </c>
      <c r="H157" s="10">
        <v>352.6</v>
      </c>
      <c r="I157" s="10">
        <v>0</v>
      </c>
      <c r="J157" s="10">
        <v>1010.2999999999998</v>
      </c>
      <c r="K157" s="10">
        <v>1611.3999999999999</v>
      </c>
      <c r="L157" s="10">
        <v>2746.2000000000007</v>
      </c>
      <c r="M157" s="10">
        <v>193.6</v>
      </c>
      <c r="N157" s="11">
        <v>6953.3</v>
      </c>
    </row>
    <row r="158" spans="1:14" x14ac:dyDescent="0.35">
      <c r="A158" s="17">
        <v>9</v>
      </c>
      <c r="B158" s="17">
        <v>6</v>
      </c>
      <c r="C158" s="17">
        <v>2025</v>
      </c>
      <c r="D158" s="20"/>
      <c r="E158" s="24" t="s">
        <v>1</v>
      </c>
      <c r="F158" s="15">
        <v>65.8</v>
      </c>
      <c r="G158" s="10">
        <v>0</v>
      </c>
      <c r="H158" s="10">
        <v>242.8</v>
      </c>
      <c r="I158" s="10">
        <v>0</v>
      </c>
      <c r="J158" s="10">
        <v>0</v>
      </c>
      <c r="K158" s="10">
        <v>167.00000000000003</v>
      </c>
      <c r="L158" s="10">
        <v>4327.7000000000016</v>
      </c>
      <c r="M158" s="10">
        <v>0</v>
      </c>
      <c r="N158" s="11">
        <v>4803.300000000002</v>
      </c>
    </row>
    <row r="159" spans="1:14" x14ac:dyDescent="0.35">
      <c r="A159" s="17">
        <v>9</v>
      </c>
      <c r="B159" s="17">
        <v>6</v>
      </c>
      <c r="C159" s="17">
        <v>2025</v>
      </c>
      <c r="D159" s="20"/>
      <c r="E159" s="24" t="s">
        <v>2</v>
      </c>
      <c r="F159" s="15">
        <v>427.4</v>
      </c>
      <c r="G159" s="10">
        <v>14.5</v>
      </c>
      <c r="H159" s="10">
        <v>143.5</v>
      </c>
      <c r="I159" s="10">
        <v>0</v>
      </c>
      <c r="J159" s="10">
        <v>249.5</v>
      </c>
      <c r="K159" s="10">
        <v>4126.7000000000016</v>
      </c>
      <c r="L159" s="10">
        <v>1101.5</v>
      </c>
      <c r="M159" s="10">
        <v>50.699999999999996</v>
      </c>
      <c r="N159" s="11">
        <v>6113.8000000000011</v>
      </c>
    </row>
    <row r="160" spans="1:14" x14ac:dyDescent="0.35">
      <c r="A160" s="17">
        <v>9</v>
      </c>
      <c r="B160" s="17">
        <v>6</v>
      </c>
      <c r="C160" s="17">
        <v>2025</v>
      </c>
      <c r="D160" s="20"/>
      <c r="E160" s="24" t="s">
        <v>3</v>
      </c>
      <c r="F160" s="15">
        <v>494.69999999999993</v>
      </c>
      <c r="G160" s="10">
        <v>1849.8999999999999</v>
      </c>
      <c r="H160" s="10">
        <v>333.80000000000007</v>
      </c>
      <c r="I160" s="10">
        <v>360.4</v>
      </c>
      <c r="J160" s="10">
        <v>0</v>
      </c>
      <c r="K160" s="10">
        <v>593.29999999999995</v>
      </c>
      <c r="L160" s="10">
        <v>1210</v>
      </c>
      <c r="M160" s="10">
        <v>12.2</v>
      </c>
      <c r="N160" s="11">
        <v>4854.3</v>
      </c>
    </row>
    <row r="161" spans="1:14" x14ac:dyDescent="0.35">
      <c r="A161" s="17">
        <v>9</v>
      </c>
      <c r="B161" s="17">
        <v>6</v>
      </c>
      <c r="C161" s="17">
        <v>2025</v>
      </c>
      <c r="D161" s="20"/>
      <c r="E161" s="24" t="s">
        <v>4</v>
      </c>
      <c r="F161" s="15">
        <v>34.299999999999997</v>
      </c>
      <c r="G161" s="10">
        <v>1989.7</v>
      </c>
      <c r="H161" s="10">
        <v>77.3</v>
      </c>
      <c r="I161" s="10">
        <v>0</v>
      </c>
      <c r="J161" s="10">
        <v>0</v>
      </c>
      <c r="K161" s="10">
        <v>179.9</v>
      </c>
      <c r="L161" s="10">
        <v>1374.7</v>
      </c>
      <c r="M161" s="10">
        <v>0</v>
      </c>
      <c r="N161" s="11">
        <v>3655.9000000000005</v>
      </c>
    </row>
    <row r="162" spans="1:14" x14ac:dyDescent="0.35">
      <c r="A162" s="17">
        <v>9</v>
      </c>
      <c r="B162" s="17">
        <v>6</v>
      </c>
      <c r="C162" s="17">
        <v>2025</v>
      </c>
      <c r="D162" s="20"/>
      <c r="E162" s="24" t="s">
        <v>5</v>
      </c>
      <c r="F162" s="15">
        <v>194</v>
      </c>
      <c r="G162" s="10">
        <v>301.60000000000002</v>
      </c>
      <c r="H162" s="10">
        <v>215.1</v>
      </c>
      <c r="I162" s="10">
        <v>0</v>
      </c>
      <c r="J162" s="10">
        <v>99.8</v>
      </c>
      <c r="K162" s="10">
        <v>4346.4000000000005</v>
      </c>
      <c r="L162" s="10">
        <v>2585.3000000000006</v>
      </c>
      <c r="M162" s="10">
        <v>1.6</v>
      </c>
      <c r="N162" s="11">
        <v>7743.8000000000011</v>
      </c>
    </row>
    <row r="163" spans="1:14" x14ac:dyDescent="0.35">
      <c r="A163" s="17">
        <v>9</v>
      </c>
      <c r="B163" s="17">
        <v>6</v>
      </c>
      <c r="C163" s="17">
        <v>2025</v>
      </c>
      <c r="D163" s="20"/>
      <c r="E163" s="24" t="s">
        <v>6</v>
      </c>
      <c r="F163" s="15">
        <v>173.89999999999998</v>
      </c>
      <c r="G163" s="10">
        <v>9.1999999999999993</v>
      </c>
      <c r="H163" s="10">
        <v>212.09999999999997</v>
      </c>
      <c r="I163" s="10">
        <v>0</v>
      </c>
      <c r="J163" s="10">
        <v>366.9</v>
      </c>
      <c r="K163" s="10">
        <v>2981.8999999999996</v>
      </c>
      <c r="L163" s="10">
        <v>587.9</v>
      </c>
      <c r="M163" s="10">
        <v>25.9</v>
      </c>
      <c r="N163" s="11">
        <v>4357.7999999999993</v>
      </c>
    </row>
    <row r="164" spans="1:14" x14ac:dyDescent="0.35">
      <c r="A164" s="17">
        <v>9</v>
      </c>
      <c r="B164" s="17">
        <v>6</v>
      </c>
      <c r="C164" s="17">
        <v>2025</v>
      </c>
      <c r="D164" s="20"/>
      <c r="E164" s="24" t="s">
        <v>7</v>
      </c>
      <c r="F164" s="15">
        <v>273.7</v>
      </c>
      <c r="G164" s="10">
        <v>53.000000000000007</v>
      </c>
      <c r="H164" s="10">
        <v>190.39999999999998</v>
      </c>
      <c r="I164" s="10">
        <v>0</v>
      </c>
      <c r="J164" s="10">
        <v>99.8</v>
      </c>
      <c r="K164" s="10">
        <v>800.70000000000039</v>
      </c>
      <c r="L164" s="10">
        <v>1137.1000000000004</v>
      </c>
      <c r="M164" s="10">
        <v>26.2</v>
      </c>
      <c r="N164" s="11">
        <v>2580.9000000000005</v>
      </c>
    </row>
    <row r="165" spans="1:14" x14ac:dyDescent="0.35">
      <c r="A165" s="17">
        <v>9</v>
      </c>
      <c r="B165" s="17">
        <v>6</v>
      </c>
      <c r="C165" s="17">
        <v>2025</v>
      </c>
      <c r="D165" s="20"/>
      <c r="E165" s="24" t="s">
        <v>8</v>
      </c>
      <c r="F165" s="15">
        <v>146</v>
      </c>
      <c r="G165" s="10">
        <v>39.5</v>
      </c>
      <c r="H165" s="10">
        <v>63.7</v>
      </c>
      <c r="I165" s="10">
        <v>0</v>
      </c>
      <c r="J165" s="10">
        <v>50</v>
      </c>
      <c r="K165" s="10">
        <v>707.69999999999982</v>
      </c>
      <c r="L165" s="10">
        <v>1229.3000000000002</v>
      </c>
      <c r="M165" s="10">
        <v>156.1</v>
      </c>
      <c r="N165" s="11">
        <v>2392.2999999999997</v>
      </c>
    </row>
    <row r="166" spans="1:14" x14ac:dyDescent="0.35">
      <c r="A166" s="17">
        <v>9</v>
      </c>
      <c r="B166" s="17">
        <v>6</v>
      </c>
      <c r="C166" s="17">
        <v>2025</v>
      </c>
      <c r="D166" s="20"/>
      <c r="E166" s="24" t="s">
        <v>9</v>
      </c>
      <c r="F166" s="15">
        <v>163</v>
      </c>
      <c r="G166" s="10">
        <v>414</v>
      </c>
      <c r="H166" s="10">
        <v>0</v>
      </c>
      <c r="I166" s="10">
        <v>0</v>
      </c>
      <c r="J166" s="10">
        <v>0</v>
      </c>
      <c r="K166" s="10">
        <v>925.9</v>
      </c>
      <c r="L166" s="10">
        <v>824.10000000000014</v>
      </c>
      <c r="M166" s="10">
        <v>0</v>
      </c>
      <c r="N166" s="11">
        <v>2327</v>
      </c>
    </row>
    <row r="167" spans="1:14" x14ac:dyDescent="0.35">
      <c r="A167" s="17">
        <v>9</v>
      </c>
      <c r="B167" s="17">
        <v>6</v>
      </c>
      <c r="C167" s="17">
        <v>2025</v>
      </c>
      <c r="D167" s="20"/>
      <c r="E167" s="24" t="s">
        <v>10</v>
      </c>
      <c r="F167" s="15">
        <v>2.2000000000000002</v>
      </c>
      <c r="G167" s="10">
        <v>0</v>
      </c>
      <c r="H167" s="10">
        <v>49.7</v>
      </c>
      <c r="I167" s="10">
        <v>0</v>
      </c>
      <c r="J167" s="10">
        <v>220.20000000000002</v>
      </c>
      <c r="K167" s="10">
        <v>2493.3000000000002</v>
      </c>
      <c r="L167" s="10">
        <v>134.49999999999997</v>
      </c>
      <c r="M167" s="10">
        <v>1.8</v>
      </c>
      <c r="N167" s="11">
        <v>2901.7000000000003</v>
      </c>
    </row>
    <row r="168" spans="1:14" x14ac:dyDescent="0.35">
      <c r="A168" s="17">
        <v>9</v>
      </c>
      <c r="B168" s="17">
        <v>6</v>
      </c>
      <c r="C168" s="17">
        <v>2025</v>
      </c>
      <c r="D168" s="20"/>
      <c r="E168" s="24" t="s">
        <v>11</v>
      </c>
      <c r="F168" s="15">
        <v>22.8</v>
      </c>
      <c r="G168" s="10">
        <v>0</v>
      </c>
      <c r="H168" s="10">
        <v>0</v>
      </c>
      <c r="I168" s="10">
        <v>0</v>
      </c>
      <c r="J168" s="10">
        <v>0</v>
      </c>
      <c r="K168" s="10">
        <v>256.60000000000002</v>
      </c>
      <c r="L168" s="10">
        <v>0</v>
      </c>
      <c r="M168" s="10">
        <v>0</v>
      </c>
      <c r="N168" s="11">
        <v>279.40000000000003</v>
      </c>
    </row>
    <row r="169" spans="1:14" x14ac:dyDescent="0.35">
      <c r="A169" s="17">
        <v>9</v>
      </c>
      <c r="B169" s="17">
        <v>6</v>
      </c>
      <c r="C169" s="17">
        <v>2025</v>
      </c>
      <c r="D169" s="20"/>
      <c r="E169" s="24" t="s">
        <v>12</v>
      </c>
      <c r="F169" s="15">
        <v>427.5</v>
      </c>
      <c r="G169" s="10">
        <v>95.4</v>
      </c>
      <c r="H169" s="10">
        <v>64.8</v>
      </c>
      <c r="I169" s="10">
        <v>0</v>
      </c>
      <c r="J169" s="10">
        <v>0</v>
      </c>
      <c r="K169" s="10">
        <v>8.1999999999999993</v>
      </c>
      <c r="L169" s="10">
        <v>2.6</v>
      </c>
      <c r="M169" s="10">
        <v>28.299999999999997</v>
      </c>
      <c r="N169" s="11">
        <v>626.79999999999995</v>
      </c>
    </row>
    <row r="170" spans="1:14" x14ac:dyDescent="0.35">
      <c r="A170" s="17">
        <v>9</v>
      </c>
      <c r="B170" s="17">
        <v>6</v>
      </c>
      <c r="C170" s="17">
        <v>2025</v>
      </c>
      <c r="D170" s="20"/>
      <c r="E170" s="24" t="s">
        <v>13</v>
      </c>
      <c r="F170" s="15">
        <v>0</v>
      </c>
      <c r="G170" s="10">
        <v>0</v>
      </c>
      <c r="H170" s="10">
        <v>13.9</v>
      </c>
      <c r="I170" s="10">
        <v>0</v>
      </c>
      <c r="J170" s="10">
        <v>0</v>
      </c>
      <c r="K170" s="10">
        <v>1176.5999999999999</v>
      </c>
      <c r="L170" s="10">
        <v>82.1</v>
      </c>
      <c r="M170" s="10">
        <v>18</v>
      </c>
      <c r="N170" s="11">
        <v>1290.5999999999999</v>
      </c>
    </row>
    <row r="171" spans="1:14" x14ac:dyDescent="0.35">
      <c r="A171" s="18">
        <v>9</v>
      </c>
      <c r="B171" s="18">
        <v>6</v>
      </c>
      <c r="C171" s="18">
        <v>2025</v>
      </c>
      <c r="D171" s="21"/>
      <c r="E171" s="25" t="s">
        <v>28</v>
      </c>
      <c r="F171" s="16">
        <v>0</v>
      </c>
      <c r="G171" s="12">
        <v>0</v>
      </c>
      <c r="H171" s="12">
        <v>0</v>
      </c>
      <c r="I171" s="12">
        <v>0</v>
      </c>
      <c r="J171" s="12">
        <v>149.9</v>
      </c>
      <c r="K171" s="12">
        <v>1340.3000000000006</v>
      </c>
      <c r="L171" s="12">
        <v>339</v>
      </c>
      <c r="M171" s="12">
        <v>0</v>
      </c>
      <c r="N171" s="13">
        <v>1829.2000000000007</v>
      </c>
    </row>
    <row r="172" spans="1:14" x14ac:dyDescent="0.35">
      <c r="A172" s="17">
        <v>8</v>
      </c>
      <c r="B172" s="17">
        <v>5</v>
      </c>
      <c r="C172" s="17">
        <v>2025</v>
      </c>
      <c r="D172" s="20"/>
      <c r="E172" s="24" t="s">
        <v>0</v>
      </c>
      <c r="F172" s="15">
        <v>870.89999999999975</v>
      </c>
      <c r="G172" s="10">
        <v>192.89999999999998</v>
      </c>
      <c r="H172" s="10">
        <v>352.6</v>
      </c>
      <c r="I172" s="10">
        <v>0</v>
      </c>
      <c r="J172" s="10">
        <v>1010.2999999999998</v>
      </c>
      <c r="K172" s="10">
        <v>1566.3999999999999</v>
      </c>
      <c r="L172" s="10">
        <v>2719.8000000000006</v>
      </c>
      <c r="M172" s="10">
        <v>193.6</v>
      </c>
      <c r="N172" s="11">
        <v>6906.5</v>
      </c>
    </row>
    <row r="173" spans="1:14" x14ac:dyDescent="0.35">
      <c r="A173" s="17">
        <v>8</v>
      </c>
      <c r="B173" s="17">
        <v>5</v>
      </c>
      <c r="C173" s="17">
        <v>2025</v>
      </c>
      <c r="D173" s="20"/>
      <c r="E173" s="24" t="s">
        <v>1</v>
      </c>
      <c r="F173" s="15">
        <v>65.8</v>
      </c>
      <c r="G173" s="10">
        <v>0</v>
      </c>
      <c r="H173" s="10">
        <v>242.8</v>
      </c>
      <c r="I173" s="10">
        <v>0</v>
      </c>
      <c r="J173" s="10">
        <v>0</v>
      </c>
      <c r="K173" s="10">
        <v>167.00000000000003</v>
      </c>
      <c r="L173" s="10">
        <v>4327.7000000000016</v>
      </c>
      <c r="M173" s="10">
        <v>0</v>
      </c>
      <c r="N173" s="11">
        <v>4803.300000000002</v>
      </c>
    </row>
    <row r="174" spans="1:14" x14ac:dyDescent="0.35">
      <c r="A174" s="17">
        <v>8</v>
      </c>
      <c r="B174" s="17">
        <v>5</v>
      </c>
      <c r="C174" s="17">
        <v>2025</v>
      </c>
      <c r="D174" s="20"/>
      <c r="E174" s="24" t="s">
        <v>2</v>
      </c>
      <c r="F174" s="15">
        <v>431.70000000000005</v>
      </c>
      <c r="G174" s="10">
        <v>14.5</v>
      </c>
      <c r="H174" s="10">
        <v>147.80000000000001</v>
      </c>
      <c r="I174" s="10">
        <v>0</v>
      </c>
      <c r="J174" s="10">
        <v>249.5</v>
      </c>
      <c r="K174" s="10">
        <v>4110.2000000000016</v>
      </c>
      <c r="L174" s="10">
        <v>1101.5</v>
      </c>
      <c r="M174" s="10">
        <v>50.699999999999996</v>
      </c>
      <c r="N174" s="11">
        <v>6105.9000000000015</v>
      </c>
    </row>
    <row r="175" spans="1:14" x14ac:dyDescent="0.35">
      <c r="A175" s="17">
        <v>8</v>
      </c>
      <c r="B175" s="17">
        <v>5</v>
      </c>
      <c r="C175" s="17">
        <v>2025</v>
      </c>
      <c r="D175" s="20"/>
      <c r="E175" s="24" t="s">
        <v>3</v>
      </c>
      <c r="F175" s="15">
        <v>494.69999999999993</v>
      </c>
      <c r="G175" s="10">
        <v>1849.8999999999999</v>
      </c>
      <c r="H175" s="10">
        <v>333.80000000000007</v>
      </c>
      <c r="I175" s="10">
        <v>360.4</v>
      </c>
      <c r="J175" s="10">
        <v>0</v>
      </c>
      <c r="K175" s="10">
        <v>593.29999999999995</v>
      </c>
      <c r="L175" s="10">
        <v>1171.0999999999999</v>
      </c>
      <c r="M175" s="10">
        <v>12.2</v>
      </c>
      <c r="N175" s="11">
        <v>4815.4000000000005</v>
      </c>
    </row>
    <row r="176" spans="1:14" x14ac:dyDescent="0.35">
      <c r="A176" s="17">
        <v>8</v>
      </c>
      <c r="B176" s="17">
        <v>5</v>
      </c>
      <c r="C176" s="17">
        <v>2025</v>
      </c>
      <c r="D176" s="20"/>
      <c r="E176" s="24" t="s">
        <v>4</v>
      </c>
      <c r="F176" s="15">
        <v>34.700000000000003</v>
      </c>
      <c r="G176" s="10">
        <v>1989.7</v>
      </c>
      <c r="H176" s="10">
        <v>77.3</v>
      </c>
      <c r="I176" s="10">
        <v>0</v>
      </c>
      <c r="J176" s="10">
        <v>0</v>
      </c>
      <c r="K176" s="10">
        <v>197.9</v>
      </c>
      <c r="L176" s="10">
        <v>1431.4999999999998</v>
      </c>
      <c r="M176" s="10">
        <v>0</v>
      </c>
      <c r="N176" s="11">
        <v>3731.1000000000004</v>
      </c>
    </row>
    <row r="177" spans="1:14" x14ac:dyDescent="0.35">
      <c r="A177" s="17">
        <v>8</v>
      </c>
      <c r="B177" s="17">
        <v>5</v>
      </c>
      <c r="C177" s="17">
        <v>2025</v>
      </c>
      <c r="D177" s="20"/>
      <c r="E177" s="24" t="s">
        <v>5</v>
      </c>
      <c r="F177" s="15">
        <v>193.1</v>
      </c>
      <c r="G177" s="10">
        <v>301.60000000000002</v>
      </c>
      <c r="H177" s="10">
        <v>215.1</v>
      </c>
      <c r="I177" s="10">
        <v>0</v>
      </c>
      <c r="J177" s="10">
        <v>99.8</v>
      </c>
      <c r="K177" s="10">
        <v>4318.5000000000009</v>
      </c>
      <c r="L177" s="10">
        <v>2540.3000000000006</v>
      </c>
      <c r="M177" s="10">
        <v>1.6</v>
      </c>
      <c r="N177" s="11">
        <v>7670.0000000000018</v>
      </c>
    </row>
    <row r="178" spans="1:14" x14ac:dyDescent="0.35">
      <c r="A178" s="17">
        <v>8</v>
      </c>
      <c r="B178" s="17">
        <v>5</v>
      </c>
      <c r="C178" s="17">
        <v>2025</v>
      </c>
      <c r="D178" s="20"/>
      <c r="E178" s="24" t="s">
        <v>6</v>
      </c>
      <c r="F178" s="15">
        <v>174.8</v>
      </c>
      <c r="G178" s="10">
        <v>9.1999999999999993</v>
      </c>
      <c r="H178" s="10">
        <v>212.29999999999998</v>
      </c>
      <c r="I178" s="10">
        <v>0</v>
      </c>
      <c r="J178" s="10">
        <v>366.9</v>
      </c>
      <c r="K178" s="10">
        <v>2962.9999999999995</v>
      </c>
      <c r="L178" s="10">
        <v>587.9</v>
      </c>
      <c r="M178" s="10">
        <v>25.9</v>
      </c>
      <c r="N178" s="11">
        <v>4339.9999999999991</v>
      </c>
    </row>
    <row r="179" spans="1:14" x14ac:dyDescent="0.35">
      <c r="A179" s="17">
        <v>8</v>
      </c>
      <c r="B179" s="17">
        <v>5</v>
      </c>
      <c r="C179" s="17">
        <v>2025</v>
      </c>
      <c r="D179" s="20"/>
      <c r="E179" s="24" t="s">
        <v>7</v>
      </c>
      <c r="F179" s="15">
        <v>273.7</v>
      </c>
      <c r="G179" s="10">
        <v>53.000000000000007</v>
      </c>
      <c r="H179" s="10">
        <v>190.39999999999998</v>
      </c>
      <c r="I179" s="10">
        <v>0</v>
      </c>
      <c r="J179" s="10">
        <v>99.8</v>
      </c>
      <c r="K179" s="10">
        <v>774.80000000000041</v>
      </c>
      <c r="L179" s="10">
        <v>1137.1000000000004</v>
      </c>
      <c r="M179" s="10">
        <v>26.2</v>
      </c>
      <c r="N179" s="11">
        <v>2555.0000000000005</v>
      </c>
    </row>
    <row r="180" spans="1:14" x14ac:dyDescent="0.35">
      <c r="A180" s="17">
        <v>8</v>
      </c>
      <c r="B180" s="17">
        <v>5</v>
      </c>
      <c r="C180" s="17">
        <v>2025</v>
      </c>
      <c r="D180" s="20"/>
      <c r="E180" s="24" t="s">
        <v>8</v>
      </c>
      <c r="F180" s="15">
        <v>146</v>
      </c>
      <c r="G180" s="10">
        <v>39.5</v>
      </c>
      <c r="H180" s="10">
        <v>63.7</v>
      </c>
      <c r="I180" s="10">
        <v>0</v>
      </c>
      <c r="J180" s="10">
        <v>50</v>
      </c>
      <c r="K180" s="10">
        <v>707.69999999999982</v>
      </c>
      <c r="L180" s="10">
        <v>1229.3000000000002</v>
      </c>
      <c r="M180" s="10">
        <v>156.1</v>
      </c>
      <c r="N180" s="11">
        <v>2392.2999999999997</v>
      </c>
    </row>
    <row r="181" spans="1:14" x14ac:dyDescent="0.35">
      <c r="A181" s="17">
        <v>8</v>
      </c>
      <c r="B181" s="17">
        <v>5</v>
      </c>
      <c r="C181" s="17">
        <v>2025</v>
      </c>
      <c r="D181" s="20"/>
      <c r="E181" s="24" t="s">
        <v>9</v>
      </c>
      <c r="F181" s="15">
        <v>163</v>
      </c>
      <c r="G181" s="10">
        <v>414</v>
      </c>
      <c r="H181" s="10">
        <v>0</v>
      </c>
      <c r="I181" s="10">
        <v>0</v>
      </c>
      <c r="J181" s="10">
        <v>0</v>
      </c>
      <c r="K181" s="10">
        <v>925.9</v>
      </c>
      <c r="L181" s="10">
        <v>824.10000000000014</v>
      </c>
      <c r="M181" s="10">
        <v>0</v>
      </c>
      <c r="N181" s="11">
        <v>2327</v>
      </c>
    </row>
    <row r="182" spans="1:14" x14ac:dyDescent="0.35">
      <c r="A182" s="17">
        <v>8</v>
      </c>
      <c r="B182" s="17">
        <v>5</v>
      </c>
      <c r="C182" s="17">
        <v>2025</v>
      </c>
      <c r="D182" s="20"/>
      <c r="E182" s="24" t="s">
        <v>10</v>
      </c>
      <c r="F182" s="15">
        <v>2.2000000000000002</v>
      </c>
      <c r="G182" s="10">
        <v>0</v>
      </c>
      <c r="H182" s="10">
        <v>50.1</v>
      </c>
      <c r="I182" s="10">
        <v>0</v>
      </c>
      <c r="J182" s="10">
        <v>220.20000000000002</v>
      </c>
      <c r="K182" s="10">
        <v>2491.8000000000002</v>
      </c>
      <c r="L182" s="10">
        <v>134.49999999999997</v>
      </c>
      <c r="M182" s="10">
        <v>1.8</v>
      </c>
      <c r="N182" s="11">
        <v>2900.6000000000004</v>
      </c>
    </row>
    <row r="183" spans="1:14" x14ac:dyDescent="0.35">
      <c r="A183" s="17">
        <v>8</v>
      </c>
      <c r="B183" s="17">
        <v>5</v>
      </c>
      <c r="C183" s="17">
        <v>2025</v>
      </c>
      <c r="D183" s="20"/>
      <c r="E183" s="24" t="s">
        <v>11</v>
      </c>
      <c r="F183" s="15">
        <v>22.8</v>
      </c>
      <c r="G183" s="10">
        <v>0</v>
      </c>
      <c r="H183" s="10">
        <v>0</v>
      </c>
      <c r="I183" s="10">
        <v>0</v>
      </c>
      <c r="J183" s="10">
        <v>0</v>
      </c>
      <c r="K183" s="10">
        <v>257.40000000000003</v>
      </c>
      <c r="L183" s="10">
        <v>0</v>
      </c>
      <c r="M183" s="10">
        <v>0</v>
      </c>
      <c r="N183" s="11">
        <v>280.20000000000005</v>
      </c>
    </row>
    <row r="184" spans="1:14" x14ac:dyDescent="0.35">
      <c r="A184" s="17">
        <v>8</v>
      </c>
      <c r="B184" s="17">
        <v>5</v>
      </c>
      <c r="C184" s="17">
        <v>2025</v>
      </c>
      <c r="D184" s="20"/>
      <c r="E184" s="24" t="s">
        <v>12</v>
      </c>
      <c r="F184" s="15">
        <v>440.9</v>
      </c>
      <c r="G184" s="10">
        <v>95.4</v>
      </c>
      <c r="H184" s="10">
        <v>64.8</v>
      </c>
      <c r="I184" s="10">
        <v>0</v>
      </c>
      <c r="J184" s="10">
        <v>0</v>
      </c>
      <c r="K184" s="10">
        <v>8.1999999999999993</v>
      </c>
      <c r="L184" s="10">
        <v>2.6</v>
      </c>
      <c r="M184" s="10">
        <v>28.299999999999997</v>
      </c>
      <c r="N184" s="11">
        <v>640.19999999999993</v>
      </c>
    </row>
    <row r="185" spans="1:14" x14ac:dyDescent="0.35">
      <c r="A185" s="17">
        <v>8</v>
      </c>
      <c r="B185" s="17">
        <v>5</v>
      </c>
      <c r="C185" s="17">
        <v>2025</v>
      </c>
      <c r="D185" s="20"/>
      <c r="E185" s="24" t="s">
        <v>13</v>
      </c>
      <c r="F185" s="15">
        <v>0</v>
      </c>
      <c r="G185" s="10">
        <v>0</v>
      </c>
      <c r="H185" s="10">
        <v>13.9</v>
      </c>
      <c r="I185" s="10">
        <v>0</v>
      </c>
      <c r="J185" s="10">
        <v>0</v>
      </c>
      <c r="K185" s="10">
        <v>1206.9000000000001</v>
      </c>
      <c r="L185" s="10">
        <v>34.1</v>
      </c>
      <c r="M185" s="10">
        <v>18.700000000000003</v>
      </c>
      <c r="N185" s="11">
        <v>1273.6000000000001</v>
      </c>
    </row>
    <row r="186" spans="1:14" x14ac:dyDescent="0.35">
      <c r="A186" s="18">
        <v>8</v>
      </c>
      <c r="B186" s="18">
        <v>5</v>
      </c>
      <c r="C186" s="18">
        <v>2025</v>
      </c>
      <c r="D186" s="21"/>
      <c r="E186" s="25" t="s">
        <v>28</v>
      </c>
      <c r="F186" s="16">
        <v>0</v>
      </c>
      <c r="G186" s="12">
        <v>0</v>
      </c>
      <c r="H186" s="12">
        <v>0</v>
      </c>
      <c r="I186" s="12">
        <v>0</v>
      </c>
      <c r="J186" s="12">
        <v>149.9</v>
      </c>
      <c r="K186" s="12">
        <v>1350.3000000000006</v>
      </c>
      <c r="L186" s="12">
        <v>339</v>
      </c>
      <c r="M186" s="12">
        <v>0</v>
      </c>
      <c r="N186" s="13">
        <v>1839.2000000000007</v>
      </c>
    </row>
    <row r="187" spans="1:14" x14ac:dyDescent="0.35">
      <c r="A187" s="17">
        <v>8</v>
      </c>
      <c r="B187" s="17">
        <v>4</v>
      </c>
      <c r="C187" s="17">
        <v>2025</v>
      </c>
      <c r="D187" s="20"/>
      <c r="E187" s="24" t="s">
        <v>0</v>
      </c>
      <c r="F187" s="15">
        <v>873.89999999999975</v>
      </c>
      <c r="G187" s="10">
        <v>192.89999999999998</v>
      </c>
      <c r="H187" s="10">
        <v>352.6</v>
      </c>
      <c r="I187" s="10">
        <v>0</v>
      </c>
      <c r="J187" s="10">
        <v>1010.2999999999998</v>
      </c>
      <c r="K187" s="10">
        <v>1566.3999999999999</v>
      </c>
      <c r="L187" s="10">
        <v>2708.8000000000006</v>
      </c>
      <c r="M187" s="10">
        <v>193.6</v>
      </c>
      <c r="N187" s="11">
        <v>6898.5</v>
      </c>
    </row>
    <row r="188" spans="1:14" x14ac:dyDescent="0.35">
      <c r="A188" s="17">
        <v>8</v>
      </c>
      <c r="B188" s="17">
        <v>4</v>
      </c>
      <c r="C188" s="17">
        <v>2025</v>
      </c>
      <c r="D188" s="20"/>
      <c r="E188" s="24" t="s">
        <v>1</v>
      </c>
      <c r="F188" s="15">
        <v>65.8</v>
      </c>
      <c r="G188" s="10">
        <v>0</v>
      </c>
      <c r="H188" s="10">
        <v>242.8</v>
      </c>
      <c r="I188" s="10">
        <v>0</v>
      </c>
      <c r="J188" s="10">
        <v>0</v>
      </c>
      <c r="K188" s="10">
        <v>167.00000000000003</v>
      </c>
      <c r="L188" s="10">
        <v>4327.7000000000016</v>
      </c>
      <c r="M188" s="10">
        <v>0</v>
      </c>
      <c r="N188" s="11">
        <v>4803.300000000002</v>
      </c>
    </row>
    <row r="189" spans="1:14" x14ac:dyDescent="0.35">
      <c r="A189" s="17">
        <v>8</v>
      </c>
      <c r="B189" s="17">
        <v>4</v>
      </c>
      <c r="C189" s="17">
        <v>2025</v>
      </c>
      <c r="D189" s="20"/>
      <c r="E189" s="24" t="s">
        <v>2</v>
      </c>
      <c r="F189" s="15">
        <v>431.70000000000005</v>
      </c>
      <c r="G189" s="10">
        <v>14.5</v>
      </c>
      <c r="H189" s="10">
        <v>147.80000000000001</v>
      </c>
      <c r="I189" s="10">
        <v>0</v>
      </c>
      <c r="J189" s="10">
        <v>249.5</v>
      </c>
      <c r="K189" s="10">
        <v>3997.5000000000023</v>
      </c>
      <c r="L189" s="10">
        <v>1101.5</v>
      </c>
      <c r="M189" s="10">
        <v>50.699999999999996</v>
      </c>
      <c r="N189" s="11">
        <v>5993.2000000000016</v>
      </c>
    </row>
    <row r="190" spans="1:14" x14ac:dyDescent="0.35">
      <c r="A190" s="17">
        <v>8</v>
      </c>
      <c r="B190" s="17">
        <v>4</v>
      </c>
      <c r="C190" s="17">
        <v>2025</v>
      </c>
      <c r="D190" s="20"/>
      <c r="E190" s="24" t="s">
        <v>3</v>
      </c>
      <c r="F190" s="15">
        <v>494.69999999999993</v>
      </c>
      <c r="G190" s="10">
        <v>1849.8999999999999</v>
      </c>
      <c r="H190" s="10">
        <v>333.80000000000007</v>
      </c>
      <c r="I190" s="10">
        <v>360.4</v>
      </c>
      <c r="J190" s="10">
        <v>0</v>
      </c>
      <c r="K190" s="10">
        <v>593.29999999999995</v>
      </c>
      <c r="L190" s="10">
        <v>1156.6999999999998</v>
      </c>
      <c r="M190" s="10">
        <v>12.2</v>
      </c>
      <c r="N190" s="11">
        <v>4801</v>
      </c>
    </row>
    <row r="191" spans="1:14" x14ac:dyDescent="0.35">
      <c r="A191" s="17">
        <v>8</v>
      </c>
      <c r="B191" s="17">
        <v>4</v>
      </c>
      <c r="C191" s="17">
        <v>2025</v>
      </c>
      <c r="D191" s="20"/>
      <c r="E191" s="24" t="s">
        <v>4</v>
      </c>
      <c r="F191" s="15">
        <v>34.700000000000003</v>
      </c>
      <c r="G191" s="10">
        <v>1989.7</v>
      </c>
      <c r="H191" s="10">
        <v>77.3</v>
      </c>
      <c r="I191" s="10">
        <v>0</v>
      </c>
      <c r="J191" s="10">
        <v>0</v>
      </c>
      <c r="K191" s="10">
        <v>237.9</v>
      </c>
      <c r="L191" s="10">
        <v>1452.4999999999998</v>
      </c>
      <c r="M191" s="10">
        <v>0</v>
      </c>
      <c r="N191" s="11">
        <v>3792.1000000000004</v>
      </c>
    </row>
    <row r="192" spans="1:14" x14ac:dyDescent="0.35">
      <c r="A192" s="17">
        <v>8</v>
      </c>
      <c r="B192" s="17">
        <v>4</v>
      </c>
      <c r="C192" s="17">
        <v>2025</v>
      </c>
      <c r="D192" s="20"/>
      <c r="E192" s="24" t="s">
        <v>5</v>
      </c>
      <c r="F192" s="15">
        <v>193.1</v>
      </c>
      <c r="G192" s="10">
        <v>301.60000000000002</v>
      </c>
      <c r="H192" s="10">
        <v>215.1</v>
      </c>
      <c r="I192" s="10">
        <v>0</v>
      </c>
      <c r="J192" s="10">
        <v>99.8</v>
      </c>
      <c r="K192" s="10">
        <v>3885.0000000000014</v>
      </c>
      <c r="L192" s="10">
        <v>2519.3000000000006</v>
      </c>
      <c r="M192" s="10">
        <v>1.6</v>
      </c>
      <c r="N192" s="11">
        <v>7215.5000000000018</v>
      </c>
    </row>
    <row r="193" spans="1:14" x14ac:dyDescent="0.35">
      <c r="A193" s="17">
        <v>8</v>
      </c>
      <c r="B193" s="17">
        <v>4</v>
      </c>
      <c r="C193" s="17">
        <v>2025</v>
      </c>
      <c r="D193" s="20"/>
      <c r="E193" s="24" t="s">
        <v>6</v>
      </c>
      <c r="F193" s="15">
        <v>175.7</v>
      </c>
      <c r="G193" s="10">
        <v>9.1999999999999993</v>
      </c>
      <c r="H193" s="10">
        <v>212.29999999999998</v>
      </c>
      <c r="I193" s="10">
        <v>0</v>
      </c>
      <c r="J193" s="10">
        <v>366.9</v>
      </c>
      <c r="K193" s="10">
        <v>2962.7</v>
      </c>
      <c r="L193" s="10">
        <v>587.9</v>
      </c>
      <c r="M193" s="10">
        <v>25.9</v>
      </c>
      <c r="N193" s="11">
        <v>4340.5999999999995</v>
      </c>
    </row>
    <row r="194" spans="1:14" x14ac:dyDescent="0.35">
      <c r="A194" s="17">
        <v>8</v>
      </c>
      <c r="B194" s="17">
        <v>4</v>
      </c>
      <c r="C194" s="17">
        <v>2025</v>
      </c>
      <c r="D194" s="20"/>
      <c r="E194" s="24" t="s">
        <v>7</v>
      </c>
      <c r="F194" s="15">
        <v>273.7</v>
      </c>
      <c r="G194" s="10">
        <v>53.000000000000007</v>
      </c>
      <c r="H194" s="10">
        <v>190.39999999999998</v>
      </c>
      <c r="I194" s="10">
        <v>0</v>
      </c>
      <c r="J194" s="10">
        <v>99.8</v>
      </c>
      <c r="K194" s="10">
        <v>746.40000000000032</v>
      </c>
      <c r="L194" s="10">
        <v>1137.1000000000004</v>
      </c>
      <c r="M194" s="10">
        <v>26.2</v>
      </c>
      <c r="N194" s="11">
        <v>2526.6000000000004</v>
      </c>
    </row>
    <row r="195" spans="1:14" x14ac:dyDescent="0.35">
      <c r="A195" s="17">
        <v>8</v>
      </c>
      <c r="B195" s="17">
        <v>4</v>
      </c>
      <c r="C195" s="17">
        <v>2025</v>
      </c>
      <c r="D195" s="20"/>
      <c r="E195" s="24" t="s">
        <v>8</v>
      </c>
      <c r="F195" s="15">
        <v>146</v>
      </c>
      <c r="G195" s="10">
        <v>39.5</v>
      </c>
      <c r="H195" s="10">
        <v>63.6</v>
      </c>
      <c r="I195" s="10">
        <v>0</v>
      </c>
      <c r="J195" s="10">
        <v>50</v>
      </c>
      <c r="K195" s="10">
        <v>703.49999999999989</v>
      </c>
      <c r="L195" s="10">
        <v>1180.5</v>
      </c>
      <c r="M195" s="10">
        <v>156.1</v>
      </c>
      <c r="N195" s="11">
        <v>2339.1999999999998</v>
      </c>
    </row>
    <row r="196" spans="1:14" x14ac:dyDescent="0.35">
      <c r="A196" s="17">
        <v>8</v>
      </c>
      <c r="B196" s="17">
        <v>4</v>
      </c>
      <c r="C196" s="17">
        <v>2025</v>
      </c>
      <c r="D196" s="20"/>
      <c r="E196" s="24" t="s">
        <v>9</v>
      </c>
      <c r="F196" s="15">
        <v>163</v>
      </c>
      <c r="G196" s="10">
        <v>414</v>
      </c>
      <c r="H196" s="10">
        <v>0</v>
      </c>
      <c r="I196" s="10">
        <v>0</v>
      </c>
      <c r="J196" s="10">
        <v>0</v>
      </c>
      <c r="K196" s="10">
        <v>902.9</v>
      </c>
      <c r="L196" s="10">
        <v>824.10000000000014</v>
      </c>
      <c r="M196" s="10">
        <v>0</v>
      </c>
      <c r="N196" s="11">
        <v>2304</v>
      </c>
    </row>
    <row r="197" spans="1:14" x14ac:dyDescent="0.35">
      <c r="A197" s="17">
        <v>8</v>
      </c>
      <c r="B197" s="17">
        <v>4</v>
      </c>
      <c r="C197" s="17">
        <v>2025</v>
      </c>
      <c r="D197" s="20"/>
      <c r="E197" s="24" t="s">
        <v>10</v>
      </c>
      <c r="F197" s="15">
        <v>2.2000000000000002</v>
      </c>
      <c r="G197" s="10">
        <v>0</v>
      </c>
      <c r="H197" s="10">
        <v>50.1</v>
      </c>
      <c r="I197" s="10">
        <v>0</v>
      </c>
      <c r="J197" s="10">
        <v>220.20000000000002</v>
      </c>
      <c r="K197" s="10">
        <v>2482.6</v>
      </c>
      <c r="L197" s="10">
        <v>134.49999999999997</v>
      </c>
      <c r="M197" s="10">
        <v>1.8</v>
      </c>
      <c r="N197" s="11">
        <v>2891.4</v>
      </c>
    </row>
    <row r="198" spans="1:14" x14ac:dyDescent="0.35">
      <c r="A198" s="17">
        <v>8</v>
      </c>
      <c r="B198" s="17">
        <v>4</v>
      </c>
      <c r="C198" s="17">
        <v>2025</v>
      </c>
      <c r="D198" s="20"/>
      <c r="E198" s="24" t="s">
        <v>11</v>
      </c>
      <c r="F198" s="15">
        <v>22.8</v>
      </c>
      <c r="G198" s="10">
        <v>0</v>
      </c>
      <c r="H198" s="10">
        <v>0</v>
      </c>
      <c r="I198" s="10">
        <v>0</v>
      </c>
      <c r="J198" s="10">
        <v>0</v>
      </c>
      <c r="K198" s="10">
        <v>258.10000000000002</v>
      </c>
      <c r="L198" s="10">
        <v>0</v>
      </c>
      <c r="M198" s="10">
        <v>0</v>
      </c>
      <c r="N198" s="11">
        <v>280.90000000000003</v>
      </c>
    </row>
    <row r="199" spans="1:14" x14ac:dyDescent="0.35">
      <c r="A199" s="17">
        <v>8</v>
      </c>
      <c r="B199" s="17">
        <v>4</v>
      </c>
      <c r="C199" s="17">
        <v>2025</v>
      </c>
      <c r="D199" s="20"/>
      <c r="E199" s="24" t="s">
        <v>12</v>
      </c>
      <c r="F199" s="15">
        <v>442.9</v>
      </c>
      <c r="G199" s="10">
        <v>95.4</v>
      </c>
      <c r="H199" s="10">
        <v>64.8</v>
      </c>
      <c r="I199" s="10">
        <v>0</v>
      </c>
      <c r="J199" s="10">
        <v>0</v>
      </c>
      <c r="K199" s="10">
        <v>8.1999999999999993</v>
      </c>
      <c r="L199" s="10">
        <v>2.6</v>
      </c>
      <c r="M199" s="10">
        <v>28.299999999999997</v>
      </c>
      <c r="N199" s="11">
        <v>642.19999999999993</v>
      </c>
    </row>
    <row r="200" spans="1:14" x14ac:dyDescent="0.35">
      <c r="A200" s="17">
        <v>8</v>
      </c>
      <c r="B200" s="17">
        <v>4</v>
      </c>
      <c r="C200" s="17">
        <v>2025</v>
      </c>
      <c r="D200" s="20"/>
      <c r="E200" s="24" t="s">
        <v>13</v>
      </c>
      <c r="F200" s="15">
        <v>0</v>
      </c>
      <c r="G200" s="10">
        <v>0</v>
      </c>
      <c r="H200" s="10">
        <v>13.9</v>
      </c>
      <c r="I200" s="10">
        <v>0</v>
      </c>
      <c r="J200" s="10">
        <v>0</v>
      </c>
      <c r="K200" s="10">
        <v>1208.1000000000001</v>
      </c>
      <c r="L200" s="10">
        <v>10.8</v>
      </c>
      <c r="M200" s="10">
        <v>18.700000000000003</v>
      </c>
      <c r="N200" s="11">
        <v>1251.5000000000002</v>
      </c>
    </row>
    <row r="201" spans="1:14" x14ac:dyDescent="0.35">
      <c r="A201" s="18">
        <v>8</v>
      </c>
      <c r="B201" s="18">
        <v>4</v>
      </c>
      <c r="C201" s="18">
        <v>2025</v>
      </c>
      <c r="D201" s="21"/>
      <c r="E201" s="25" t="s">
        <v>28</v>
      </c>
      <c r="F201" s="16">
        <v>0</v>
      </c>
      <c r="G201" s="12">
        <v>0</v>
      </c>
      <c r="H201" s="12">
        <v>0</v>
      </c>
      <c r="I201" s="12">
        <v>0</v>
      </c>
      <c r="J201" s="12">
        <v>149.9</v>
      </c>
      <c r="K201" s="12">
        <v>1350.3000000000006</v>
      </c>
      <c r="L201" s="12">
        <v>339</v>
      </c>
      <c r="M201" s="12">
        <v>0</v>
      </c>
      <c r="N201" s="13">
        <v>1839.2000000000007</v>
      </c>
    </row>
    <row r="202" spans="1:14" x14ac:dyDescent="0.35">
      <c r="A202" s="17">
        <v>10</v>
      </c>
      <c r="B202" s="17">
        <v>3</v>
      </c>
      <c r="C202" s="17">
        <v>2025</v>
      </c>
      <c r="D202" s="20"/>
      <c r="E202" s="24" t="s">
        <v>0</v>
      </c>
      <c r="F202" s="15">
        <v>873.89999999999975</v>
      </c>
      <c r="G202" s="10">
        <v>192.89999999999998</v>
      </c>
      <c r="H202" s="10">
        <v>348</v>
      </c>
      <c r="I202" s="10">
        <v>0</v>
      </c>
      <c r="J202" s="10">
        <v>1010.2999999999998</v>
      </c>
      <c r="K202" s="10">
        <v>1508.3</v>
      </c>
      <c r="L202" s="10">
        <v>3058.5</v>
      </c>
      <c r="M202" s="10">
        <v>193.6</v>
      </c>
      <c r="N202" s="11">
        <v>7185.5</v>
      </c>
    </row>
    <row r="203" spans="1:14" x14ac:dyDescent="0.35">
      <c r="A203" s="17">
        <v>10</v>
      </c>
      <c r="B203" s="17">
        <v>3</v>
      </c>
      <c r="C203" s="17">
        <v>2025</v>
      </c>
      <c r="D203" s="20"/>
      <c r="E203" s="24" t="s">
        <v>1</v>
      </c>
      <c r="F203" s="15">
        <v>65.8</v>
      </c>
      <c r="G203" s="10">
        <v>0</v>
      </c>
      <c r="H203" s="10">
        <v>242.8</v>
      </c>
      <c r="I203" s="10">
        <v>0</v>
      </c>
      <c r="J203" s="10">
        <v>0</v>
      </c>
      <c r="K203" s="10">
        <v>167.00000000000003</v>
      </c>
      <c r="L203" s="10">
        <v>4327.7000000000016</v>
      </c>
      <c r="M203" s="10">
        <v>0</v>
      </c>
      <c r="N203" s="11">
        <v>4803.300000000002</v>
      </c>
    </row>
    <row r="204" spans="1:14" x14ac:dyDescent="0.35">
      <c r="A204" s="17">
        <v>10</v>
      </c>
      <c r="B204" s="17">
        <v>3</v>
      </c>
      <c r="C204" s="17">
        <v>2025</v>
      </c>
      <c r="D204" s="20"/>
      <c r="E204" s="24" t="s">
        <v>2</v>
      </c>
      <c r="F204" s="15">
        <v>432.70000000000005</v>
      </c>
      <c r="G204" s="10">
        <v>14.5</v>
      </c>
      <c r="H204" s="10">
        <v>147.80000000000001</v>
      </c>
      <c r="I204" s="10">
        <v>0</v>
      </c>
      <c r="J204" s="10">
        <v>249.5</v>
      </c>
      <c r="K204" s="10">
        <v>3982.4000000000024</v>
      </c>
      <c r="L204" s="10">
        <v>1101.5</v>
      </c>
      <c r="M204" s="10">
        <v>53.199999999999996</v>
      </c>
      <c r="N204" s="11">
        <v>5981.6000000000022</v>
      </c>
    </row>
    <row r="205" spans="1:14" x14ac:dyDescent="0.35">
      <c r="A205" s="17">
        <v>10</v>
      </c>
      <c r="B205" s="17">
        <v>3</v>
      </c>
      <c r="C205" s="17">
        <v>2025</v>
      </c>
      <c r="D205" s="20"/>
      <c r="E205" s="24" t="s">
        <v>3</v>
      </c>
      <c r="F205" s="15">
        <v>494.69999999999993</v>
      </c>
      <c r="G205" s="10">
        <v>1849.8999999999999</v>
      </c>
      <c r="H205" s="10">
        <v>333.80000000000007</v>
      </c>
      <c r="I205" s="10">
        <v>360.4</v>
      </c>
      <c r="J205" s="10">
        <v>0</v>
      </c>
      <c r="K205" s="10">
        <v>593.29999999999995</v>
      </c>
      <c r="L205" s="10">
        <v>1157.1999999999998</v>
      </c>
      <c r="M205" s="10">
        <v>12.2</v>
      </c>
      <c r="N205" s="11">
        <v>4801.5</v>
      </c>
    </row>
    <row r="206" spans="1:14" x14ac:dyDescent="0.35">
      <c r="A206" s="17">
        <v>10</v>
      </c>
      <c r="B206" s="17">
        <v>3</v>
      </c>
      <c r="C206" s="17">
        <v>2025</v>
      </c>
      <c r="D206" s="20"/>
      <c r="E206" s="24" t="s">
        <v>4</v>
      </c>
      <c r="F206" s="15">
        <v>34.700000000000003</v>
      </c>
      <c r="G206" s="10">
        <v>1989.7</v>
      </c>
      <c r="H206" s="10">
        <v>77.3</v>
      </c>
      <c r="I206" s="10">
        <v>0</v>
      </c>
      <c r="J206" s="10">
        <v>0</v>
      </c>
      <c r="K206" s="10">
        <v>237.9</v>
      </c>
      <c r="L206" s="10">
        <v>1452.4999999999998</v>
      </c>
      <c r="M206" s="10">
        <v>0</v>
      </c>
      <c r="N206" s="11">
        <v>3792.1000000000004</v>
      </c>
    </row>
    <row r="207" spans="1:14" x14ac:dyDescent="0.35">
      <c r="A207" s="17">
        <v>10</v>
      </c>
      <c r="B207" s="17">
        <v>3</v>
      </c>
      <c r="C207" s="17">
        <v>2025</v>
      </c>
      <c r="D207" s="20"/>
      <c r="E207" s="24" t="s">
        <v>5</v>
      </c>
      <c r="F207" s="15">
        <v>193.1</v>
      </c>
      <c r="G207" s="10">
        <v>301.60000000000002</v>
      </c>
      <c r="H207" s="10">
        <v>215.1</v>
      </c>
      <c r="I207" s="10">
        <v>0</v>
      </c>
      <c r="J207" s="10">
        <v>99.8</v>
      </c>
      <c r="K207" s="10">
        <v>3480.2000000000021</v>
      </c>
      <c r="L207" s="10">
        <v>2521.1000000000004</v>
      </c>
      <c r="M207" s="10">
        <v>1.6</v>
      </c>
      <c r="N207" s="11">
        <v>6812.5000000000027</v>
      </c>
    </row>
    <row r="208" spans="1:14" x14ac:dyDescent="0.35">
      <c r="A208" s="17">
        <v>10</v>
      </c>
      <c r="B208" s="17">
        <v>3</v>
      </c>
      <c r="C208" s="17">
        <v>2025</v>
      </c>
      <c r="D208" s="20"/>
      <c r="E208" s="24" t="s">
        <v>6</v>
      </c>
      <c r="F208" s="15">
        <v>181.10000000000002</v>
      </c>
      <c r="G208" s="10">
        <v>9.1999999999999993</v>
      </c>
      <c r="H208" s="10">
        <v>212.29999999999998</v>
      </c>
      <c r="I208" s="10">
        <v>0</v>
      </c>
      <c r="J208" s="10">
        <v>366.9</v>
      </c>
      <c r="K208" s="10">
        <v>2950.2999999999997</v>
      </c>
      <c r="L208" s="10">
        <v>587.9</v>
      </c>
      <c r="M208" s="10">
        <v>26.4</v>
      </c>
      <c r="N208" s="11">
        <v>4334.0999999999995</v>
      </c>
    </row>
    <row r="209" spans="1:14" x14ac:dyDescent="0.35">
      <c r="A209" s="17">
        <v>10</v>
      </c>
      <c r="B209" s="17">
        <v>3</v>
      </c>
      <c r="C209" s="17">
        <v>2025</v>
      </c>
      <c r="D209" s="20"/>
      <c r="E209" s="24" t="s">
        <v>7</v>
      </c>
      <c r="F209" s="15">
        <v>273.7</v>
      </c>
      <c r="G209" s="10">
        <v>53.000000000000007</v>
      </c>
      <c r="H209" s="10">
        <v>190.39999999999998</v>
      </c>
      <c r="I209" s="10">
        <v>0</v>
      </c>
      <c r="J209" s="10">
        <v>99.8</v>
      </c>
      <c r="K209" s="10">
        <v>738.8000000000003</v>
      </c>
      <c r="L209" s="10">
        <v>1137.1000000000004</v>
      </c>
      <c r="M209" s="10">
        <v>26.2</v>
      </c>
      <c r="N209" s="11">
        <v>2519.0000000000005</v>
      </c>
    </row>
    <row r="210" spans="1:14" x14ac:dyDescent="0.35">
      <c r="A210" s="17">
        <v>10</v>
      </c>
      <c r="B210" s="17">
        <v>3</v>
      </c>
      <c r="C210" s="17">
        <v>2025</v>
      </c>
      <c r="D210" s="20"/>
      <c r="E210" s="24" t="s">
        <v>8</v>
      </c>
      <c r="F210" s="15">
        <v>146</v>
      </c>
      <c r="G210" s="10">
        <v>39.5</v>
      </c>
      <c r="H210" s="10">
        <v>63.6</v>
      </c>
      <c r="I210" s="10">
        <v>0</v>
      </c>
      <c r="J210" s="10">
        <v>50</v>
      </c>
      <c r="K210" s="10">
        <v>581.1</v>
      </c>
      <c r="L210" s="10">
        <v>1178.9000000000001</v>
      </c>
      <c r="M210" s="10">
        <v>156.1</v>
      </c>
      <c r="N210" s="11">
        <v>2215.2000000000003</v>
      </c>
    </row>
    <row r="211" spans="1:14" x14ac:dyDescent="0.35">
      <c r="A211" s="17">
        <v>10</v>
      </c>
      <c r="B211" s="17">
        <v>3</v>
      </c>
      <c r="C211" s="17">
        <v>2025</v>
      </c>
      <c r="D211" s="20"/>
      <c r="E211" s="24" t="s">
        <v>9</v>
      </c>
      <c r="F211" s="15">
        <v>163</v>
      </c>
      <c r="G211" s="10">
        <v>414</v>
      </c>
      <c r="H211" s="10">
        <v>0</v>
      </c>
      <c r="I211" s="10">
        <v>0</v>
      </c>
      <c r="J211" s="10">
        <v>0</v>
      </c>
      <c r="K211" s="10">
        <v>902.9</v>
      </c>
      <c r="L211" s="10">
        <v>824.10000000000014</v>
      </c>
      <c r="M211" s="10">
        <v>0</v>
      </c>
      <c r="N211" s="11">
        <v>2304</v>
      </c>
    </row>
    <row r="212" spans="1:14" x14ac:dyDescent="0.35">
      <c r="A212" s="17">
        <v>10</v>
      </c>
      <c r="B212" s="17">
        <v>3</v>
      </c>
      <c r="C212" s="17">
        <v>2025</v>
      </c>
      <c r="D212" s="20"/>
      <c r="E212" s="24" t="s">
        <v>10</v>
      </c>
      <c r="F212" s="15">
        <v>2.2000000000000002</v>
      </c>
      <c r="G212" s="10">
        <v>0</v>
      </c>
      <c r="H212" s="10">
        <v>50.1</v>
      </c>
      <c r="I212" s="10">
        <v>0</v>
      </c>
      <c r="J212" s="10">
        <v>220.20000000000002</v>
      </c>
      <c r="K212" s="10">
        <v>2481.2000000000003</v>
      </c>
      <c r="L212" s="10">
        <v>134.49999999999997</v>
      </c>
      <c r="M212" s="10">
        <v>1.8</v>
      </c>
      <c r="N212" s="11">
        <v>2890.0000000000005</v>
      </c>
    </row>
    <row r="213" spans="1:14" x14ac:dyDescent="0.35">
      <c r="A213" s="17">
        <v>10</v>
      </c>
      <c r="B213" s="17">
        <v>3</v>
      </c>
      <c r="C213" s="17">
        <v>2025</v>
      </c>
      <c r="D213" s="20"/>
      <c r="E213" s="24" t="s">
        <v>11</v>
      </c>
      <c r="F213" s="15">
        <v>22.8</v>
      </c>
      <c r="G213" s="10">
        <v>0</v>
      </c>
      <c r="H213" s="10">
        <v>0</v>
      </c>
      <c r="I213" s="10">
        <v>0</v>
      </c>
      <c r="J213" s="10">
        <v>0</v>
      </c>
      <c r="K213" s="10">
        <v>267.60000000000002</v>
      </c>
      <c r="L213" s="10">
        <v>0</v>
      </c>
      <c r="M213" s="10">
        <v>0</v>
      </c>
      <c r="N213" s="11">
        <v>290.40000000000003</v>
      </c>
    </row>
    <row r="214" spans="1:14" x14ac:dyDescent="0.35">
      <c r="A214" s="17">
        <v>10</v>
      </c>
      <c r="B214" s="17">
        <v>3</v>
      </c>
      <c r="C214" s="17">
        <v>2025</v>
      </c>
      <c r="D214" s="20"/>
      <c r="E214" s="24" t="s">
        <v>12</v>
      </c>
      <c r="F214" s="15">
        <v>442.9</v>
      </c>
      <c r="G214" s="10">
        <v>95.4</v>
      </c>
      <c r="H214" s="10">
        <v>64.8</v>
      </c>
      <c r="I214" s="10">
        <v>0</v>
      </c>
      <c r="J214" s="10">
        <v>0</v>
      </c>
      <c r="K214" s="10">
        <v>8.1999999999999993</v>
      </c>
      <c r="L214" s="10">
        <v>2.6</v>
      </c>
      <c r="M214" s="10">
        <v>28.299999999999997</v>
      </c>
      <c r="N214" s="11">
        <v>642.19999999999993</v>
      </c>
    </row>
    <row r="215" spans="1:14" x14ac:dyDescent="0.35">
      <c r="A215" s="17">
        <v>10</v>
      </c>
      <c r="B215" s="17">
        <v>3</v>
      </c>
      <c r="C215" s="17">
        <v>2025</v>
      </c>
      <c r="D215" s="20"/>
      <c r="E215" s="24" t="s">
        <v>13</v>
      </c>
      <c r="F215" s="15">
        <v>0</v>
      </c>
      <c r="G215" s="10">
        <v>0</v>
      </c>
      <c r="H215" s="10">
        <v>13.9</v>
      </c>
      <c r="I215" s="10">
        <v>0</v>
      </c>
      <c r="J215" s="10">
        <v>0</v>
      </c>
      <c r="K215" s="10">
        <v>1208.1000000000001</v>
      </c>
      <c r="L215" s="10">
        <v>10.8</v>
      </c>
      <c r="M215" s="10">
        <v>18.700000000000003</v>
      </c>
      <c r="N215" s="11">
        <v>1251.5000000000002</v>
      </c>
    </row>
    <row r="216" spans="1:14" x14ac:dyDescent="0.35">
      <c r="A216" s="18">
        <v>10</v>
      </c>
      <c r="B216" s="18">
        <v>3</v>
      </c>
      <c r="C216" s="18">
        <v>2025</v>
      </c>
      <c r="D216" s="21"/>
      <c r="E216" s="25" t="s">
        <v>28</v>
      </c>
      <c r="F216" s="16">
        <v>0</v>
      </c>
      <c r="G216" s="12">
        <v>0</v>
      </c>
      <c r="H216" s="12">
        <v>0</v>
      </c>
      <c r="I216" s="12">
        <v>0</v>
      </c>
      <c r="J216" s="12">
        <v>149.9</v>
      </c>
      <c r="K216" s="12">
        <v>1350.3000000000006</v>
      </c>
      <c r="L216" s="12">
        <v>339</v>
      </c>
      <c r="M216" s="12">
        <v>0</v>
      </c>
      <c r="N216" s="13">
        <v>1839.2000000000007</v>
      </c>
    </row>
    <row r="217" spans="1:14" x14ac:dyDescent="0.35">
      <c r="A217" s="17">
        <v>10</v>
      </c>
      <c r="B217" s="17">
        <v>2</v>
      </c>
      <c r="C217" s="17">
        <v>2025</v>
      </c>
      <c r="D217" s="20"/>
      <c r="E217" s="24" t="s">
        <v>0</v>
      </c>
      <c r="F217" s="15">
        <v>873.89999999999975</v>
      </c>
      <c r="G217" s="10">
        <v>192.89999999999998</v>
      </c>
      <c r="H217" s="10">
        <v>348</v>
      </c>
      <c r="I217" s="10">
        <v>0</v>
      </c>
      <c r="J217" s="10">
        <v>1010.2999999999998</v>
      </c>
      <c r="K217" s="10">
        <v>1461.1999999999998</v>
      </c>
      <c r="L217" s="10">
        <v>3019.5</v>
      </c>
      <c r="M217" s="10">
        <v>193.6</v>
      </c>
      <c r="N217" s="11">
        <v>7099.4</v>
      </c>
    </row>
    <row r="218" spans="1:14" x14ac:dyDescent="0.35">
      <c r="A218" s="17">
        <v>10</v>
      </c>
      <c r="B218" s="17">
        <v>2</v>
      </c>
      <c r="C218" s="17">
        <v>2025</v>
      </c>
      <c r="D218" s="20"/>
      <c r="E218" s="24" t="s">
        <v>1</v>
      </c>
      <c r="F218" s="15">
        <v>65.8</v>
      </c>
      <c r="G218" s="10">
        <v>0</v>
      </c>
      <c r="H218" s="10">
        <v>781.19999999999993</v>
      </c>
      <c r="I218" s="10">
        <v>88.7</v>
      </c>
      <c r="J218" s="10">
        <v>0</v>
      </c>
      <c r="K218" s="10">
        <v>167.00000000000003</v>
      </c>
      <c r="L218" s="10">
        <v>4326.1000000000013</v>
      </c>
      <c r="M218" s="10">
        <v>0</v>
      </c>
      <c r="N218" s="11">
        <v>5428.8000000000011</v>
      </c>
    </row>
    <row r="219" spans="1:14" x14ac:dyDescent="0.35">
      <c r="A219" s="17">
        <v>10</v>
      </c>
      <c r="B219" s="17">
        <v>2</v>
      </c>
      <c r="C219" s="17">
        <v>2025</v>
      </c>
      <c r="D219" s="20"/>
      <c r="E219" s="24" t="s">
        <v>2</v>
      </c>
      <c r="F219" s="15">
        <v>432.70000000000005</v>
      </c>
      <c r="G219" s="10">
        <v>14.5</v>
      </c>
      <c r="H219" s="10">
        <v>147.80000000000001</v>
      </c>
      <c r="I219" s="10">
        <v>0</v>
      </c>
      <c r="J219" s="10">
        <v>249.5</v>
      </c>
      <c r="K219" s="10">
        <v>3918.800000000002</v>
      </c>
      <c r="L219" s="10">
        <v>1101.5</v>
      </c>
      <c r="M219" s="10">
        <v>51.800000000000004</v>
      </c>
      <c r="N219" s="11">
        <v>5916.6000000000022</v>
      </c>
    </row>
    <row r="220" spans="1:14" x14ac:dyDescent="0.35">
      <c r="A220" s="17">
        <v>10</v>
      </c>
      <c r="B220" s="17">
        <v>2</v>
      </c>
      <c r="C220" s="17">
        <v>2025</v>
      </c>
      <c r="D220" s="20"/>
      <c r="E220" s="24" t="s">
        <v>3</v>
      </c>
      <c r="F220" s="15">
        <v>494.69999999999993</v>
      </c>
      <c r="G220" s="10">
        <v>1849.8999999999999</v>
      </c>
      <c r="H220" s="10">
        <v>333.80000000000007</v>
      </c>
      <c r="I220" s="10">
        <v>360.4</v>
      </c>
      <c r="J220" s="10">
        <v>0</v>
      </c>
      <c r="K220" s="10">
        <v>550.79999999999995</v>
      </c>
      <c r="L220" s="10">
        <v>1151.0999999999999</v>
      </c>
      <c r="M220" s="10">
        <v>12.2</v>
      </c>
      <c r="N220" s="11">
        <v>4752.9000000000005</v>
      </c>
    </row>
    <row r="221" spans="1:14" x14ac:dyDescent="0.35">
      <c r="A221" s="17">
        <v>10</v>
      </c>
      <c r="B221" s="17">
        <v>2</v>
      </c>
      <c r="C221" s="17">
        <v>2025</v>
      </c>
      <c r="D221" s="20"/>
      <c r="E221" s="24" t="s">
        <v>4</v>
      </c>
      <c r="F221" s="15">
        <v>44.7</v>
      </c>
      <c r="G221" s="10">
        <v>1989.7</v>
      </c>
      <c r="H221" s="10">
        <v>77.3</v>
      </c>
      <c r="I221" s="10">
        <v>0</v>
      </c>
      <c r="J221" s="10">
        <v>0</v>
      </c>
      <c r="K221" s="10">
        <v>241.9</v>
      </c>
      <c r="L221" s="10">
        <v>1452.4999999999998</v>
      </c>
      <c r="M221" s="10">
        <v>0</v>
      </c>
      <c r="N221" s="11">
        <v>3806.1000000000004</v>
      </c>
    </row>
    <row r="222" spans="1:14" x14ac:dyDescent="0.35">
      <c r="A222" s="17">
        <v>10</v>
      </c>
      <c r="B222" s="17">
        <v>2</v>
      </c>
      <c r="C222" s="17">
        <v>2025</v>
      </c>
      <c r="D222" s="20"/>
      <c r="E222" s="24" t="s">
        <v>5</v>
      </c>
      <c r="F222" s="15">
        <v>183.1</v>
      </c>
      <c r="G222" s="10">
        <v>301.60000000000002</v>
      </c>
      <c r="H222" s="10">
        <v>215.1</v>
      </c>
      <c r="I222" s="10">
        <v>0</v>
      </c>
      <c r="J222" s="10">
        <v>99.8</v>
      </c>
      <c r="K222" s="10">
        <v>3254.1000000000017</v>
      </c>
      <c r="L222" s="10">
        <v>2521.1000000000004</v>
      </c>
      <c r="M222" s="10">
        <v>1.6</v>
      </c>
      <c r="N222" s="11">
        <v>6576.4000000000024</v>
      </c>
    </row>
    <row r="223" spans="1:14" x14ac:dyDescent="0.35">
      <c r="A223" s="17">
        <v>10</v>
      </c>
      <c r="B223" s="17">
        <v>2</v>
      </c>
      <c r="C223" s="17">
        <v>2025</v>
      </c>
      <c r="D223" s="20"/>
      <c r="E223" s="24" t="s">
        <v>6</v>
      </c>
      <c r="F223" s="15">
        <v>187.10000000000002</v>
      </c>
      <c r="G223" s="10">
        <v>9.1999999999999993</v>
      </c>
      <c r="H223" s="10">
        <v>212.09999999999997</v>
      </c>
      <c r="I223" s="10">
        <v>0</v>
      </c>
      <c r="J223" s="10">
        <v>366.9</v>
      </c>
      <c r="K223" s="10">
        <v>2720</v>
      </c>
      <c r="L223" s="10">
        <v>587.9</v>
      </c>
      <c r="M223" s="10">
        <v>26.4</v>
      </c>
      <c r="N223" s="11">
        <v>4109.6000000000004</v>
      </c>
    </row>
    <row r="224" spans="1:14" x14ac:dyDescent="0.35">
      <c r="A224" s="17">
        <v>10</v>
      </c>
      <c r="B224" s="17">
        <v>2</v>
      </c>
      <c r="C224" s="17">
        <v>2025</v>
      </c>
      <c r="D224" s="20"/>
      <c r="E224" s="24" t="s">
        <v>7</v>
      </c>
      <c r="F224" s="15">
        <v>273.7</v>
      </c>
      <c r="G224" s="10">
        <v>53.000000000000007</v>
      </c>
      <c r="H224" s="10">
        <v>190.39999999999998</v>
      </c>
      <c r="I224" s="10">
        <v>0</v>
      </c>
      <c r="J224" s="10">
        <v>99.8</v>
      </c>
      <c r="K224" s="10">
        <v>732.8000000000003</v>
      </c>
      <c r="L224" s="10">
        <v>1137.1000000000004</v>
      </c>
      <c r="M224" s="10">
        <v>26.2</v>
      </c>
      <c r="N224" s="11">
        <v>2513.0000000000005</v>
      </c>
    </row>
    <row r="225" spans="1:14" x14ac:dyDescent="0.35">
      <c r="A225" s="17">
        <v>10</v>
      </c>
      <c r="B225" s="17">
        <v>2</v>
      </c>
      <c r="C225" s="17">
        <v>2025</v>
      </c>
      <c r="D225" s="20"/>
      <c r="E225" s="24" t="s">
        <v>8</v>
      </c>
      <c r="F225" s="15">
        <v>146</v>
      </c>
      <c r="G225" s="10">
        <v>39.5</v>
      </c>
      <c r="H225" s="10">
        <v>63.6</v>
      </c>
      <c r="I225" s="10">
        <v>0</v>
      </c>
      <c r="J225" s="10">
        <v>50</v>
      </c>
      <c r="K225" s="10">
        <v>579.4</v>
      </c>
      <c r="L225" s="10">
        <v>1178.9000000000001</v>
      </c>
      <c r="M225" s="10">
        <v>156.1</v>
      </c>
      <c r="N225" s="11">
        <v>2213.5</v>
      </c>
    </row>
    <row r="226" spans="1:14" x14ac:dyDescent="0.35">
      <c r="A226" s="17">
        <v>10</v>
      </c>
      <c r="B226" s="17">
        <v>2</v>
      </c>
      <c r="C226" s="17">
        <v>2025</v>
      </c>
      <c r="D226" s="20"/>
      <c r="E226" s="24" t="s">
        <v>9</v>
      </c>
      <c r="F226" s="15">
        <v>163</v>
      </c>
      <c r="G226" s="10">
        <v>414</v>
      </c>
      <c r="H226" s="10">
        <v>0</v>
      </c>
      <c r="I226" s="10">
        <v>0</v>
      </c>
      <c r="J226" s="10">
        <v>0</v>
      </c>
      <c r="K226" s="10">
        <v>902.9</v>
      </c>
      <c r="L226" s="10">
        <v>824.10000000000014</v>
      </c>
      <c r="M226" s="10">
        <v>0</v>
      </c>
      <c r="N226" s="11">
        <v>2304</v>
      </c>
    </row>
    <row r="227" spans="1:14" x14ac:dyDescent="0.35">
      <c r="A227" s="17">
        <v>10</v>
      </c>
      <c r="B227" s="17">
        <v>2</v>
      </c>
      <c r="C227" s="17">
        <v>2025</v>
      </c>
      <c r="D227" s="20"/>
      <c r="E227" s="24" t="s">
        <v>10</v>
      </c>
      <c r="F227" s="15">
        <v>2.2000000000000002</v>
      </c>
      <c r="G227" s="10">
        <v>0</v>
      </c>
      <c r="H227" s="10">
        <v>50.1</v>
      </c>
      <c r="I227" s="10">
        <v>0</v>
      </c>
      <c r="J227" s="10">
        <v>220.20000000000002</v>
      </c>
      <c r="K227" s="10">
        <v>2476</v>
      </c>
      <c r="L227" s="10">
        <v>134.49999999999997</v>
      </c>
      <c r="M227" s="10">
        <v>1.8</v>
      </c>
      <c r="N227" s="11">
        <v>2884.8</v>
      </c>
    </row>
    <row r="228" spans="1:14" x14ac:dyDescent="0.35">
      <c r="A228" s="17">
        <v>10</v>
      </c>
      <c r="B228" s="17">
        <v>2</v>
      </c>
      <c r="C228" s="17">
        <v>2025</v>
      </c>
      <c r="D228" s="20"/>
      <c r="E228" s="24" t="s">
        <v>11</v>
      </c>
      <c r="F228" s="15">
        <v>22.8</v>
      </c>
      <c r="G228" s="10">
        <v>0</v>
      </c>
      <c r="H228" s="10">
        <v>0</v>
      </c>
      <c r="I228" s="10">
        <v>0</v>
      </c>
      <c r="J228" s="10">
        <v>0</v>
      </c>
      <c r="K228" s="10">
        <v>267.8</v>
      </c>
      <c r="L228" s="10">
        <v>0</v>
      </c>
      <c r="M228" s="10">
        <v>0</v>
      </c>
      <c r="N228" s="11">
        <v>290.60000000000002</v>
      </c>
    </row>
    <row r="229" spans="1:14" x14ac:dyDescent="0.35">
      <c r="A229" s="17">
        <v>10</v>
      </c>
      <c r="B229" s="17">
        <v>2</v>
      </c>
      <c r="C229" s="17">
        <v>2025</v>
      </c>
      <c r="D229" s="20"/>
      <c r="E229" s="24" t="s">
        <v>12</v>
      </c>
      <c r="F229" s="15">
        <v>442.9</v>
      </c>
      <c r="G229" s="10">
        <v>95.4</v>
      </c>
      <c r="H229" s="10">
        <v>65.699999999999989</v>
      </c>
      <c r="I229" s="10">
        <v>0</v>
      </c>
      <c r="J229" s="10">
        <v>0</v>
      </c>
      <c r="K229" s="10">
        <v>22.900000000000002</v>
      </c>
      <c r="L229" s="10">
        <v>2.6</v>
      </c>
      <c r="M229" s="10">
        <v>28.299999999999997</v>
      </c>
      <c r="N229" s="11">
        <v>657.8</v>
      </c>
    </row>
    <row r="230" spans="1:14" x14ac:dyDescent="0.35">
      <c r="A230" s="17">
        <v>10</v>
      </c>
      <c r="B230" s="17">
        <v>2</v>
      </c>
      <c r="C230" s="17">
        <v>2025</v>
      </c>
      <c r="D230" s="20"/>
      <c r="E230" s="24" t="s">
        <v>13</v>
      </c>
      <c r="F230" s="15">
        <v>0</v>
      </c>
      <c r="G230" s="10">
        <v>0</v>
      </c>
      <c r="H230" s="10">
        <v>13.9</v>
      </c>
      <c r="I230" s="10">
        <v>0</v>
      </c>
      <c r="J230" s="10">
        <v>0</v>
      </c>
      <c r="K230" s="10">
        <v>1208.1000000000001</v>
      </c>
      <c r="L230" s="10">
        <v>10.8</v>
      </c>
      <c r="M230" s="10">
        <v>18.700000000000003</v>
      </c>
      <c r="N230" s="11">
        <v>1251.5000000000002</v>
      </c>
    </row>
    <row r="231" spans="1:14" x14ac:dyDescent="0.35">
      <c r="A231" s="18">
        <v>10</v>
      </c>
      <c r="B231" s="18">
        <v>2</v>
      </c>
      <c r="C231" s="18">
        <v>2025</v>
      </c>
      <c r="D231" s="21"/>
      <c r="E231" s="25" t="s">
        <v>28</v>
      </c>
      <c r="F231" s="16">
        <v>0</v>
      </c>
      <c r="G231" s="12">
        <v>0</v>
      </c>
      <c r="H231" s="12">
        <v>0</v>
      </c>
      <c r="I231" s="12">
        <v>0</v>
      </c>
      <c r="J231" s="12">
        <v>149.9</v>
      </c>
      <c r="K231" s="12">
        <v>1350.3000000000006</v>
      </c>
      <c r="L231" s="12">
        <v>339</v>
      </c>
      <c r="M231" s="12">
        <v>0</v>
      </c>
      <c r="N231" s="13">
        <v>1839.2000000000007</v>
      </c>
    </row>
    <row r="232" spans="1:14" x14ac:dyDescent="0.35">
      <c r="A232" s="17">
        <v>4</v>
      </c>
      <c r="B232" s="17">
        <v>2</v>
      </c>
      <c r="C232" s="17">
        <v>2025</v>
      </c>
      <c r="D232" s="20"/>
      <c r="E232" s="24" t="s">
        <v>0</v>
      </c>
      <c r="F232" s="15">
        <v>873.89999999999975</v>
      </c>
      <c r="G232" s="10">
        <v>192.89999999999998</v>
      </c>
      <c r="H232" s="10">
        <v>348</v>
      </c>
      <c r="I232" s="10">
        <v>0</v>
      </c>
      <c r="J232" s="10">
        <v>1010.2999999999998</v>
      </c>
      <c r="K232" s="10">
        <v>1461.1999999999998</v>
      </c>
      <c r="L232" s="10">
        <v>2979</v>
      </c>
      <c r="M232" s="10">
        <v>193.6</v>
      </c>
      <c r="N232" s="11">
        <v>7058.9</v>
      </c>
    </row>
    <row r="233" spans="1:14" x14ac:dyDescent="0.35">
      <c r="A233" s="17">
        <v>4</v>
      </c>
      <c r="B233" s="17">
        <v>2</v>
      </c>
      <c r="C233" s="17">
        <v>2025</v>
      </c>
      <c r="D233" s="20"/>
      <c r="E233" s="24" t="s">
        <v>1</v>
      </c>
      <c r="F233" s="15">
        <v>65.8</v>
      </c>
      <c r="G233" s="10">
        <v>0</v>
      </c>
      <c r="H233" s="10">
        <v>781.19999999999993</v>
      </c>
      <c r="I233" s="10">
        <v>88.7</v>
      </c>
      <c r="J233" s="10">
        <v>0</v>
      </c>
      <c r="K233" s="10">
        <v>167.00000000000003</v>
      </c>
      <c r="L233" s="10">
        <v>4326.1000000000013</v>
      </c>
      <c r="M233" s="10">
        <v>0</v>
      </c>
      <c r="N233" s="11">
        <v>5428.8000000000011</v>
      </c>
    </row>
    <row r="234" spans="1:14" x14ac:dyDescent="0.35">
      <c r="A234" s="17">
        <v>4</v>
      </c>
      <c r="B234" s="17">
        <v>2</v>
      </c>
      <c r="C234" s="17">
        <v>2025</v>
      </c>
      <c r="D234" s="20"/>
      <c r="E234" s="24" t="s">
        <v>2</v>
      </c>
      <c r="F234" s="15">
        <v>432.70000000000005</v>
      </c>
      <c r="G234" s="10">
        <v>14.5</v>
      </c>
      <c r="H234" s="10">
        <v>147.80000000000001</v>
      </c>
      <c r="I234" s="10">
        <v>0</v>
      </c>
      <c r="J234" s="10">
        <v>249.5</v>
      </c>
      <c r="K234" s="10">
        <v>3908.800000000002</v>
      </c>
      <c r="L234" s="10">
        <v>1101.5</v>
      </c>
      <c r="M234" s="10">
        <v>51.800000000000004</v>
      </c>
      <c r="N234" s="11">
        <v>5906.6000000000022</v>
      </c>
    </row>
    <row r="235" spans="1:14" x14ac:dyDescent="0.35">
      <c r="A235" s="17">
        <v>4</v>
      </c>
      <c r="B235" s="17">
        <v>2</v>
      </c>
      <c r="C235" s="17">
        <v>2025</v>
      </c>
      <c r="D235" s="20"/>
      <c r="E235" s="24" t="s">
        <v>3</v>
      </c>
      <c r="F235" s="15">
        <v>494.69999999999993</v>
      </c>
      <c r="G235" s="10">
        <v>1849.8999999999999</v>
      </c>
      <c r="H235" s="10">
        <v>333.80000000000007</v>
      </c>
      <c r="I235" s="10">
        <v>360.4</v>
      </c>
      <c r="J235" s="10">
        <v>0</v>
      </c>
      <c r="K235" s="10">
        <v>494.9</v>
      </c>
      <c r="L235" s="10">
        <v>948.50000000000011</v>
      </c>
      <c r="M235" s="10">
        <v>12.2</v>
      </c>
      <c r="N235" s="11">
        <v>4494.4000000000005</v>
      </c>
    </row>
    <row r="236" spans="1:14" x14ac:dyDescent="0.35">
      <c r="A236" s="17">
        <v>4</v>
      </c>
      <c r="B236" s="17">
        <v>2</v>
      </c>
      <c r="C236" s="17">
        <v>2025</v>
      </c>
      <c r="D236" s="20"/>
      <c r="E236" s="24" t="s">
        <v>4</v>
      </c>
      <c r="F236" s="15">
        <v>44.7</v>
      </c>
      <c r="G236" s="10">
        <v>1989.7</v>
      </c>
      <c r="H236" s="10">
        <v>77.3</v>
      </c>
      <c r="I236" s="10">
        <v>0</v>
      </c>
      <c r="J236" s="10">
        <v>0</v>
      </c>
      <c r="K236" s="10">
        <v>241.9</v>
      </c>
      <c r="L236" s="10">
        <v>1452.4999999999998</v>
      </c>
      <c r="M236" s="10">
        <v>0</v>
      </c>
      <c r="N236" s="11">
        <v>3806.1000000000004</v>
      </c>
    </row>
    <row r="237" spans="1:14" x14ac:dyDescent="0.35">
      <c r="A237" s="17">
        <v>4</v>
      </c>
      <c r="B237" s="17">
        <v>2</v>
      </c>
      <c r="C237" s="17">
        <v>2025</v>
      </c>
      <c r="D237" s="20"/>
      <c r="E237" s="24" t="s">
        <v>5</v>
      </c>
      <c r="F237" s="15">
        <v>183.1</v>
      </c>
      <c r="G237" s="10">
        <v>301.60000000000002</v>
      </c>
      <c r="H237" s="10">
        <v>215.1</v>
      </c>
      <c r="I237" s="10">
        <v>0</v>
      </c>
      <c r="J237" s="10">
        <v>99.8</v>
      </c>
      <c r="K237" s="10">
        <v>3109.6000000000013</v>
      </c>
      <c r="L237" s="10">
        <v>2521.1000000000004</v>
      </c>
      <c r="M237" s="10">
        <v>1.6</v>
      </c>
      <c r="N237" s="11">
        <v>6431.9000000000015</v>
      </c>
    </row>
    <row r="238" spans="1:14" x14ac:dyDescent="0.35">
      <c r="A238" s="17">
        <v>4</v>
      </c>
      <c r="B238" s="17">
        <v>2</v>
      </c>
      <c r="C238" s="17">
        <v>2025</v>
      </c>
      <c r="D238" s="20"/>
      <c r="E238" s="24" t="s">
        <v>6</v>
      </c>
      <c r="F238" s="15">
        <v>187.10000000000002</v>
      </c>
      <c r="G238" s="10">
        <v>9.1999999999999993</v>
      </c>
      <c r="H238" s="10">
        <v>212.09999999999997</v>
      </c>
      <c r="I238" s="10">
        <v>0</v>
      </c>
      <c r="J238" s="10">
        <v>366.9</v>
      </c>
      <c r="K238" s="10">
        <v>2719.4</v>
      </c>
      <c r="L238" s="10">
        <v>587.9</v>
      </c>
      <c r="M238" s="10">
        <v>26.4</v>
      </c>
      <c r="N238" s="11">
        <v>4109</v>
      </c>
    </row>
    <row r="239" spans="1:14" x14ac:dyDescent="0.35">
      <c r="A239" s="17">
        <v>4</v>
      </c>
      <c r="B239" s="17">
        <v>2</v>
      </c>
      <c r="C239" s="17">
        <v>2025</v>
      </c>
      <c r="D239" s="20"/>
      <c r="E239" s="24" t="s">
        <v>7</v>
      </c>
      <c r="F239" s="15">
        <v>273.7</v>
      </c>
      <c r="G239" s="10">
        <v>53.000000000000007</v>
      </c>
      <c r="H239" s="10">
        <v>190.39999999999998</v>
      </c>
      <c r="I239" s="10">
        <v>0</v>
      </c>
      <c r="J239" s="10">
        <v>99.8</v>
      </c>
      <c r="K239" s="10">
        <v>732.8000000000003</v>
      </c>
      <c r="L239" s="10">
        <v>1137.1000000000004</v>
      </c>
      <c r="M239" s="10">
        <v>26.2</v>
      </c>
      <c r="N239" s="11">
        <v>2513.0000000000005</v>
      </c>
    </row>
    <row r="240" spans="1:14" x14ac:dyDescent="0.35">
      <c r="A240" s="17">
        <v>4</v>
      </c>
      <c r="B240" s="17">
        <v>2</v>
      </c>
      <c r="C240" s="17">
        <v>2025</v>
      </c>
      <c r="D240" s="20"/>
      <c r="E240" s="24" t="s">
        <v>8</v>
      </c>
      <c r="F240" s="15">
        <v>146</v>
      </c>
      <c r="G240" s="10">
        <v>39.5</v>
      </c>
      <c r="H240" s="10">
        <v>63.6</v>
      </c>
      <c r="I240" s="10">
        <v>0</v>
      </c>
      <c r="J240" s="10">
        <v>50</v>
      </c>
      <c r="K240" s="10">
        <v>497.80000000000013</v>
      </c>
      <c r="L240" s="10">
        <v>1178.9000000000001</v>
      </c>
      <c r="M240" s="10">
        <v>156.1</v>
      </c>
      <c r="N240" s="11">
        <v>2131.9</v>
      </c>
    </row>
    <row r="241" spans="1:14" x14ac:dyDescent="0.35">
      <c r="A241" s="17">
        <v>4</v>
      </c>
      <c r="B241" s="17">
        <v>2</v>
      </c>
      <c r="C241" s="17">
        <v>2025</v>
      </c>
      <c r="D241" s="20"/>
      <c r="E241" s="24" t="s">
        <v>9</v>
      </c>
      <c r="F241" s="15">
        <v>163</v>
      </c>
      <c r="G241" s="10">
        <v>414</v>
      </c>
      <c r="H241" s="10">
        <v>0</v>
      </c>
      <c r="I241" s="10">
        <v>0</v>
      </c>
      <c r="J241" s="10">
        <v>0</v>
      </c>
      <c r="K241" s="10">
        <v>902.9</v>
      </c>
      <c r="L241" s="10">
        <v>824.10000000000014</v>
      </c>
      <c r="M241" s="10">
        <v>0</v>
      </c>
      <c r="N241" s="11">
        <v>2304</v>
      </c>
    </row>
    <row r="242" spans="1:14" x14ac:dyDescent="0.35">
      <c r="A242" s="17">
        <v>4</v>
      </c>
      <c r="B242" s="17">
        <v>2</v>
      </c>
      <c r="C242" s="17">
        <v>2025</v>
      </c>
      <c r="D242" s="20"/>
      <c r="E242" s="24" t="s">
        <v>10</v>
      </c>
      <c r="F242" s="15">
        <v>2.2000000000000002</v>
      </c>
      <c r="G242" s="10">
        <v>0</v>
      </c>
      <c r="H242" s="10">
        <v>50.1</v>
      </c>
      <c r="I242" s="10">
        <v>0</v>
      </c>
      <c r="J242" s="10">
        <v>220.20000000000002</v>
      </c>
      <c r="K242" s="10">
        <v>2476</v>
      </c>
      <c r="L242" s="10">
        <v>134.49999999999997</v>
      </c>
      <c r="M242" s="10">
        <v>1.8</v>
      </c>
      <c r="N242" s="11">
        <v>2884.8</v>
      </c>
    </row>
    <row r="243" spans="1:14" x14ac:dyDescent="0.35">
      <c r="A243" s="17">
        <v>4</v>
      </c>
      <c r="B243" s="17">
        <v>2</v>
      </c>
      <c r="C243" s="17">
        <v>2025</v>
      </c>
      <c r="D243" s="20"/>
      <c r="E243" s="24" t="s">
        <v>11</v>
      </c>
      <c r="F243" s="15">
        <v>22.8</v>
      </c>
      <c r="G243" s="10">
        <v>0</v>
      </c>
      <c r="H243" s="10">
        <v>0</v>
      </c>
      <c r="I243" s="10">
        <v>0</v>
      </c>
      <c r="J243" s="10">
        <v>0</v>
      </c>
      <c r="K243" s="10">
        <v>267.8</v>
      </c>
      <c r="L243" s="10">
        <v>0</v>
      </c>
      <c r="M243" s="10">
        <v>0</v>
      </c>
      <c r="N243" s="11">
        <v>290.60000000000002</v>
      </c>
    </row>
    <row r="244" spans="1:14" x14ac:dyDescent="0.35">
      <c r="A244" s="17">
        <v>4</v>
      </c>
      <c r="B244" s="17">
        <v>2</v>
      </c>
      <c r="C244" s="17">
        <v>2025</v>
      </c>
      <c r="D244" s="20"/>
      <c r="E244" s="24" t="s">
        <v>12</v>
      </c>
      <c r="F244" s="15">
        <v>442.9</v>
      </c>
      <c r="G244" s="10">
        <v>95.4</v>
      </c>
      <c r="H244" s="10">
        <v>65.699999999999989</v>
      </c>
      <c r="I244" s="10">
        <v>0</v>
      </c>
      <c r="J244" s="10">
        <v>0</v>
      </c>
      <c r="K244" s="10">
        <v>22.900000000000002</v>
      </c>
      <c r="L244" s="10">
        <v>2.6</v>
      </c>
      <c r="M244" s="10">
        <v>28.299999999999997</v>
      </c>
      <c r="N244" s="11">
        <v>657.8</v>
      </c>
    </row>
    <row r="245" spans="1:14" x14ac:dyDescent="0.35">
      <c r="A245" s="17">
        <v>4</v>
      </c>
      <c r="B245" s="17">
        <v>2</v>
      </c>
      <c r="C245" s="17">
        <v>2025</v>
      </c>
      <c r="D245" s="20"/>
      <c r="E245" s="24" t="s">
        <v>13</v>
      </c>
      <c r="F245" s="15">
        <v>0</v>
      </c>
      <c r="G245" s="10">
        <v>0</v>
      </c>
      <c r="H245" s="10">
        <v>13.9</v>
      </c>
      <c r="I245" s="10">
        <v>0</v>
      </c>
      <c r="J245" s="10">
        <v>0</v>
      </c>
      <c r="K245" s="10">
        <v>1208.1000000000001</v>
      </c>
      <c r="L245" s="10">
        <v>10.8</v>
      </c>
      <c r="M245" s="10">
        <v>18.700000000000003</v>
      </c>
      <c r="N245" s="11">
        <v>1251.5000000000002</v>
      </c>
    </row>
    <row r="246" spans="1:14" x14ac:dyDescent="0.35">
      <c r="A246" s="18">
        <v>4</v>
      </c>
      <c r="B246" s="18">
        <v>2</v>
      </c>
      <c r="C246" s="18">
        <v>2025</v>
      </c>
      <c r="D246" s="21"/>
      <c r="E246" s="25" t="s">
        <v>28</v>
      </c>
      <c r="F246" s="16">
        <v>0</v>
      </c>
      <c r="G246" s="12">
        <v>0</v>
      </c>
      <c r="H246" s="12">
        <v>0</v>
      </c>
      <c r="I246" s="12">
        <v>0</v>
      </c>
      <c r="J246" s="12">
        <v>149.9</v>
      </c>
      <c r="K246" s="12">
        <v>1350.3000000000006</v>
      </c>
      <c r="L246" s="12">
        <v>339</v>
      </c>
      <c r="M246" s="12">
        <v>0</v>
      </c>
      <c r="N246" s="13">
        <v>1839.2000000000007</v>
      </c>
    </row>
    <row r="247" spans="1:14" x14ac:dyDescent="0.35">
      <c r="A247" s="19">
        <v>9</v>
      </c>
      <c r="B247" s="19">
        <v>12</v>
      </c>
      <c r="C247" s="19">
        <v>2024</v>
      </c>
      <c r="D247" s="22"/>
      <c r="E247" s="23" t="s">
        <v>0</v>
      </c>
      <c r="F247" s="14">
        <v>854.99999999999977</v>
      </c>
      <c r="G247" s="8">
        <v>192.89999999999998</v>
      </c>
      <c r="H247" s="8">
        <v>348</v>
      </c>
      <c r="I247" s="8">
        <v>0</v>
      </c>
      <c r="J247" s="8">
        <v>1160</v>
      </c>
      <c r="K247" s="8">
        <v>1423.9999999999998</v>
      </c>
      <c r="L247" s="8">
        <v>3042.3</v>
      </c>
      <c r="M247" s="8">
        <v>193.6</v>
      </c>
      <c r="N247" s="9">
        <v>7215.8</v>
      </c>
    </row>
    <row r="248" spans="1:14" x14ac:dyDescent="0.35">
      <c r="A248" s="17">
        <v>9</v>
      </c>
      <c r="B248" s="17">
        <v>12</v>
      </c>
      <c r="C248" s="17">
        <v>2024</v>
      </c>
      <c r="D248" s="20"/>
      <c r="E248" s="24" t="s">
        <v>1</v>
      </c>
      <c r="F248" s="15">
        <v>66.900000000000006</v>
      </c>
      <c r="G248" s="10">
        <v>0</v>
      </c>
      <c r="H248" s="10">
        <v>781.19999999999993</v>
      </c>
      <c r="I248" s="10">
        <v>88.7</v>
      </c>
      <c r="J248" s="10">
        <v>0</v>
      </c>
      <c r="K248" s="10">
        <v>167.00000000000003</v>
      </c>
      <c r="L248" s="10">
        <v>4350.2000000000007</v>
      </c>
      <c r="M248" s="10">
        <v>0</v>
      </c>
      <c r="N248" s="11">
        <v>5454.0000000000009</v>
      </c>
    </row>
    <row r="249" spans="1:14" x14ac:dyDescent="0.35">
      <c r="A249" s="17">
        <v>9</v>
      </c>
      <c r="B249" s="17">
        <v>12</v>
      </c>
      <c r="C249" s="17">
        <v>2024</v>
      </c>
      <c r="D249" s="20"/>
      <c r="E249" s="24" t="s">
        <v>2</v>
      </c>
      <c r="F249" s="15">
        <v>432.70000000000005</v>
      </c>
      <c r="G249" s="10">
        <v>14.5</v>
      </c>
      <c r="H249" s="10">
        <v>147.80000000000001</v>
      </c>
      <c r="I249" s="10">
        <v>0</v>
      </c>
      <c r="J249" s="10">
        <v>99.8</v>
      </c>
      <c r="K249" s="10">
        <v>3930.4000000000024</v>
      </c>
      <c r="L249" s="10">
        <v>1047.9000000000001</v>
      </c>
      <c r="M249" s="10">
        <v>51.800000000000004</v>
      </c>
      <c r="N249" s="11">
        <v>5724.9000000000024</v>
      </c>
    </row>
    <row r="250" spans="1:14" x14ac:dyDescent="0.35">
      <c r="A250" s="17">
        <v>9</v>
      </c>
      <c r="B250" s="17">
        <v>12</v>
      </c>
      <c r="C250" s="17">
        <v>2024</v>
      </c>
      <c r="D250" s="20"/>
      <c r="E250" s="24" t="s">
        <v>3</v>
      </c>
      <c r="F250" s="15">
        <v>588.79999999999995</v>
      </c>
      <c r="G250" s="10">
        <v>1756.7</v>
      </c>
      <c r="H250" s="10">
        <v>333.80000000000007</v>
      </c>
      <c r="I250" s="10">
        <v>360.4</v>
      </c>
      <c r="J250" s="10">
        <v>0</v>
      </c>
      <c r="K250" s="10">
        <v>494.9</v>
      </c>
      <c r="L250" s="10">
        <v>853.00000000000011</v>
      </c>
      <c r="M250" s="10">
        <v>12.2</v>
      </c>
      <c r="N250" s="11">
        <v>4399.8</v>
      </c>
    </row>
    <row r="251" spans="1:14" x14ac:dyDescent="0.35">
      <c r="A251" s="17">
        <v>9</v>
      </c>
      <c r="B251" s="17">
        <v>12</v>
      </c>
      <c r="C251" s="17">
        <v>2024</v>
      </c>
      <c r="D251" s="20"/>
      <c r="E251" s="24" t="s">
        <v>4</v>
      </c>
      <c r="F251" s="15">
        <v>44.7</v>
      </c>
      <c r="G251" s="10">
        <v>1989.7</v>
      </c>
      <c r="H251" s="10">
        <v>77.3</v>
      </c>
      <c r="I251" s="10">
        <v>0</v>
      </c>
      <c r="J251" s="10">
        <v>0</v>
      </c>
      <c r="K251" s="10">
        <v>241.9</v>
      </c>
      <c r="L251" s="10">
        <v>1452.4999999999998</v>
      </c>
      <c r="M251" s="10">
        <v>0</v>
      </c>
      <c r="N251" s="11">
        <v>3806.1000000000004</v>
      </c>
    </row>
    <row r="252" spans="1:14" x14ac:dyDescent="0.35">
      <c r="A252" s="17">
        <v>9</v>
      </c>
      <c r="B252" s="17">
        <v>12</v>
      </c>
      <c r="C252" s="17">
        <v>2024</v>
      </c>
      <c r="D252" s="20"/>
      <c r="E252" s="24" t="s">
        <v>5</v>
      </c>
      <c r="F252" s="15">
        <v>200.1</v>
      </c>
      <c r="G252" s="10">
        <v>301.60000000000002</v>
      </c>
      <c r="H252" s="10">
        <v>215.1</v>
      </c>
      <c r="I252" s="10">
        <v>0</v>
      </c>
      <c r="J252" s="10">
        <v>99.8</v>
      </c>
      <c r="K252" s="10">
        <v>2826.2000000000012</v>
      </c>
      <c r="L252" s="10">
        <v>2521.1000000000004</v>
      </c>
      <c r="M252" s="10">
        <v>1.6</v>
      </c>
      <c r="N252" s="11">
        <v>6165.5000000000018</v>
      </c>
    </row>
    <row r="253" spans="1:14" x14ac:dyDescent="0.35">
      <c r="A253" s="17">
        <v>9</v>
      </c>
      <c r="B253" s="17">
        <v>12</v>
      </c>
      <c r="C253" s="17">
        <v>2024</v>
      </c>
      <c r="D253" s="20"/>
      <c r="E253" s="24" t="s">
        <v>6</v>
      </c>
      <c r="F253" s="15">
        <v>65.8</v>
      </c>
      <c r="G253" s="10">
        <v>11.8</v>
      </c>
      <c r="H253" s="10">
        <v>212.09999999999997</v>
      </c>
      <c r="I253" s="10">
        <v>0</v>
      </c>
      <c r="J253" s="10">
        <v>366.9</v>
      </c>
      <c r="K253" s="10">
        <v>2550.8000000000002</v>
      </c>
      <c r="L253" s="10">
        <v>511.89999999999992</v>
      </c>
      <c r="M253" s="10">
        <v>26.4</v>
      </c>
      <c r="N253" s="11">
        <v>3745.7000000000003</v>
      </c>
    </row>
    <row r="254" spans="1:14" x14ac:dyDescent="0.35">
      <c r="A254" s="17">
        <v>9</v>
      </c>
      <c r="B254" s="17">
        <v>12</v>
      </c>
      <c r="C254" s="17">
        <v>2024</v>
      </c>
      <c r="D254" s="20"/>
      <c r="E254" s="24" t="s">
        <v>7</v>
      </c>
      <c r="F254" s="15">
        <v>273.7</v>
      </c>
      <c r="G254" s="10">
        <v>53.000000000000007</v>
      </c>
      <c r="H254" s="10">
        <v>190.39999999999998</v>
      </c>
      <c r="I254" s="10">
        <v>0</v>
      </c>
      <c r="J254" s="10">
        <v>99.8</v>
      </c>
      <c r="K254" s="10">
        <v>1499.2</v>
      </c>
      <c r="L254" s="10">
        <v>1199.7000000000003</v>
      </c>
      <c r="M254" s="10">
        <v>26.2</v>
      </c>
      <c r="N254" s="11">
        <v>3342</v>
      </c>
    </row>
    <row r="255" spans="1:14" x14ac:dyDescent="0.35">
      <c r="A255" s="17">
        <v>9</v>
      </c>
      <c r="B255" s="17">
        <v>12</v>
      </c>
      <c r="C255" s="17">
        <v>2024</v>
      </c>
      <c r="D255" s="20"/>
      <c r="E255" s="24" t="s">
        <v>8</v>
      </c>
      <c r="F255" s="15">
        <v>146</v>
      </c>
      <c r="G255" s="10">
        <v>39.5</v>
      </c>
      <c r="H255" s="10">
        <v>63.6</v>
      </c>
      <c r="I255" s="10">
        <v>0</v>
      </c>
      <c r="J255" s="10">
        <v>50</v>
      </c>
      <c r="K255" s="10">
        <v>262.5</v>
      </c>
      <c r="L255" s="10">
        <v>1272.9000000000001</v>
      </c>
      <c r="M255" s="10">
        <v>156.1</v>
      </c>
      <c r="N255" s="11">
        <v>1990.6</v>
      </c>
    </row>
    <row r="256" spans="1:14" x14ac:dyDescent="0.35">
      <c r="A256" s="17">
        <v>9</v>
      </c>
      <c r="B256" s="17">
        <v>12</v>
      </c>
      <c r="C256" s="17">
        <v>2024</v>
      </c>
      <c r="D256" s="20"/>
      <c r="E256" s="24" t="s">
        <v>9</v>
      </c>
      <c r="F256" s="15">
        <v>233.20000000000002</v>
      </c>
      <c r="G256" s="10">
        <v>414</v>
      </c>
      <c r="H256" s="10">
        <v>0</v>
      </c>
      <c r="I256" s="10">
        <v>0</v>
      </c>
      <c r="J256" s="10">
        <v>0</v>
      </c>
      <c r="K256" s="10">
        <v>529.69999999999993</v>
      </c>
      <c r="L256" s="10">
        <v>730.1</v>
      </c>
      <c r="M256" s="10">
        <v>0</v>
      </c>
      <c r="N256" s="11">
        <v>1907</v>
      </c>
    </row>
    <row r="257" spans="1:14" x14ac:dyDescent="0.35">
      <c r="A257" s="17">
        <v>9</v>
      </c>
      <c r="B257" s="17">
        <v>12</v>
      </c>
      <c r="C257" s="17">
        <v>2024</v>
      </c>
      <c r="D257" s="20"/>
      <c r="E257" s="24" t="s">
        <v>10</v>
      </c>
      <c r="F257" s="15">
        <v>2.2000000000000002</v>
      </c>
      <c r="G257" s="10">
        <v>0</v>
      </c>
      <c r="H257" s="10">
        <v>49.099999999999994</v>
      </c>
      <c r="I257" s="10">
        <v>0</v>
      </c>
      <c r="J257" s="10">
        <v>220.20000000000002</v>
      </c>
      <c r="K257" s="10">
        <v>2467.6999999999998</v>
      </c>
      <c r="L257" s="10">
        <v>134.49999999999997</v>
      </c>
      <c r="M257" s="10">
        <v>1.8</v>
      </c>
      <c r="N257" s="11">
        <v>2875.5</v>
      </c>
    </row>
    <row r="258" spans="1:14" x14ac:dyDescent="0.35">
      <c r="A258" s="17">
        <v>9</v>
      </c>
      <c r="B258" s="17">
        <v>12</v>
      </c>
      <c r="C258" s="17">
        <v>2024</v>
      </c>
      <c r="D258" s="20"/>
      <c r="E258" s="24" t="s">
        <v>11</v>
      </c>
      <c r="F258" s="15">
        <v>22.8</v>
      </c>
      <c r="G258" s="10">
        <v>0</v>
      </c>
      <c r="H258" s="10">
        <v>1.3</v>
      </c>
      <c r="I258" s="10">
        <v>0</v>
      </c>
      <c r="J258" s="10">
        <v>0</v>
      </c>
      <c r="K258" s="10">
        <v>328.20000000000005</v>
      </c>
      <c r="L258" s="10">
        <v>0</v>
      </c>
      <c r="M258" s="10">
        <v>0</v>
      </c>
      <c r="N258" s="11">
        <v>352.30000000000007</v>
      </c>
    </row>
    <row r="259" spans="1:14" x14ac:dyDescent="0.35">
      <c r="A259" s="17">
        <v>9</v>
      </c>
      <c r="B259" s="17">
        <v>12</v>
      </c>
      <c r="C259" s="17">
        <v>2024</v>
      </c>
      <c r="D259" s="20"/>
      <c r="E259" s="24" t="s">
        <v>12</v>
      </c>
      <c r="F259" s="15">
        <v>439.4</v>
      </c>
      <c r="G259" s="10">
        <v>98.9</v>
      </c>
      <c r="H259" s="10">
        <v>64.399999999999991</v>
      </c>
      <c r="I259" s="10">
        <v>0</v>
      </c>
      <c r="J259" s="10">
        <v>0</v>
      </c>
      <c r="K259" s="10">
        <v>20.5</v>
      </c>
      <c r="L259" s="10">
        <v>2.6</v>
      </c>
      <c r="M259" s="10">
        <v>28.299999999999997</v>
      </c>
      <c r="N259" s="11">
        <v>654.09999999999991</v>
      </c>
    </row>
    <row r="260" spans="1:14" x14ac:dyDescent="0.35">
      <c r="A260" s="17">
        <v>9</v>
      </c>
      <c r="B260" s="17">
        <v>12</v>
      </c>
      <c r="C260" s="17">
        <v>2024</v>
      </c>
      <c r="D260" s="20"/>
      <c r="E260" s="24" t="s">
        <v>13</v>
      </c>
      <c r="F260" s="15">
        <v>0</v>
      </c>
      <c r="G260" s="10">
        <v>0</v>
      </c>
      <c r="H260" s="10">
        <v>13.9</v>
      </c>
      <c r="I260" s="10">
        <v>0</v>
      </c>
      <c r="J260" s="10">
        <v>0</v>
      </c>
      <c r="K260" s="10">
        <v>1208.1000000000001</v>
      </c>
      <c r="L260" s="10">
        <v>10.8</v>
      </c>
      <c r="M260" s="10">
        <v>18.700000000000003</v>
      </c>
      <c r="N260" s="11">
        <v>1251.5000000000002</v>
      </c>
    </row>
    <row r="261" spans="1:14" x14ac:dyDescent="0.35">
      <c r="A261" s="18">
        <v>9</v>
      </c>
      <c r="B261" s="18">
        <v>12</v>
      </c>
      <c r="C261" s="18">
        <v>2024</v>
      </c>
      <c r="D261" s="21"/>
      <c r="E261" s="25" t="s">
        <v>28</v>
      </c>
      <c r="F261" s="16">
        <v>0</v>
      </c>
      <c r="G261" s="12">
        <v>0</v>
      </c>
      <c r="H261" s="12">
        <v>0</v>
      </c>
      <c r="I261" s="12">
        <v>0</v>
      </c>
      <c r="J261" s="12">
        <v>149.9</v>
      </c>
      <c r="K261" s="12">
        <v>1118.8000000000002</v>
      </c>
      <c r="L261" s="12">
        <v>339</v>
      </c>
      <c r="M261" s="12">
        <v>0</v>
      </c>
      <c r="N261" s="13">
        <v>1607.7000000000003</v>
      </c>
    </row>
    <row r="262" spans="1:14" x14ac:dyDescent="0.35">
      <c r="A262" s="17">
        <v>8</v>
      </c>
      <c r="B262" s="17">
        <v>11</v>
      </c>
      <c r="C262" s="17">
        <v>2024</v>
      </c>
      <c r="D262" s="20"/>
      <c r="E262" s="23" t="s">
        <v>0</v>
      </c>
      <c r="F262" s="14">
        <v>853.99999999999977</v>
      </c>
      <c r="G262" s="8">
        <v>192.89999999999998</v>
      </c>
      <c r="H262" s="8">
        <v>348</v>
      </c>
      <c r="I262" s="8">
        <v>0</v>
      </c>
      <c r="J262" s="8">
        <v>1160</v>
      </c>
      <c r="K262" s="8">
        <v>1423.9999999999998</v>
      </c>
      <c r="L262" s="8">
        <v>3042.3</v>
      </c>
      <c r="M262" s="8">
        <v>194.9</v>
      </c>
      <c r="N262" s="9">
        <v>7216.0999999999995</v>
      </c>
    </row>
    <row r="263" spans="1:14" x14ac:dyDescent="0.35">
      <c r="A263" s="17">
        <v>8</v>
      </c>
      <c r="B263" s="17">
        <v>11</v>
      </c>
      <c r="C263" s="17">
        <v>2024</v>
      </c>
      <c r="D263" s="20"/>
      <c r="E263" s="24" t="s">
        <v>1</v>
      </c>
      <c r="F263" s="15">
        <v>66.900000000000006</v>
      </c>
      <c r="G263" s="10">
        <v>0</v>
      </c>
      <c r="H263" s="10">
        <v>782.19999999999993</v>
      </c>
      <c r="I263" s="10">
        <v>88.7</v>
      </c>
      <c r="J263" s="10">
        <v>0</v>
      </c>
      <c r="K263" s="10">
        <v>167.00000000000003</v>
      </c>
      <c r="L263" s="10">
        <v>4376.2000000000007</v>
      </c>
      <c r="M263" s="10">
        <v>0</v>
      </c>
      <c r="N263" s="11">
        <v>5481.0000000000009</v>
      </c>
    </row>
    <row r="264" spans="1:14" x14ac:dyDescent="0.35">
      <c r="A264" s="17">
        <v>8</v>
      </c>
      <c r="B264" s="17">
        <v>11</v>
      </c>
      <c r="C264" s="17">
        <v>2024</v>
      </c>
      <c r="D264" s="20"/>
      <c r="E264" s="24" t="s">
        <v>2</v>
      </c>
      <c r="F264" s="15">
        <v>431.1</v>
      </c>
      <c r="G264" s="10">
        <v>14.5</v>
      </c>
      <c r="H264" s="10">
        <v>152.40000000000003</v>
      </c>
      <c r="I264" s="10">
        <v>0</v>
      </c>
      <c r="J264" s="10">
        <v>99.8</v>
      </c>
      <c r="K264" s="10">
        <v>3914.0000000000027</v>
      </c>
      <c r="L264" s="10">
        <v>1047.9000000000001</v>
      </c>
      <c r="M264" s="10">
        <v>51.800000000000004</v>
      </c>
      <c r="N264" s="11">
        <v>5711.5000000000027</v>
      </c>
    </row>
    <row r="265" spans="1:14" x14ac:dyDescent="0.35">
      <c r="A265" s="17">
        <v>8</v>
      </c>
      <c r="B265" s="17">
        <v>11</v>
      </c>
      <c r="C265" s="17">
        <v>2024</v>
      </c>
      <c r="D265" s="20"/>
      <c r="E265" s="24" t="s">
        <v>3</v>
      </c>
      <c r="F265" s="15">
        <v>579.19999999999993</v>
      </c>
      <c r="G265" s="10">
        <v>1753.2</v>
      </c>
      <c r="H265" s="10">
        <v>333.80000000000007</v>
      </c>
      <c r="I265" s="10">
        <v>360.4</v>
      </c>
      <c r="J265" s="10">
        <v>0</v>
      </c>
      <c r="K265" s="10">
        <v>494.9</v>
      </c>
      <c r="L265" s="10">
        <v>853.00000000000011</v>
      </c>
      <c r="M265" s="10">
        <v>12.2</v>
      </c>
      <c r="N265" s="11">
        <v>4386.7000000000007</v>
      </c>
    </row>
    <row r="266" spans="1:14" x14ac:dyDescent="0.35">
      <c r="A266" s="17">
        <v>8</v>
      </c>
      <c r="B266" s="17">
        <v>11</v>
      </c>
      <c r="C266" s="17">
        <v>2024</v>
      </c>
      <c r="D266" s="20"/>
      <c r="E266" s="24" t="s">
        <v>4</v>
      </c>
      <c r="F266" s="15">
        <v>44.7</v>
      </c>
      <c r="G266" s="10">
        <v>1989.7</v>
      </c>
      <c r="H266" s="10">
        <v>80.2</v>
      </c>
      <c r="I266" s="10">
        <v>0</v>
      </c>
      <c r="J266" s="10">
        <v>0</v>
      </c>
      <c r="K266" s="10">
        <v>241.9</v>
      </c>
      <c r="L266" s="10">
        <v>1452.4999999999998</v>
      </c>
      <c r="M266" s="10">
        <v>0</v>
      </c>
      <c r="N266" s="11">
        <v>3809</v>
      </c>
    </row>
    <row r="267" spans="1:14" x14ac:dyDescent="0.35">
      <c r="A267" s="17">
        <v>8</v>
      </c>
      <c r="B267" s="17">
        <v>11</v>
      </c>
      <c r="C267" s="17">
        <v>2024</v>
      </c>
      <c r="D267" s="20"/>
      <c r="E267" s="24" t="s">
        <v>5</v>
      </c>
      <c r="F267" s="15">
        <v>188.4</v>
      </c>
      <c r="G267" s="10">
        <v>301.60000000000002</v>
      </c>
      <c r="H267" s="10">
        <v>215.1</v>
      </c>
      <c r="I267" s="10">
        <v>0</v>
      </c>
      <c r="J267" s="10">
        <v>99.8</v>
      </c>
      <c r="K267" s="10">
        <v>2713.3000000000015</v>
      </c>
      <c r="L267" s="10">
        <v>2521.1000000000004</v>
      </c>
      <c r="M267" s="10">
        <v>1.6</v>
      </c>
      <c r="N267" s="11">
        <v>6040.9000000000024</v>
      </c>
    </row>
    <row r="268" spans="1:14" x14ac:dyDescent="0.35">
      <c r="A268" s="17">
        <v>8</v>
      </c>
      <c r="B268" s="17">
        <v>11</v>
      </c>
      <c r="C268" s="17">
        <v>2024</v>
      </c>
      <c r="D268" s="20"/>
      <c r="E268" s="24" t="s">
        <v>6</v>
      </c>
      <c r="F268" s="15">
        <v>65.8</v>
      </c>
      <c r="G268" s="10">
        <v>11.8</v>
      </c>
      <c r="H268" s="10">
        <v>212.09999999999997</v>
      </c>
      <c r="I268" s="10">
        <v>0</v>
      </c>
      <c r="J268" s="10">
        <v>366.9</v>
      </c>
      <c r="K268" s="10">
        <v>2530.9</v>
      </c>
      <c r="L268" s="10">
        <v>511.89999999999992</v>
      </c>
      <c r="M268" s="10">
        <v>26.499999999999996</v>
      </c>
      <c r="N268" s="11">
        <v>3725.9</v>
      </c>
    </row>
    <row r="269" spans="1:14" x14ac:dyDescent="0.35">
      <c r="A269" s="17">
        <v>8</v>
      </c>
      <c r="B269" s="17">
        <v>11</v>
      </c>
      <c r="C269" s="17">
        <v>2024</v>
      </c>
      <c r="D269" s="20"/>
      <c r="E269" s="24" t="s">
        <v>7</v>
      </c>
      <c r="F269" s="15">
        <v>273.7</v>
      </c>
      <c r="G269" s="10">
        <v>53.000000000000007</v>
      </c>
      <c r="H269" s="10">
        <v>190.39999999999998</v>
      </c>
      <c r="I269" s="10">
        <v>0</v>
      </c>
      <c r="J269" s="10">
        <v>99.8</v>
      </c>
      <c r="K269" s="10">
        <v>1326.9000000000005</v>
      </c>
      <c r="L269" s="10">
        <v>1199.7000000000003</v>
      </c>
      <c r="M269" s="10">
        <v>26.2</v>
      </c>
      <c r="N269" s="11">
        <v>3169.7000000000007</v>
      </c>
    </row>
    <row r="270" spans="1:14" x14ac:dyDescent="0.35">
      <c r="A270" s="17">
        <v>8</v>
      </c>
      <c r="B270" s="17">
        <v>11</v>
      </c>
      <c r="C270" s="17">
        <v>2024</v>
      </c>
      <c r="D270" s="20"/>
      <c r="E270" s="24" t="s">
        <v>8</v>
      </c>
      <c r="F270" s="15">
        <v>146</v>
      </c>
      <c r="G270" s="10">
        <v>39.5</v>
      </c>
      <c r="H270" s="10">
        <v>63.6</v>
      </c>
      <c r="I270" s="10">
        <v>0</v>
      </c>
      <c r="J270" s="10">
        <v>50</v>
      </c>
      <c r="K270" s="10">
        <v>262.5</v>
      </c>
      <c r="L270" s="10">
        <v>1252.9000000000001</v>
      </c>
      <c r="M270" s="10">
        <v>156.1</v>
      </c>
      <c r="N270" s="11">
        <v>1970.6</v>
      </c>
    </row>
    <row r="271" spans="1:14" x14ac:dyDescent="0.35">
      <c r="A271" s="17">
        <v>8</v>
      </c>
      <c r="B271" s="17">
        <v>11</v>
      </c>
      <c r="C271" s="17">
        <v>2024</v>
      </c>
      <c r="D271" s="20"/>
      <c r="E271" s="24" t="s">
        <v>9</v>
      </c>
      <c r="F271" s="15">
        <v>233.20000000000002</v>
      </c>
      <c r="G271" s="10">
        <v>414</v>
      </c>
      <c r="H271" s="10">
        <v>0</v>
      </c>
      <c r="I271" s="10">
        <v>0</v>
      </c>
      <c r="J271" s="10">
        <v>0</v>
      </c>
      <c r="K271" s="10">
        <v>529.69999999999993</v>
      </c>
      <c r="L271" s="10">
        <v>730.1</v>
      </c>
      <c r="M271" s="10">
        <v>0</v>
      </c>
      <c r="N271" s="11">
        <v>1907</v>
      </c>
    </row>
    <row r="272" spans="1:14" x14ac:dyDescent="0.35">
      <c r="A272" s="17">
        <v>8</v>
      </c>
      <c r="B272" s="17">
        <v>11</v>
      </c>
      <c r="C272" s="17">
        <v>2024</v>
      </c>
      <c r="D272" s="20"/>
      <c r="E272" s="24" t="s">
        <v>10</v>
      </c>
      <c r="F272" s="15">
        <v>2.2000000000000002</v>
      </c>
      <c r="G272" s="10">
        <v>0</v>
      </c>
      <c r="H272" s="10">
        <v>47.599999999999994</v>
      </c>
      <c r="I272" s="10">
        <v>0</v>
      </c>
      <c r="J272" s="10">
        <v>220.20000000000002</v>
      </c>
      <c r="K272" s="10">
        <v>2465.1</v>
      </c>
      <c r="L272" s="10">
        <v>134.49999999999997</v>
      </c>
      <c r="M272" s="10">
        <v>1.8</v>
      </c>
      <c r="N272" s="11">
        <v>2871.4</v>
      </c>
    </row>
    <row r="273" spans="1:14" x14ac:dyDescent="0.35">
      <c r="A273" s="17">
        <v>8</v>
      </c>
      <c r="B273" s="17">
        <v>11</v>
      </c>
      <c r="C273" s="17">
        <v>2024</v>
      </c>
      <c r="D273" s="20"/>
      <c r="E273" s="24" t="s">
        <v>11</v>
      </c>
      <c r="F273" s="15">
        <v>22.8</v>
      </c>
      <c r="G273" s="10">
        <v>0</v>
      </c>
      <c r="H273" s="10">
        <v>1.3</v>
      </c>
      <c r="I273" s="10">
        <v>0</v>
      </c>
      <c r="J273" s="10">
        <v>0</v>
      </c>
      <c r="K273" s="10">
        <v>329.90000000000003</v>
      </c>
      <c r="L273" s="10">
        <v>0</v>
      </c>
      <c r="M273" s="10">
        <v>0</v>
      </c>
      <c r="N273" s="11">
        <v>354.00000000000006</v>
      </c>
    </row>
    <row r="274" spans="1:14" x14ac:dyDescent="0.35">
      <c r="A274" s="17">
        <v>8</v>
      </c>
      <c r="B274" s="17">
        <v>11</v>
      </c>
      <c r="C274" s="17">
        <v>2024</v>
      </c>
      <c r="D274" s="20"/>
      <c r="E274" s="24" t="s">
        <v>12</v>
      </c>
      <c r="F274" s="15">
        <v>439.4</v>
      </c>
      <c r="G274" s="10">
        <v>98.9</v>
      </c>
      <c r="H274" s="10">
        <v>64.399999999999991</v>
      </c>
      <c r="I274" s="10">
        <v>0</v>
      </c>
      <c r="J274" s="10">
        <v>0</v>
      </c>
      <c r="K274" s="10">
        <v>20.5</v>
      </c>
      <c r="L274" s="10">
        <v>2.6</v>
      </c>
      <c r="M274" s="10">
        <v>28.299999999999997</v>
      </c>
      <c r="N274" s="11">
        <v>654.09999999999991</v>
      </c>
    </row>
    <row r="275" spans="1:14" x14ac:dyDescent="0.35">
      <c r="A275" s="17">
        <v>8</v>
      </c>
      <c r="B275" s="17">
        <v>11</v>
      </c>
      <c r="C275" s="17">
        <v>2024</v>
      </c>
      <c r="D275" s="20"/>
      <c r="E275" s="24" t="s">
        <v>13</v>
      </c>
      <c r="F275" s="15">
        <v>0</v>
      </c>
      <c r="G275" s="10">
        <v>0</v>
      </c>
      <c r="H275" s="10">
        <v>13.9</v>
      </c>
      <c r="I275" s="10">
        <v>0</v>
      </c>
      <c r="J275" s="10">
        <v>0</v>
      </c>
      <c r="K275" s="10">
        <v>1208.1000000000001</v>
      </c>
      <c r="L275" s="10">
        <v>10.8</v>
      </c>
      <c r="M275" s="10">
        <v>18.700000000000003</v>
      </c>
      <c r="N275" s="11">
        <v>1251.5000000000002</v>
      </c>
    </row>
    <row r="276" spans="1:14" x14ac:dyDescent="0.35">
      <c r="A276" s="18">
        <v>8</v>
      </c>
      <c r="B276" s="18">
        <v>11</v>
      </c>
      <c r="C276" s="18">
        <v>2024</v>
      </c>
      <c r="D276" s="21"/>
      <c r="E276" s="25" t="s">
        <v>28</v>
      </c>
      <c r="F276" s="16">
        <v>0</v>
      </c>
      <c r="G276" s="12">
        <v>0</v>
      </c>
      <c r="H276" s="12">
        <v>0</v>
      </c>
      <c r="I276" s="12">
        <v>0</v>
      </c>
      <c r="J276" s="12">
        <v>149.9</v>
      </c>
      <c r="K276" s="12">
        <v>1118.8000000000002</v>
      </c>
      <c r="L276" s="12">
        <v>339</v>
      </c>
      <c r="M276" s="12">
        <v>0</v>
      </c>
      <c r="N276" s="13">
        <v>1607.7000000000003</v>
      </c>
    </row>
    <row r="277" spans="1:14" x14ac:dyDescent="0.35">
      <c r="A277" s="19">
        <v>9</v>
      </c>
      <c r="B277" s="19">
        <v>10</v>
      </c>
      <c r="C277" s="19">
        <v>2024</v>
      </c>
      <c r="D277" s="22"/>
      <c r="E277" s="23" t="s">
        <v>0</v>
      </c>
      <c r="F277" s="14">
        <v>824.39999999999986</v>
      </c>
      <c r="G277" s="8">
        <v>192.89999999999998</v>
      </c>
      <c r="H277" s="8">
        <v>348</v>
      </c>
      <c r="I277" s="8">
        <v>0</v>
      </c>
      <c r="J277" s="8">
        <v>1259.8000000000002</v>
      </c>
      <c r="K277" s="8">
        <v>1412.9999999999998</v>
      </c>
      <c r="L277" s="8">
        <v>3039.3</v>
      </c>
      <c r="M277" s="8">
        <v>194.9</v>
      </c>
      <c r="N277" s="9">
        <v>7272.2999999999993</v>
      </c>
    </row>
    <row r="278" spans="1:14" x14ac:dyDescent="0.35">
      <c r="A278" s="17">
        <v>9</v>
      </c>
      <c r="B278" s="17">
        <v>10</v>
      </c>
      <c r="C278" s="17">
        <v>2024</v>
      </c>
      <c r="D278" s="20"/>
      <c r="E278" s="24" t="s">
        <v>1</v>
      </c>
      <c r="F278" s="15">
        <v>66.900000000000006</v>
      </c>
      <c r="G278" s="10">
        <v>0</v>
      </c>
      <c r="H278" s="10">
        <v>782.19999999999993</v>
      </c>
      <c r="I278" s="10">
        <v>88.7</v>
      </c>
      <c r="J278" s="10">
        <v>0</v>
      </c>
      <c r="K278" s="10">
        <v>167.00000000000003</v>
      </c>
      <c r="L278" s="10">
        <v>4376.2000000000016</v>
      </c>
      <c r="M278" s="10">
        <v>0</v>
      </c>
      <c r="N278" s="11">
        <v>5481.0000000000018</v>
      </c>
    </row>
    <row r="279" spans="1:14" x14ac:dyDescent="0.35">
      <c r="A279" s="17">
        <v>9</v>
      </c>
      <c r="B279" s="17">
        <v>10</v>
      </c>
      <c r="C279" s="17">
        <v>2024</v>
      </c>
      <c r="D279" s="20"/>
      <c r="E279" s="24" t="s">
        <v>2</v>
      </c>
      <c r="F279" s="15">
        <v>431.1</v>
      </c>
      <c r="G279" s="10">
        <v>14.5</v>
      </c>
      <c r="H279" s="10">
        <v>153.10000000000002</v>
      </c>
      <c r="I279" s="10">
        <v>0</v>
      </c>
      <c r="J279" s="10">
        <v>149.9</v>
      </c>
      <c r="K279" s="10">
        <v>3855.1000000000026</v>
      </c>
      <c r="L279" s="10">
        <v>1208.3999999999999</v>
      </c>
      <c r="M279" s="10">
        <v>51.800000000000004</v>
      </c>
      <c r="N279" s="11">
        <v>5863.9000000000024</v>
      </c>
    </row>
    <row r="280" spans="1:14" x14ac:dyDescent="0.35">
      <c r="A280" s="17">
        <v>9</v>
      </c>
      <c r="B280" s="17">
        <v>10</v>
      </c>
      <c r="C280" s="17">
        <v>2024</v>
      </c>
      <c r="D280" s="20"/>
      <c r="E280" s="24" t="s">
        <v>3</v>
      </c>
      <c r="F280" s="15">
        <v>579.19999999999993</v>
      </c>
      <c r="G280" s="10">
        <v>1753.2</v>
      </c>
      <c r="H280" s="10">
        <v>333.80000000000007</v>
      </c>
      <c r="I280" s="10">
        <v>360.4</v>
      </c>
      <c r="J280" s="10">
        <v>0</v>
      </c>
      <c r="K280" s="10">
        <v>494.9</v>
      </c>
      <c r="L280" s="10">
        <v>853.00000000000011</v>
      </c>
      <c r="M280" s="10">
        <v>12.2</v>
      </c>
      <c r="N280" s="11">
        <v>4386.7000000000007</v>
      </c>
    </row>
    <row r="281" spans="1:14" x14ac:dyDescent="0.35">
      <c r="A281" s="17">
        <v>9</v>
      </c>
      <c r="B281" s="17">
        <v>10</v>
      </c>
      <c r="C281" s="17">
        <v>2024</v>
      </c>
      <c r="D281" s="20"/>
      <c r="E281" s="24" t="s">
        <v>4</v>
      </c>
      <c r="F281" s="15">
        <v>44.7</v>
      </c>
      <c r="G281" s="10">
        <v>1989.7</v>
      </c>
      <c r="H281" s="10">
        <v>80.2</v>
      </c>
      <c r="I281" s="10">
        <v>0</v>
      </c>
      <c r="J281" s="10">
        <v>0</v>
      </c>
      <c r="K281" s="10">
        <v>254.5</v>
      </c>
      <c r="L281" s="10">
        <v>1452.4999999999998</v>
      </c>
      <c r="M281" s="10">
        <v>0</v>
      </c>
      <c r="N281" s="11">
        <v>3821.5999999999995</v>
      </c>
    </row>
    <row r="282" spans="1:14" x14ac:dyDescent="0.35">
      <c r="A282" s="17">
        <v>9</v>
      </c>
      <c r="B282" s="17">
        <v>10</v>
      </c>
      <c r="C282" s="17">
        <v>2024</v>
      </c>
      <c r="D282" s="20"/>
      <c r="E282" s="24" t="s">
        <v>5</v>
      </c>
      <c r="F282" s="15">
        <v>188.4</v>
      </c>
      <c r="G282" s="10">
        <v>301.60000000000002</v>
      </c>
      <c r="H282" s="10">
        <v>215.1</v>
      </c>
      <c r="I282" s="10">
        <v>0</v>
      </c>
      <c r="J282" s="10">
        <v>99.8</v>
      </c>
      <c r="K282" s="10">
        <v>2569.0000000000009</v>
      </c>
      <c r="L282" s="10">
        <v>2470.2000000000003</v>
      </c>
      <c r="M282" s="10">
        <v>1.6</v>
      </c>
      <c r="N282" s="11">
        <v>5845.7000000000016</v>
      </c>
    </row>
    <row r="283" spans="1:14" x14ac:dyDescent="0.35">
      <c r="A283" s="17">
        <v>9</v>
      </c>
      <c r="B283" s="17">
        <v>10</v>
      </c>
      <c r="C283" s="17">
        <v>2024</v>
      </c>
      <c r="D283" s="20"/>
      <c r="E283" s="24" t="s">
        <v>6</v>
      </c>
      <c r="F283" s="15">
        <v>65.8</v>
      </c>
      <c r="G283" s="10">
        <v>11.799999999999999</v>
      </c>
      <c r="H283" s="10">
        <v>212.09999999999997</v>
      </c>
      <c r="I283" s="10">
        <v>0</v>
      </c>
      <c r="J283" s="10">
        <v>366.9</v>
      </c>
      <c r="K283" s="10">
        <v>2394.4</v>
      </c>
      <c r="L283" s="10">
        <v>511.89999999999992</v>
      </c>
      <c r="M283" s="10">
        <v>26.499999999999996</v>
      </c>
      <c r="N283" s="11">
        <v>3589.4</v>
      </c>
    </row>
    <row r="284" spans="1:14" x14ac:dyDescent="0.35">
      <c r="A284" s="17">
        <v>9</v>
      </c>
      <c r="B284" s="17">
        <v>10</v>
      </c>
      <c r="C284" s="17">
        <v>2024</v>
      </c>
      <c r="D284" s="20"/>
      <c r="E284" s="24" t="s">
        <v>7</v>
      </c>
      <c r="F284" s="15">
        <v>273.7</v>
      </c>
      <c r="G284" s="10">
        <v>53.000000000000007</v>
      </c>
      <c r="H284" s="10">
        <v>192.2</v>
      </c>
      <c r="I284" s="10">
        <v>0</v>
      </c>
      <c r="J284" s="10">
        <v>99.8</v>
      </c>
      <c r="K284" s="10">
        <v>1306.7000000000005</v>
      </c>
      <c r="L284" s="10">
        <v>1190.7000000000003</v>
      </c>
      <c r="M284" s="10">
        <v>26.2</v>
      </c>
      <c r="N284" s="11">
        <v>3142.3000000000006</v>
      </c>
    </row>
    <row r="285" spans="1:14" x14ac:dyDescent="0.35">
      <c r="A285" s="17">
        <v>9</v>
      </c>
      <c r="B285" s="17">
        <v>10</v>
      </c>
      <c r="C285" s="17">
        <v>2024</v>
      </c>
      <c r="D285" s="20"/>
      <c r="E285" s="24" t="s">
        <v>8</v>
      </c>
      <c r="F285" s="15">
        <v>146</v>
      </c>
      <c r="G285" s="10">
        <v>39.5</v>
      </c>
      <c r="H285" s="10">
        <v>63.6</v>
      </c>
      <c r="I285" s="10">
        <v>0</v>
      </c>
      <c r="J285" s="10">
        <v>50</v>
      </c>
      <c r="K285" s="10">
        <v>257.39999999999998</v>
      </c>
      <c r="L285" s="10">
        <v>1219.3000000000002</v>
      </c>
      <c r="M285" s="10">
        <v>156.1</v>
      </c>
      <c r="N285" s="11">
        <v>1931.9</v>
      </c>
    </row>
    <row r="286" spans="1:14" x14ac:dyDescent="0.35">
      <c r="A286" s="17">
        <v>9</v>
      </c>
      <c r="B286" s="17">
        <v>10</v>
      </c>
      <c r="C286" s="17">
        <v>2024</v>
      </c>
      <c r="D286" s="20"/>
      <c r="E286" s="24" t="s">
        <v>9</v>
      </c>
      <c r="F286" s="15">
        <v>233.20000000000002</v>
      </c>
      <c r="G286" s="10">
        <v>414</v>
      </c>
      <c r="H286" s="10">
        <v>0</v>
      </c>
      <c r="I286" s="10">
        <v>0</v>
      </c>
      <c r="J286" s="10">
        <v>0</v>
      </c>
      <c r="K286" s="10">
        <v>529.69999999999993</v>
      </c>
      <c r="L286" s="10">
        <v>730.1</v>
      </c>
      <c r="M286" s="10">
        <v>0</v>
      </c>
      <c r="N286" s="11">
        <v>1907</v>
      </c>
    </row>
    <row r="287" spans="1:14" x14ac:dyDescent="0.35">
      <c r="A287" s="17">
        <v>9</v>
      </c>
      <c r="B287" s="17">
        <v>10</v>
      </c>
      <c r="C287" s="17">
        <v>2024</v>
      </c>
      <c r="D287" s="20"/>
      <c r="E287" s="24" t="s">
        <v>10</v>
      </c>
      <c r="F287" s="15">
        <v>2.2000000000000002</v>
      </c>
      <c r="G287" s="10">
        <v>0</v>
      </c>
      <c r="H287" s="10">
        <v>47.599999999999994</v>
      </c>
      <c r="I287" s="10">
        <v>0</v>
      </c>
      <c r="J287" s="10">
        <v>120.4</v>
      </c>
      <c r="K287" s="10">
        <v>2025.1</v>
      </c>
      <c r="L287" s="10">
        <v>96.9</v>
      </c>
      <c r="M287" s="10">
        <v>1.8</v>
      </c>
      <c r="N287" s="11">
        <v>2294</v>
      </c>
    </row>
    <row r="288" spans="1:14" x14ac:dyDescent="0.35">
      <c r="A288" s="17">
        <v>9</v>
      </c>
      <c r="B288" s="17">
        <v>10</v>
      </c>
      <c r="C288" s="17">
        <v>2024</v>
      </c>
      <c r="D288" s="20"/>
      <c r="E288" s="24" t="s">
        <v>11</v>
      </c>
      <c r="F288" s="15">
        <v>22.8</v>
      </c>
      <c r="G288" s="10">
        <v>0</v>
      </c>
      <c r="H288" s="10">
        <v>1.3</v>
      </c>
      <c r="I288" s="10">
        <v>0</v>
      </c>
      <c r="J288" s="10">
        <v>0</v>
      </c>
      <c r="K288" s="10">
        <v>333.70000000000005</v>
      </c>
      <c r="L288" s="10">
        <v>0</v>
      </c>
      <c r="M288" s="10">
        <v>0</v>
      </c>
      <c r="N288" s="11">
        <v>357.80000000000007</v>
      </c>
    </row>
    <row r="289" spans="1:14" x14ac:dyDescent="0.35">
      <c r="A289" s="17">
        <v>9</v>
      </c>
      <c r="B289" s="17">
        <v>10</v>
      </c>
      <c r="C289" s="17">
        <v>2024</v>
      </c>
      <c r="D289" s="20"/>
      <c r="E289" s="24" t="s">
        <v>12</v>
      </c>
      <c r="F289" s="15">
        <v>471.6</v>
      </c>
      <c r="G289" s="10">
        <v>98.9</v>
      </c>
      <c r="H289" s="10">
        <v>64.399999999999991</v>
      </c>
      <c r="I289" s="10">
        <v>0</v>
      </c>
      <c r="J289" s="10">
        <v>0</v>
      </c>
      <c r="K289" s="10">
        <v>20.5</v>
      </c>
      <c r="L289" s="10">
        <v>2.6</v>
      </c>
      <c r="M289" s="10">
        <v>28.299999999999997</v>
      </c>
      <c r="N289" s="11">
        <v>686.3</v>
      </c>
    </row>
    <row r="290" spans="1:14" x14ac:dyDescent="0.35">
      <c r="A290" s="17">
        <v>9</v>
      </c>
      <c r="B290" s="17">
        <v>10</v>
      </c>
      <c r="C290" s="17">
        <v>2024</v>
      </c>
      <c r="D290" s="20"/>
      <c r="E290" s="24" t="s">
        <v>13</v>
      </c>
      <c r="F290" s="15">
        <v>0</v>
      </c>
      <c r="G290" s="10">
        <v>0</v>
      </c>
      <c r="H290" s="10">
        <v>13.9</v>
      </c>
      <c r="I290" s="10">
        <v>0</v>
      </c>
      <c r="J290" s="10">
        <v>0</v>
      </c>
      <c r="K290" s="10">
        <v>1208.1000000000001</v>
      </c>
      <c r="L290" s="10">
        <v>10.8</v>
      </c>
      <c r="M290" s="10">
        <v>18.700000000000003</v>
      </c>
      <c r="N290" s="11">
        <v>1251.5000000000002</v>
      </c>
    </row>
    <row r="291" spans="1:14" x14ac:dyDescent="0.35">
      <c r="A291" s="18">
        <v>9</v>
      </c>
      <c r="B291" s="18">
        <v>10</v>
      </c>
      <c r="C291" s="18">
        <v>2024</v>
      </c>
      <c r="D291" s="21"/>
      <c r="E291" s="25" t="s">
        <v>28</v>
      </c>
      <c r="F291" s="16">
        <v>0</v>
      </c>
      <c r="G291" s="12">
        <v>0</v>
      </c>
      <c r="H291" s="12">
        <v>0</v>
      </c>
      <c r="I291" s="12">
        <v>0</v>
      </c>
      <c r="J291" s="12">
        <v>99.8</v>
      </c>
      <c r="K291" s="12">
        <v>1118.8000000000002</v>
      </c>
      <c r="L291" s="12">
        <v>194.5</v>
      </c>
      <c r="M291" s="12">
        <v>0</v>
      </c>
      <c r="N291" s="13">
        <v>1413.1000000000001</v>
      </c>
    </row>
    <row r="292" spans="1:14" x14ac:dyDescent="0.35">
      <c r="A292" s="19">
        <v>10</v>
      </c>
      <c r="B292" s="19">
        <v>9</v>
      </c>
      <c r="C292" s="19">
        <v>2024</v>
      </c>
      <c r="D292" s="7"/>
      <c r="E292" s="23" t="s">
        <v>0</v>
      </c>
      <c r="F292" s="14">
        <v>824.39999999999986</v>
      </c>
      <c r="G292" s="8">
        <v>192.89999999999998</v>
      </c>
      <c r="H292" s="8">
        <v>348</v>
      </c>
      <c r="I292" s="8">
        <v>0</v>
      </c>
      <c r="J292" s="8">
        <v>1259.8000000000002</v>
      </c>
      <c r="K292" s="8">
        <v>1422.8999999999999</v>
      </c>
      <c r="L292" s="8">
        <v>3039.3</v>
      </c>
      <c r="M292" s="8">
        <v>194.9</v>
      </c>
      <c r="N292" s="9">
        <v>7282.2</v>
      </c>
    </row>
    <row r="293" spans="1:14" x14ac:dyDescent="0.35">
      <c r="A293" s="17">
        <v>10</v>
      </c>
      <c r="B293" s="17">
        <v>9</v>
      </c>
      <c r="C293" s="17">
        <v>2024</v>
      </c>
      <c r="D293" s="5"/>
      <c r="E293" s="24" t="s">
        <v>1</v>
      </c>
      <c r="F293" s="15">
        <v>66.900000000000006</v>
      </c>
      <c r="G293" s="10">
        <v>0</v>
      </c>
      <c r="H293" s="10">
        <v>782.19999999999993</v>
      </c>
      <c r="I293" s="10">
        <v>88.7</v>
      </c>
      <c r="J293" s="10">
        <v>0</v>
      </c>
      <c r="K293" s="10">
        <v>167.00000000000003</v>
      </c>
      <c r="L293" s="10">
        <v>4376.2000000000016</v>
      </c>
      <c r="M293" s="10">
        <v>0</v>
      </c>
      <c r="N293" s="11">
        <v>5481.0000000000018</v>
      </c>
    </row>
    <row r="294" spans="1:14" x14ac:dyDescent="0.35">
      <c r="A294" s="17">
        <v>10</v>
      </c>
      <c r="B294" s="17">
        <v>9</v>
      </c>
      <c r="C294" s="17">
        <v>2024</v>
      </c>
      <c r="D294" s="5"/>
      <c r="E294" s="24" t="s">
        <v>2</v>
      </c>
      <c r="F294" s="15">
        <v>431.1</v>
      </c>
      <c r="G294" s="10">
        <v>14.5</v>
      </c>
      <c r="H294" s="10">
        <v>153.10000000000002</v>
      </c>
      <c r="I294" s="10">
        <v>0</v>
      </c>
      <c r="J294" s="10">
        <v>149.9</v>
      </c>
      <c r="K294" s="10">
        <v>3684.0000000000018</v>
      </c>
      <c r="L294" s="10">
        <v>1208.3999999999999</v>
      </c>
      <c r="M294" s="10">
        <v>51.800000000000004</v>
      </c>
      <c r="N294" s="11">
        <v>5692.800000000002</v>
      </c>
    </row>
    <row r="295" spans="1:14" x14ac:dyDescent="0.35">
      <c r="A295" s="17">
        <v>10</v>
      </c>
      <c r="B295" s="17">
        <v>9</v>
      </c>
      <c r="C295" s="17">
        <v>2024</v>
      </c>
      <c r="D295" s="5"/>
      <c r="E295" s="24" t="s">
        <v>3</v>
      </c>
      <c r="F295" s="15">
        <v>579.19999999999993</v>
      </c>
      <c r="G295" s="10">
        <v>1753.2</v>
      </c>
      <c r="H295" s="10">
        <v>333.80000000000007</v>
      </c>
      <c r="I295" s="10">
        <v>360.4</v>
      </c>
      <c r="J295" s="10">
        <v>0</v>
      </c>
      <c r="K295" s="10">
        <v>494.9</v>
      </c>
      <c r="L295" s="10">
        <v>775.00000000000011</v>
      </c>
      <c r="M295" s="10">
        <v>12.2</v>
      </c>
      <c r="N295" s="11">
        <v>4308.7000000000007</v>
      </c>
    </row>
    <row r="296" spans="1:14" x14ac:dyDescent="0.35">
      <c r="A296" s="17">
        <v>10</v>
      </c>
      <c r="B296" s="17">
        <v>9</v>
      </c>
      <c r="C296" s="17">
        <v>2024</v>
      </c>
      <c r="D296" s="5"/>
      <c r="E296" s="24" t="s">
        <v>4</v>
      </c>
      <c r="F296" s="15">
        <v>44.7</v>
      </c>
      <c r="G296" s="10">
        <v>1989.7</v>
      </c>
      <c r="H296" s="10">
        <v>80.2</v>
      </c>
      <c r="I296" s="10">
        <v>0</v>
      </c>
      <c r="J296" s="10">
        <v>0</v>
      </c>
      <c r="K296" s="10">
        <v>232.5</v>
      </c>
      <c r="L296" s="10">
        <v>1452.4999999999998</v>
      </c>
      <c r="M296" s="10">
        <v>0</v>
      </c>
      <c r="N296" s="11">
        <v>3799.5999999999995</v>
      </c>
    </row>
    <row r="297" spans="1:14" x14ac:dyDescent="0.35">
      <c r="A297" s="17">
        <v>10</v>
      </c>
      <c r="B297" s="17">
        <v>9</v>
      </c>
      <c r="C297" s="17">
        <v>2024</v>
      </c>
      <c r="D297" s="5"/>
      <c r="E297" s="24" t="s">
        <v>5</v>
      </c>
      <c r="F297" s="15">
        <v>188.4</v>
      </c>
      <c r="G297" s="10">
        <v>301.60000000000002</v>
      </c>
      <c r="H297" s="10">
        <v>215.1</v>
      </c>
      <c r="I297" s="10">
        <v>0</v>
      </c>
      <c r="J297" s="10">
        <v>99.8</v>
      </c>
      <c r="K297" s="10">
        <v>2334.3000000000006</v>
      </c>
      <c r="L297" s="10">
        <v>2458.2000000000003</v>
      </c>
      <c r="M297" s="10">
        <v>1.6</v>
      </c>
      <c r="N297" s="11">
        <v>5599.0000000000018</v>
      </c>
    </row>
    <row r="298" spans="1:14" x14ac:dyDescent="0.35">
      <c r="A298" s="17">
        <v>10</v>
      </c>
      <c r="B298" s="17">
        <v>9</v>
      </c>
      <c r="C298" s="17">
        <v>2024</v>
      </c>
      <c r="D298" s="5"/>
      <c r="E298" s="24" t="s">
        <v>6</v>
      </c>
      <c r="F298" s="15">
        <v>65.8</v>
      </c>
      <c r="G298" s="10">
        <v>12.799999999999999</v>
      </c>
      <c r="H298" s="10">
        <v>212.09999999999997</v>
      </c>
      <c r="I298" s="10">
        <v>0</v>
      </c>
      <c r="J298" s="10">
        <v>366.9</v>
      </c>
      <c r="K298" s="10">
        <v>2169.3000000000002</v>
      </c>
      <c r="L298" s="10">
        <v>511.89999999999992</v>
      </c>
      <c r="M298" s="10">
        <v>26.499999999999996</v>
      </c>
      <c r="N298" s="11">
        <v>3365.3</v>
      </c>
    </row>
    <row r="299" spans="1:14" x14ac:dyDescent="0.35">
      <c r="A299" s="17">
        <v>10</v>
      </c>
      <c r="B299" s="17">
        <v>9</v>
      </c>
      <c r="C299" s="17">
        <v>2024</v>
      </c>
      <c r="D299" s="5"/>
      <c r="E299" s="24" t="s">
        <v>7</v>
      </c>
      <c r="F299" s="15">
        <v>274.2</v>
      </c>
      <c r="G299" s="10">
        <v>53.000000000000007</v>
      </c>
      <c r="H299" s="10">
        <v>192.2</v>
      </c>
      <c r="I299" s="10">
        <v>0</v>
      </c>
      <c r="J299" s="10">
        <v>99.8</v>
      </c>
      <c r="K299" s="10">
        <v>1308.0000000000005</v>
      </c>
      <c r="L299" s="10">
        <v>1190.7000000000003</v>
      </c>
      <c r="M299" s="10">
        <v>26.2</v>
      </c>
      <c r="N299" s="11">
        <v>3144.1000000000004</v>
      </c>
    </row>
    <row r="300" spans="1:14" x14ac:dyDescent="0.35">
      <c r="A300" s="17">
        <v>10</v>
      </c>
      <c r="B300" s="17">
        <v>9</v>
      </c>
      <c r="C300" s="17">
        <v>2024</v>
      </c>
      <c r="D300" s="5"/>
      <c r="E300" s="24" t="s">
        <v>8</v>
      </c>
      <c r="F300" s="15">
        <v>146</v>
      </c>
      <c r="G300" s="10">
        <v>39.5</v>
      </c>
      <c r="H300" s="10">
        <v>63.6</v>
      </c>
      <c r="I300" s="10">
        <v>0</v>
      </c>
      <c r="J300" s="10">
        <v>50</v>
      </c>
      <c r="K300" s="10">
        <v>547.59999999999991</v>
      </c>
      <c r="L300" s="10">
        <v>1219.3000000000002</v>
      </c>
      <c r="M300" s="10">
        <v>156.1</v>
      </c>
      <c r="N300" s="11">
        <v>2222.1</v>
      </c>
    </row>
    <row r="301" spans="1:14" x14ac:dyDescent="0.35">
      <c r="A301" s="17">
        <v>10</v>
      </c>
      <c r="B301" s="17">
        <v>9</v>
      </c>
      <c r="C301" s="17">
        <v>2024</v>
      </c>
      <c r="D301" s="5"/>
      <c r="E301" s="24" t="s">
        <v>9</v>
      </c>
      <c r="F301" s="15">
        <v>233.20000000000002</v>
      </c>
      <c r="G301" s="10">
        <v>414</v>
      </c>
      <c r="H301" s="10">
        <v>0</v>
      </c>
      <c r="I301" s="10">
        <v>0</v>
      </c>
      <c r="J301" s="10">
        <v>0</v>
      </c>
      <c r="K301" s="10">
        <v>529.69999999999993</v>
      </c>
      <c r="L301" s="10">
        <v>730.1</v>
      </c>
      <c r="M301" s="10">
        <v>0</v>
      </c>
      <c r="N301" s="11">
        <v>1907</v>
      </c>
    </row>
    <row r="302" spans="1:14" x14ac:dyDescent="0.35">
      <c r="A302" s="17">
        <v>10</v>
      </c>
      <c r="B302" s="17">
        <v>9</v>
      </c>
      <c r="C302" s="17">
        <v>2024</v>
      </c>
      <c r="D302" s="5"/>
      <c r="E302" s="24" t="s">
        <v>10</v>
      </c>
      <c r="F302" s="15">
        <v>2.2000000000000002</v>
      </c>
      <c r="G302" s="10">
        <v>0</v>
      </c>
      <c r="H302" s="10">
        <v>47.599999999999994</v>
      </c>
      <c r="I302" s="10">
        <v>0</v>
      </c>
      <c r="J302" s="10">
        <v>120.4</v>
      </c>
      <c r="K302" s="10">
        <v>1726.6</v>
      </c>
      <c r="L302" s="10">
        <v>96.9</v>
      </c>
      <c r="M302" s="10">
        <v>1.8</v>
      </c>
      <c r="N302" s="11">
        <v>1995.5</v>
      </c>
    </row>
    <row r="303" spans="1:14" x14ac:dyDescent="0.35">
      <c r="A303" s="17">
        <v>10</v>
      </c>
      <c r="B303" s="17">
        <v>9</v>
      </c>
      <c r="C303" s="17">
        <v>2024</v>
      </c>
      <c r="D303" s="5"/>
      <c r="E303" s="24" t="s">
        <v>11</v>
      </c>
      <c r="F303" s="15">
        <v>22.8</v>
      </c>
      <c r="G303" s="10">
        <v>0</v>
      </c>
      <c r="H303" s="10">
        <v>1.3</v>
      </c>
      <c r="I303" s="10">
        <v>0</v>
      </c>
      <c r="J303" s="10">
        <v>0</v>
      </c>
      <c r="K303" s="10">
        <v>365.60000000000008</v>
      </c>
      <c r="L303" s="10">
        <v>0</v>
      </c>
      <c r="M303" s="10">
        <v>0</v>
      </c>
      <c r="N303" s="11">
        <v>389.7000000000001</v>
      </c>
    </row>
    <row r="304" spans="1:14" x14ac:dyDescent="0.35">
      <c r="A304" s="17">
        <v>10</v>
      </c>
      <c r="B304" s="17">
        <v>9</v>
      </c>
      <c r="C304" s="17">
        <v>2024</v>
      </c>
      <c r="D304" s="5"/>
      <c r="E304" s="24" t="s">
        <v>12</v>
      </c>
      <c r="F304" s="15">
        <v>471.6</v>
      </c>
      <c r="G304" s="10">
        <v>98.9</v>
      </c>
      <c r="H304" s="10">
        <v>64.399999999999991</v>
      </c>
      <c r="I304" s="10">
        <v>0</v>
      </c>
      <c r="J304" s="10">
        <v>0</v>
      </c>
      <c r="K304" s="10">
        <v>20.5</v>
      </c>
      <c r="L304" s="10">
        <v>2.6</v>
      </c>
      <c r="M304" s="10">
        <v>28.299999999999997</v>
      </c>
      <c r="N304" s="11">
        <v>686.3</v>
      </c>
    </row>
    <row r="305" spans="1:14" x14ac:dyDescent="0.35">
      <c r="A305" s="17">
        <v>10</v>
      </c>
      <c r="B305" s="17">
        <v>9</v>
      </c>
      <c r="C305" s="17">
        <v>2024</v>
      </c>
      <c r="D305" s="5"/>
      <c r="E305" s="24" t="s">
        <v>13</v>
      </c>
      <c r="F305" s="15">
        <v>0</v>
      </c>
      <c r="G305" s="10">
        <v>0</v>
      </c>
      <c r="H305" s="10">
        <v>13.9</v>
      </c>
      <c r="I305" s="10">
        <v>0</v>
      </c>
      <c r="J305" s="10">
        <v>0</v>
      </c>
      <c r="K305" s="10">
        <v>1208.1000000000001</v>
      </c>
      <c r="L305" s="10">
        <v>10.8</v>
      </c>
      <c r="M305" s="10">
        <v>18.700000000000003</v>
      </c>
      <c r="N305" s="11">
        <v>1251.5000000000002</v>
      </c>
    </row>
    <row r="306" spans="1:14" x14ac:dyDescent="0.35">
      <c r="A306" s="18">
        <v>10</v>
      </c>
      <c r="B306" s="18">
        <v>9</v>
      </c>
      <c r="C306" s="18">
        <v>2024</v>
      </c>
      <c r="D306" s="6"/>
      <c r="E306" s="25" t="s">
        <v>28</v>
      </c>
      <c r="F306" s="16">
        <v>0</v>
      </c>
      <c r="G306" s="12">
        <v>0</v>
      </c>
      <c r="H306" s="12">
        <v>0</v>
      </c>
      <c r="I306" s="12">
        <v>0</v>
      </c>
      <c r="J306" s="12">
        <v>99.8</v>
      </c>
      <c r="K306" s="12">
        <v>1118.8000000000002</v>
      </c>
      <c r="L306" s="12">
        <v>194.5</v>
      </c>
      <c r="M306" s="12">
        <v>0</v>
      </c>
      <c r="N306" s="13">
        <v>1413.1000000000001</v>
      </c>
    </row>
    <row r="307" spans="1:14" x14ac:dyDescent="0.35">
      <c r="A307" s="19">
        <v>21</v>
      </c>
      <c r="B307" s="19">
        <v>8</v>
      </c>
      <c r="C307" s="19">
        <v>2024</v>
      </c>
      <c r="D307" s="7"/>
      <c r="E307" s="23" t="s">
        <v>0</v>
      </c>
      <c r="F307" s="14">
        <v>824.39999999999986</v>
      </c>
      <c r="G307" s="8">
        <v>192.89999999999998</v>
      </c>
      <c r="H307" s="8">
        <v>346.6</v>
      </c>
      <c r="I307" s="8">
        <v>0</v>
      </c>
      <c r="J307" s="8">
        <v>1259.8000000000002</v>
      </c>
      <c r="K307" s="8">
        <v>1422.8999999999999</v>
      </c>
      <c r="L307" s="8">
        <v>3039.3</v>
      </c>
      <c r="M307" s="8">
        <v>194.9</v>
      </c>
      <c r="N307" s="9">
        <v>7280.7999999999993</v>
      </c>
    </row>
    <row r="308" spans="1:14" x14ac:dyDescent="0.35">
      <c r="A308" s="17">
        <v>21</v>
      </c>
      <c r="B308" s="17">
        <v>8</v>
      </c>
      <c r="C308" s="17">
        <v>2024</v>
      </c>
      <c r="D308" s="5"/>
      <c r="E308" s="24" t="s">
        <v>1</v>
      </c>
      <c r="F308" s="15">
        <v>66.900000000000006</v>
      </c>
      <c r="G308" s="10">
        <v>0</v>
      </c>
      <c r="H308" s="10">
        <v>782.19999999999993</v>
      </c>
      <c r="I308" s="10">
        <v>88.7</v>
      </c>
      <c r="J308" s="10">
        <v>0</v>
      </c>
      <c r="K308" s="10">
        <v>167.00000000000003</v>
      </c>
      <c r="L308" s="10">
        <v>4376.2000000000016</v>
      </c>
      <c r="M308" s="10">
        <v>0</v>
      </c>
      <c r="N308" s="11">
        <v>5481.0000000000018</v>
      </c>
    </row>
    <row r="309" spans="1:14" x14ac:dyDescent="0.35">
      <c r="A309" s="17">
        <v>21</v>
      </c>
      <c r="B309" s="17">
        <v>8</v>
      </c>
      <c r="C309" s="17">
        <v>2024</v>
      </c>
      <c r="D309" s="5"/>
      <c r="E309" s="24" t="s">
        <v>2</v>
      </c>
      <c r="F309" s="15">
        <v>431.1</v>
      </c>
      <c r="G309" s="10">
        <v>14.5</v>
      </c>
      <c r="H309" s="10">
        <v>154.5</v>
      </c>
      <c r="I309" s="10">
        <v>0</v>
      </c>
      <c r="J309" s="10">
        <v>149.9</v>
      </c>
      <c r="K309" s="10">
        <v>3623.0000000000018</v>
      </c>
      <c r="L309" s="10">
        <v>1207.5999999999999</v>
      </c>
      <c r="M309" s="10">
        <v>51.800000000000004</v>
      </c>
      <c r="N309" s="11">
        <v>5632.4000000000024</v>
      </c>
    </row>
    <row r="310" spans="1:14" x14ac:dyDescent="0.35">
      <c r="A310" s="17">
        <v>21</v>
      </c>
      <c r="B310" s="17">
        <v>8</v>
      </c>
      <c r="C310" s="17">
        <v>2024</v>
      </c>
      <c r="D310" s="5"/>
      <c r="E310" s="24" t="s">
        <v>3</v>
      </c>
      <c r="F310" s="15">
        <v>579.19999999999993</v>
      </c>
      <c r="G310" s="10">
        <v>1753.2</v>
      </c>
      <c r="H310" s="10">
        <v>333.80000000000007</v>
      </c>
      <c r="I310" s="10">
        <v>360.4</v>
      </c>
      <c r="J310" s="10">
        <v>0</v>
      </c>
      <c r="K310" s="10">
        <v>494.9</v>
      </c>
      <c r="L310" s="10">
        <v>775.00000000000011</v>
      </c>
      <c r="M310" s="10">
        <v>12.2</v>
      </c>
      <c r="N310" s="11">
        <v>4308.7000000000007</v>
      </c>
    </row>
    <row r="311" spans="1:14" x14ac:dyDescent="0.35">
      <c r="A311" s="17">
        <v>21</v>
      </c>
      <c r="B311" s="17">
        <v>8</v>
      </c>
      <c r="C311" s="17">
        <v>2024</v>
      </c>
      <c r="D311" s="5"/>
      <c r="E311" s="24" t="s">
        <v>4</v>
      </c>
      <c r="F311" s="15">
        <v>44.7</v>
      </c>
      <c r="G311" s="10">
        <v>1989.7</v>
      </c>
      <c r="H311" s="10">
        <v>80.2</v>
      </c>
      <c r="I311" s="10">
        <v>0</v>
      </c>
      <c r="J311" s="10">
        <v>0</v>
      </c>
      <c r="K311" s="10">
        <v>233.9</v>
      </c>
      <c r="L311" s="10">
        <v>1452.4999999999998</v>
      </c>
      <c r="M311" s="10">
        <v>0</v>
      </c>
      <c r="N311" s="11">
        <v>3801</v>
      </c>
    </row>
    <row r="312" spans="1:14" x14ac:dyDescent="0.35">
      <c r="A312" s="17">
        <v>21</v>
      </c>
      <c r="B312" s="17">
        <v>8</v>
      </c>
      <c r="C312" s="17">
        <v>2024</v>
      </c>
      <c r="D312" s="5"/>
      <c r="E312" s="24" t="s">
        <v>5</v>
      </c>
      <c r="F312" s="15">
        <v>188.4</v>
      </c>
      <c r="G312" s="10">
        <v>301.60000000000002</v>
      </c>
      <c r="H312" s="10">
        <v>215.1</v>
      </c>
      <c r="I312" s="10">
        <v>0</v>
      </c>
      <c r="J312" s="10">
        <v>99.8</v>
      </c>
      <c r="K312" s="10">
        <v>2307.3000000000006</v>
      </c>
      <c r="L312" s="10">
        <v>2412.7000000000003</v>
      </c>
      <c r="M312" s="10">
        <v>1.6</v>
      </c>
      <c r="N312" s="11">
        <v>5526.5000000000018</v>
      </c>
    </row>
    <row r="313" spans="1:14" x14ac:dyDescent="0.35">
      <c r="A313" s="17">
        <v>21</v>
      </c>
      <c r="B313" s="17">
        <v>8</v>
      </c>
      <c r="C313" s="17">
        <v>2024</v>
      </c>
      <c r="D313" s="5"/>
      <c r="E313" s="24" t="s">
        <v>6</v>
      </c>
      <c r="F313" s="15">
        <v>65.8</v>
      </c>
      <c r="G313" s="10">
        <v>12.799999999999999</v>
      </c>
      <c r="H313" s="10">
        <v>211.69999999999996</v>
      </c>
      <c r="I313" s="10">
        <v>0</v>
      </c>
      <c r="J313" s="10">
        <v>366.9</v>
      </c>
      <c r="K313" s="10">
        <v>2138.2000000000003</v>
      </c>
      <c r="L313" s="10">
        <v>511.89999999999992</v>
      </c>
      <c r="M313" s="10">
        <v>26.499999999999996</v>
      </c>
      <c r="N313" s="11">
        <v>3333.8</v>
      </c>
    </row>
    <row r="314" spans="1:14" x14ac:dyDescent="0.35">
      <c r="A314" s="17">
        <v>21</v>
      </c>
      <c r="B314" s="17">
        <v>8</v>
      </c>
      <c r="C314" s="17">
        <v>2024</v>
      </c>
      <c r="D314" s="5"/>
      <c r="E314" s="24" t="s">
        <v>7</v>
      </c>
      <c r="F314" s="15">
        <v>274.2</v>
      </c>
      <c r="G314" s="10">
        <v>53.000000000000007</v>
      </c>
      <c r="H314" s="10">
        <v>192.2</v>
      </c>
      <c r="I314" s="10">
        <v>0</v>
      </c>
      <c r="J314" s="10">
        <v>99.8</v>
      </c>
      <c r="K314" s="10">
        <v>1308.0000000000005</v>
      </c>
      <c r="L314" s="10">
        <v>1190.7000000000003</v>
      </c>
      <c r="M314" s="10">
        <v>26.2</v>
      </c>
      <c r="N314" s="11">
        <v>3144.1000000000004</v>
      </c>
    </row>
    <row r="315" spans="1:14" x14ac:dyDescent="0.35">
      <c r="A315" s="17">
        <v>21</v>
      </c>
      <c r="B315" s="17">
        <v>8</v>
      </c>
      <c r="C315" s="17">
        <v>2024</v>
      </c>
      <c r="D315" s="5"/>
      <c r="E315" s="24" t="s">
        <v>8</v>
      </c>
      <c r="F315" s="15">
        <v>146</v>
      </c>
      <c r="G315" s="10">
        <v>39.5</v>
      </c>
      <c r="H315" s="10">
        <v>63.6</v>
      </c>
      <c r="I315" s="10">
        <v>0</v>
      </c>
      <c r="J315" s="10">
        <v>50</v>
      </c>
      <c r="K315" s="10">
        <v>544.09999999999991</v>
      </c>
      <c r="L315" s="10">
        <v>1220.1000000000001</v>
      </c>
      <c r="M315" s="10">
        <v>156.1</v>
      </c>
      <c r="N315" s="11">
        <v>2219.4</v>
      </c>
    </row>
    <row r="316" spans="1:14" x14ac:dyDescent="0.35">
      <c r="A316" s="17">
        <v>21</v>
      </c>
      <c r="B316" s="17">
        <v>8</v>
      </c>
      <c r="C316" s="17">
        <v>2024</v>
      </c>
      <c r="D316" s="5"/>
      <c r="E316" s="24" t="s">
        <v>9</v>
      </c>
      <c r="F316" s="15">
        <v>233.20000000000002</v>
      </c>
      <c r="G316" s="10">
        <v>414</v>
      </c>
      <c r="H316" s="10">
        <v>0</v>
      </c>
      <c r="I316" s="10">
        <v>0</v>
      </c>
      <c r="J316" s="10">
        <v>0</v>
      </c>
      <c r="K316" s="10">
        <v>529.69999999999993</v>
      </c>
      <c r="L316" s="10">
        <v>730.1</v>
      </c>
      <c r="M316" s="10">
        <v>0</v>
      </c>
      <c r="N316" s="11">
        <v>1907</v>
      </c>
    </row>
    <row r="317" spans="1:14" x14ac:dyDescent="0.35">
      <c r="A317" s="17">
        <v>21</v>
      </c>
      <c r="B317" s="17">
        <v>8</v>
      </c>
      <c r="C317" s="17">
        <v>2024</v>
      </c>
      <c r="D317" s="5"/>
      <c r="E317" s="24" t="s">
        <v>10</v>
      </c>
      <c r="F317" s="15">
        <v>2.2000000000000002</v>
      </c>
      <c r="G317" s="10">
        <v>0</v>
      </c>
      <c r="H317" s="10">
        <v>47.599999999999994</v>
      </c>
      <c r="I317" s="10">
        <v>0</v>
      </c>
      <c r="J317" s="10">
        <v>120.4</v>
      </c>
      <c r="K317" s="10">
        <v>1723.8</v>
      </c>
      <c r="L317" s="10">
        <v>96.9</v>
      </c>
      <c r="M317" s="10">
        <v>1.8</v>
      </c>
      <c r="N317" s="11">
        <v>1992.7</v>
      </c>
    </row>
    <row r="318" spans="1:14" x14ac:dyDescent="0.35">
      <c r="A318" s="17">
        <v>21</v>
      </c>
      <c r="B318" s="17">
        <v>8</v>
      </c>
      <c r="C318" s="17">
        <v>2024</v>
      </c>
      <c r="D318" s="5"/>
      <c r="E318" s="24" t="s">
        <v>11</v>
      </c>
      <c r="F318" s="15">
        <v>22.8</v>
      </c>
      <c r="G318" s="10">
        <v>0</v>
      </c>
      <c r="H318" s="10">
        <v>1.3</v>
      </c>
      <c r="I318" s="10">
        <v>0</v>
      </c>
      <c r="J318" s="10">
        <v>0</v>
      </c>
      <c r="K318" s="10">
        <v>335.6</v>
      </c>
      <c r="L318" s="10">
        <v>0</v>
      </c>
      <c r="M318" s="10">
        <v>0</v>
      </c>
      <c r="N318" s="11">
        <v>359.70000000000005</v>
      </c>
    </row>
    <row r="319" spans="1:14" x14ac:dyDescent="0.35">
      <c r="A319" s="17">
        <v>21</v>
      </c>
      <c r="B319" s="17">
        <v>8</v>
      </c>
      <c r="C319" s="17">
        <v>2024</v>
      </c>
      <c r="D319" s="5"/>
      <c r="E319" s="24" t="s">
        <v>12</v>
      </c>
      <c r="F319" s="15">
        <v>471.6</v>
      </c>
      <c r="G319" s="10">
        <v>98.9</v>
      </c>
      <c r="H319" s="10">
        <v>64.399999999999991</v>
      </c>
      <c r="I319" s="10">
        <v>0</v>
      </c>
      <c r="J319" s="10">
        <v>0</v>
      </c>
      <c r="K319" s="10">
        <v>20.5</v>
      </c>
      <c r="L319" s="10">
        <v>2.6</v>
      </c>
      <c r="M319" s="10">
        <v>28.299999999999997</v>
      </c>
      <c r="N319" s="11">
        <v>686.3</v>
      </c>
    </row>
    <row r="320" spans="1:14" x14ac:dyDescent="0.35">
      <c r="A320" s="17">
        <v>21</v>
      </c>
      <c r="B320" s="17">
        <v>8</v>
      </c>
      <c r="C320" s="17">
        <v>2024</v>
      </c>
      <c r="D320" s="5"/>
      <c r="E320" s="24" t="s">
        <v>13</v>
      </c>
      <c r="F320" s="15">
        <v>0</v>
      </c>
      <c r="G320" s="10">
        <v>0</v>
      </c>
      <c r="H320" s="10">
        <v>13.9</v>
      </c>
      <c r="I320" s="10">
        <v>0</v>
      </c>
      <c r="J320" s="10">
        <v>0</v>
      </c>
      <c r="K320" s="10">
        <v>1208.1000000000001</v>
      </c>
      <c r="L320" s="10">
        <v>10.8</v>
      </c>
      <c r="M320" s="10">
        <v>18.700000000000003</v>
      </c>
      <c r="N320" s="11">
        <v>1251.5000000000002</v>
      </c>
    </row>
    <row r="321" spans="1:14" x14ac:dyDescent="0.35">
      <c r="A321" s="18">
        <v>21</v>
      </c>
      <c r="B321" s="18">
        <v>8</v>
      </c>
      <c r="C321" s="18">
        <v>2024</v>
      </c>
      <c r="D321" s="6"/>
      <c r="E321" s="25" t="s">
        <v>28</v>
      </c>
      <c r="F321" s="16">
        <v>0</v>
      </c>
      <c r="G321" s="12">
        <v>0</v>
      </c>
      <c r="H321" s="12">
        <v>0</v>
      </c>
      <c r="I321" s="12">
        <v>0</v>
      </c>
      <c r="J321" s="12">
        <v>99.8</v>
      </c>
      <c r="K321" s="12">
        <v>1118.8000000000002</v>
      </c>
      <c r="L321" s="12">
        <v>194.5</v>
      </c>
      <c r="M321" s="12">
        <v>0</v>
      </c>
      <c r="N321" s="13">
        <v>1413.1000000000001</v>
      </c>
    </row>
    <row r="322" spans="1:14" x14ac:dyDescent="0.35">
      <c r="A322" s="19">
        <v>15</v>
      </c>
      <c r="B322" s="19">
        <v>7</v>
      </c>
      <c r="C322" s="19">
        <v>2024</v>
      </c>
      <c r="D322" s="7"/>
      <c r="E322" s="23" t="s">
        <v>0</v>
      </c>
      <c r="F322" s="14">
        <v>831.79999999999984</v>
      </c>
      <c r="G322" s="8">
        <v>192.89999999999998</v>
      </c>
      <c r="H322" s="8">
        <v>346.6</v>
      </c>
      <c r="I322" s="8">
        <v>0</v>
      </c>
      <c r="J322" s="8">
        <v>1259.8000000000002</v>
      </c>
      <c r="K322" s="8">
        <v>995.29999999999984</v>
      </c>
      <c r="L322" s="8">
        <v>3039.3</v>
      </c>
      <c r="M322" s="8">
        <v>194.9</v>
      </c>
      <c r="N322" s="9">
        <v>6860.5999999999995</v>
      </c>
    </row>
    <row r="323" spans="1:14" x14ac:dyDescent="0.35">
      <c r="A323" s="17">
        <v>15</v>
      </c>
      <c r="B323" s="17">
        <v>7</v>
      </c>
      <c r="C323" s="17">
        <v>2024</v>
      </c>
      <c r="D323" s="5"/>
      <c r="E323" s="24" t="s">
        <v>1</v>
      </c>
      <c r="F323" s="15">
        <v>66.900000000000006</v>
      </c>
      <c r="G323" s="10">
        <v>0</v>
      </c>
      <c r="H323" s="10">
        <v>881.19999999999993</v>
      </c>
      <c r="I323" s="10">
        <v>88.7</v>
      </c>
      <c r="J323" s="10">
        <v>0</v>
      </c>
      <c r="K323" s="10">
        <v>167.00000000000003</v>
      </c>
      <c r="L323" s="10">
        <v>4376.2000000000016</v>
      </c>
      <c r="M323" s="10">
        <v>0</v>
      </c>
      <c r="N323" s="11">
        <v>5580.0000000000018</v>
      </c>
    </row>
    <row r="324" spans="1:14" x14ac:dyDescent="0.35">
      <c r="A324" s="17">
        <v>15</v>
      </c>
      <c r="B324" s="17">
        <v>7</v>
      </c>
      <c r="C324" s="17">
        <v>2024</v>
      </c>
      <c r="D324" s="5"/>
      <c r="E324" s="24" t="s">
        <v>2</v>
      </c>
      <c r="F324" s="15">
        <v>431.1</v>
      </c>
      <c r="G324" s="10">
        <v>14.5</v>
      </c>
      <c r="H324" s="10">
        <v>156</v>
      </c>
      <c r="I324" s="10">
        <v>0</v>
      </c>
      <c r="J324" s="10">
        <v>149.9</v>
      </c>
      <c r="K324" s="10">
        <v>3518.1000000000026</v>
      </c>
      <c r="L324" s="10">
        <v>1207.5999999999999</v>
      </c>
      <c r="M324" s="10">
        <v>51.800000000000004</v>
      </c>
      <c r="N324" s="11">
        <v>5529.0000000000027</v>
      </c>
    </row>
    <row r="325" spans="1:14" x14ac:dyDescent="0.35">
      <c r="A325" s="17">
        <v>15</v>
      </c>
      <c r="B325" s="17">
        <v>7</v>
      </c>
      <c r="C325" s="17">
        <v>2024</v>
      </c>
      <c r="D325" s="5"/>
      <c r="E325" s="24" t="s">
        <v>3</v>
      </c>
      <c r="F325" s="15">
        <v>579.19999999999993</v>
      </c>
      <c r="G325" s="10">
        <v>1753.2</v>
      </c>
      <c r="H325" s="10">
        <v>698.3</v>
      </c>
      <c r="I325" s="10">
        <v>360.4</v>
      </c>
      <c r="J325" s="10">
        <v>0</v>
      </c>
      <c r="K325" s="10">
        <v>481.9</v>
      </c>
      <c r="L325" s="10">
        <v>730.00000000000011</v>
      </c>
      <c r="M325" s="10">
        <v>12.2</v>
      </c>
      <c r="N325" s="11">
        <v>4615.2</v>
      </c>
    </row>
    <row r="326" spans="1:14" x14ac:dyDescent="0.35">
      <c r="A326" s="17">
        <v>15</v>
      </c>
      <c r="B326" s="17">
        <v>7</v>
      </c>
      <c r="C326" s="17">
        <v>2024</v>
      </c>
      <c r="D326" s="5"/>
      <c r="E326" s="24" t="s">
        <v>4</v>
      </c>
      <c r="F326" s="15">
        <v>44.7</v>
      </c>
      <c r="G326" s="10">
        <v>1989.7</v>
      </c>
      <c r="H326" s="10">
        <v>80.2</v>
      </c>
      <c r="I326" s="10">
        <v>0</v>
      </c>
      <c r="J326" s="10">
        <v>0</v>
      </c>
      <c r="K326" s="10">
        <v>193.9</v>
      </c>
      <c r="L326" s="10">
        <v>1452.4999999999998</v>
      </c>
      <c r="M326" s="10">
        <v>0</v>
      </c>
      <c r="N326" s="11">
        <v>3761</v>
      </c>
    </row>
    <row r="327" spans="1:14" x14ac:dyDescent="0.35">
      <c r="A327" s="17">
        <v>15</v>
      </c>
      <c r="B327" s="17">
        <v>7</v>
      </c>
      <c r="C327" s="17">
        <v>2024</v>
      </c>
      <c r="D327" s="5"/>
      <c r="E327" s="24" t="s">
        <v>5</v>
      </c>
      <c r="F327" s="15">
        <v>188.4</v>
      </c>
      <c r="G327" s="10">
        <v>301.60000000000002</v>
      </c>
      <c r="H327" s="10">
        <v>265.10000000000002</v>
      </c>
      <c r="I327" s="10">
        <v>0</v>
      </c>
      <c r="J327" s="10">
        <v>99.8</v>
      </c>
      <c r="K327" s="10">
        <v>2440.0000000000009</v>
      </c>
      <c r="L327" s="10">
        <v>2413.2000000000003</v>
      </c>
      <c r="M327" s="10">
        <v>1.6</v>
      </c>
      <c r="N327" s="11">
        <v>5709.7000000000016</v>
      </c>
    </row>
    <row r="328" spans="1:14" x14ac:dyDescent="0.35">
      <c r="A328" s="17">
        <v>15</v>
      </c>
      <c r="B328" s="17">
        <v>7</v>
      </c>
      <c r="C328" s="17">
        <v>2024</v>
      </c>
      <c r="D328" s="5"/>
      <c r="E328" s="24" t="s">
        <v>6</v>
      </c>
      <c r="F328" s="15">
        <v>65.8</v>
      </c>
      <c r="G328" s="10">
        <v>12.799999999999999</v>
      </c>
      <c r="H328" s="10">
        <v>210.19999999999996</v>
      </c>
      <c r="I328" s="10">
        <v>0</v>
      </c>
      <c r="J328" s="10">
        <v>366.9</v>
      </c>
      <c r="K328" s="10">
        <v>2089.2000000000003</v>
      </c>
      <c r="L328" s="10">
        <v>511.89999999999992</v>
      </c>
      <c r="M328" s="10">
        <v>26.499999999999996</v>
      </c>
      <c r="N328" s="11">
        <v>3283.3</v>
      </c>
    </row>
    <row r="329" spans="1:14" x14ac:dyDescent="0.35">
      <c r="A329" s="17">
        <v>15</v>
      </c>
      <c r="B329" s="17">
        <v>7</v>
      </c>
      <c r="C329" s="17">
        <v>2024</v>
      </c>
      <c r="D329" s="5"/>
      <c r="E329" s="24" t="s">
        <v>7</v>
      </c>
      <c r="F329" s="15">
        <v>274.7</v>
      </c>
      <c r="G329" s="10">
        <v>53.000000000000007</v>
      </c>
      <c r="H329" s="10">
        <v>192.2</v>
      </c>
      <c r="I329" s="10">
        <v>0</v>
      </c>
      <c r="J329" s="10">
        <v>99.8</v>
      </c>
      <c r="K329" s="10">
        <v>1315.9000000000003</v>
      </c>
      <c r="L329" s="10">
        <v>1190.7000000000003</v>
      </c>
      <c r="M329" s="10">
        <v>26.2</v>
      </c>
      <c r="N329" s="11">
        <v>3152.5000000000005</v>
      </c>
    </row>
    <row r="330" spans="1:14" x14ac:dyDescent="0.35">
      <c r="A330" s="17">
        <v>15</v>
      </c>
      <c r="B330" s="17">
        <v>7</v>
      </c>
      <c r="C330" s="17">
        <v>2024</v>
      </c>
      <c r="D330" s="5"/>
      <c r="E330" s="24" t="s">
        <v>8</v>
      </c>
      <c r="F330" s="15">
        <v>146.5</v>
      </c>
      <c r="G330" s="10">
        <v>39.5</v>
      </c>
      <c r="H330" s="10">
        <v>59.1</v>
      </c>
      <c r="I330" s="10">
        <v>0</v>
      </c>
      <c r="J330" s="10">
        <v>50</v>
      </c>
      <c r="K330" s="10">
        <v>543.19999999999993</v>
      </c>
      <c r="L330" s="10">
        <v>1220.1000000000001</v>
      </c>
      <c r="M330" s="10">
        <v>156.1</v>
      </c>
      <c r="N330" s="11">
        <v>2214.5</v>
      </c>
    </row>
    <row r="331" spans="1:14" x14ac:dyDescent="0.35">
      <c r="A331" s="17">
        <v>15</v>
      </c>
      <c r="B331" s="17">
        <v>7</v>
      </c>
      <c r="C331" s="17">
        <v>2024</v>
      </c>
      <c r="D331" s="5"/>
      <c r="E331" s="24" t="s">
        <v>9</v>
      </c>
      <c r="F331" s="15">
        <v>233.20000000000002</v>
      </c>
      <c r="G331" s="10">
        <v>414</v>
      </c>
      <c r="H331" s="10">
        <v>0</v>
      </c>
      <c r="I331" s="10">
        <v>0</v>
      </c>
      <c r="J331" s="10">
        <v>0</v>
      </c>
      <c r="K331" s="10">
        <v>558.59999999999991</v>
      </c>
      <c r="L331" s="10">
        <v>730.1</v>
      </c>
      <c r="M331" s="10">
        <v>0</v>
      </c>
      <c r="N331" s="11">
        <v>1935.9</v>
      </c>
    </row>
    <row r="332" spans="1:14" x14ac:dyDescent="0.35">
      <c r="A332" s="17">
        <v>15</v>
      </c>
      <c r="B332" s="17">
        <v>7</v>
      </c>
      <c r="C332" s="17">
        <v>2024</v>
      </c>
      <c r="D332" s="5"/>
      <c r="E332" s="24" t="s">
        <v>10</v>
      </c>
      <c r="F332" s="15">
        <v>2.2000000000000002</v>
      </c>
      <c r="G332" s="10">
        <v>0</v>
      </c>
      <c r="H332" s="10">
        <v>47.599999999999994</v>
      </c>
      <c r="I332" s="10">
        <v>0</v>
      </c>
      <c r="J332" s="10">
        <v>120.4</v>
      </c>
      <c r="K332" s="10">
        <v>1723.9</v>
      </c>
      <c r="L332" s="10">
        <v>96.9</v>
      </c>
      <c r="M332" s="10">
        <v>1.8</v>
      </c>
      <c r="N332" s="11">
        <v>1992.8000000000002</v>
      </c>
    </row>
    <row r="333" spans="1:14" x14ac:dyDescent="0.35">
      <c r="A333" s="17">
        <v>15</v>
      </c>
      <c r="B333" s="17">
        <v>7</v>
      </c>
      <c r="C333" s="17">
        <v>2024</v>
      </c>
      <c r="D333" s="5"/>
      <c r="E333" s="24" t="s">
        <v>11</v>
      </c>
      <c r="F333" s="15">
        <v>22.8</v>
      </c>
      <c r="G333" s="10">
        <v>0</v>
      </c>
      <c r="H333" s="10">
        <v>1.3</v>
      </c>
      <c r="I333" s="10">
        <v>0</v>
      </c>
      <c r="J333" s="10">
        <v>0</v>
      </c>
      <c r="K333" s="10">
        <v>544.79999999999995</v>
      </c>
      <c r="L333" s="10">
        <v>41.5</v>
      </c>
      <c r="M333" s="10">
        <v>0</v>
      </c>
      <c r="N333" s="11">
        <v>610.4</v>
      </c>
    </row>
    <row r="334" spans="1:14" x14ac:dyDescent="0.35">
      <c r="A334" s="17">
        <v>15</v>
      </c>
      <c r="B334" s="17">
        <v>7</v>
      </c>
      <c r="C334" s="17">
        <v>2024</v>
      </c>
      <c r="D334" s="5"/>
      <c r="E334" s="24" t="s">
        <v>12</v>
      </c>
      <c r="F334" s="15">
        <v>510.80000000000007</v>
      </c>
      <c r="G334" s="10">
        <v>486.79999999999995</v>
      </c>
      <c r="H334" s="10">
        <v>64.399999999999991</v>
      </c>
      <c r="I334" s="10">
        <v>0</v>
      </c>
      <c r="J334" s="10">
        <v>0</v>
      </c>
      <c r="K334" s="10">
        <v>20.5</v>
      </c>
      <c r="L334" s="10">
        <v>2.6</v>
      </c>
      <c r="M334" s="10">
        <v>28.299999999999997</v>
      </c>
      <c r="N334" s="11">
        <v>1113.3999999999999</v>
      </c>
    </row>
    <row r="335" spans="1:14" x14ac:dyDescent="0.35">
      <c r="A335" s="18">
        <v>15</v>
      </c>
      <c r="B335" s="18">
        <v>7</v>
      </c>
      <c r="C335" s="18">
        <v>2024</v>
      </c>
      <c r="D335" s="6"/>
      <c r="E335" s="25" t="s">
        <v>13</v>
      </c>
      <c r="F335" s="16">
        <v>0</v>
      </c>
      <c r="G335" s="12">
        <v>0</v>
      </c>
      <c r="H335" s="12">
        <v>13.9</v>
      </c>
      <c r="I335" s="12">
        <v>0</v>
      </c>
      <c r="J335" s="12">
        <v>0</v>
      </c>
      <c r="K335" s="12">
        <v>1208.1000000000001</v>
      </c>
      <c r="L335" s="12">
        <v>10.8</v>
      </c>
      <c r="M335" s="12">
        <v>18.700000000000003</v>
      </c>
      <c r="N335" s="13">
        <v>1251.5000000000002</v>
      </c>
    </row>
    <row r="336" spans="1:14" x14ac:dyDescent="0.35">
      <c r="A336" s="19">
        <v>7</v>
      </c>
      <c r="B336" s="19">
        <v>5</v>
      </c>
      <c r="C336" s="19">
        <v>2024</v>
      </c>
      <c r="D336" s="7"/>
      <c r="E336" s="23" t="s">
        <v>0</v>
      </c>
      <c r="F336" s="14">
        <v>841.99999999999989</v>
      </c>
      <c r="G336" s="8">
        <v>192.89999999999998</v>
      </c>
      <c r="H336" s="8">
        <v>346.6</v>
      </c>
      <c r="I336" s="8">
        <v>0</v>
      </c>
      <c r="J336" s="8">
        <v>1259.8000000000002</v>
      </c>
      <c r="K336" s="8">
        <v>980.19999999999982</v>
      </c>
      <c r="L336" s="8">
        <v>3011.8</v>
      </c>
      <c r="M336" s="8">
        <v>188.40000000000003</v>
      </c>
      <c r="N336" s="9">
        <v>6821.7</v>
      </c>
    </row>
    <row r="337" spans="1:14" x14ac:dyDescent="0.35">
      <c r="A337" s="17">
        <v>7</v>
      </c>
      <c r="B337" s="17">
        <v>5</v>
      </c>
      <c r="C337" s="17">
        <v>2024</v>
      </c>
      <c r="D337" s="5"/>
      <c r="E337" s="24" t="s">
        <v>1</v>
      </c>
      <c r="F337" s="15">
        <v>66.900000000000006</v>
      </c>
      <c r="G337" s="10">
        <v>0</v>
      </c>
      <c r="H337" s="10">
        <v>782.19999999999993</v>
      </c>
      <c r="I337" s="10">
        <v>88.7</v>
      </c>
      <c r="J337" s="10">
        <v>0</v>
      </c>
      <c r="K337" s="10">
        <v>167.00000000000003</v>
      </c>
      <c r="L337" s="10">
        <v>4412.2000000000016</v>
      </c>
      <c r="M337" s="10">
        <v>0</v>
      </c>
      <c r="N337" s="11">
        <v>5517.0000000000018</v>
      </c>
    </row>
    <row r="338" spans="1:14" x14ac:dyDescent="0.35">
      <c r="A338" s="17">
        <v>7</v>
      </c>
      <c r="B338" s="17">
        <v>5</v>
      </c>
      <c r="C338" s="17">
        <v>2024</v>
      </c>
      <c r="D338" s="5"/>
      <c r="E338" s="24" t="s">
        <v>2</v>
      </c>
      <c r="F338" s="15">
        <v>431.1</v>
      </c>
      <c r="G338" s="10">
        <v>14.5</v>
      </c>
      <c r="H338" s="10">
        <v>155.4</v>
      </c>
      <c r="I338" s="10">
        <v>0</v>
      </c>
      <c r="J338" s="10">
        <v>149.9</v>
      </c>
      <c r="K338" s="10">
        <v>3205.7000000000012</v>
      </c>
      <c r="L338" s="10">
        <v>1209.8999999999999</v>
      </c>
      <c r="M338" s="10">
        <v>51.800000000000004</v>
      </c>
      <c r="N338" s="11">
        <v>5218.3000000000011</v>
      </c>
    </row>
    <row r="339" spans="1:14" x14ac:dyDescent="0.35">
      <c r="A339" s="17">
        <v>7</v>
      </c>
      <c r="B339" s="17">
        <v>5</v>
      </c>
      <c r="C339" s="17">
        <v>2024</v>
      </c>
      <c r="D339" s="5"/>
      <c r="E339" s="24" t="s">
        <v>3</v>
      </c>
      <c r="F339" s="15">
        <v>579.20000000000005</v>
      </c>
      <c r="G339" s="10">
        <v>1753.2</v>
      </c>
      <c r="H339" s="10">
        <v>333.80000000000007</v>
      </c>
      <c r="I339" s="10">
        <v>360.4</v>
      </c>
      <c r="J339" s="10">
        <v>0</v>
      </c>
      <c r="K339" s="10">
        <v>481.9</v>
      </c>
      <c r="L339" s="10">
        <v>636.70000000000005</v>
      </c>
      <c r="M339" s="10">
        <v>12.2</v>
      </c>
      <c r="N339" s="11">
        <v>4157.4000000000005</v>
      </c>
    </row>
    <row r="340" spans="1:14" x14ac:dyDescent="0.35">
      <c r="A340" s="17">
        <v>7</v>
      </c>
      <c r="B340" s="17">
        <v>5</v>
      </c>
      <c r="C340" s="17">
        <v>2024</v>
      </c>
      <c r="D340" s="5"/>
      <c r="E340" s="24" t="s">
        <v>4</v>
      </c>
      <c r="F340" s="15">
        <v>49.5</v>
      </c>
      <c r="G340" s="10">
        <v>1989.7</v>
      </c>
      <c r="H340" s="10">
        <v>80.2</v>
      </c>
      <c r="I340" s="10">
        <v>0</v>
      </c>
      <c r="J340" s="10">
        <v>0</v>
      </c>
      <c r="K340" s="10">
        <v>290.09999999999997</v>
      </c>
      <c r="L340" s="10">
        <v>1452.4999999999998</v>
      </c>
      <c r="M340" s="10">
        <v>0</v>
      </c>
      <c r="N340" s="11">
        <v>3862</v>
      </c>
    </row>
    <row r="341" spans="1:14" x14ac:dyDescent="0.35">
      <c r="A341" s="17">
        <v>7</v>
      </c>
      <c r="B341" s="17">
        <v>5</v>
      </c>
      <c r="C341" s="17">
        <v>2024</v>
      </c>
      <c r="D341" s="5"/>
      <c r="E341" s="24" t="s">
        <v>5</v>
      </c>
      <c r="F341" s="15">
        <v>140.19999999999999</v>
      </c>
      <c r="G341" s="10">
        <v>301.60000000000002</v>
      </c>
      <c r="H341" s="10">
        <v>272.3</v>
      </c>
      <c r="I341" s="10">
        <v>0</v>
      </c>
      <c r="J341" s="10">
        <v>99.8</v>
      </c>
      <c r="K341" s="10">
        <v>2256.6</v>
      </c>
      <c r="L341" s="10">
        <v>1937.2000000000005</v>
      </c>
      <c r="M341" s="10">
        <v>1.6</v>
      </c>
      <c r="N341" s="11">
        <v>5009.3000000000011</v>
      </c>
    </row>
    <row r="342" spans="1:14" x14ac:dyDescent="0.35">
      <c r="A342" s="17">
        <v>7</v>
      </c>
      <c r="B342" s="17">
        <v>5</v>
      </c>
      <c r="C342" s="17">
        <v>2024</v>
      </c>
      <c r="D342" s="5"/>
      <c r="E342" s="24" t="s">
        <v>6</v>
      </c>
      <c r="F342" s="15">
        <v>65.799999999999983</v>
      </c>
      <c r="G342" s="10">
        <v>12.799999999999999</v>
      </c>
      <c r="H342" s="10">
        <v>208.09999999999997</v>
      </c>
      <c r="I342" s="10">
        <v>0</v>
      </c>
      <c r="J342" s="10">
        <v>366.9</v>
      </c>
      <c r="K342" s="10">
        <v>2027.7999999999997</v>
      </c>
      <c r="L342" s="10">
        <v>511.89999999999992</v>
      </c>
      <c r="M342" s="10">
        <v>25.9</v>
      </c>
      <c r="N342" s="11">
        <v>3219.2</v>
      </c>
    </row>
    <row r="343" spans="1:14" x14ac:dyDescent="0.35">
      <c r="A343" s="17">
        <v>7</v>
      </c>
      <c r="B343" s="17">
        <v>5</v>
      </c>
      <c r="C343" s="17">
        <v>2024</v>
      </c>
      <c r="D343" s="5"/>
      <c r="E343" s="24" t="s">
        <v>7</v>
      </c>
      <c r="F343" s="15">
        <v>274.7</v>
      </c>
      <c r="G343" s="10">
        <v>53.000000000000007</v>
      </c>
      <c r="H343" s="10">
        <v>135</v>
      </c>
      <c r="I343" s="10">
        <v>0</v>
      </c>
      <c r="J343" s="10">
        <v>99.8</v>
      </c>
      <c r="K343" s="10">
        <v>1150</v>
      </c>
      <c r="L343" s="10">
        <v>1190.7000000000003</v>
      </c>
      <c r="M343" s="10">
        <v>26.2</v>
      </c>
      <c r="N343" s="11">
        <v>2929.4</v>
      </c>
    </row>
    <row r="344" spans="1:14" x14ac:dyDescent="0.35">
      <c r="A344" s="17">
        <v>7</v>
      </c>
      <c r="B344" s="17">
        <v>5</v>
      </c>
      <c r="C344" s="17">
        <v>2024</v>
      </c>
      <c r="D344" s="5"/>
      <c r="E344" s="24" t="s">
        <v>8</v>
      </c>
      <c r="F344" s="15">
        <v>141.70000000000002</v>
      </c>
      <c r="G344" s="10">
        <v>39.5</v>
      </c>
      <c r="H344" s="10">
        <v>63.5</v>
      </c>
      <c r="I344" s="10">
        <v>0</v>
      </c>
      <c r="J344" s="10">
        <v>50</v>
      </c>
      <c r="K344" s="10">
        <v>485.59999999999997</v>
      </c>
      <c r="L344" s="10">
        <v>1218.5</v>
      </c>
      <c r="M344" s="10">
        <v>156.1</v>
      </c>
      <c r="N344" s="11">
        <v>2154.9</v>
      </c>
    </row>
    <row r="345" spans="1:14" x14ac:dyDescent="0.35">
      <c r="A345" s="17">
        <v>7</v>
      </c>
      <c r="B345" s="17">
        <v>5</v>
      </c>
      <c r="C345" s="17">
        <v>2024</v>
      </c>
      <c r="D345" s="5"/>
      <c r="E345" s="24" t="s">
        <v>9</v>
      </c>
      <c r="F345" s="15">
        <v>233.20000000000002</v>
      </c>
      <c r="G345" s="10">
        <v>414</v>
      </c>
      <c r="H345" s="10">
        <v>0</v>
      </c>
      <c r="I345" s="10">
        <v>0</v>
      </c>
      <c r="J345" s="10">
        <v>0</v>
      </c>
      <c r="K345" s="10">
        <v>501.4</v>
      </c>
      <c r="L345" s="10">
        <v>730.1</v>
      </c>
      <c r="M345" s="10">
        <v>12</v>
      </c>
      <c r="N345" s="11">
        <v>1890.6999999999998</v>
      </c>
    </row>
    <row r="346" spans="1:14" x14ac:dyDescent="0.35">
      <c r="A346" s="17">
        <v>7</v>
      </c>
      <c r="B346" s="17">
        <v>5</v>
      </c>
      <c r="C346" s="17">
        <v>2024</v>
      </c>
      <c r="D346" s="5"/>
      <c r="E346" s="24" t="s">
        <v>10</v>
      </c>
      <c r="F346" s="15">
        <v>2.2000000000000002</v>
      </c>
      <c r="G346" s="10">
        <v>0</v>
      </c>
      <c r="H346" s="10">
        <v>44.599999999999994</v>
      </c>
      <c r="I346" s="10">
        <v>0</v>
      </c>
      <c r="J346" s="10">
        <v>120.4</v>
      </c>
      <c r="K346" s="10">
        <v>1813.8999999999999</v>
      </c>
      <c r="L346" s="10">
        <v>96.9</v>
      </c>
      <c r="M346" s="10">
        <v>1.8</v>
      </c>
      <c r="N346" s="11">
        <v>2079.8000000000002</v>
      </c>
    </row>
    <row r="347" spans="1:14" x14ac:dyDescent="0.35">
      <c r="A347" s="17">
        <v>7</v>
      </c>
      <c r="B347" s="17">
        <v>5</v>
      </c>
      <c r="C347" s="17">
        <v>2024</v>
      </c>
      <c r="D347" s="5"/>
      <c r="E347" s="24" t="s">
        <v>11</v>
      </c>
      <c r="F347" s="15">
        <v>50.4</v>
      </c>
      <c r="G347" s="10">
        <v>0</v>
      </c>
      <c r="H347" s="10">
        <v>6.3</v>
      </c>
      <c r="I347" s="10">
        <v>0</v>
      </c>
      <c r="J347" s="10">
        <v>0</v>
      </c>
      <c r="K347" s="10">
        <v>844.19999999999982</v>
      </c>
      <c r="L347" s="10">
        <v>656.3</v>
      </c>
      <c r="M347" s="10">
        <v>0</v>
      </c>
      <c r="N347" s="11">
        <v>1557.1999999999998</v>
      </c>
    </row>
    <row r="348" spans="1:14" x14ac:dyDescent="0.35">
      <c r="A348" s="17">
        <v>7</v>
      </c>
      <c r="B348" s="17">
        <v>5</v>
      </c>
      <c r="C348" s="17">
        <v>2024</v>
      </c>
      <c r="D348" s="5"/>
      <c r="E348" s="24" t="s">
        <v>12</v>
      </c>
      <c r="F348" s="15">
        <v>452.00000000000006</v>
      </c>
      <c r="G348" s="10">
        <v>98.9</v>
      </c>
      <c r="H348" s="10">
        <v>64.399999999999991</v>
      </c>
      <c r="I348" s="10">
        <v>0</v>
      </c>
      <c r="J348" s="10">
        <v>0</v>
      </c>
      <c r="K348" s="10">
        <v>26.5</v>
      </c>
      <c r="L348" s="10">
        <v>2.6</v>
      </c>
      <c r="M348" s="10">
        <v>27</v>
      </c>
      <c r="N348" s="11">
        <v>671.40000000000009</v>
      </c>
    </row>
    <row r="349" spans="1:14" x14ac:dyDescent="0.35">
      <c r="A349" s="17">
        <v>7</v>
      </c>
      <c r="B349" s="17">
        <v>5</v>
      </c>
      <c r="C349" s="17">
        <v>2024</v>
      </c>
      <c r="D349" s="5"/>
      <c r="E349" s="24" t="s">
        <v>13</v>
      </c>
      <c r="F349" s="15">
        <v>0</v>
      </c>
      <c r="G349" s="10">
        <v>0</v>
      </c>
      <c r="H349" s="10">
        <v>13.9</v>
      </c>
      <c r="I349" s="10">
        <v>0</v>
      </c>
      <c r="J349" s="10">
        <v>0</v>
      </c>
      <c r="K349" s="10">
        <v>1208.1000000000001</v>
      </c>
      <c r="L349" s="10">
        <v>10.8</v>
      </c>
      <c r="M349" s="10">
        <v>18.700000000000003</v>
      </c>
      <c r="N349" s="11">
        <v>1251.5000000000002</v>
      </c>
    </row>
    <row r="350" spans="1:14" x14ac:dyDescent="0.35">
      <c r="A350" s="18">
        <v>7</v>
      </c>
      <c r="B350" s="18">
        <v>5</v>
      </c>
      <c r="C350" s="18">
        <v>2024</v>
      </c>
      <c r="D350" s="6"/>
      <c r="E350" s="25" t="s">
        <v>28</v>
      </c>
      <c r="F350" s="16">
        <v>0</v>
      </c>
      <c r="G350" s="12">
        <v>0</v>
      </c>
      <c r="H350" s="12">
        <v>0</v>
      </c>
      <c r="I350" s="12">
        <v>0</v>
      </c>
      <c r="J350" s="12">
        <v>99.8</v>
      </c>
      <c r="K350" s="12">
        <v>1019.7000000000002</v>
      </c>
      <c r="L350" s="12">
        <v>16</v>
      </c>
      <c r="M350" s="12">
        <v>0</v>
      </c>
      <c r="N350" s="13">
        <v>1135.5000000000002</v>
      </c>
    </row>
    <row r="351" spans="1:14" x14ac:dyDescent="0.35">
      <c r="A351" s="19">
        <v>18</v>
      </c>
      <c r="B351" s="19">
        <v>4</v>
      </c>
      <c r="C351" s="19">
        <v>2024</v>
      </c>
      <c r="D351" s="7"/>
      <c r="E351" s="23" t="s">
        <v>0</v>
      </c>
      <c r="F351" s="14">
        <v>841.99999999999989</v>
      </c>
      <c r="G351" s="8">
        <v>192.89999999999998</v>
      </c>
      <c r="H351" s="8">
        <v>346.60000000000008</v>
      </c>
      <c r="I351" s="8">
        <v>0</v>
      </c>
      <c r="J351" s="8">
        <v>1259.8000000000002</v>
      </c>
      <c r="K351" s="8">
        <v>950.19999999999982</v>
      </c>
      <c r="L351" s="8">
        <v>3011.8</v>
      </c>
      <c r="M351" s="8">
        <v>188.40000000000003</v>
      </c>
      <c r="N351" s="9">
        <v>6791.7</v>
      </c>
    </row>
    <row r="352" spans="1:14" x14ac:dyDescent="0.35">
      <c r="A352" s="17">
        <v>18</v>
      </c>
      <c r="B352" s="17">
        <v>4</v>
      </c>
      <c r="C352" s="17">
        <v>2024</v>
      </c>
      <c r="D352" s="5"/>
      <c r="E352" s="24" t="s">
        <v>1</v>
      </c>
      <c r="F352" s="15">
        <v>66.900000000000006</v>
      </c>
      <c r="G352" s="10">
        <v>0</v>
      </c>
      <c r="H352" s="10">
        <v>782.19999999999993</v>
      </c>
      <c r="I352" s="10">
        <v>88.7</v>
      </c>
      <c r="J352" s="10">
        <v>0</v>
      </c>
      <c r="K352" s="10">
        <v>167.00000000000003</v>
      </c>
      <c r="L352" s="10">
        <v>4412.9000000000015</v>
      </c>
      <c r="M352" s="10">
        <v>0</v>
      </c>
      <c r="N352" s="11">
        <v>5517.7000000000016</v>
      </c>
    </row>
    <row r="353" spans="1:14" x14ac:dyDescent="0.35">
      <c r="A353" s="17">
        <v>18</v>
      </c>
      <c r="B353" s="17">
        <v>4</v>
      </c>
      <c r="C353" s="17">
        <v>2024</v>
      </c>
      <c r="D353" s="5"/>
      <c r="E353" s="24" t="s">
        <v>2</v>
      </c>
      <c r="F353" s="15">
        <v>431.1</v>
      </c>
      <c r="G353" s="10">
        <v>14.5</v>
      </c>
      <c r="H353" s="10">
        <v>155.4</v>
      </c>
      <c r="I353" s="10">
        <v>0</v>
      </c>
      <c r="J353" s="10">
        <v>149.9</v>
      </c>
      <c r="K353" s="10">
        <v>3172.5000000000009</v>
      </c>
      <c r="L353" s="10">
        <v>990.30000000000007</v>
      </c>
      <c r="M353" s="10">
        <v>51.800000000000004</v>
      </c>
      <c r="N353" s="11">
        <v>4965.5000000000009</v>
      </c>
    </row>
    <row r="354" spans="1:14" x14ac:dyDescent="0.35">
      <c r="A354" s="17">
        <v>18</v>
      </c>
      <c r="B354" s="17">
        <v>4</v>
      </c>
      <c r="C354" s="17">
        <v>2024</v>
      </c>
      <c r="D354" s="5"/>
      <c r="E354" s="24" t="s">
        <v>3</v>
      </c>
      <c r="F354" s="15">
        <v>579.20000000000005</v>
      </c>
      <c r="G354" s="10">
        <v>1753.2</v>
      </c>
      <c r="H354" s="10">
        <v>338.3</v>
      </c>
      <c r="I354" s="10">
        <v>360.4</v>
      </c>
      <c r="J354" s="10">
        <v>0</v>
      </c>
      <c r="K354" s="10">
        <v>481.9</v>
      </c>
      <c r="L354" s="10">
        <v>636.70000000000005</v>
      </c>
      <c r="M354" s="10">
        <v>12.2</v>
      </c>
      <c r="N354" s="11">
        <v>4161.9000000000005</v>
      </c>
    </row>
    <row r="355" spans="1:14" x14ac:dyDescent="0.35">
      <c r="A355" s="17">
        <v>18</v>
      </c>
      <c r="B355" s="17">
        <v>4</v>
      </c>
      <c r="C355" s="17">
        <v>2024</v>
      </c>
      <c r="D355" s="5"/>
      <c r="E355" s="24" t="s">
        <v>4</v>
      </c>
      <c r="F355" s="15">
        <v>52.9</v>
      </c>
      <c r="G355" s="10">
        <v>1989.7</v>
      </c>
      <c r="H355" s="10">
        <v>80.2</v>
      </c>
      <c r="I355" s="10">
        <v>0</v>
      </c>
      <c r="J355" s="10">
        <v>0</v>
      </c>
      <c r="K355" s="10">
        <v>290.09999999999997</v>
      </c>
      <c r="L355" s="10">
        <v>1452.4999999999998</v>
      </c>
      <c r="M355" s="10">
        <v>0</v>
      </c>
      <c r="N355" s="11">
        <v>3865.3999999999996</v>
      </c>
    </row>
    <row r="356" spans="1:14" x14ac:dyDescent="0.35">
      <c r="A356" s="17">
        <v>18</v>
      </c>
      <c r="B356" s="17">
        <v>4</v>
      </c>
      <c r="C356" s="17">
        <v>2024</v>
      </c>
      <c r="D356" s="5"/>
      <c r="E356" s="24" t="s">
        <v>5</v>
      </c>
      <c r="F356" s="15">
        <v>140.19999999999999</v>
      </c>
      <c r="G356" s="10">
        <v>301.60000000000002</v>
      </c>
      <c r="H356" s="10">
        <v>272.3</v>
      </c>
      <c r="I356" s="10">
        <v>0</v>
      </c>
      <c r="J356" s="10">
        <v>99.8</v>
      </c>
      <c r="K356" s="10">
        <v>2214.6</v>
      </c>
      <c r="L356" s="10">
        <v>1937.2000000000005</v>
      </c>
      <c r="M356" s="10">
        <v>1.6</v>
      </c>
      <c r="N356" s="11">
        <v>4967.3000000000011</v>
      </c>
    </row>
    <row r="357" spans="1:14" x14ac:dyDescent="0.35">
      <c r="A357" s="17">
        <v>18</v>
      </c>
      <c r="B357" s="17">
        <v>4</v>
      </c>
      <c r="C357" s="17">
        <v>2024</v>
      </c>
      <c r="D357" s="5"/>
      <c r="E357" s="24" t="s">
        <v>6</v>
      </c>
      <c r="F357" s="15">
        <v>65.799999999999983</v>
      </c>
      <c r="G357" s="10">
        <v>12.799999999999999</v>
      </c>
      <c r="H357" s="10">
        <v>208.09999999999997</v>
      </c>
      <c r="I357" s="10">
        <v>0</v>
      </c>
      <c r="J357" s="10">
        <v>366.9</v>
      </c>
      <c r="K357" s="10">
        <v>1931.0999999999997</v>
      </c>
      <c r="L357" s="10">
        <v>511.9</v>
      </c>
      <c r="M357" s="10">
        <v>25.9</v>
      </c>
      <c r="N357" s="11">
        <v>3122.5</v>
      </c>
    </row>
    <row r="358" spans="1:14" x14ac:dyDescent="0.35">
      <c r="A358" s="17">
        <v>18</v>
      </c>
      <c r="B358" s="17">
        <v>4</v>
      </c>
      <c r="C358" s="17">
        <v>2024</v>
      </c>
      <c r="D358" s="5"/>
      <c r="E358" s="24" t="s">
        <v>7</v>
      </c>
      <c r="F358" s="15">
        <v>274.7</v>
      </c>
      <c r="G358" s="10">
        <v>86.6</v>
      </c>
      <c r="H358" s="10">
        <v>135</v>
      </c>
      <c r="I358" s="10">
        <v>0</v>
      </c>
      <c r="J358" s="10">
        <v>99.8</v>
      </c>
      <c r="K358" s="10">
        <v>1150</v>
      </c>
      <c r="L358" s="10">
        <v>1190.7000000000003</v>
      </c>
      <c r="M358" s="10">
        <v>26.2</v>
      </c>
      <c r="N358" s="11">
        <v>2963</v>
      </c>
    </row>
    <row r="359" spans="1:14" x14ac:dyDescent="0.35">
      <c r="A359" s="17">
        <v>18</v>
      </c>
      <c r="B359" s="17">
        <v>4</v>
      </c>
      <c r="C359" s="17">
        <v>2024</v>
      </c>
      <c r="D359" s="5"/>
      <c r="E359" s="24" t="s">
        <v>8</v>
      </c>
      <c r="F359" s="15">
        <v>138.29999999999998</v>
      </c>
      <c r="G359" s="10">
        <v>39.5</v>
      </c>
      <c r="H359" s="10">
        <v>58</v>
      </c>
      <c r="I359" s="10">
        <v>0</v>
      </c>
      <c r="J359" s="10">
        <v>50</v>
      </c>
      <c r="K359" s="10">
        <v>461.4</v>
      </c>
      <c r="L359" s="10">
        <v>1218.5</v>
      </c>
      <c r="M359" s="10">
        <v>156.1</v>
      </c>
      <c r="N359" s="11">
        <v>2121.7999999999997</v>
      </c>
    </row>
    <row r="360" spans="1:14" x14ac:dyDescent="0.35">
      <c r="A360" s="17">
        <v>18</v>
      </c>
      <c r="B360" s="17">
        <v>4</v>
      </c>
      <c r="C360" s="17">
        <v>2024</v>
      </c>
      <c r="D360" s="5"/>
      <c r="E360" s="24" t="s">
        <v>9</v>
      </c>
      <c r="F360" s="15">
        <v>163</v>
      </c>
      <c r="G360" s="10">
        <v>414</v>
      </c>
      <c r="H360" s="10">
        <v>0</v>
      </c>
      <c r="I360" s="10">
        <v>0</v>
      </c>
      <c r="J360" s="10">
        <v>0</v>
      </c>
      <c r="K360" s="10">
        <v>466.59999999999997</v>
      </c>
      <c r="L360" s="10">
        <v>949.7</v>
      </c>
      <c r="M360" s="10">
        <v>12</v>
      </c>
      <c r="N360" s="11">
        <v>2005.3</v>
      </c>
    </row>
    <row r="361" spans="1:14" x14ac:dyDescent="0.35">
      <c r="A361" s="17">
        <v>18</v>
      </c>
      <c r="B361" s="17">
        <v>4</v>
      </c>
      <c r="C361" s="17">
        <v>2024</v>
      </c>
      <c r="D361" s="5"/>
      <c r="E361" s="24" t="s">
        <v>10</v>
      </c>
      <c r="F361" s="15">
        <v>2.2000000000000002</v>
      </c>
      <c r="G361" s="10">
        <v>0</v>
      </c>
      <c r="H361" s="10">
        <v>44.599999999999994</v>
      </c>
      <c r="I361" s="10">
        <v>0</v>
      </c>
      <c r="J361" s="10">
        <v>120.4</v>
      </c>
      <c r="K361" s="10">
        <v>1813.5</v>
      </c>
      <c r="L361" s="10">
        <v>96.9</v>
      </c>
      <c r="M361" s="10">
        <v>1.8</v>
      </c>
      <c r="N361" s="11">
        <v>2079.4</v>
      </c>
    </row>
    <row r="362" spans="1:14" x14ac:dyDescent="0.35">
      <c r="A362" s="17">
        <v>18</v>
      </c>
      <c r="B362" s="17">
        <v>4</v>
      </c>
      <c r="C362" s="17">
        <v>2024</v>
      </c>
      <c r="D362" s="5"/>
      <c r="E362" s="24" t="s">
        <v>11</v>
      </c>
      <c r="F362" s="15">
        <v>50.4</v>
      </c>
      <c r="G362" s="10">
        <v>0</v>
      </c>
      <c r="H362" s="10">
        <v>6.3</v>
      </c>
      <c r="I362" s="10">
        <v>0</v>
      </c>
      <c r="J362" s="10">
        <v>0</v>
      </c>
      <c r="K362" s="10">
        <v>820.19999999999993</v>
      </c>
      <c r="L362" s="10">
        <v>666.3</v>
      </c>
      <c r="M362" s="10">
        <v>0</v>
      </c>
      <c r="N362" s="11">
        <v>1543.1999999999998</v>
      </c>
    </row>
    <row r="363" spans="1:14" x14ac:dyDescent="0.35">
      <c r="A363" s="17">
        <v>18</v>
      </c>
      <c r="B363" s="17">
        <v>4</v>
      </c>
      <c r="C363" s="17">
        <v>2024</v>
      </c>
      <c r="D363" s="5"/>
      <c r="E363" s="24" t="s">
        <v>12</v>
      </c>
      <c r="F363" s="15">
        <v>483.70000000000005</v>
      </c>
      <c r="G363" s="10">
        <v>479.9</v>
      </c>
      <c r="H363" s="10">
        <v>64.399999999999991</v>
      </c>
      <c r="I363" s="10">
        <v>0</v>
      </c>
      <c r="J363" s="10">
        <v>0</v>
      </c>
      <c r="K363" s="10">
        <v>26.5</v>
      </c>
      <c r="L363" s="10">
        <v>2.6</v>
      </c>
      <c r="M363" s="10">
        <v>27</v>
      </c>
      <c r="N363" s="11">
        <v>1084.0999999999999</v>
      </c>
    </row>
    <row r="364" spans="1:14" x14ac:dyDescent="0.35">
      <c r="A364" s="18">
        <v>18</v>
      </c>
      <c r="B364" s="18">
        <v>4</v>
      </c>
      <c r="C364" s="18">
        <v>2024</v>
      </c>
      <c r="D364" s="6"/>
      <c r="E364" s="25" t="s">
        <v>13</v>
      </c>
      <c r="F364" s="16">
        <v>0</v>
      </c>
      <c r="G364" s="12">
        <v>0</v>
      </c>
      <c r="H364" s="12">
        <v>13.9</v>
      </c>
      <c r="I364" s="12">
        <v>0</v>
      </c>
      <c r="J364" s="12">
        <v>0</v>
      </c>
      <c r="K364" s="12">
        <v>1164.7</v>
      </c>
      <c r="L364" s="12">
        <v>10.8</v>
      </c>
      <c r="M364" s="12">
        <v>18.700000000000003</v>
      </c>
      <c r="N364" s="13">
        <v>1208.1000000000001</v>
      </c>
    </row>
    <row r="365" spans="1:14" x14ac:dyDescent="0.35">
      <c r="A365" s="19">
        <v>7</v>
      </c>
      <c r="B365" s="19">
        <v>2</v>
      </c>
      <c r="C365" s="19">
        <v>2024</v>
      </c>
      <c r="D365" s="22"/>
      <c r="E365" s="24" t="s">
        <v>0</v>
      </c>
      <c r="F365" s="14">
        <v>843.49999999999989</v>
      </c>
      <c r="G365" s="8">
        <v>192.89999999999998</v>
      </c>
      <c r="H365" s="8">
        <v>339.00000000000006</v>
      </c>
      <c r="I365" s="8">
        <v>0</v>
      </c>
      <c r="J365" s="8">
        <v>1259.8000000000002</v>
      </c>
      <c r="K365" s="8">
        <v>937.99999999999989</v>
      </c>
      <c r="L365" s="8">
        <v>2924.1000000000004</v>
      </c>
      <c r="M365" s="8">
        <v>187.20000000000002</v>
      </c>
      <c r="N365" s="9">
        <v>6684.5</v>
      </c>
    </row>
    <row r="366" spans="1:14" x14ac:dyDescent="0.35">
      <c r="A366" s="17">
        <v>7</v>
      </c>
      <c r="B366" s="17">
        <v>2</v>
      </c>
      <c r="C366" s="17">
        <v>2024</v>
      </c>
      <c r="D366" s="20"/>
      <c r="E366" s="24" t="s">
        <v>1</v>
      </c>
      <c r="F366" s="15">
        <v>66.900000000000006</v>
      </c>
      <c r="G366" s="10">
        <v>0</v>
      </c>
      <c r="H366" s="10">
        <v>782.19999999999993</v>
      </c>
      <c r="I366" s="10">
        <v>88.7</v>
      </c>
      <c r="J366" s="10">
        <v>0</v>
      </c>
      <c r="K366" s="10">
        <v>167.00000000000003</v>
      </c>
      <c r="L366" s="10">
        <v>4414.2000000000016</v>
      </c>
      <c r="M366" s="10">
        <v>0</v>
      </c>
      <c r="N366" s="11">
        <v>5519.0000000000018</v>
      </c>
    </row>
    <row r="367" spans="1:14" x14ac:dyDescent="0.35">
      <c r="A367" s="17">
        <v>7</v>
      </c>
      <c r="B367" s="17">
        <v>2</v>
      </c>
      <c r="C367" s="17">
        <v>2024</v>
      </c>
      <c r="D367" s="20"/>
      <c r="E367" s="24" t="s">
        <v>2</v>
      </c>
      <c r="F367" s="15">
        <v>430.1</v>
      </c>
      <c r="G367" s="10">
        <v>14.5</v>
      </c>
      <c r="H367" s="10">
        <v>156</v>
      </c>
      <c r="I367" s="10">
        <v>0</v>
      </c>
      <c r="J367" s="10">
        <v>149.9</v>
      </c>
      <c r="K367" s="10">
        <v>3029.4</v>
      </c>
      <c r="L367" s="10">
        <v>990.30000000000007</v>
      </c>
      <c r="M367" s="10">
        <v>51.800000000000004</v>
      </c>
      <c r="N367" s="11">
        <v>4822</v>
      </c>
    </row>
    <row r="368" spans="1:14" x14ac:dyDescent="0.35">
      <c r="A368" s="17">
        <v>7</v>
      </c>
      <c r="B368" s="17">
        <v>2</v>
      </c>
      <c r="C368" s="17">
        <v>2024</v>
      </c>
      <c r="D368" s="20"/>
      <c r="E368" s="24" t="s">
        <v>3</v>
      </c>
      <c r="F368" s="15">
        <v>579.20000000000005</v>
      </c>
      <c r="G368" s="10">
        <v>1753.2</v>
      </c>
      <c r="H368" s="10">
        <v>6.9999999999999991</v>
      </c>
      <c r="I368" s="10">
        <v>360.4</v>
      </c>
      <c r="J368" s="10">
        <v>0</v>
      </c>
      <c r="K368" s="10">
        <v>481.9</v>
      </c>
      <c r="L368" s="10">
        <v>636.70000000000005</v>
      </c>
      <c r="M368" s="10">
        <v>12.2</v>
      </c>
      <c r="N368" s="11">
        <v>3830.6000000000004</v>
      </c>
    </row>
    <row r="369" spans="1:14" x14ac:dyDescent="0.35">
      <c r="A369" s="17">
        <v>7</v>
      </c>
      <c r="B369" s="17">
        <v>2</v>
      </c>
      <c r="C369" s="17">
        <v>2024</v>
      </c>
      <c r="D369" s="20"/>
      <c r="E369" s="24" t="s">
        <v>4</v>
      </c>
      <c r="F369" s="15">
        <v>52.9</v>
      </c>
      <c r="G369" s="10">
        <v>1989.7</v>
      </c>
      <c r="H369" s="10">
        <v>80.2</v>
      </c>
      <c r="I369" s="10">
        <v>0</v>
      </c>
      <c r="J369" s="10">
        <v>0</v>
      </c>
      <c r="K369" s="10">
        <v>290.09999999999997</v>
      </c>
      <c r="L369" s="10">
        <v>1452.4999999999998</v>
      </c>
      <c r="M369" s="10">
        <v>0</v>
      </c>
      <c r="N369" s="11">
        <v>3865.3999999999996</v>
      </c>
    </row>
    <row r="370" spans="1:14" x14ac:dyDescent="0.35">
      <c r="A370" s="17">
        <v>7</v>
      </c>
      <c r="B370" s="17">
        <v>2</v>
      </c>
      <c r="C370" s="17">
        <v>2024</v>
      </c>
      <c r="D370" s="20"/>
      <c r="E370" s="24" t="s">
        <v>5</v>
      </c>
      <c r="F370" s="15">
        <v>140.19999999999999</v>
      </c>
      <c r="G370" s="10">
        <v>301.60000000000002</v>
      </c>
      <c r="H370" s="10">
        <v>272.2</v>
      </c>
      <c r="I370" s="10">
        <v>0</v>
      </c>
      <c r="J370" s="10">
        <v>99.8</v>
      </c>
      <c r="K370" s="10">
        <v>2079.2999999999993</v>
      </c>
      <c r="L370" s="10">
        <v>1730.9</v>
      </c>
      <c r="M370" s="10">
        <v>1.6</v>
      </c>
      <c r="N370" s="11">
        <v>4625.6000000000004</v>
      </c>
    </row>
    <row r="371" spans="1:14" x14ac:dyDescent="0.35">
      <c r="A371" s="17">
        <v>7</v>
      </c>
      <c r="B371" s="17">
        <v>2</v>
      </c>
      <c r="C371" s="17">
        <v>2024</v>
      </c>
      <c r="D371" s="20"/>
      <c r="E371" s="24" t="s">
        <v>6</v>
      </c>
      <c r="F371" s="15">
        <v>65.799999999999983</v>
      </c>
      <c r="G371" s="10">
        <v>12.799999999999999</v>
      </c>
      <c r="H371" s="10">
        <v>205.7</v>
      </c>
      <c r="I371" s="10">
        <v>0</v>
      </c>
      <c r="J371" s="10">
        <v>366.9</v>
      </c>
      <c r="K371" s="10">
        <v>1802.1999999999996</v>
      </c>
      <c r="L371" s="10">
        <v>511.9</v>
      </c>
      <c r="M371" s="10">
        <v>29.599999999999998</v>
      </c>
      <c r="N371" s="11">
        <v>2994.8999999999996</v>
      </c>
    </row>
    <row r="372" spans="1:14" x14ac:dyDescent="0.35">
      <c r="A372" s="17">
        <v>7</v>
      </c>
      <c r="B372" s="17">
        <v>2</v>
      </c>
      <c r="C372" s="17">
        <v>2024</v>
      </c>
      <c r="D372" s="20"/>
      <c r="E372" s="24" t="s">
        <v>7</v>
      </c>
      <c r="F372" s="15">
        <v>274.7</v>
      </c>
      <c r="G372" s="10">
        <v>86.6</v>
      </c>
      <c r="H372" s="10">
        <v>135</v>
      </c>
      <c r="I372" s="10">
        <v>0</v>
      </c>
      <c r="J372" s="10">
        <v>99.8</v>
      </c>
      <c r="K372" s="10">
        <v>1152.8000000000002</v>
      </c>
      <c r="L372" s="10">
        <v>1190.7000000000003</v>
      </c>
      <c r="M372" s="10">
        <v>27.4</v>
      </c>
      <c r="N372" s="11">
        <v>2967.0000000000005</v>
      </c>
    </row>
    <row r="373" spans="1:14" x14ac:dyDescent="0.35">
      <c r="A373" s="17">
        <v>7</v>
      </c>
      <c r="B373" s="17">
        <v>2</v>
      </c>
      <c r="C373" s="17">
        <v>2024</v>
      </c>
      <c r="D373" s="20"/>
      <c r="E373" s="24" t="s">
        <v>8</v>
      </c>
      <c r="F373" s="15">
        <v>138.29999999999998</v>
      </c>
      <c r="G373" s="10">
        <v>39.5</v>
      </c>
      <c r="H373" s="10">
        <v>58</v>
      </c>
      <c r="I373" s="10">
        <v>0</v>
      </c>
      <c r="J373" s="10">
        <v>50</v>
      </c>
      <c r="K373" s="10">
        <v>456.5</v>
      </c>
      <c r="L373" s="10">
        <v>1218.5</v>
      </c>
      <c r="M373" s="10">
        <v>156.1</v>
      </c>
      <c r="N373" s="11">
        <v>2116.9</v>
      </c>
    </row>
    <row r="374" spans="1:14" x14ac:dyDescent="0.35">
      <c r="A374" s="17">
        <v>7</v>
      </c>
      <c r="B374" s="17">
        <v>2</v>
      </c>
      <c r="C374" s="17">
        <v>2024</v>
      </c>
      <c r="D374" s="20"/>
      <c r="E374" s="24" t="s">
        <v>9</v>
      </c>
      <c r="F374" s="15">
        <v>163</v>
      </c>
      <c r="G374" s="10">
        <v>414</v>
      </c>
      <c r="H374" s="10">
        <v>12.2</v>
      </c>
      <c r="I374" s="10">
        <v>0</v>
      </c>
      <c r="J374" s="10">
        <v>0</v>
      </c>
      <c r="K374" s="10">
        <v>466.59999999999997</v>
      </c>
      <c r="L374" s="10">
        <v>949.7</v>
      </c>
      <c r="M374" s="10">
        <v>12</v>
      </c>
      <c r="N374" s="11">
        <v>2017.5</v>
      </c>
    </row>
    <row r="375" spans="1:14" x14ac:dyDescent="0.35">
      <c r="A375" s="17">
        <v>7</v>
      </c>
      <c r="B375" s="17">
        <v>2</v>
      </c>
      <c r="C375" s="17">
        <v>2024</v>
      </c>
      <c r="D375" s="20"/>
      <c r="E375" s="24" t="s">
        <v>10</v>
      </c>
      <c r="F375" s="15">
        <v>2.2000000000000002</v>
      </c>
      <c r="G375" s="10">
        <v>0</v>
      </c>
      <c r="H375" s="10">
        <v>44.599999999999994</v>
      </c>
      <c r="I375" s="10">
        <v>0</v>
      </c>
      <c r="J375" s="10">
        <v>120.4</v>
      </c>
      <c r="K375" s="10">
        <v>1752.1</v>
      </c>
      <c r="L375" s="10">
        <v>96.9</v>
      </c>
      <c r="M375" s="10">
        <v>1.8</v>
      </c>
      <c r="N375" s="11">
        <v>2018</v>
      </c>
    </row>
    <row r="376" spans="1:14" x14ac:dyDescent="0.35">
      <c r="A376" s="17">
        <v>7</v>
      </c>
      <c r="B376" s="17">
        <v>2</v>
      </c>
      <c r="C376" s="17">
        <v>2024</v>
      </c>
      <c r="D376" s="20"/>
      <c r="E376" s="24" t="s">
        <v>11</v>
      </c>
      <c r="F376" s="15">
        <v>50.4</v>
      </c>
      <c r="G376" s="10">
        <v>0</v>
      </c>
      <c r="H376" s="10">
        <v>6.3</v>
      </c>
      <c r="I376" s="10">
        <v>0</v>
      </c>
      <c r="J376" s="10">
        <v>0</v>
      </c>
      <c r="K376" s="10">
        <v>946.0999999999998</v>
      </c>
      <c r="L376" s="10">
        <v>666.3</v>
      </c>
      <c r="M376" s="10">
        <v>0</v>
      </c>
      <c r="N376" s="11">
        <v>1669.1</v>
      </c>
    </row>
    <row r="377" spans="1:14" x14ac:dyDescent="0.35">
      <c r="A377" s="17">
        <v>7</v>
      </c>
      <c r="B377" s="17">
        <v>2</v>
      </c>
      <c r="C377" s="17">
        <v>2024</v>
      </c>
      <c r="D377" s="20"/>
      <c r="E377" s="24" t="s">
        <v>12</v>
      </c>
      <c r="F377" s="15">
        <v>483.70000000000005</v>
      </c>
      <c r="G377" s="10">
        <v>479.9</v>
      </c>
      <c r="H377" s="10">
        <v>64.399999999999991</v>
      </c>
      <c r="I377" s="10">
        <v>0</v>
      </c>
      <c r="J377" s="10">
        <v>0</v>
      </c>
      <c r="K377" s="10">
        <v>26.900000000000002</v>
      </c>
      <c r="L377" s="10">
        <v>42.2</v>
      </c>
      <c r="M377" s="10">
        <v>30.8</v>
      </c>
      <c r="N377" s="11">
        <v>1127.9000000000001</v>
      </c>
    </row>
    <row r="378" spans="1:14" x14ac:dyDescent="0.35">
      <c r="A378" s="18">
        <v>7</v>
      </c>
      <c r="B378" s="18">
        <v>2</v>
      </c>
      <c r="C378" s="18">
        <v>2024</v>
      </c>
      <c r="D378" s="21"/>
      <c r="E378" s="25" t="s">
        <v>13</v>
      </c>
      <c r="F378" s="16">
        <v>0</v>
      </c>
      <c r="G378" s="12">
        <v>0</v>
      </c>
      <c r="H378" s="12">
        <v>13.9</v>
      </c>
      <c r="I378" s="12">
        <v>0</v>
      </c>
      <c r="J378" s="12">
        <v>0</v>
      </c>
      <c r="K378" s="12">
        <v>1164.7</v>
      </c>
      <c r="L378" s="12">
        <v>10.8</v>
      </c>
      <c r="M378" s="12">
        <v>18.700000000000003</v>
      </c>
      <c r="N378" s="13">
        <v>1208.1000000000001</v>
      </c>
    </row>
    <row r="379" spans="1:14" x14ac:dyDescent="0.35">
      <c r="A379" s="19">
        <v>2</v>
      </c>
      <c r="B379" s="19">
        <v>11</v>
      </c>
      <c r="C379" s="19">
        <v>2023</v>
      </c>
      <c r="D379" s="7"/>
      <c r="E379" s="23" t="s">
        <v>0</v>
      </c>
      <c r="F379" s="14">
        <v>871.59999999999991</v>
      </c>
      <c r="G379" s="8">
        <v>219.89999999999995</v>
      </c>
      <c r="H379" s="8">
        <v>339.00000000000006</v>
      </c>
      <c r="I379" s="8">
        <v>0</v>
      </c>
      <c r="J379" s="8">
        <v>1359.6000000000001</v>
      </c>
      <c r="K379" s="8">
        <v>934.3</v>
      </c>
      <c r="L379" s="8">
        <v>3341.1000000000008</v>
      </c>
      <c r="M379" s="8">
        <v>187.20000000000002</v>
      </c>
      <c r="N379" s="9">
        <v>7252.7</v>
      </c>
    </row>
    <row r="380" spans="1:14" x14ac:dyDescent="0.35">
      <c r="A380" s="17">
        <v>2</v>
      </c>
      <c r="B380" s="17">
        <v>11</v>
      </c>
      <c r="C380" s="17">
        <v>2023</v>
      </c>
      <c r="D380" s="5"/>
      <c r="E380" s="24" t="s">
        <v>1</v>
      </c>
      <c r="F380" s="15">
        <v>66.900000000000006</v>
      </c>
      <c r="G380" s="10">
        <v>0</v>
      </c>
      <c r="H380" s="10">
        <v>782.19999999999993</v>
      </c>
      <c r="I380" s="10">
        <v>88.7</v>
      </c>
      <c r="J380" s="10">
        <v>0</v>
      </c>
      <c r="K380" s="10">
        <v>161.50000000000003</v>
      </c>
      <c r="L380" s="10">
        <v>4414.2000000000016</v>
      </c>
      <c r="M380" s="10">
        <v>0</v>
      </c>
      <c r="N380" s="11">
        <v>5513.5000000000018</v>
      </c>
    </row>
    <row r="381" spans="1:14" x14ac:dyDescent="0.35">
      <c r="A381" s="17">
        <v>2</v>
      </c>
      <c r="B381" s="17">
        <v>11</v>
      </c>
      <c r="C381" s="17">
        <v>2023</v>
      </c>
      <c r="D381" s="5"/>
      <c r="E381" s="24" t="s">
        <v>2</v>
      </c>
      <c r="F381" s="15">
        <v>430.1</v>
      </c>
      <c r="G381" s="10">
        <v>14.5</v>
      </c>
      <c r="H381" s="10">
        <v>156.4</v>
      </c>
      <c r="I381" s="10">
        <v>0</v>
      </c>
      <c r="J381" s="10">
        <v>149.9</v>
      </c>
      <c r="K381" s="10">
        <v>2695.3</v>
      </c>
      <c r="L381" s="10">
        <v>990.30000000000007</v>
      </c>
      <c r="M381" s="10">
        <v>51.800000000000004</v>
      </c>
      <c r="N381" s="11">
        <v>4488.3</v>
      </c>
    </row>
    <row r="382" spans="1:14" x14ac:dyDescent="0.35">
      <c r="A382" s="17">
        <v>2</v>
      </c>
      <c r="B382" s="17">
        <v>11</v>
      </c>
      <c r="C382" s="17">
        <v>2023</v>
      </c>
      <c r="D382" s="5"/>
      <c r="E382" s="24" t="s">
        <v>3</v>
      </c>
      <c r="F382" s="15">
        <v>579.20000000000005</v>
      </c>
      <c r="G382" s="10">
        <v>1753.2</v>
      </c>
      <c r="H382" s="10">
        <v>338.3</v>
      </c>
      <c r="I382" s="10">
        <v>360.4</v>
      </c>
      <c r="J382" s="10">
        <v>0</v>
      </c>
      <c r="K382" s="10">
        <v>392.9</v>
      </c>
      <c r="L382" s="10">
        <v>526.80000000000007</v>
      </c>
      <c r="M382" s="10">
        <v>12.2</v>
      </c>
      <c r="N382" s="11">
        <v>3963.0000000000005</v>
      </c>
    </row>
    <row r="383" spans="1:14" x14ac:dyDescent="0.35">
      <c r="A383" s="17">
        <v>2</v>
      </c>
      <c r="B383" s="17">
        <v>11</v>
      </c>
      <c r="C383" s="17">
        <v>2023</v>
      </c>
      <c r="D383" s="5"/>
      <c r="E383" s="24" t="s">
        <v>4</v>
      </c>
      <c r="F383" s="15">
        <v>52.9</v>
      </c>
      <c r="G383" s="10">
        <v>1989.7</v>
      </c>
      <c r="H383" s="10">
        <v>80.2</v>
      </c>
      <c r="I383" s="10">
        <v>0</v>
      </c>
      <c r="J383" s="10">
        <v>0</v>
      </c>
      <c r="K383" s="10">
        <v>320.90000000000003</v>
      </c>
      <c r="L383" s="10">
        <v>1452.3999999999999</v>
      </c>
      <c r="M383" s="10">
        <v>0</v>
      </c>
      <c r="N383" s="11">
        <v>3896.1000000000004</v>
      </c>
    </row>
    <row r="384" spans="1:14" x14ac:dyDescent="0.35">
      <c r="A384" s="17">
        <v>2</v>
      </c>
      <c r="B384" s="17">
        <v>11</v>
      </c>
      <c r="C384" s="17">
        <v>2023</v>
      </c>
      <c r="D384" s="5"/>
      <c r="E384" s="24" t="s">
        <v>5</v>
      </c>
      <c r="F384" s="15">
        <v>108.10000000000001</v>
      </c>
      <c r="G384" s="10">
        <v>274.60000000000002</v>
      </c>
      <c r="H384" s="10">
        <v>272.2</v>
      </c>
      <c r="I384" s="10">
        <v>0</v>
      </c>
      <c r="J384" s="10">
        <v>0</v>
      </c>
      <c r="K384" s="10">
        <v>1622.0999999999997</v>
      </c>
      <c r="L384" s="10">
        <v>1147.1999999999998</v>
      </c>
      <c r="M384" s="10">
        <v>1.6</v>
      </c>
      <c r="N384" s="11">
        <v>3425.7999999999997</v>
      </c>
    </row>
    <row r="385" spans="1:14" x14ac:dyDescent="0.35">
      <c r="A385" s="17">
        <v>2</v>
      </c>
      <c r="B385" s="17">
        <v>11</v>
      </c>
      <c r="C385" s="17">
        <v>2023</v>
      </c>
      <c r="D385" s="5"/>
      <c r="E385" s="24" t="s">
        <v>6</v>
      </c>
      <c r="F385" s="15">
        <v>65.799999999999983</v>
      </c>
      <c r="G385" s="10">
        <v>12.799999999999999</v>
      </c>
      <c r="H385" s="10">
        <v>207.09999999999997</v>
      </c>
      <c r="I385" s="10">
        <v>0</v>
      </c>
      <c r="J385" s="10">
        <v>439.29999999999995</v>
      </c>
      <c r="K385" s="10">
        <v>1573.6999999999998</v>
      </c>
      <c r="L385" s="10">
        <v>374.9</v>
      </c>
      <c r="M385" s="10">
        <v>29.599999999999998</v>
      </c>
      <c r="N385" s="11">
        <v>2703.2</v>
      </c>
    </row>
    <row r="386" spans="1:14" x14ac:dyDescent="0.35">
      <c r="A386" s="17">
        <v>2</v>
      </c>
      <c r="B386" s="17">
        <v>11</v>
      </c>
      <c r="C386" s="17">
        <v>2023</v>
      </c>
      <c r="D386" s="5"/>
      <c r="E386" s="24" t="s">
        <v>7</v>
      </c>
      <c r="F386" s="15">
        <v>282.69999999999993</v>
      </c>
      <c r="G386" s="10">
        <v>86.6</v>
      </c>
      <c r="H386" s="10">
        <v>135.19999999999999</v>
      </c>
      <c r="I386" s="10">
        <v>0</v>
      </c>
      <c r="J386" s="10">
        <v>99.8</v>
      </c>
      <c r="K386" s="10">
        <v>729.70000000000016</v>
      </c>
      <c r="L386" s="10">
        <v>1235.5000000000002</v>
      </c>
      <c r="M386" s="10">
        <v>29</v>
      </c>
      <c r="N386" s="11">
        <v>2598.5</v>
      </c>
    </row>
    <row r="387" spans="1:14" x14ac:dyDescent="0.35">
      <c r="A387" s="17">
        <v>2</v>
      </c>
      <c r="B387" s="17">
        <v>11</v>
      </c>
      <c r="C387" s="17">
        <v>2023</v>
      </c>
      <c r="D387" s="5"/>
      <c r="E387" s="24" t="s">
        <v>8</v>
      </c>
      <c r="F387" s="15">
        <v>144.69999999999999</v>
      </c>
      <c r="G387" s="10">
        <v>39.5</v>
      </c>
      <c r="H387" s="10">
        <v>58</v>
      </c>
      <c r="I387" s="10">
        <v>0</v>
      </c>
      <c r="J387" s="10">
        <v>50</v>
      </c>
      <c r="K387" s="10">
        <v>454.09999999999997</v>
      </c>
      <c r="L387" s="10">
        <v>1164</v>
      </c>
      <c r="M387" s="10">
        <v>156.1</v>
      </c>
      <c r="N387" s="11">
        <v>2066.4</v>
      </c>
    </row>
    <row r="388" spans="1:14" x14ac:dyDescent="0.35">
      <c r="A388" s="17">
        <v>2</v>
      </c>
      <c r="B388" s="17">
        <v>11</v>
      </c>
      <c r="C388" s="17">
        <v>2023</v>
      </c>
      <c r="D388" s="5"/>
      <c r="E388" s="24" t="s">
        <v>9</v>
      </c>
      <c r="F388" s="15">
        <v>163</v>
      </c>
      <c r="G388" s="10">
        <v>414</v>
      </c>
      <c r="H388" s="10">
        <v>12.2</v>
      </c>
      <c r="I388" s="10">
        <v>0</v>
      </c>
      <c r="J388" s="10">
        <v>0</v>
      </c>
      <c r="K388" s="10">
        <v>474</v>
      </c>
      <c r="L388" s="10">
        <v>901.59999999999991</v>
      </c>
      <c r="M388" s="10">
        <v>12</v>
      </c>
      <c r="N388" s="11">
        <v>1976.8</v>
      </c>
    </row>
    <row r="389" spans="1:14" x14ac:dyDescent="0.35">
      <c r="A389" s="17">
        <v>2</v>
      </c>
      <c r="B389" s="17">
        <v>11</v>
      </c>
      <c r="C389" s="17">
        <v>2023</v>
      </c>
      <c r="D389" s="5"/>
      <c r="E389" s="24" t="s">
        <v>10</v>
      </c>
      <c r="F389" s="15">
        <v>2.2000000000000002</v>
      </c>
      <c r="G389" s="10">
        <v>0</v>
      </c>
      <c r="H389" s="10">
        <v>45.099999999999994</v>
      </c>
      <c r="I389" s="10">
        <v>0</v>
      </c>
      <c r="J389" s="10">
        <v>0</v>
      </c>
      <c r="K389" s="10">
        <v>1910.9</v>
      </c>
      <c r="L389" s="10">
        <v>3.4000000000000004</v>
      </c>
      <c r="M389" s="10">
        <v>1.8</v>
      </c>
      <c r="N389" s="11">
        <v>1963.4</v>
      </c>
    </row>
    <row r="390" spans="1:14" x14ac:dyDescent="0.35">
      <c r="A390" s="17">
        <v>2</v>
      </c>
      <c r="B390" s="17">
        <v>11</v>
      </c>
      <c r="C390" s="17">
        <v>2023</v>
      </c>
      <c r="D390" s="5"/>
      <c r="E390" s="24" t="s">
        <v>11</v>
      </c>
      <c r="F390" s="15">
        <v>50.4</v>
      </c>
      <c r="G390" s="10">
        <v>0</v>
      </c>
      <c r="H390" s="10">
        <v>6.3</v>
      </c>
      <c r="I390" s="10">
        <v>0</v>
      </c>
      <c r="J390" s="10">
        <v>0</v>
      </c>
      <c r="K390" s="10">
        <v>1167.2</v>
      </c>
      <c r="L390" s="10">
        <v>683.9</v>
      </c>
      <c r="M390" s="10">
        <v>0</v>
      </c>
      <c r="N390" s="11">
        <v>1907.8000000000002</v>
      </c>
    </row>
    <row r="391" spans="1:14" x14ac:dyDescent="0.35">
      <c r="A391" s="17">
        <v>2</v>
      </c>
      <c r="B391" s="17">
        <v>11</v>
      </c>
      <c r="C391" s="17">
        <v>2023</v>
      </c>
      <c r="D391" s="5"/>
      <c r="E391" s="24" t="s">
        <v>12</v>
      </c>
      <c r="F391" s="15">
        <v>475.10000000000008</v>
      </c>
      <c r="G391" s="10">
        <v>479.9</v>
      </c>
      <c r="H391" s="10">
        <v>64.399999999999991</v>
      </c>
      <c r="I391" s="10">
        <v>0</v>
      </c>
      <c r="J391" s="10">
        <v>0</v>
      </c>
      <c r="K391" s="10">
        <v>24.8</v>
      </c>
      <c r="L391" s="10">
        <v>130.79999999999998</v>
      </c>
      <c r="M391" s="10">
        <v>30.8</v>
      </c>
      <c r="N391" s="11">
        <v>1205.8</v>
      </c>
    </row>
    <row r="392" spans="1:14" x14ac:dyDescent="0.35">
      <c r="A392" s="18">
        <v>2</v>
      </c>
      <c r="B392" s="18">
        <v>11</v>
      </c>
      <c r="C392" s="18">
        <v>2023</v>
      </c>
      <c r="D392" s="6"/>
      <c r="E392" s="25" t="s">
        <v>13</v>
      </c>
      <c r="F392" s="16">
        <v>0</v>
      </c>
      <c r="G392" s="12">
        <v>0</v>
      </c>
      <c r="H392" s="12">
        <v>13.9</v>
      </c>
      <c r="I392" s="12">
        <v>0</v>
      </c>
      <c r="J392" s="12">
        <v>0</v>
      </c>
      <c r="K392" s="12">
        <v>1135.0000000000002</v>
      </c>
      <c r="L392" s="12">
        <v>10.8</v>
      </c>
      <c r="M392" s="12">
        <v>18.700000000000003</v>
      </c>
      <c r="N392" s="13">
        <v>1178.4000000000003</v>
      </c>
    </row>
  </sheetData>
  <sortState xmlns:xlrd2="http://schemas.microsoft.com/office/spreadsheetml/2017/richdata2" columnSort="1" ref="AJ27:AX51">
    <sortCondition descending="1" ref="AJ51:AX51"/>
  </sortState>
  <pageMargins left="0.7" right="0.7" top="0.75" bottom="0.75" header="0.3" footer="0.3"/>
  <headerFooter>
    <oddFooter>&amp;C_x000D_&amp;1#&amp;"Calibri"&amp;10&amp;K000000 Nur für den internen Gebrauch -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83031d-f960-4097-9820-977b183f73d6">
      <Terms xmlns="http://schemas.microsoft.com/office/infopath/2007/PartnerControls"/>
    </lcf76f155ced4ddcb4097134ff3c332f>
    <TaxCatchAll xmlns="0d91b1cc-741b-423e-ab90-612ac5f800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3ADE2C56915459CFEC54A6CD65002" ma:contentTypeVersion="18" ma:contentTypeDescription="Create a new document." ma:contentTypeScope="" ma:versionID="faff7708b1f79c7a2f43179de7e2b8d5">
  <xsd:schema xmlns:xsd="http://www.w3.org/2001/XMLSchema" xmlns:xs="http://www.w3.org/2001/XMLSchema" xmlns:p="http://schemas.microsoft.com/office/2006/metadata/properties" xmlns:ns2="f983031d-f960-4097-9820-977b183f73d6" xmlns:ns3="0d91b1cc-741b-423e-ab90-612ac5f800bd" targetNamespace="http://schemas.microsoft.com/office/2006/metadata/properties" ma:root="true" ma:fieldsID="10c0231ab96a5d16d890d39d50495ed0" ns2:_="" ns3:_="">
    <xsd:import namespace="f983031d-f960-4097-9820-977b183f73d6"/>
    <xsd:import namespace="0d91b1cc-741b-423e-ab90-612ac5f80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031d-f960-4097-9820-977b183f7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9e5919b-4d37-4c6a-a1c4-83329ea12d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1b1cc-741b-423e-ab90-612ac5f80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6f4f2c5-9f21-40cc-91f8-0520e27cfd18}" ma:internalName="TaxCatchAll" ma:showField="CatchAllData" ma:web="0d91b1cc-741b-423e-ab90-612ac5f80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B28B2A54-F0FF-4F0D-A93E-22FCA24D3218}">
  <ds:schemaRefs>
    <ds:schemaRef ds:uri="http://schemas.microsoft.com/office/2006/metadata/properties"/>
    <ds:schemaRef ds:uri="http://schemas.microsoft.com/office/infopath/2007/PartnerControls"/>
    <ds:schemaRef ds:uri="f983031d-f960-4097-9820-977b183f73d6"/>
    <ds:schemaRef ds:uri="0d91b1cc-741b-423e-ab90-612ac5f800bd"/>
  </ds:schemaRefs>
</ds:datastoreItem>
</file>

<file path=customXml/itemProps2.xml><?xml version="1.0" encoding="utf-8"?>
<ds:datastoreItem xmlns:ds="http://schemas.openxmlformats.org/officeDocument/2006/customXml" ds:itemID="{F1AB792A-5619-4D2B-9724-D6395E1564A3}"/>
</file>

<file path=customXml/itemProps3.xml><?xml version="1.0" encoding="utf-8"?>
<ds:datastoreItem xmlns:ds="http://schemas.openxmlformats.org/officeDocument/2006/customXml" ds:itemID="{EE0017B7-4D7D-47E0-9B6C-5B013176FB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Prieto Miguel</dc:creator>
  <cp:lastModifiedBy>Urcelay Martínez Cristina</cp:lastModifiedBy>
  <dcterms:created xsi:type="dcterms:W3CDTF">2024-02-07T09:24:23Z</dcterms:created>
  <dcterms:modified xsi:type="dcterms:W3CDTF">2026-04-08T15:44:37Z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0x0101000493ADE2C56915459CFEC54A6CD65002</vt:lpwstr>
  </property>
  <property fmtid="{D5CDD505-2E9C-101B-9397-08002B2CF9AE}" pid="3" name="MSIP_Label_8d966005-d7ca-48e9-93b3-1b2e218dc777_Enabled">
    <vt:lpwstr>true</vt:lpwstr>
  </property>
  <property fmtid="{D5CDD505-2E9C-101B-9397-08002B2CF9AE}" pid="4" name="MSIP_Label_8d966005-d7ca-48e9-93b3-1b2e218dc777_SetDate">
    <vt:lpwstr>2024-12-09T12:23:52Z</vt:lpwstr>
  </property>
  <property fmtid="{D5CDD505-2E9C-101B-9397-08002B2CF9AE}" pid="5" name="MSIP_Label_8d966005-d7ca-48e9-93b3-1b2e218dc777_Method">
    <vt:lpwstr>Standard</vt:lpwstr>
  </property>
  <property fmtid="{D5CDD505-2E9C-101B-9397-08002B2CF9AE}" pid="6" name="MSIP_Label_8d966005-d7ca-48e9-93b3-1b2e218dc777_Name">
    <vt:lpwstr>PoC_Files_Testgroup</vt:lpwstr>
  </property>
  <property fmtid="{D5CDD505-2E9C-101B-9397-08002B2CF9AE}" pid="7" name="MSIP_Label_8d966005-d7ca-48e9-93b3-1b2e218dc777_SiteId">
    <vt:lpwstr>5f051d9d-1c64-4baf-b3e7-7e79225f69f3</vt:lpwstr>
  </property>
  <property fmtid="{D5CDD505-2E9C-101B-9397-08002B2CF9AE}" pid="8" name="MSIP_Label_8d966005-d7ca-48e9-93b3-1b2e218dc777_ActionId">
    <vt:lpwstr>ec1eb68d-b7d1-4575-a444-2c68142e263f</vt:lpwstr>
  </property>
  <property fmtid="{D5CDD505-2E9C-101B-9397-08002B2CF9AE}" pid="9" name="MSIP_Label_8d966005-d7ca-48e9-93b3-1b2e218dc777_ContentBits">
    <vt:lpwstr>2</vt:lpwstr>
  </property>
  <property fmtid="{D5CDD505-2E9C-101B-9397-08002B2CF9AE}" pid="10" name="MediaServiceImageTags">
    <vt:lpwstr/>
  </property>
</Properties>
</file>